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don\Downloads\"/>
    </mc:Choice>
  </mc:AlternateContent>
  <xr:revisionPtr revIDLastSave="0" documentId="13_ncr:1_{F9D6FA32-798F-4EC3-8DD2-00FC5B046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C43" i="1"/>
  <c r="B44" i="1"/>
  <c r="B46" i="1"/>
  <c r="B49" i="1"/>
  <c r="B45" i="1"/>
  <c r="B41" i="1"/>
  <c r="B48" i="1"/>
  <c r="E32" i="1"/>
  <c r="B32" i="1"/>
  <c r="B30" i="1"/>
  <c r="G17" i="1"/>
  <c r="B12" i="1"/>
  <c r="B14" i="1"/>
  <c r="B15" i="1"/>
  <c r="B17" i="1" s="1"/>
  <c r="H2" i="1"/>
  <c r="I2" i="1" s="1"/>
  <c r="H10" i="1"/>
  <c r="I10" i="1" s="1"/>
  <c r="J10" i="1" s="1"/>
  <c r="K10" i="1" s="1"/>
  <c r="L10" i="1" s="1"/>
  <c r="H8" i="1"/>
  <c r="I8" i="1" s="1"/>
  <c r="J8" i="1" s="1"/>
  <c r="K8" i="1" s="1"/>
  <c r="L8" i="1" s="1"/>
  <c r="H6" i="1"/>
  <c r="I6" i="1" s="1"/>
  <c r="J6" i="1" s="1"/>
  <c r="K6" i="1" s="1"/>
  <c r="L6" i="1" s="1"/>
  <c r="H4" i="1"/>
  <c r="G11" i="1"/>
  <c r="G9" i="1"/>
  <c r="G7" i="1"/>
  <c r="G5" i="1"/>
  <c r="G3" i="1"/>
  <c r="F11" i="1"/>
  <c r="F9" i="1"/>
  <c r="F7" i="1"/>
  <c r="F5" i="1"/>
  <c r="F3" i="1"/>
  <c r="E11" i="1"/>
  <c r="E9" i="1"/>
  <c r="E7" i="1"/>
  <c r="E5" i="1"/>
  <c r="E3" i="1"/>
  <c r="D11" i="1"/>
  <c r="D9" i="1"/>
  <c r="D7" i="1"/>
  <c r="D5" i="1"/>
  <c r="D3" i="1"/>
  <c r="C11" i="1"/>
  <c r="C9" i="1"/>
  <c r="C5" i="1"/>
  <c r="C7" i="1"/>
  <c r="C3" i="1"/>
  <c r="G12" i="1"/>
  <c r="F12" i="1"/>
  <c r="E12" i="1"/>
  <c r="D12" i="1"/>
  <c r="C12" i="1"/>
  <c r="C14" i="1" l="1"/>
  <c r="C15" i="1"/>
  <c r="D14" i="1"/>
  <c r="D15" i="1"/>
  <c r="E14" i="1"/>
  <c r="E15" i="1"/>
  <c r="F14" i="1"/>
  <c r="F15" i="1"/>
  <c r="G14" i="1"/>
  <c r="H14" i="1" s="1"/>
  <c r="G15" i="1"/>
  <c r="I4" i="1"/>
  <c r="J4" i="1" s="1"/>
  <c r="K4" i="1" s="1"/>
  <c r="L4" i="1" s="1"/>
  <c r="H12" i="1"/>
  <c r="J2" i="1"/>
  <c r="I12" i="1"/>
  <c r="G16" i="1"/>
  <c r="E33" i="1"/>
  <c r="I13" i="1" l="1"/>
  <c r="I15" i="1" s="1"/>
  <c r="K2" i="1"/>
  <c r="J12" i="1"/>
  <c r="G23" i="1"/>
  <c r="G21" i="1"/>
  <c r="H13" i="1"/>
  <c r="H15" i="1" s="1"/>
  <c r="F23" i="1"/>
  <c r="F21" i="1"/>
  <c r="E23" i="1"/>
  <c r="E21" i="1"/>
  <c r="E16" i="1"/>
  <c r="D23" i="1"/>
  <c r="D21" i="1"/>
  <c r="D16" i="1"/>
  <c r="C23" i="1"/>
  <c r="C21" i="1"/>
  <c r="H24" i="1" l="1"/>
  <c r="H22" i="1"/>
  <c r="H20" i="1"/>
  <c r="H17" i="1"/>
  <c r="H19" i="1" s="1"/>
  <c r="H26" i="1" s="1"/>
  <c r="B43" i="1" s="1"/>
  <c r="J13" i="1"/>
  <c r="J15" i="1" s="1"/>
  <c r="L2" i="1"/>
  <c r="L12" i="1" s="1"/>
  <c r="K12" i="1"/>
  <c r="I24" i="1"/>
  <c r="I22" i="1"/>
  <c r="I20" i="1"/>
  <c r="I17" i="1"/>
  <c r="I19" i="1" s="1"/>
  <c r="I26" i="1" s="1"/>
  <c r="K13" i="1" l="1"/>
  <c r="K15" i="1" s="1"/>
  <c r="L13" i="1"/>
  <c r="L15" i="1" s="1"/>
  <c r="J24" i="1"/>
  <c r="J22" i="1"/>
  <c r="J20" i="1"/>
  <c r="J17" i="1"/>
  <c r="J19" i="1" s="1"/>
  <c r="J26" i="1" s="1"/>
  <c r="D43" i="1" s="1"/>
  <c r="L24" i="1" l="1"/>
  <c r="L22" i="1"/>
  <c r="L20" i="1"/>
  <c r="L17" i="1"/>
  <c r="K24" i="1"/>
  <c r="K22" i="1"/>
  <c r="K20" i="1"/>
  <c r="K17" i="1"/>
  <c r="K19" i="1" s="1"/>
  <c r="K26" i="1" s="1"/>
  <c r="E43" i="1" s="1"/>
  <c r="E41" i="1" l="1"/>
  <c r="B42" i="1" s="1"/>
  <c r="L19" i="1"/>
  <c r="L26" i="1" s="1"/>
  <c r="F43" i="1" s="1"/>
</calcChain>
</file>

<file path=xl/sharedStrings.xml><?xml version="1.0" encoding="utf-8"?>
<sst xmlns="http://schemas.openxmlformats.org/spreadsheetml/2006/main" count="70" uniqueCount="70">
  <si>
    <t>FY2020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</si>
  <si>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</si>
  <si>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</si>
  <si>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</si>
  <si>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</si>
  <si>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</si>
  <si>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</si>
  <si>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</si>
  <si>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</si>
  <si>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</si>
  <si>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</si>
  <si>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Vistaprint</t>
  </si>
  <si>
    <t>Vista revenue growth</t>
  </si>
  <si>
    <t>PrintBrothers</t>
  </si>
  <si>
    <t>PrintBrothers revenue growth</t>
  </si>
  <si>
    <t>Print Group</t>
  </si>
  <si>
    <t>Print Group revenue growth</t>
  </si>
  <si>
    <t>National Pen</t>
  </si>
  <si>
    <t>National Pen revenue growth</t>
  </si>
  <si>
    <t>Other Biz</t>
  </si>
  <si>
    <t>Other Biz revenue growth</t>
  </si>
  <si>
    <t>Gross Revenue</t>
  </si>
  <si>
    <t>Inter-segment eliminations</t>
  </si>
  <si>
    <t>Inter-segment growth</t>
  </si>
  <si>
    <t>Total Revenue</t>
  </si>
  <si>
    <t>EBIT margin</t>
  </si>
  <si>
    <t>EBIT</t>
  </si>
  <si>
    <t>Tax Rate</t>
  </si>
  <si>
    <t>NOPAT</t>
  </si>
  <si>
    <t>Capex</t>
  </si>
  <si>
    <t>Capex Margin (1.88% of Revenue)</t>
  </si>
  <si>
    <t>D&amp;A</t>
  </si>
  <si>
    <t>D&amp;A Margin (5.5% of Revenue)</t>
  </si>
  <si>
    <t>Changes in NWC</t>
  </si>
  <si>
    <t>Changes in NWC (-1.67% of Revenue)</t>
  </si>
  <si>
    <t>UFCF</t>
  </si>
  <si>
    <t>Risk Free Rate</t>
  </si>
  <si>
    <t>Historical Levered Beta</t>
  </si>
  <si>
    <t>Bond Rating</t>
  </si>
  <si>
    <t>B/B-</t>
  </si>
  <si>
    <t>Market Risk Premium</t>
  </si>
  <si>
    <t>Bond Period</t>
  </si>
  <si>
    <t>8 Years</t>
  </si>
  <si>
    <t>Cost of Equity (Historical Method)</t>
  </si>
  <si>
    <t>Cost of Debt</t>
  </si>
  <si>
    <t>Market Capitalization</t>
  </si>
  <si>
    <t>Debt</t>
  </si>
  <si>
    <t>Equity Weightage</t>
  </si>
  <si>
    <t>Debt Weightage</t>
  </si>
  <si>
    <t>WACC</t>
  </si>
  <si>
    <t>Comp Companies:</t>
  </si>
  <si>
    <t>EV/EBITDA Ratios</t>
  </si>
  <si>
    <t>Quad/Graphics INC.</t>
  </si>
  <si>
    <t>Deluxe Corporation</t>
  </si>
  <si>
    <t>Ennis, INC</t>
  </si>
  <si>
    <t>4imprint Group plc</t>
  </si>
  <si>
    <t>ACCO Brands Corporation</t>
  </si>
  <si>
    <t>Pitney Bowes Inc.</t>
  </si>
  <si>
    <t>Exit Multiple</t>
  </si>
  <si>
    <t>Exit EBITDA</t>
  </si>
  <si>
    <t>Terminal Value</t>
  </si>
  <si>
    <t>Discounted Cash Flows</t>
  </si>
  <si>
    <t>Sum of Discounted UFCFs</t>
  </si>
  <si>
    <t>Discounted Terminal Value</t>
  </si>
  <si>
    <t>Implied Enterprise Value</t>
  </si>
  <si>
    <t>Cash</t>
  </si>
  <si>
    <t>Total Debt</t>
  </si>
  <si>
    <t>Implied Equity Value</t>
  </si>
  <si>
    <t>Outstanding Diluted Shares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</si>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</sst>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8"/>
      <color rgb="FF4472C4"/>
      <name val="Calibri"/>
      <scheme val="minor"/>
    </font>
    <font>
      <sz val="8"/>
      <color rgb="FF5B9BD5"/>
      <name val="Calibri"/>
      <scheme val="minor"/>
    </font>
    <font>
      <sz val="8"/>
      <color theme="8"/>
      <name val="Calibri"/>
      <family val="2"/>
      <scheme val="minor"/>
    </font>
    <font>
      <sz val="8"/>
      <color theme="8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6" fontId="0" fillId="0" borderId="0" xfId="0" applyNumberFormat="1"/>
    <xf numFmtId="0" fontId="1" fillId="0" borderId="0" xfId="0" applyFont="1"/>
    <xf numFmtId="0" fontId="2" fillId="0" borderId="0" xfId="0" applyFont="1"/>
    <xf numFmtId="6" fontId="0" fillId="3" borderId="0" xfId="0" applyNumberFormat="1" applyFill="1"/>
    <xf numFmtId="6" fontId="0" fillId="2" borderId="0" xfId="0" applyNumberFormat="1" applyFill="1"/>
    <xf numFmtId="10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10" fontId="4" fillId="0" borderId="0" xfId="0" applyNumberFormat="1" applyFont="1"/>
    <xf numFmtId="10" fontId="0" fillId="0" borderId="0" xfId="0" applyNumberFormat="1"/>
    <xf numFmtId="10" fontId="0" fillId="3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/>
  </sheetViews>
  <sheetFormatPr defaultRowHeight="15" x14ac:dyDescent="0.25"/>
  <cols>
    <col min="1" max="1" width="33.28515625" bestFit="1" customWidth="1"/>
    <col min="2" max="2" width="16.140625" bestFit="1" customWidth="1"/>
    <col min="3" max="3" width="12.7109375" bestFit="1" customWidth="1"/>
    <col min="4" max="4" width="15" bestFit="1" customWidth="1"/>
    <col min="5" max="5" width="17.140625" bestFit="1" customWidth="1"/>
    <col min="6" max="6" width="14.42578125" bestFit="1" customWidth="1"/>
    <col min="7" max="7" width="11.140625" bestFit="1" customWidth="1"/>
    <col min="8" max="8" width="12.7109375" bestFit="1" customWidth="1"/>
    <col min="9" max="9" width="13.28515625" bestFit="1" customWidth="1"/>
    <col min="10" max="12" width="12.7109375" bestFit="1" customWidth="1"/>
  </cols>
  <sheetData>
    <row r="1" spans="1:12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t="s">
        <v>11</v>
      </c>
      <c r="B2" s="4">
        <v>1337291</v>
      </c>
      <c r="C2" s="4">
        <v>1428255</v>
      </c>
      <c r="D2" s="4">
        <v>1514909</v>
      </c>
      <c r="E2" s="4">
        <v>1614798</v>
      </c>
      <c r="F2" s="4">
        <v>1742494</v>
      </c>
      <c r="G2" s="4">
        <v>1824271</v>
      </c>
      <c r="H2" s="4">
        <f>G2*(100%+H3)</f>
        <v>1951969.9700000002</v>
      </c>
      <c r="I2" s="4">
        <f>H2*(1+I3)</f>
        <v>2078848.0180500001</v>
      </c>
      <c r="J2" s="4">
        <f>I2*(1+J3)</f>
        <v>2203578.8991330001</v>
      </c>
      <c r="K2" s="4">
        <f>J2*(1+K3)</f>
        <v>2335793.6330809803</v>
      </c>
      <c r="L2" s="4">
        <f>K2*(1+L3)</f>
        <v>2452583.3147350294</v>
      </c>
    </row>
    <row r="3" spans="1:12" x14ac:dyDescent="0.25">
      <c r="A3" s="5" t="s">
        <v>12</v>
      </c>
      <c r="C3" s="9">
        <f>(C2-B2)/B2</f>
        <v>6.8021096380668084E-2</v>
      </c>
      <c r="D3" s="9">
        <f>(D2-C2)/C2</f>
        <v>6.0671238679367481E-2</v>
      </c>
      <c r="E3" s="9">
        <f>(E2-D2)/D2</f>
        <v>6.5937293923265361E-2</v>
      </c>
      <c r="F3" s="9">
        <f>(F2-E2)/E2</f>
        <v>7.9078621598490953E-2</v>
      </c>
      <c r="G3" s="9">
        <f>(G2-F2)/F2</f>
        <v>4.6931008083815499E-2</v>
      </c>
      <c r="H3" s="10">
        <v>7.0000000000000007E-2</v>
      </c>
      <c r="I3" s="9">
        <v>6.5000000000000002E-2</v>
      </c>
      <c r="J3" s="10">
        <v>0.06</v>
      </c>
      <c r="K3" s="10">
        <v>0.06</v>
      </c>
      <c r="L3" s="10">
        <v>0.05</v>
      </c>
    </row>
    <row r="4" spans="1:12" x14ac:dyDescent="0.25">
      <c r="A4" t="s">
        <v>13</v>
      </c>
      <c r="B4" s="4">
        <v>417921</v>
      </c>
      <c r="C4" s="4">
        <v>421766</v>
      </c>
      <c r="D4" s="4">
        <v>526952</v>
      </c>
      <c r="E4" s="4">
        <v>579050</v>
      </c>
      <c r="F4" s="4">
        <v>639571</v>
      </c>
      <c r="G4" s="4">
        <v>669151</v>
      </c>
      <c r="H4" s="4">
        <f>G4*(1+H5)</f>
        <v>722683.08000000007</v>
      </c>
      <c r="I4" s="4">
        <f>H4*(1+I5)</f>
        <v>780497.72640000016</v>
      </c>
      <c r="J4" s="4">
        <f>I4*(1+J5)</f>
        <v>835132.56724800018</v>
      </c>
      <c r="K4" s="4">
        <f>J4*(1+K5)</f>
        <v>881064.8584466402</v>
      </c>
      <c r="L4" s="4">
        <f>K4*(1+L5)</f>
        <v>916307.45278450579</v>
      </c>
    </row>
    <row r="5" spans="1:12" x14ac:dyDescent="0.25">
      <c r="A5" s="5" t="s">
        <v>14</v>
      </c>
      <c r="C5" s="9">
        <f>(C4-B4)/B4</f>
        <v>9.2003034066246974E-3</v>
      </c>
      <c r="D5" s="9">
        <f>(D4-C4)/C4</f>
        <v>0.24939421385317925</v>
      </c>
      <c r="E5" s="9">
        <f>(E4-D4)/D4</f>
        <v>9.886668994519425E-2</v>
      </c>
      <c r="F5" s="9">
        <f>(F4-E4)/E4</f>
        <v>0.10451774458164234</v>
      </c>
      <c r="G5" s="9">
        <f>(G4-F4)/F4</f>
        <v>4.624975178674455E-2</v>
      </c>
      <c r="H5" s="10">
        <v>0.08</v>
      </c>
      <c r="I5" s="10">
        <v>0.08</v>
      </c>
      <c r="J5" s="10">
        <v>7.0000000000000007E-2</v>
      </c>
      <c r="K5" s="9">
        <v>5.5E-2</v>
      </c>
      <c r="L5" s="10">
        <v>0.04</v>
      </c>
    </row>
    <row r="6" spans="1:12" x14ac:dyDescent="0.25">
      <c r="A6" t="s">
        <v>15</v>
      </c>
      <c r="B6" s="4">
        <v>275214</v>
      </c>
      <c r="C6" s="4">
        <v>275534</v>
      </c>
      <c r="D6" s="4">
        <v>329590</v>
      </c>
      <c r="E6" s="4">
        <v>342951</v>
      </c>
      <c r="F6" s="4">
        <v>354775</v>
      </c>
      <c r="G6" s="4">
        <v>378075</v>
      </c>
      <c r="H6" s="4">
        <f>G6*(1+H7)</f>
        <v>408321</v>
      </c>
      <c r="I6" s="4">
        <f>H6*(1+I7)</f>
        <v>438945.07499999995</v>
      </c>
      <c r="J6" s="4">
        <f>I6*(1+J7)</f>
        <v>469671.23024999996</v>
      </c>
      <c r="K6" s="4">
        <f>J6*(1+K7)</f>
        <v>495503.14791374991</v>
      </c>
      <c r="L6" s="4">
        <f>K6*(1+L7)</f>
        <v>520278.30530943745</v>
      </c>
    </row>
    <row r="7" spans="1:12" x14ac:dyDescent="0.25">
      <c r="A7" s="5" t="s">
        <v>16</v>
      </c>
      <c r="C7" s="9">
        <f>(C6-B6)/B6</f>
        <v>1.1627315470869942E-3</v>
      </c>
      <c r="D7" s="9">
        <f>(D6-C6)/C6</f>
        <v>0.19618631457460786</v>
      </c>
      <c r="E7" s="9">
        <f>(E6-D6)/D6</f>
        <v>4.0538244485572986E-2</v>
      </c>
      <c r="F7" s="9">
        <f>(F6-E6)/E6</f>
        <v>3.4477228525357853E-2</v>
      </c>
      <c r="G7" s="9">
        <f>(G6-F6)/F6</f>
        <v>6.5675428088224935E-2</v>
      </c>
      <c r="H7" s="10">
        <v>0.08</v>
      </c>
      <c r="I7" s="9">
        <v>7.4999999999999997E-2</v>
      </c>
      <c r="J7" s="10">
        <v>7.0000000000000007E-2</v>
      </c>
      <c r="K7" s="9">
        <v>5.5E-2</v>
      </c>
      <c r="L7" s="10">
        <v>0.05</v>
      </c>
    </row>
    <row r="8" spans="1:12" x14ac:dyDescent="0.25">
      <c r="A8" t="s">
        <v>17</v>
      </c>
      <c r="B8" s="4">
        <v>299474</v>
      </c>
      <c r="C8" s="4">
        <v>313528</v>
      </c>
      <c r="D8" s="4">
        <v>341832</v>
      </c>
      <c r="E8" s="4">
        <v>365804</v>
      </c>
      <c r="F8" s="4">
        <v>389027</v>
      </c>
      <c r="G8" s="4">
        <v>406764</v>
      </c>
      <c r="H8" s="4">
        <f>G8*(1+H9)</f>
        <v>427102.2</v>
      </c>
      <c r="I8" s="4">
        <f>H8*(1+I9)</f>
        <v>448457.31000000006</v>
      </c>
      <c r="J8" s="4">
        <f>I8*(1+J9)</f>
        <v>468637.88895000005</v>
      </c>
      <c r="K8" s="4">
        <f>J8*(1+K9)</f>
        <v>487383.40450800007</v>
      </c>
      <c r="L8" s="4">
        <f>K8*(1+L9)</f>
        <v>506878.74068832007</v>
      </c>
    </row>
    <row r="9" spans="1:12" x14ac:dyDescent="0.25">
      <c r="A9" s="5" t="s">
        <v>18</v>
      </c>
      <c r="C9" s="9">
        <f>(C8-B8)/B8</f>
        <v>4.6928948756820292E-2</v>
      </c>
      <c r="D9" s="9">
        <f>(D8-C8)/C8</f>
        <v>9.0275828634125185E-2</v>
      </c>
      <c r="E9" s="9">
        <f>(E8-D8)/D8</f>
        <v>7.0128016101476745E-2</v>
      </c>
      <c r="F9" s="9">
        <f>(F8-E8)/E8</f>
        <v>6.3484817005828253E-2</v>
      </c>
      <c r="G9" s="9">
        <f>(G8-F8)/F8</f>
        <v>4.5593236459166075E-2</v>
      </c>
      <c r="H9" s="10">
        <v>0.05</v>
      </c>
      <c r="I9" s="10">
        <v>0.05</v>
      </c>
      <c r="J9" s="9">
        <v>4.4999999999999998E-2</v>
      </c>
      <c r="K9" s="10">
        <v>0.04</v>
      </c>
      <c r="L9" s="10">
        <v>0.04</v>
      </c>
    </row>
    <row r="10" spans="1:12" x14ac:dyDescent="0.25">
      <c r="A10" t="s">
        <v>19</v>
      </c>
      <c r="B10" s="4">
        <v>173789</v>
      </c>
      <c r="C10" s="4">
        <v>192038</v>
      </c>
      <c r="D10" s="4">
        <v>205862</v>
      </c>
      <c r="E10" s="4">
        <v>212409</v>
      </c>
      <c r="F10" s="4">
        <v>213381</v>
      </c>
      <c r="G10" s="4">
        <v>227363</v>
      </c>
      <c r="H10" s="4">
        <f>G10*(1+H11)</f>
        <v>250099.30000000002</v>
      </c>
      <c r="I10" s="4">
        <f>H10*(1+I11)</f>
        <v>272608.23700000002</v>
      </c>
      <c r="J10" s="4">
        <f>I10*(1+J11)</f>
        <v>294416.89596000005</v>
      </c>
      <c r="K10" s="4">
        <f>J10*(1+K11)</f>
        <v>313553.99419740005</v>
      </c>
      <c r="L10" s="4">
        <f>K10*(1+L11)</f>
        <v>332367.23384924408</v>
      </c>
    </row>
    <row r="11" spans="1:12" x14ac:dyDescent="0.25">
      <c r="A11" s="5" t="s">
        <v>20</v>
      </c>
      <c r="C11" s="9">
        <f>(C10-B10)/B10</f>
        <v>0.10500664599025254</v>
      </c>
      <c r="D11" s="9">
        <f>(D10-C10)/C10</f>
        <v>7.1985752819754417E-2</v>
      </c>
      <c r="E11" s="9">
        <f>(E10-D10)/D10</f>
        <v>3.1802858225413143E-2</v>
      </c>
      <c r="F11" s="9">
        <f>(F10-E10)/E10</f>
        <v>4.5760772848608107E-3</v>
      </c>
      <c r="G11" s="9">
        <f>(G10-F10)/F10</f>
        <v>6.552598403794152E-2</v>
      </c>
      <c r="H11" s="10">
        <v>0.1</v>
      </c>
      <c r="I11" s="10">
        <v>0.09</v>
      </c>
      <c r="J11" s="10">
        <v>0.08</v>
      </c>
      <c r="K11" s="9">
        <v>6.5000000000000002E-2</v>
      </c>
      <c r="L11" s="10">
        <v>0.06</v>
      </c>
    </row>
    <row r="12" spans="1:12" x14ac:dyDescent="0.25">
      <c r="A12" t="s">
        <v>21</v>
      </c>
      <c r="B12" s="4">
        <f t="shared" ref="B12:L12" si="0">B2+B4+B6+B8+B10</f>
        <v>2503689</v>
      </c>
      <c r="C12" s="4">
        <f t="shared" si="0"/>
        <v>2631121</v>
      </c>
      <c r="D12" s="4">
        <f t="shared" si="0"/>
        <v>2919145</v>
      </c>
      <c r="E12" s="4">
        <f t="shared" si="0"/>
        <v>3115012</v>
      </c>
      <c r="F12" s="4">
        <f t="shared" si="0"/>
        <v>3339248</v>
      </c>
      <c r="G12" s="4">
        <f t="shared" si="0"/>
        <v>3505624</v>
      </c>
      <c r="H12" s="4">
        <f t="shared" si="0"/>
        <v>3760175.5500000003</v>
      </c>
      <c r="I12" s="4">
        <f t="shared" si="0"/>
        <v>4019356.3664500006</v>
      </c>
      <c r="J12" s="4">
        <f t="shared" si="0"/>
        <v>4271437.4815410003</v>
      </c>
      <c r="K12" s="4">
        <f t="shared" si="0"/>
        <v>4513299.0381467706</v>
      </c>
      <c r="L12" s="4">
        <f t="shared" si="0"/>
        <v>4728415.0473665372</v>
      </c>
    </row>
    <row r="13" spans="1:12" x14ac:dyDescent="0.25">
      <c r="A13" t="s">
        <v>22</v>
      </c>
      <c r="B13" s="4">
        <v>-22331</v>
      </c>
      <c r="C13" s="4">
        <v>-55160</v>
      </c>
      <c r="D13" s="4">
        <v>-31590</v>
      </c>
      <c r="E13" s="4">
        <v>-35385</v>
      </c>
      <c r="F13" s="4">
        <v>-47392</v>
      </c>
      <c r="G13" s="4">
        <v>-102545</v>
      </c>
      <c r="H13" s="4">
        <f>H12*H14</f>
        <v>-59855.001418814631</v>
      </c>
      <c r="I13" s="4">
        <f>I12*I14</f>
        <v>-63907.76622655501</v>
      </c>
      <c r="J13" s="4">
        <f>J12*J14</f>
        <v>-67915.85595650191</v>
      </c>
      <c r="K13" s="4">
        <f>K12*K14</f>
        <v>-71761.454706533652</v>
      </c>
      <c r="L13" s="4">
        <f>L12*L14</f>
        <v>-75181.799253127945</v>
      </c>
    </row>
    <row r="14" spans="1:12" x14ac:dyDescent="0.25">
      <c r="A14" s="5" t="s">
        <v>23</v>
      </c>
      <c r="B14" s="9">
        <f t="shared" ref="B14:G14" si="1">B13/B12</f>
        <v>-8.9192387712691158E-3</v>
      </c>
      <c r="C14" s="9">
        <f t="shared" si="1"/>
        <v>-2.0964448233281557E-2</v>
      </c>
      <c r="D14" s="9">
        <f t="shared" si="1"/>
        <v>-1.0821661822211641E-2</v>
      </c>
      <c r="E14" s="9">
        <f t="shared" si="1"/>
        <v>-1.1359506801257909E-2</v>
      </c>
      <c r="F14" s="9">
        <f t="shared" si="1"/>
        <v>-1.4192416975318993E-2</v>
      </c>
      <c r="G14" s="9">
        <f t="shared" si="1"/>
        <v>-2.9251568337049266E-2</v>
      </c>
      <c r="H14" s="9">
        <f>(G14+F14+E14+D14+C14+B14)/6</f>
        <v>-1.5918140156731413E-2</v>
      </c>
      <c r="I14" s="9">
        <v>-1.5900000000000001E-2</v>
      </c>
      <c r="J14" s="9">
        <v>-1.5900000000000001E-2</v>
      </c>
      <c r="K14" s="9">
        <v>-1.5900000000000001E-2</v>
      </c>
      <c r="L14" s="9">
        <v>-1.5900000000000001E-2</v>
      </c>
    </row>
    <row r="15" spans="1:12" x14ac:dyDescent="0.25">
      <c r="A15" s="3" t="s">
        <v>24</v>
      </c>
      <c r="B15" s="7">
        <f t="shared" ref="B15:L15" si="2">B12+B13</f>
        <v>2481358</v>
      </c>
      <c r="C15" s="7">
        <f t="shared" si="2"/>
        <v>2575961</v>
      </c>
      <c r="D15" s="7">
        <f t="shared" si="2"/>
        <v>2887555</v>
      </c>
      <c r="E15" s="7">
        <f t="shared" si="2"/>
        <v>3079627</v>
      </c>
      <c r="F15" s="7">
        <f t="shared" si="2"/>
        <v>3291856</v>
      </c>
      <c r="G15" s="7">
        <f t="shared" si="2"/>
        <v>3403079</v>
      </c>
      <c r="H15" s="8">
        <f t="shared" si="2"/>
        <v>3700320.5485811858</v>
      </c>
      <c r="I15" s="8">
        <f t="shared" si="2"/>
        <v>3955448.6002234453</v>
      </c>
      <c r="J15" s="8">
        <f t="shared" si="2"/>
        <v>4203521.625584498</v>
      </c>
      <c r="K15" s="8">
        <f t="shared" si="2"/>
        <v>4441537.5834402367</v>
      </c>
      <c r="L15" s="8">
        <f t="shared" si="2"/>
        <v>4653233.2481134096</v>
      </c>
    </row>
    <row r="16" spans="1:12" x14ac:dyDescent="0.25">
      <c r="A16" s="6" t="s">
        <v>25</v>
      </c>
      <c r="B16" s="10">
        <v>0.02</v>
      </c>
      <c r="C16" s="10">
        <v>0.05</v>
      </c>
      <c r="D16" s="10">
        <f>D17/D15</f>
        <v>1.6379947741255146E-2</v>
      </c>
      <c r="E16" s="10">
        <f>E17/E15</f>
        <v>1.8609071812917603E-2</v>
      </c>
      <c r="F16" s="10">
        <v>0.08</v>
      </c>
      <c r="G16" s="10">
        <f>G17/G15</f>
        <v>6.6489787630554562E-2</v>
      </c>
      <c r="H16" s="10">
        <v>7.0000000000000007E-2</v>
      </c>
      <c r="I16" s="9">
        <v>7.4999999999999997E-2</v>
      </c>
      <c r="J16" s="10">
        <v>0.08</v>
      </c>
      <c r="K16" s="10">
        <v>0.08</v>
      </c>
      <c r="L16" s="9">
        <v>8.5000000000000006E-2</v>
      </c>
    </row>
    <row r="17" spans="1:12" x14ac:dyDescent="0.25">
      <c r="A17" s="3" t="s">
        <v>26</v>
      </c>
      <c r="B17" s="7">
        <f>B15*B16</f>
        <v>49627.16</v>
      </c>
      <c r="C17" s="7">
        <v>123510</v>
      </c>
      <c r="D17" s="7">
        <v>47298</v>
      </c>
      <c r="E17" s="7">
        <v>57309</v>
      </c>
      <c r="F17" s="7">
        <v>247351</v>
      </c>
      <c r="G17" s="7">
        <f>226270</f>
        <v>226270</v>
      </c>
      <c r="H17" s="8">
        <f>H15*H16</f>
        <v>259022.43840068302</v>
      </c>
      <c r="I17" s="8">
        <f>I15*I16</f>
        <v>296658.64501675841</v>
      </c>
      <c r="J17" s="8">
        <f>J15*J16</f>
        <v>336281.73004675983</v>
      </c>
      <c r="K17" s="8">
        <f>K15*K16</f>
        <v>355323.00667521893</v>
      </c>
      <c r="L17" s="8">
        <f>L15*L16</f>
        <v>395524.82608963986</v>
      </c>
    </row>
    <row r="18" spans="1:12" x14ac:dyDescent="0.25">
      <c r="A18" t="s">
        <v>27</v>
      </c>
      <c r="B18" s="10">
        <v>26.97</v>
      </c>
      <c r="C18" s="9">
        <v>0.29699999999999999</v>
      </c>
      <c r="D18" s="10">
        <v>6.42</v>
      </c>
      <c r="E18" s="9">
        <v>5.1449999999999996</v>
      </c>
      <c r="F18" s="9">
        <v>0.38400000000000001</v>
      </c>
      <c r="G18" s="9">
        <v>0.86699999999999999</v>
      </c>
      <c r="H18" s="10">
        <v>0.25</v>
      </c>
      <c r="I18" s="10">
        <v>0.25</v>
      </c>
      <c r="J18" s="10">
        <v>0.25</v>
      </c>
      <c r="K18" s="10">
        <v>0.25</v>
      </c>
      <c r="L18" s="10">
        <v>0.25</v>
      </c>
    </row>
    <row r="19" spans="1:12" x14ac:dyDescent="0.25">
      <c r="A19" t="s">
        <v>28</v>
      </c>
      <c r="H19" s="4">
        <f>H17*(1-H18)</f>
        <v>194266.82880051227</v>
      </c>
      <c r="I19" s="4">
        <f>I17*(1-I18)</f>
        <v>222493.98376256879</v>
      </c>
      <c r="J19" s="4">
        <f>J17*(1-J18)</f>
        <v>252211.29753506987</v>
      </c>
      <c r="K19" s="4">
        <f>K17*(1-K18)</f>
        <v>266492.2550064142</v>
      </c>
      <c r="L19" s="4">
        <f>L17*(1-L18)</f>
        <v>296643.61956722988</v>
      </c>
    </row>
    <row r="20" spans="1:12" x14ac:dyDescent="0.25">
      <c r="A20" t="s">
        <v>29</v>
      </c>
      <c r="C20" s="4">
        <v>38000</v>
      </c>
      <c r="D20" s="4">
        <v>55000</v>
      </c>
      <c r="E20" s="4">
        <v>54000</v>
      </c>
      <c r="F20" s="4">
        <v>54900</v>
      </c>
      <c r="G20" s="4">
        <v>89000</v>
      </c>
      <c r="H20" s="4">
        <f>H15*H21</f>
        <v>69566.026313326292</v>
      </c>
      <c r="I20" s="4">
        <f>I15*I21</f>
        <v>74362.433684200776</v>
      </c>
      <c r="J20" s="4">
        <f>J15*J21</f>
        <v>79026.206560988561</v>
      </c>
      <c r="K20" s="4">
        <f>K15*K21</f>
        <v>83500.906568676452</v>
      </c>
      <c r="L20" s="4">
        <f>L15*L21</f>
        <v>87480.785064532101</v>
      </c>
    </row>
    <row r="21" spans="1:12" x14ac:dyDescent="0.25">
      <c r="A21" s="11" t="s">
        <v>30</v>
      </c>
      <c r="B21" s="9"/>
      <c r="C21" s="9">
        <f>C20/C15</f>
        <v>1.4751776133256676E-2</v>
      </c>
      <c r="D21" s="9">
        <f>D20/D15</f>
        <v>1.9047256242738234E-2</v>
      </c>
      <c r="E21" s="9">
        <f>E20/E15</f>
        <v>1.7534591039759035E-2</v>
      </c>
      <c r="F21" s="9">
        <f>F20/F15</f>
        <v>1.6677521738496459E-2</v>
      </c>
      <c r="G21" s="9">
        <f>G20/G15</f>
        <v>2.6152786932069457E-2</v>
      </c>
      <c r="H21" s="9">
        <v>1.8800000000000001E-2</v>
      </c>
      <c r="I21" s="9">
        <v>1.8800000000000001E-2</v>
      </c>
      <c r="J21" s="9">
        <v>1.8800000000000001E-2</v>
      </c>
      <c r="K21" s="12">
        <v>1.8800000000000001E-2</v>
      </c>
      <c r="L21" s="12">
        <v>1.8800000000000001E-2</v>
      </c>
    </row>
    <row r="22" spans="1:12" x14ac:dyDescent="0.25">
      <c r="A22" t="s">
        <v>31</v>
      </c>
      <c r="C22" s="4">
        <v>173212</v>
      </c>
      <c r="D22" s="4">
        <v>175681</v>
      </c>
      <c r="E22" s="4">
        <v>162428</v>
      </c>
      <c r="F22" s="4">
        <v>151764</v>
      </c>
      <c r="G22" s="4">
        <v>141131</v>
      </c>
      <c r="H22" s="4">
        <f>H15*H23</f>
        <v>203517.63017196523</v>
      </c>
      <c r="I22" s="4">
        <f>I15*I23</f>
        <v>217549.67301228948</v>
      </c>
      <c r="J22" s="4">
        <f>J15*J23</f>
        <v>231193.68940714738</v>
      </c>
      <c r="K22" s="4">
        <f>K15*K23</f>
        <v>244284.56708921303</v>
      </c>
      <c r="L22" s="4">
        <f>L15*L23</f>
        <v>255927.82864623753</v>
      </c>
    </row>
    <row r="23" spans="1:12" x14ac:dyDescent="0.25">
      <c r="A23" s="11" t="s">
        <v>32</v>
      </c>
      <c r="B23" s="9"/>
      <c r="C23" s="9">
        <f>C22/C15</f>
        <v>6.724170125246462E-2</v>
      </c>
      <c r="D23" s="9">
        <f>D22/D15</f>
        <v>6.0840745890554465E-2</v>
      </c>
      <c r="E23" s="9">
        <f>E22/E15</f>
        <v>5.2742750988999644E-2</v>
      </c>
      <c r="F23" s="9">
        <f>F22/F15</f>
        <v>4.6102867197107045E-2</v>
      </c>
      <c r="G23" s="9">
        <f>G22/G15</f>
        <v>4.1471561488875222E-2</v>
      </c>
      <c r="H23" s="9">
        <v>5.5E-2</v>
      </c>
      <c r="I23" s="9">
        <v>5.5E-2</v>
      </c>
      <c r="J23" s="9">
        <v>5.5E-2</v>
      </c>
      <c r="K23" s="9">
        <v>5.5E-2</v>
      </c>
      <c r="L23" s="9">
        <v>5.5E-2</v>
      </c>
    </row>
    <row r="24" spans="1:12" x14ac:dyDescent="0.25">
      <c r="A24" t="s">
        <v>33</v>
      </c>
      <c r="C24" s="4">
        <v>-184830</v>
      </c>
      <c r="D24" s="4">
        <v>53363</v>
      </c>
      <c r="E24" s="4">
        <v>15251</v>
      </c>
      <c r="F24" s="4">
        <v>-42251</v>
      </c>
      <c r="G24" s="4">
        <v>-76752</v>
      </c>
      <c r="H24" s="4">
        <f>H15*H25</f>
        <v>-61795.3531613058</v>
      </c>
      <c r="I24" s="4">
        <f>I15*I25</f>
        <v>-66055.991623731534</v>
      </c>
      <c r="J24" s="4">
        <f>J15*J25</f>
        <v>-70198.81114726112</v>
      </c>
      <c r="K24" s="4">
        <f>K15*K25</f>
        <v>-74173.677643451956</v>
      </c>
      <c r="L24" s="4">
        <f>L15*L25</f>
        <v>-77708.995243493933</v>
      </c>
    </row>
    <row r="25" spans="1:12" x14ac:dyDescent="0.25">
      <c r="A25" s="9" t="s">
        <v>34</v>
      </c>
      <c r="C25" s="13"/>
      <c r="D25" s="13"/>
      <c r="E25" s="13"/>
      <c r="F25" s="13"/>
      <c r="G25" s="13"/>
      <c r="H25" s="9">
        <v>-1.67E-2</v>
      </c>
      <c r="I25" s="9">
        <v>-1.67E-2</v>
      </c>
      <c r="J25" s="9">
        <v>-1.67E-2</v>
      </c>
      <c r="K25" s="9">
        <v>-1.67E-2</v>
      </c>
      <c r="L25" s="9">
        <v>-1.67E-2</v>
      </c>
    </row>
    <row r="26" spans="1:12" x14ac:dyDescent="0.25">
      <c r="A26" s="3" t="s">
        <v>35</v>
      </c>
      <c r="B26" s="3"/>
      <c r="C26" s="14"/>
      <c r="D26" s="3"/>
      <c r="E26" s="3"/>
      <c r="F26" s="3"/>
      <c r="G26" s="3"/>
      <c r="H26" s="8">
        <f>H19-H20+H22-H24</f>
        <v>390013.78582045704</v>
      </c>
      <c r="I26" s="8">
        <f>I19-I20+I22-I24</f>
        <v>431737.21471438906</v>
      </c>
      <c r="J26" s="8">
        <f>J19-J20+J22-J24</f>
        <v>474577.59152848978</v>
      </c>
      <c r="K26" s="8">
        <f>K19-K20+K22-K24</f>
        <v>501449.59317040269</v>
      </c>
      <c r="L26" s="8">
        <f>L19-L20+L22-L24</f>
        <v>542799.65839242924</v>
      </c>
    </row>
    <row r="27" spans="1:12" x14ac:dyDescent="0.25">
      <c r="A27" t="s">
        <v>36</v>
      </c>
      <c r="B27" s="13">
        <v>4.4900000000000002E-2</v>
      </c>
    </row>
    <row r="28" spans="1:12" x14ac:dyDescent="0.25">
      <c r="A28" t="s">
        <v>37</v>
      </c>
      <c r="B28">
        <v>1.79</v>
      </c>
      <c r="D28" t="s">
        <v>38</v>
      </c>
      <c r="E28" t="s">
        <v>39</v>
      </c>
    </row>
    <row r="29" spans="1:12" x14ac:dyDescent="0.25">
      <c r="A29" t="s">
        <v>40</v>
      </c>
      <c r="B29" s="13">
        <v>4.4200000000000003E-2</v>
      </c>
      <c r="D29" t="s">
        <v>41</v>
      </c>
      <c r="E29" t="s">
        <v>42</v>
      </c>
    </row>
    <row r="30" spans="1:12" x14ac:dyDescent="0.25">
      <c r="A30" s="3" t="s">
        <v>43</v>
      </c>
      <c r="B30" s="14">
        <f>B27+B28*B29</f>
        <v>0.12401800000000002</v>
      </c>
      <c r="C30" s="3"/>
      <c r="D30" s="3" t="s">
        <v>44</v>
      </c>
      <c r="E30" s="14">
        <v>7.1999999999999995E-2</v>
      </c>
      <c r="F30" s="3"/>
      <c r="G30" s="3"/>
    </row>
    <row r="31" spans="1:12" x14ac:dyDescent="0.25">
      <c r="A31" t="s">
        <v>45</v>
      </c>
      <c r="B31" s="4">
        <v>2370000</v>
      </c>
      <c r="D31" t="s">
        <v>46</v>
      </c>
      <c r="E31" s="4">
        <v>1588931</v>
      </c>
    </row>
    <row r="32" spans="1:12" x14ac:dyDescent="0.25">
      <c r="A32" t="s">
        <v>47</v>
      </c>
      <c r="B32" s="13">
        <f>B31/(B31+E31)</f>
        <v>0.59864645279243311</v>
      </c>
      <c r="D32" t="s">
        <v>48</v>
      </c>
      <c r="E32" s="13">
        <f>E31/(E31+B31)</f>
        <v>0.40135354720756689</v>
      </c>
    </row>
    <row r="33" spans="1:7" x14ac:dyDescent="0.25">
      <c r="A33" s="14" t="s">
        <v>49</v>
      </c>
      <c r="B33" s="14"/>
      <c r="C33" s="14"/>
      <c r="D33" s="14"/>
      <c r="E33" s="14">
        <f>(B32*B30)+E32*E30</f>
        <v>0.10314039118135679</v>
      </c>
      <c r="F33" s="14"/>
      <c r="G33" s="14"/>
    </row>
    <row r="34" spans="1:7" x14ac:dyDescent="0.25">
      <c r="A34" t="s">
        <v>50</v>
      </c>
      <c r="B34" t="s">
        <v>51</v>
      </c>
    </row>
    <row r="35" spans="1:7" x14ac:dyDescent="0.25">
      <c r="A35" t="s">
        <v>52</v>
      </c>
      <c r="B35">
        <v>5.84</v>
      </c>
    </row>
    <row r="36" spans="1:7" x14ac:dyDescent="0.25">
      <c r="A36" t="s">
        <v>53</v>
      </c>
      <c r="B36">
        <v>6.27</v>
      </c>
    </row>
    <row r="37" spans="1:7" x14ac:dyDescent="0.25">
      <c r="A37" t="s">
        <v>54</v>
      </c>
      <c r="B37">
        <v>7.17</v>
      </c>
    </row>
    <row r="38" spans="1:7" x14ac:dyDescent="0.25">
      <c r="A38" t="s">
        <v>55</v>
      </c>
      <c r="B38">
        <v>8.16</v>
      </c>
    </row>
    <row r="39" spans="1:7" x14ac:dyDescent="0.25">
      <c r="A39" t="s">
        <v>56</v>
      </c>
      <c r="B39">
        <v>6.3</v>
      </c>
    </row>
    <row r="40" spans="1:7" x14ac:dyDescent="0.25">
      <c r="A40" t="s">
        <v>57</v>
      </c>
      <c r="B40">
        <v>9.66</v>
      </c>
    </row>
    <row r="41" spans="1:7" x14ac:dyDescent="0.25">
      <c r="A41" t="s">
        <v>58</v>
      </c>
      <c r="B41">
        <f>(B39+B37)/2</f>
        <v>6.7349999999999994</v>
      </c>
      <c r="D41" t="s">
        <v>59</v>
      </c>
      <c r="E41" s="4">
        <f>L17+L22</f>
        <v>651452.65473587741</v>
      </c>
    </row>
    <row r="42" spans="1:7" x14ac:dyDescent="0.25">
      <c r="A42" s="3" t="s">
        <v>60</v>
      </c>
      <c r="B42" s="7">
        <f>E41*B41</f>
        <v>4387533.6296461336</v>
      </c>
      <c r="C42" s="3"/>
      <c r="D42" s="3"/>
      <c r="E42" s="3"/>
      <c r="F42" s="3"/>
      <c r="G42" s="3"/>
    </row>
    <row r="43" spans="1:7" x14ac:dyDescent="0.25">
      <c r="A43" t="s">
        <v>61</v>
      </c>
      <c r="B43" s="4">
        <f>H26/(1+E33)</f>
        <v>353548.64071543055</v>
      </c>
      <c r="C43" s="4">
        <f>I26/(1+E33)^2</f>
        <v>354779.0059242266</v>
      </c>
      <c r="D43" s="4">
        <f>J26/(1+E33)^3</f>
        <v>353520.71637750452</v>
      </c>
      <c r="E43" s="4">
        <f>K26/(1+E33)^4</f>
        <v>338613.39764341438</v>
      </c>
      <c r="F43" s="4">
        <f>L26/(1+E33)^5</f>
        <v>332265.79357488011</v>
      </c>
    </row>
    <row r="44" spans="1:7" x14ac:dyDescent="0.25">
      <c r="A44" t="s">
        <v>62</v>
      </c>
      <c r="B44" s="4">
        <f>B43+C43+D43+E43+F43</f>
        <v>1732727.5542354563</v>
      </c>
    </row>
    <row r="45" spans="1:7" x14ac:dyDescent="0.25">
      <c r="A45" t="s">
        <v>63</v>
      </c>
      <c r="B45" s="4">
        <f>B42/(1+E33)^5</f>
        <v>2685755.8230754775</v>
      </c>
    </row>
    <row r="46" spans="1:7" x14ac:dyDescent="0.25">
      <c r="A46" s="3" t="s">
        <v>64</v>
      </c>
      <c r="B46" s="7">
        <f>B44+B45</f>
        <v>4418483.3773109335</v>
      </c>
      <c r="C46" s="3"/>
      <c r="D46" s="3"/>
      <c r="E46" s="3"/>
      <c r="F46" s="3"/>
      <c r="G46" s="3"/>
    </row>
    <row r="47" spans="1:7" x14ac:dyDescent="0.25">
      <c r="A47" t="s">
        <v>65</v>
      </c>
      <c r="B47" s="4">
        <v>188998</v>
      </c>
    </row>
    <row r="48" spans="1:7" x14ac:dyDescent="0.25">
      <c r="A48" t="s">
        <v>66</v>
      </c>
      <c r="B48" s="4">
        <f>E31</f>
        <v>1588931</v>
      </c>
    </row>
    <row r="49" spans="1:8" x14ac:dyDescent="0.25">
      <c r="A49" t="s">
        <v>67</v>
      </c>
      <c r="B49" s="4">
        <f>B46+B47-B48</f>
        <v>3018550.3773109335</v>
      </c>
    </row>
    <row r="50" spans="1:8" x14ac:dyDescent="0.25">
      <c r="A50" t="s">
        <v>68</v>
      </c>
      <c r="B50">
        <v>25840</v>
      </c>
    </row>
    <row r="51" spans="1:8" x14ac:dyDescent="0.25">
      <c r="A51" s="3" t="s">
        <v>69</v>
      </c>
      <c r="B51" s="7">
        <f>B49/B50</f>
        <v>116.8169650662126</v>
      </c>
    </row>
    <row r="54" spans="1:8" x14ac:dyDescent="0.25">
      <c r="B54" s="4"/>
      <c r="C54" s="15"/>
      <c r="D54" s="13"/>
      <c r="E54" s="15"/>
      <c r="F54" s="13"/>
      <c r="G54" s="15"/>
      <c r="H5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Eisen Hy</cp:lastModifiedBy>
  <cp:revision/>
  <dcterms:created xsi:type="dcterms:W3CDTF">2026-07-04T12:58:00Z</dcterms:created>
  <dcterms:modified xsi:type="dcterms:W3CDTF">2026-09-23T05:57:06Z</dcterms:modified>
  <cp:category/>
  <cp:contentStatus/>
</cp:coreProperties>
</file>