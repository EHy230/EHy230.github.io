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senhy/Documents/"/>
    </mc:Choice>
  </mc:AlternateContent>
  <xr:revisionPtr revIDLastSave="0" documentId="13_ncr:1_{843F86C0-9D85-9146-BE39-0D32D16AB126}" xr6:coauthVersionLast="47" xr6:coauthVersionMax="47" xr10:uidLastSave="{00000000-0000-0000-0000-000000000000}"/>
  <bookViews>
    <workbookView xWindow="29400" yWindow="0" windowWidth="38400" windowHeight="21600" xr2:uid="{D8B2D076-EB50-AB49-BB47-D4C576936BE5}"/>
  </bookViews>
  <sheets>
    <sheet name="Scenario Summary" sheetId="8" r:id="rId1"/>
    <sheet name="Assumptions" sheetId="6" r:id="rId2"/>
    <sheet name="Forecast" sheetId="7" r:id="rId3"/>
    <sheet name="Actuals" sheetId="5" r:id="rId4"/>
    <sheet name="Raw Actuals" sheetId="2" r:id="rId5"/>
  </sheets>
  <definedNames>
    <definedName name="ExternalData_1" localSheetId="4" hidden="1">'Raw Actuals'!$A$1:$O$6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1" i="2"/>
  <c r="B10" i="2"/>
  <c r="C6" i="8"/>
  <c r="C9" i="8" s="1"/>
  <c r="C8" i="8" s="1"/>
  <c r="O7" i="8" s="1"/>
  <c r="C7" i="8"/>
  <c r="D11" i="8"/>
  <c r="P14" i="8" s="1"/>
  <c r="C11" i="8"/>
  <c r="O14" i="8" s="1"/>
  <c r="E11" i="8"/>
  <c r="Q14" i="8" s="1"/>
  <c r="E7" i="8"/>
  <c r="D7" i="8"/>
  <c r="E6" i="8"/>
  <c r="E9" i="8" s="1"/>
  <c r="Q13" i="8" s="1"/>
  <c r="D6" i="8"/>
  <c r="E23" i="7"/>
  <c r="F23" i="7"/>
  <c r="D23" i="7"/>
  <c r="D17" i="7"/>
  <c r="E17" i="7"/>
  <c r="F17" i="7"/>
  <c r="C8" i="7"/>
  <c r="E9" i="7"/>
  <c r="F9" i="7"/>
  <c r="D9" i="7"/>
  <c r="D8" i="7" s="1"/>
  <c r="D11" i="7" s="1"/>
  <c r="D12" i="7" s="1"/>
  <c r="B5" i="7"/>
  <c r="C20" i="7"/>
  <c r="C19" i="7"/>
  <c r="C18" i="7"/>
  <c r="C17" i="7"/>
  <c r="C16" i="7"/>
  <c r="C15" i="7"/>
  <c r="C14" i="7"/>
  <c r="C12" i="7"/>
  <c r="C11" i="7"/>
  <c r="C9" i="7"/>
  <c r="C33" i="6"/>
  <c r="C29" i="6"/>
  <c r="C30" i="6"/>
  <c r="C31" i="6"/>
  <c r="C32" i="6"/>
  <c r="C28" i="6"/>
  <c r="C23" i="6"/>
  <c r="C19" i="6"/>
  <c r="C20" i="6"/>
  <c r="C21" i="6"/>
  <c r="C22" i="6"/>
  <c r="C18" i="6"/>
  <c r="D29" i="5" a="1"/>
  <c r="D29" i="5" s="1"/>
  <c r="C13" i="6"/>
  <c r="C12" i="6"/>
  <c r="C11" i="6"/>
  <c r="C10" i="6"/>
  <c r="C9" i="6"/>
  <c r="C8" i="6"/>
  <c r="E33" i="5" a="1"/>
  <c r="E33" i="5" s="1"/>
  <c r="E34" i="5" s="1"/>
  <c r="F33" i="5" a="1"/>
  <c r="F33" i="5" s="1"/>
  <c r="F34" i="5" s="1"/>
  <c r="G33" i="5" a="1"/>
  <c r="G33" i="5" s="1"/>
  <c r="G34" i="5" s="1"/>
  <c r="H33" i="5" a="1"/>
  <c r="H33" i="5" s="1"/>
  <c r="H34" i="5" s="1"/>
  <c r="D33" i="5" a="1"/>
  <c r="D33" i="5" s="1"/>
  <c r="D34" i="5" s="1"/>
  <c r="E29" i="5" a="1"/>
  <c r="E29" i="5" s="1"/>
  <c r="F29" i="5" a="1"/>
  <c r="F29" i="5" s="1"/>
  <c r="G29" i="5" a="1"/>
  <c r="G29" i="5" s="1"/>
  <c r="H29" i="5" a="1"/>
  <c r="H29" i="5" s="1"/>
  <c r="E28" i="5" a="1"/>
  <c r="E28" i="5" s="1"/>
  <c r="F28" i="5" a="1"/>
  <c r="F28" i="5" s="1"/>
  <c r="G28" i="5" a="1"/>
  <c r="G28" i="5" s="1"/>
  <c r="H28" i="5" a="1"/>
  <c r="H28" i="5" s="1"/>
  <c r="D28" i="5" a="1"/>
  <c r="D28" i="5" s="1"/>
  <c r="E26" i="5" a="1"/>
  <c r="E26" i="5" s="1"/>
  <c r="F26" i="5" a="1"/>
  <c r="F26" i="5" s="1"/>
  <c r="G26" i="5" a="1"/>
  <c r="G26" i="5" s="1"/>
  <c r="H26" i="5" a="1"/>
  <c r="H26" i="5" s="1"/>
  <c r="D26" i="5" a="1"/>
  <c r="D26" i="5" s="1"/>
  <c r="H37" i="5"/>
  <c r="G37" i="5"/>
  <c r="F37" i="5"/>
  <c r="E37" i="5"/>
  <c r="D37" i="5"/>
  <c r="E24" i="5"/>
  <c r="F24" i="5"/>
  <c r="G24" i="5"/>
  <c r="H24" i="5"/>
  <c r="D24" i="5"/>
  <c r="E23" i="5"/>
  <c r="F23" i="5"/>
  <c r="G23" i="5"/>
  <c r="H23" i="5"/>
  <c r="D23" i="5"/>
  <c r="E22" i="5"/>
  <c r="F22" i="5"/>
  <c r="G22" i="5"/>
  <c r="H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E16" i="5"/>
  <c r="F16" i="5"/>
  <c r="G16" i="5"/>
  <c r="H16" i="5"/>
  <c r="D16" i="5"/>
  <c r="E15" i="5"/>
  <c r="F15" i="5"/>
  <c r="G15" i="5"/>
  <c r="H15" i="5"/>
  <c r="D15" i="5"/>
  <c r="E14" i="5"/>
  <c r="F14" i="5"/>
  <c r="G14" i="5"/>
  <c r="H14" i="5"/>
  <c r="D14" i="5"/>
  <c r="H13" i="5"/>
  <c r="G13" i="5"/>
  <c r="F13" i="5"/>
  <c r="E13" i="5"/>
  <c r="D13" i="5"/>
  <c r="H12" i="5"/>
  <c r="G12" i="5"/>
  <c r="F12" i="5"/>
  <c r="E12" i="5"/>
  <c r="D12" i="5"/>
  <c r="E10" i="5"/>
  <c r="F10" i="5"/>
  <c r="G10" i="5"/>
  <c r="H10" i="5"/>
  <c r="D10" i="5"/>
  <c r="F9" i="5"/>
  <c r="G9" i="5"/>
  <c r="H9" i="5"/>
  <c r="E9" i="5"/>
  <c r="E8" i="5"/>
  <c r="F8" i="5"/>
  <c r="G8" i="5"/>
  <c r="H8" i="5"/>
  <c r="D8" i="5"/>
  <c r="F6" i="5"/>
  <c r="D7" i="5"/>
  <c r="E6" i="5"/>
  <c r="F7" i="5"/>
  <c r="H7" i="5"/>
  <c r="G7" i="5"/>
  <c r="E7" i="5"/>
  <c r="H6" i="5"/>
  <c r="G6" i="5"/>
  <c r="D6" i="5"/>
  <c r="C12" i="8" l="1"/>
  <c r="O15" i="8" s="1"/>
  <c r="D12" i="8"/>
  <c r="P15" i="8" s="1"/>
  <c r="D10" i="8"/>
  <c r="P8" i="8" s="1"/>
  <c r="E12" i="8"/>
  <c r="Q15" i="8" s="1"/>
  <c r="O6" i="8"/>
  <c r="P6" i="8"/>
  <c r="O12" i="8"/>
  <c r="Q6" i="8"/>
  <c r="P12" i="8"/>
  <c r="D9" i="8"/>
  <c r="P13" i="8" s="1"/>
  <c r="E8" i="8"/>
  <c r="Q7" i="8" s="1"/>
  <c r="C10" i="8"/>
  <c r="O8" i="8" s="1"/>
  <c r="Q12" i="8"/>
  <c r="O13" i="8"/>
  <c r="E10" i="8"/>
  <c r="Q8" i="8" s="1"/>
  <c r="D22" i="7"/>
  <c r="E8" i="7"/>
  <c r="E22" i="7" s="1"/>
  <c r="D14" i="7"/>
  <c r="F8" i="7"/>
  <c r="F22" i="7" s="1"/>
  <c r="E14" i="7"/>
  <c r="D16" i="7"/>
  <c r="D15" i="7"/>
  <c r="E30" i="5"/>
  <c r="E31" i="5" s="1"/>
  <c r="E35" i="5" s="1"/>
  <c r="F30" i="5"/>
  <c r="F31" i="5" s="1"/>
  <c r="F35" i="5" s="1"/>
  <c r="G30" i="5"/>
  <c r="G31" i="5" s="1"/>
  <c r="G35" i="5" s="1"/>
  <c r="D30" i="5"/>
  <c r="D31" i="5" s="1"/>
  <c r="H30" i="5"/>
  <c r="H31" i="5" l="1"/>
  <c r="C23" i="7" s="1"/>
  <c r="C22" i="7"/>
  <c r="D8" i="8"/>
  <c r="P7" i="8" s="1"/>
  <c r="E16" i="7"/>
  <c r="E11" i="7"/>
  <c r="E12" i="7" s="1"/>
  <c r="E15" i="7"/>
  <c r="F11" i="7"/>
  <c r="F14" i="7"/>
  <c r="F16" i="7"/>
  <c r="F15" i="7"/>
  <c r="H35" i="5"/>
  <c r="C24" i="7" s="1"/>
  <c r="C14" i="6"/>
  <c r="C24" i="6" l="1"/>
  <c r="C34" i="6"/>
  <c r="D24" i="7"/>
  <c r="D18" i="7"/>
  <c r="D19" i="7" s="1"/>
  <c r="D20" i="7" s="1"/>
  <c r="E24" i="7" l="1"/>
  <c r="E18" i="7" l="1"/>
  <c r="E19" i="7" s="1"/>
  <c r="E20" i="7" s="1"/>
  <c r="F24" i="7"/>
  <c r="F12" i="7" l="1"/>
  <c r="F18" i="7"/>
  <c r="F19" i="7" s="1"/>
  <c r="F2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515E3-2237-AA4B-AA3C-7D7862BDD753}" keepAlive="1" name="Query - salesforce_actuals" description="Connection to the 'salesforce_actuals' query in the workbook." type="5" refreshedVersion="8" background="1" saveData="1">
    <dbPr connection="Provider=Microsoft.Mashup.OleDb.1;Data Source=$Workbook$;Location=salesforce_actuals;Extended Properties=&quot;&quot;" command="SELECT * FROM [salesforce_actu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<sst xmlns="http://schemas.openxmlformats.org/spreadsheetml/2006/main" count="168" uniqueCount="102">
  <si>
    <t>Fiscal Year Ended</t>
  </si>
  <si>
    <t>Fiscal Year</t>
  </si>
  <si>
    <t>Subscription Revenue</t>
  </si>
  <si>
    <t>Professional Services Revenue</t>
  </si>
  <si>
    <t>Subscription Cost</t>
  </si>
  <si>
    <t>Professional Services Cost</t>
  </si>
  <si>
    <t>Research &amp; Development</t>
  </si>
  <si>
    <t>Sales &amp; Marketing</t>
  </si>
  <si>
    <t>General &amp; Administrative</t>
  </si>
  <si>
    <t>Restructuring</t>
  </si>
  <si>
    <t>Reported Operating Income</t>
  </si>
  <si>
    <t>Net Income</t>
  </si>
  <si>
    <t>Operating Cash Flow</t>
  </si>
  <si>
    <t>Capital Expenditures</t>
  </si>
  <si>
    <t>Stock-Based Compensation</t>
  </si>
  <si>
    <t>Fiscal years ended January 31; USD Millions</t>
  </si>
  <si>
    <t>Metric</t>
  </si>
  <si>
    <t>Subscription revenue</t>
  </si>
  <si>
    <t>Professional services revenue</t>
  </si>
  <si>
    <t>Total revenue</t>
  </si>
  <si>
    <t>Revenue growth</t>
  </si>
  <si>
    <t>Subscription mix</t>
  </si>
  <si>
    <t>Subscription cost</t>
  </si>
  <si>
    <t>Professional services cost</t>
  </si>
  <si>
    <t>Total cost of revenue</t>
  </si>
  <si>
    <t>Gross profit</t>
  </si>
  <si>
    <t>Gross margin</t>
  </si>
  <si>
    <t>(no prev yr)</t>
  </si>
  <si>
    <t>Research &amp; development</t>
  </si>
  <si>
    <t>Sales &amp; marketing</t>
  </si>
  <si>
    <t>General &amp; administrative</t>
  </si>
  <si>
    <t>Total operating expenses</t>
  </si>
  <si>
    <t>Operating income</t>
  </si>
  <si>
    <t>Operating margin</t>
  </si>
  <si>
    <t>Operating income check</t>
  </si>
  <si>
    <t>Net income</t>
  </si>
  <si>
    <t>Operating cash flow</t>
  </si>
  <si>
    <t>Capital expenditures</t>
  </si>
  <si>
    <t>Free cash flow</t>
  </si>
  <si>
    <t>Free cash flow margin</t>
  </si>
  <si>
    <t>Stock-based compensation</t>
  </si>
  <si>
    <t>Stock-based compensation as % of revenue</t>
  </si>
  <si>
    <t>Rule of 40</t>
  </si>
  <si>
    <t>Salesforce Forecast Assumptions</t>
  </si>
  <si>
    <t>USD millions except percentages</t>
  </si>
  <si>
    <t>Driver</t>
  </si>
  <si>
    <t>FY26A</t>
  </si>
  <si>
    <t>FY27E</t>
  </si>
  <si>
    <t>FY28E</t>
  </si>
  <si>
    <t>FY29E</t>
  </si>
  <si>
    <t>Base case</t>
  </si>
  <si>
    <t>R&amp;D as % of revenue</t>
  </si>
  <si>
    <t>Sales &amp; marketing as % of revenue</t>
  </si>
  <si>
    <t>G&amp;A as % of revenue</t>
  </si>
  <si>
    <t>Restructuring expense</t>
  </si>
  <si>
    <t>Scenario logic</t>
  </si>
  <si>
    <t>Recent growth continues with gradual margin expansion</t>
  </si>
  <si>
    <t>Stronger demand and faster operating leverage</t>
  </si>
  <si>
    <t>Slower demand, margin pressure, and additional restructuring</t>
  </si>
  <si>
    <t>Upside Case</t>
  </si>
  <si>
    <t>Downside Case</t>
  </si>
  <si>
    <t>Salesforce Financial Forecast</t>
  </si>
  <si>
    <t>Revenue</t>
  </si>
  <si>
    <t>Selected Scenario</t>
  </si>
  <si>
    <t>Base</t>
  </si>
  <si>
    <t>Upside</t>
  </si>
  <si>
    <t>Downside</t>
  </si>
  <si>
    <t>Salesforce Scenario Comparison</t>
  </si>
  <si>
    <t>FY29 estimated outcomes; USD millions except percentages</t>
  </si>
  <si>
    <t>Management takeaways</t>
  </si>
  <si>
    <t>Downside risk</t>
  </si>
  <si>
    <t>Upside potential</t>
  </si>
  <si>
    <t>Management focus</t>
  </si>
  <si>
    <t>Revenue reaches $53.3B with a 26.6% operating margin, a 37.5% free cash flow margin, and a 45.5% Rule of 40 result.</t>
  </si>
  <si>
    <t>Revenue growth slows to 3.0%, operating margin falls to 15.9%, and the Rule of 40 declines to 31.0%.</t>
  </si>
  <si>
    <t>Revenue reaches $56.8B with a 29.8% operating margin and a 51.0% Rule of 40 result.</t>
  </si>
  <si>
    <t>Protect sales efficiency and adjust operating expenses early if revenue growth begins moving toward the downside case.</t>
  </si>
  <si>
    <t>Source documentation</t>
  </si>
  <si>
    <t>FY26 Form 10-K</t>
  </si>
  <si>
    <t>FY24 Form 10-K</t>
  </si>
  <si>
    <t>SEC Companyfacts</t>
  </si>
  <si>
    <t>Metric definitions and methodology</t>
  </si>
  <si>
    <t>Operating cash flow less capital expenditures</t>
  </si>
  <si>
    <t>Free cash flow divided by total revenue</t>
  </si>
  <si>
    <t>Revenue growth plus free cash flow margin</t>
  </si>
  <si>
    <t>Forecast approach</t>
  </si>
  <si>
    <t>Base, upside, and downside assumptions are anchored to historical trends and are not Salesforce management guidance</t>
  </si>
  <si>
    <t>Units and period</t>
  </si>
  <si>
    <t>USD millions except percentages; fiscal years end January 31</t>
  </si>
  <si>
    <t xml:space="preserve">Selected Scenario; USD millions except percentages </t>
  </si>
  <si>
    <t>Model limitation</t>
  </si>
  <si>
    <t>Free cash flow is estimated using a scenario-level free cash flow margin applied to revenue. The model does not separately forecast operating cash flow or capital expenditures.</t>
  </si>
  <si>
    <t>Salesforce Historical Operating Performance</t>
  </si>
  <si>
    <t>FY22A</t>
  </si>
  <si>
    <t>FY23A</t>
  </si>
  <si>
    <t>FY24A</t>
  </si>
  <si>
    <t>FY25A</t>
  </si>
  <si>
    <t>FY22</t>
  </si>
  <si>
    <t>FY23</t>
  </si>
  <si>
    <t>FY24</t>
  </si>
  <si>
    <t>FY25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</si>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</sst>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m/d/yy;@"/>
    <numFmt numFmtId="165" formatCode="0.0%"/>
    <numFmt numFmtId="166" formatCode="0_);[Red]\(0\)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 (Body)"/>
    </font>
    <font>
      <i/>
      <sz val="12"/>
      <color theme="1"/>
      <name val="Aptos Narrow"/>
      <scheme val="minor"/>
    </font>
    <font>
      <i/>
      <sz val="12"/>
      <color theme="1" tint="0.499984740745262"/>
      <name val="Aptos Narrow (Body)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0"/>
      <color theme="1"/>
      <name val="Arial Unicode MS"/>
      <family val="2"/>
    </font>
    <font>
      <sz val="12"/>
      <color theme="9"/>
      <name val="Aptos Narrow"/>
      <family val="2"/>
      <scheme val="minor"/>
    </font>
    <font>
      <sz val="10"/>
      <color theme="9"/>
      <name val="Arial Unicode MS"/>
      <family val="2"/>
    </font>
    <font>
      <b/>
      <sz val="12"/>
      <color theme="9"/>
      <name val="Aptos Narrow"/>
      <scheme val="minor"/>
    </font>
    <font>
      <sz val="12"/>
      <color theme="7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9"/>
      <name val="Aptos Narrow"/>
      <family val="2"/>
      <scheme val="minor"/>
    </font>
    <font>
      <b/>
      <sz val="10"/>
      <color theme="9"/>
      <name val="Arial Unicode MS"/>
      <family val="2"/>
    </font>
    <font>
      <b/>
      <sz val="10"/>
      <color theme="1"/>
      <name val="Arial Unicode MS"/>
      <family val="2"/>
    </font>
    <font>
      <sz val="12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theme="3"/>
      <name val="Aptos Narrow (Body)"/>
    </font>
    <font>
      <i/>
      <sz val="12"/>
      <color theme="1" tint="0.1499984740745262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FF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5">
    <xf numFmtId="0" fontId="0" fillId="0" borderId="0" xfId="0"/>
    <xf numFmtId="38" fontId="0" fillId="0" borderId="0" xfId="0" applyNumberFormat="1"/>
    <xf numFmtId="0" fontId="2" fillId="0" borderId="0" xfId="0" applyFont="1"/>
    <xf numFmtId="38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38" fontId="3" fillId="0" borderId="0" xfId="0" applyNumberFormat="1" applyFont="1"/>
    <xf numFmtId="14" fontId="3" fillId="0" borderId="0" xfId="0" applyNumberFormat="1" applyFont="1"/>
    <xf numFmtId="0" fontId="6" fillId="0" borderId="0" xfId="0" applyFont="1"/>
    <xf numFmtId="38" fontId="9" fillId="0" borderId="0" xfId="0" applyNumberFormat="1" applyFont="1"/>
    <xf numFmtId="0" fontId="2" fillId="0" borderId="1" xfId="0" applyFont="1" applyBorder="1"/>
    <xf numFmtId="38" fontId="2" fillId="0" borderId="1" xfId="0" applyNumberFormat="1" applyFont="1" applyBorder="1"/>
    <xf numFmtId="165" fontId="0" fillId="0" borderId="0" xfId="0" applyNumberFormat="1"/>
    <xf numFmtId="38" fontId="10" fillId="0" borderId="0" xfId="0" applyNumberFormat="1" applyFont="1"/>
    <xf numFmtId="38" fontId="11" fillId="0" borderId="0" xfId="0" applyNumberFormat="1" applyFont="1"/>
    <xf numFmtId="165" fontId="5" fillId="0" borderId="0" xfId="0" applyNumberFormat="1" applyFont="1"/>
    <xf numFmtId="0" fontId="7" fillId="3" borderId="0" xfId="0" applyFont="1" applyFill="1" applyAlignment="1">
      <alignment horizontal="center"/>
    </xf>
    <xf numFmtId="165" fontId="5" fillId="0" borderId="0" xfId="0" applyNumberFormat="1" applyFont="1" applyAlignment="1">
      <alignment horizontal="right"/>
    </xf>
    <xf numFmtId="40" fontId="0" fillId="0" borderId="0" xfId="0" applyNumberFormat="1"/>
    <xf numFmtId="0" fontId="10" fillId="0" borderId="0" xfId="0" applyFont="1"/>
    <xf numFmtId="38" fontId="12" fillId="0" borderId="0" xfId="0" applyNumberFormat="1" applyFont="1"/>
    <xf numFmtId="165" fontId="2" fillId="0" borderId="1" xfId="0" applyNumberFormat="1" applyFont="1" applyBorder="1"/>
    <xf numFmtId="165" fontId="10" fillId="0" borderId="0" xfId="0" applyNumberFormat="1" applyFont="1"/>
    <xf numFmtId="165" fontId="11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38" fontId="13" fillId="0" borderId="0" xfId="0" applyNumberFormat="1" applyFont="1"/>
    <xf numFmtId="166" fontId="10" fillId="0" borderId="0" xfId="0" applyNumberFormat="1" applyFont="1"/>
    <xf numFmtId="0" fontId="7" fillId="2" borderId="0" xfId="0" applyFont="1" applyFill="1"/>
    <xf numFmtId="0" fontId="8" fillId="2" borderId="0" xfId="0" applyFont="1" applyFill="1"/>
    <xf numFmtId="0" fontId="8" fillId="0" borderId="0" xfId="0" applyFont="1"/>
    <xf numFmtId="0" fontId="14" fillId="0" borderId="0" xfId="0" applyFont="1"/>
    <xf numFmtId="0" fontId="2" fillId="4" borderId="0" xfId="0" applyFont="1" applyFill="1"/>
    <xf numFmtId="0" fontId="1" fillId="0" borderId="0" xfId="0" applyFont="1"/>
    <xf numFmtId="38" fontId="15" fillId="0" borderId="0" xfId="0" applyNumberFormat="1" applyFont="1"/>
    <xf numFmtId="38" fontId="16" fillId="0" borderId="0" xfId="0" applyNumberFormat="1" applyFont="1"/>
    <xf numFmtId="0" fontId="1" fillId="0" borderId="1" xfId="0" applyFont="1" applyBorder="1"/>
    <xf numFmtId="38" fontId="15" fillId="0" borderId="1" xfId="0" applyNumberFormat="1" applyFont="1" applyBorder="1"/>
    <xf numFmtId="165" fontId="15" fillId="0" borderId="1" xfId="0" applyNumberFormat="1" applyFont="1" applyBorder="1"/>
    <xf numFmtId="38" fontId="17" fillId="0" borderId="0" xfId="0" applyNumberFormat="1" applyFont="1"/>
    <xf numFmtId="38" fontId="1" fillId="0" borderId="0" xfId="0" applyNumberFormat="1" applyFont="1"/>
    <xf numFmtId="38" fontId="1" fillId="0" borderId="1" xfId="0" applyNumberFormat="1" applyFont="1" applyBorder="1"/>
    <xf numFmtId="165" fontId="1" fillId="0" borderId="1" xfId="0" applyNumberFormat="1" applyFont="1" applyBorder="1"/>
    <xf numFmtId="0" fontId="11" fillId="0" borderId="0" xfId="0" applyFont="1"/>
    <xf numFmtId="0" fontId="18" fillId="5" borderId="0" xfId="0" applyFont="1" applyFill="1"/>
    <xf numFmtId="0" fontId="2" fillId="2" borderId="0" xfId="0" applyFont="1" applyFill="1"/>
    <xf numFmtId="0" fontId="19" fillId="0" borderId="0" xfId="1"/>
    <xf numFmtId="0" fontId="7" fillId="2" borderId="3" xfId="0" applyFont="1" applyFill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0" fillId="0" borderId="0" xfId="0" applyFont="1"/>
    <xf numFmtId="0" fontId="21" fillId="0" borderId="0" xfId="0" applyFont="1"/>
    <xf numFmtId="0" fontId="2" fillId="4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0" fillId="0" borderId="2" xfId="0" applyBorder="1"/>
    <xf numFmtId="165" fontId="0" fillId="0" borderId="2" xfId="0" applyNumberFormat="1" applyBorder="1"/>
    <xf numFmtId="165" fontId="9" fillId="0" borderId="2" xfId="0" applyNumberFormat="1" applyFont="1" applyBorder="1"/>
    <xf numFmtId="0" fontId="0" fillId="6" borderId="2" xfId="0" applyFill="1" applyBorder="1"/>
    <xf numFmtId="0" fontId="0" fillId="4" borderId="2" xfId="0" applyFill="1" applyBorder="1"/>
    <xf numFmtId="0" fontId="0" fillId="7" borderId="2" xfId="0" applyFill="1" applyBorder="1"/>
    <xf numFmtId="0" fontId="1" fillId="0" borderId="2" xfId="0" applyFont="1" applyBorder="1"/>
    <xf numFmtId="38" fontId="1" fillId="0" borderId="2" xfId="0" applyNumberFormat="1" applyFont="1" applyBorder="1"/>
    <xf numFmtId="165" fontId="10" fillId="0" borderId="2" xfId="0" applyNumberFormat="1" applyFont="1" applyBorder="1"/>
    <xf numFmtId="38" fontId="17" fillId="0" borderId="2" xfId="0" applyNumberFormat="1" applyFont="1" applyBorder="1"/>
    <xf numFmtId="165" fontId="1" fillId="0" borderId="2" xfId="0" applyNumberFormat="1" applyFont="1" applyBorder="1"/>
    <xf numFmtId="0" fontId="2" fillId="8" borderId="2" xfId="0" applyFont="1" applyFill="1" applyBorder="1"/>
    <xf numFmtId="0" fontId="2" fillId="8" borderId="4" xfId="0" applyFont="1" applyFill="1" applyBorder="1"/>
    <xf numFmtId="6" fontId="0" fillId="0" borderId="2" xfId="0" applyNumberFormat="1" applyBorder="1"/>
    <xf numFmtId="6" fontId="9" fillId="0" borderId="2" xfId="0" applyNumberFormat="1" applyFont="1" applyBorder="1"/>
    <xf numFmtId="165" fontId="5" fillId="0" borderId="1" xfId="0" applyNumberFormat="1" applyFont="1" applyBorder="1" applyAlignment="1">
      <alignment horizontal="right"/>
    </xf>
    <xf numFmtId="0" fontId="0" fillId="0" borderId="2" xfId="0" applyBorder="1" applyAlignment="1">
      <alignment horizontal="left" vertical="center" wrapText="1"/>
    </xf>
    <xf numFmtId="0" fontId="4" fillId="0" borderId="0" xfId="0" applyFont="1" applyAlignment="1"/>
    <xf numFmtId="0" fontId="0" fillId="0" borderId="0" xfId="0" applyFont="1"/>
    <xf numFmtId="0" fontId="2" fillId="9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7"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6" formatCode="#,##0_);[Red]\(#,##0\)"/>
    </dxf>
    <dxf>
      <font>
        <b val="0"/>
      </font>
      <numFmt numFmtId="0" formatCode="General"/>
    </dxf>
    <dxf>
      <font>
        <b val="0"/>
      </font>
      <numFmt numFmtId="19" formatCode="m/d/yy"/>
    </dxf>
    <dxf>
      <font>
        <b val="0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F7FF99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FY29 Financial Outcomes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Summary'!$O$5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Summary'!$N$6:$N$8</c:f>
              <c:strCache>
                <c:ptCount val="3"/>
                <c:pt idx="0">
                  <c:v>Revenue</c:v>
                </c:pt>
                <c:pt idx="1">
                  <c:v>Operating income</c:v>
                </c:pt>
                <c:pt idx="2">
                  <c:v>Free cash flow</c:v>
                </c:pt>
              </c:strCache>
            </c:strRef>
          </c:cat>
          <c:val>
            <c:numRef>
              <c:f>'Scenario Summary'!$O$6:$O$8</c:f>
              <c:numCache>
                <c:formatCode>"$"#,##0_);[Red]\("$"#,##0\)</c:formatCode>
                <c:ptCount val="3"/>
                <c:pt idx="0">
                  <c:v>46705.659000000007</c:v>
                </c:pt>
                <c:pt idx="1">
                  <c:v>7406.4337349999996</c:v>
                </c:pt>
                <c:pt idx="2">
                  <c:v>13077.584520000004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4-E24C-85B0-F10F5500D29B}"/>
            </c:ext>
          </c:extLst>
        </c:ser>
        <c:ser>
          <c:idx val="1"/>
          <c:order val="1"/>
          <c:tx>
            <c:strRef>
              <c:f>'Scenario Summary'!$P$5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Summary'!$N$6:$N$8</c:f>
              <c:strCache>
                <c:ptCount val="3"/>
                <c:pt idx="0">
                  <c:v>Revenue</c:v>
                </c:pt>
                <c:pt idx="1">
                  <c:v>Operating income</c:v>
                </c:pt>
                <c:pt idx="2">
                  <c:v>Free cash flow</c:v>
                </c:pt>
              </c:strCache>
            </c:strRef>
          </c:cat>
          <c:val>
            <c:numRef>
              <c:f>'Scenario Summary'!$P$6:$P$8</c:f>
              <c:numCache>
                <c:formatCode>"$"#,##0_);[Red]\("$"#,##0\)</c:formatCode>
                <c:ptCount val="3"/>
                <c:pt idx="0">
                  <c:v>53282.720700000005</c:v>
                </c:pt>
                <c:pt idx="1">
                  <c:v>14173.203706200002</c:v>
                </c:pt>
                <c:pt idx="2">
                  <c:v>19981.020262500002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4-E24C-85B0-F10F5500D29B}"/>
            </c:ext>
          </c:extLst>
        </c:ser>
        <c:ser>
          <c:idx val="2"/>
          <c:order val="2"/>
          <c:tx>
            <c:strRef>
              <c:f>'Scenario Summary'!$Q$5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'Scenario Summary'!$N$6:$N$8</c:f>
              <c:strCache>
                <c:ptCount val="3"/>
                <c:pt idx="0">
                  <c:v>Revenue</c:v>
                </c:pt>
                <c:pt idx="1">
                  <c:v>Operating income</c:v>
                </c:pt>
                <c:pt idx="2">
                  <c:v>Free cash flow</c:v>
                </c:pt>
              </c:strCache>
            </c:strRef>
          </c:cat>
          <c:val>
            <c:numRef>
              <c:f>'Scenario Summary'!$Q$6:$Q$8</c:f>
              <c:numCache>
                <c:formatCode>"$"#,##0_);[Red]\("$"#,##0\)</c:formatCode>
                <c:ptCount val="3"/>
                <c:pt idx="0">
                  <c:v>56786.268000000018</c:v>
                </c:pt>
                <c:pt idx="1">
                  <c:v>16922.307864000009</c:v>
                </c:pt>
                <c:pt idx="2">
                  <c:v>23282.369880000006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4-E24C-85B0-F10F5500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395839"/>
        <c:axId val="2112393151"/>
      </c:barChart>
      <c:catAx>
        <c:axId val="211239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3151"/>
        <c:crosses val="autoZero"/>
        <c:auto val="1"/>
        <c:lblAlgn val="ctr"/>
        <c:lblOffset val="100"/>
        <c:noMultiLvlLbl val="0"/>
      </c:catAx>
      <c:valAx>
        <c:axId val="211239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FY29 Growth and Margin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Summary'!$O$11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46-FE44-8D30-6B476392C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Summary'!$N$12:$N$15</c:f>
              <c:strCache>
                <c:ptCount val="4"/>
                <c:pt idx="0">
                  <c:v>Revenue growth</c:v>
                </c:pt>
                <c:pt idx="1">
                  <c:v>Operating margin</c:v>
                </c:pt>
                <c:pt idx="2">
                  <c:v>Free cash flow margin</c:v>
                </c:pt>
                <c:pt idx="3">
                  <c:v>Rule of 40</c:v>
                </c:pt>
              </c:strCache>
            </c:strRef>
          </c:cat>
          <c:val>
            <c:numRef>
              <c:f>'Scenario Summary'!$O$12:$O$15</c:f>
              <c:numCache>
                <c:formatCode>0.0%</c:formatCode>
                <c:ptCount val="4"/>
                <c:pt idx="0">
                  <c:v>0.03</c:v>
                </c:pt>
                <c:pt idx="1">
                  <c:v>0.15857679547996525</c:v>
                </c:pt>
                <c:pt idx="2">
                  <c:v>0.28000000000000003</c:v>
                </c:pt>
                <c:pt idx="3">
                  <c:v>0.31000000000000005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6-FE44-8D30-6B476392CF00}"/>
            </c:ext>
          </c:extLst>
        </c:ser>
        <c:ser>
          <c:idx val="1"/>
          <c:order val="1"/>
          <c:tx>
            <c:strRef>
              <c:f>'Scenario Summary'!$P$11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Summary'!$N$12:$N$15</c:f>
              <c:strCache>
                <c:ptCount val="4"/>
                <c:pt idx="0">
                  <c:v>Revenue growth</c:v>
                </c:pt>
                <c:pt idx="1">
                  <c:v>Operating margin</c:v>
                </c:pt>
                <c:pt idx="2">
                  <c:v>Free cash flow margin</c:v>
                </c:pt>
                <c:pt idx="3">
                  <c:v>Rule of 40</c:v>
                </c:pt>
              </c:strCache>
            </c:strRef>
          </c:cat>
          <c:val>
            <c:numRef>
              <c:f>'Scenario Summary'!$P$12:$P$15</c:f>
              <c:numCache>
                <c:formatCode>0.0%</c:formatCode>
                <c:ptCount val="4"/>
                <c:pt idx="0">
                  <c:v>0.08</c:v>
                </c:pt>
                <c:pt idx="1">
                  <c:v>0.26600000000000001</c:v>
                </c:pt>
                <c:pt idx="2">
                  <c:v>0.375</c:v>
                </c:pt>
                <c:pt idx="3">
                  <c:v>0.45500000000000002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6-FE44-8D30-6B476392CF00}"/>
            </c:ext>
          </c:extLst>
        </c:ser>
        <c:ser>
          <c:idx val="2"/>
          <c:order val="2"/>
          <c:tx>
            <c:strRef>
              <c:f>'Scenario Summary'!$Q$11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Summary'!$N$12:$N$15</c:f>
              <c:strCache>
                <c:ptCount val="4"/>
                <c:pt idx="0">
                  <c:v>Revenue growth</c:v>
                </c:pt>
                <c:pt idx="1">
                  <c:v>Operating margin</c:v>
                </c:pt>
                <c:pt idx="2">
                  <c:v>Free cash flow margin</c:v>
                </c:pt>
                <c:pt idx="3">
                  <c:v>Rule of 40</c:v>
                </c:pt>
              </c:strCache>
            </c:strRef>
          </c:cat>
          <c:val>
            <c:numRef>
              <c:f>'Scenario Summary'!$Q$12:$Q$15</c:f>
              <c:numCache>
                <c:formatCode>0.0%</c:formatCode>
                <c:ptCount val="4"/>
                <c:pt idx="0">
                  <c:v>0.1</c:v>
                </c:pt>
                <c:pt idx="1">
                  <c:v>0.29800000000000004</c:v>
                </c:pt>
                <c:pt idx="2">
                  <c:v>0.41</c:v>
                </c:pt>
                <c:pt idx="3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6-FE44-8D30-6B476392CF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335743"/>
        <c:axId val="2094346943"/>
      </c:barChart>
      <c:catAx>
        <c:axId val="209433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46943"/>
        <c:crosses val="autoZero"/>
        <c:auto val="1"/>
        <c:lblAlgn val="ctr"/>
        <c:lblOffset val="100"/>
        <c:noMultiLvlLbl val="0"/>
      </c:catAx>
      <c:valAx>
        <c:axId val="20943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3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15</xdr:row>
      <xdr:rowOff>152400</xdr:rowOff>
    </xdr:from>
    <xdr:to>
      <xdr:col>3</xdr:col>
      <xdr:colOff>355600</xdr:colOff>
      <xdr:row>30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B018A-10CF-EEE8-A707-9DF19FD63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1073150</xdr:colOff>
      <xdr:row>15</xdr:row>
      <xdr:rowOff>152400</xdr:rowOff>
    </xdr:from>
    <xdr:to>
      <xdr:col>8</xdr:col>
      <xdr:colOff>381000</xdr:colOff>
      <xdr:row>30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7930E8-38DF-977F-C0AB-3EE6867DE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8734C-8130-0E4E-BAE1-8D47577D3B94}" autoFormatId="16" applyNumberFormats="0" applyBorderFormats="0" applyFontFormats="0" applyPatternFormats="0" applyAlignmentFormats="0" applyWidthHeightFormats="0">
  <queryTableRefresh nextId="16">
    <queryTableFields count="15">
      <queryTableField id="1" name="Fiscal Year Ended" tableColumnId="1"/>
      <queryTableField id="2" name="Fiscal Year" tableColumnId="2"/>
      <queryTableField id="3" name="Subscription Revenue" tableColumnId="3"/>
      <queryTableField id="4" name="Professional Services Revenue" tableColumnId="4"/>
      <queryTableField id="5" name="Subscription Cost" tableColumnId="5"/>
      <queryTableField id="6" name="Professional Services Cost" tableColumnId="6"/>
      <queryTableField id="7" name="Research &amp; Development" tableColumnId="7"/>
      <queryTableField id="8" name="Sales &amp; Marketing" tableColumnId="8"/>
      <queryTableField id="9" name="General &amp; Administrative" tableColumnId="9"/>
      <queryTableField id="10" name="Restructuring" tableColumnId="10"/>
      <queryTableField id="11" name="Reported Operating Income" tableColumnId="11"/>
      <queryTableField id="12" name="Net Income" tableColumnId="12"/>
      <queryTableField id="13" name="Operating Cash Flow" tableColumnId="13"/>
      <queryTableField id="14" name="Capital Expenditures" tableColumnId="14"/>
      <queryTableField id="15" name="Stock-Based Compensat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B8B0D-34F0-8841-ABE0-5138235A84E6}" name="Raw_actuals" displayName="Raw_actuals" ref="A1:O6" tableType="queryTable" totalsRowShown="0" headerRowDxfId="16" dataDxfId="15">
  <autoFilter ref="A1:O6" xr:uid="{7CDB8B0D-34F0-8841-ABE0-5138235A84E6}"/>
  <tableColumns count="15">
    <tableColumn id="1" xr3:uid="{27C0C636-134D-FB4D-96FD-775D1C5403A8}" uniqueName="1" name="Fiscal Year Ended" queryTableFieldId="1" dataDxfId="14"/>
    <tableColumn id="2" xr3:uid="{F95A4180-5FDC-C84B-9A4A-044A7EC4DB4F}" uniqueName="2" name="Fiscal Year" queryTableFieldId="2" dataDxfId="13"/>
    <tableColumn id="3" xr3:uid="{BBF65A07-EF8C-9A4A-9BE9-05BE8420532A}" uniqueName="3" name="Subscription Revenue" queryTableFieldId="3" dataDxfId="12"/>
    <tableColumn id="4" xr3:uid="{D50C8C36-1C14-BA43-AD2C-4844DC90EEBB}" uniqueName="4" name="Professional Services Revenue" queryTableFieldId="4" dataDxfId="11"/>
    <tableColumn id="5" xr3:uid="{B285AD3D-F696-1848-8A4B-FA37A98400DB}" uniqueName="5" name="Subscription Cost" queryTableFieldId="5" dataDxfId="10"/>
    <tableColumn id="6" xr3:uid="{748810A9-E306-974C-AA48-44B9A9EB6504}" uniqueName="6" name="Professional Services Cost" queryTableFieldId="6" dataDxfId="9"/>
    <tableColumn id="7" xr3:uid="{749AE340-A54E-344B-BDB7-31C4C03FAB28}" uniqueName="7" name="Research &amp; Development" queryTableFieldId="7" dataDxfId="8"/>
    <tableColumn id="8" xr3:uid="{52D63B4B-8306-8541-BC74-5C3732CB7DA8}" uniqueName="8" name="Sales &amp; Marketing" queryTableFieldId="8" dataDxfId="7"/>
    <tableColumn id="9" xr3:uid="{68E9160B-0E95-304A-A0AA-961BB1BDD27B}" uniqueName="9" name="General &amp; Administrative" queryTableFieldId="9" dataDxfId="6"/>
    <tableColumn id="10" xr3:uid="{B8589D6C-0FA7-614E-B3F8-8948C19A58B8}" uniqueName="10" name="Restructuring" queryTableFieldId="10" dataDxfId="5"/>
    <tableColumn id="11" xr3:uid="{AE105566-4A8E-A545-9434-DB00D964DD15}" uniqueName="11" name="Reported Operating Income" queryTableFieldId="11" dataDxfId="4"/>
    <tableColumn id="12" xr3:uid="{2FC6C7F0-8C91-6D47-B53A-5DCEC8157AE0}" uniqueName="12" name="Net Income" queryTableFieldId="12" dataDxfId="3"/>
    <tableColumn id="13" xr3:uid="{15DF793E-3B69-634F-972F-4D8A859D2235}" uniqueName="13" name="Operating Cash Flow" queryTableFieldId="13" dataDxfId="2"/>
    <tableColumn id="14" xr3:uid="{A1EC1B1D-C456-2D4B-86EA-6281A9C252E1}" uniqueName="14" name="Capital Expenditures" queryTableFieldId="14" dataDxfId="1"/>
    <tableColumn id="15" xr3:uid="{D55D512E-CFFF-0149-8985-8326C2BE7C00}" uniqueName="15" name="Stock-Based Compensation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7022-712F-D14C-95CF-82AFE67B42AA}">
  <sheetPr>
    <tabColor theme="3"/>
  </sheetPr>
  <dimension ref="B2:Q38"/>
  <sheetViews>
    <sheetView showGridLines="0" tabSelected="1" zoomScaleNormal="100" workbookViewId="0">
      <selection activeCell="N35" sqref="N35"/>
    </sheetView>
  </sheetViews>
  <sheetFormatPr baseColWidth="10" defaultRowHeight="16" x14ac:dyDescent="0.2"/>
  <cols>
    <col min="2" max="2" width="49" customWidth="1"/>
    <col min="3" max="3" width="18.6640625" customWidth="1"/>
    <col min="4" max="4" width="16.1640625" customWidth="1"/>
    <col min="5" max="5" width="17.1640625" customWidth="1"/>
    <col min="7" max="7" width="18.5" customWidth="1"/>
    <col min="8" max="8" width="16" customWidth="1"/>
    <col min="9" max="9" width="14.6640625" customWidth="1"/>
    <col min="10" max="10" width="12.5" customWidth="1"/>
    <col min="13" max="13" width="5.83203125" customWidth="1"/>
    <col min="14" max="14" width="17.5" customWidth="1"/>
  </cols>
  <sheetData>
    <row r="2" spans="2:17" ht="22" x14ac:dyDescent="0.3">
      <c r="B2" s="50" t="s">
        <v>67</v>
      </c>
    </row>
    <row r="3" spans="2:17" x14ac:dyDescent="0.2">
      <c r="B3" s="51" t="s">
        <v>68</v>
      </c>
    </row>
    <row r="5" spans="2:17" x14ac:dyDescent="0.2">
      <c r="B5" s="55" t="s">
        <v>16</v>
      </c>
      <c r="C5" s="58" t="s">
        <v>66</v>
      </c>
      <c r="D5" s="59" t="s">
        <v>64</v>
      </c>
      <c r="E5" s="60" t="s">
        <v>65</v>
      </c>
      <c r="N5" s="66" t="s">
        <v>16</v>
      </c>
      <c r="O5" s="66" t="s">
        <v>66</v>
      </c>
      <c r="P5" s="66" t="s">
        <v>64</v>
      </c>
      <c r="Q5" s="66" t="s">
        <v>65</v>
      </c>
    </row>
    <row r="6" spans="2:17" x14ac:dyDescent="0.2">
      <c r="B6" s="61" t="s">
        <v>62</v>
      </c>
      <c r="C6" s="62">
        <f>Actuals!H8*(1+Assumptions!D28)*(1+Assumptions!E28)*(1+Assumptions!F28)</f>
        <v>46705.659000000007</v>
      </c>
      <c r="D6" s="62">
        <f>Actuals!H8*(1+Assumptions!D8)*(1+Assumptions!E8)*(1+Assumptions!F8)</f>
        <v>53282.720700000005</v>
      </c>
      <c r="E6" s="62">
        <f>Actuals!H8*(1+Assumptions!D18)*(1+Assumptions!E18)*(1+Assumptions!F18)</f>
        <v>56786.268000000018</v>
      </c>
      <c r="N6" s="55" t="s">
        <v>62</v>
      </c>
      <c r="O6" s="68">
        <f>C6</f>
        <v>46705.659000000007</v>
      </c>
      <c r="P6" s="68">
        <f>D6</f>
        <v>53282.720700000005</v>
      </c>
      <c r="Q6" s="68">
        <f>E6</f>
        <v>56786.268000000018</v>
      </c>
    </row>
    <row r="7" spans="2:17" x14ac:dyDescent="0.2">
      <c r="B7" s="55" t="s">
        <v>20</v>
      </c>
      <c r="C7" s="63">
        <f>Assumptions!F28</f>
        <v>0.03</v>
      </c>
      <c r="D7" s="63">
        <f>Assumptions!F8</f>
        <v>0.08</v>
      </c>
      <c r="E7" s="63">
        <f>Assumptions!F18</f>
        <v>0.1</v>
      </c>
      <c r="N7" s="55" t="s">
        <v>32</v>
      </c>
      <c r="O7" s="68">
        <f>C8</f>
        <v>7406.4337349999996</v>
      </c>
      <c r="P7" s="68">
        <f>D8</f>
        <v>14173.203706200002</v>
      </c>
      <c r="Q7" s="68">
        <f>E8</f>
        <v>16922.307864000009</v>
      </c>
    </row>
    <row r="8" spans="2:17" ht="17" x14ac:dyDescent="0.25">
      <c r="B8" s="61" t="s">
        <v>32</v>
      </c>
      <c r="C8" s="62">
        <f>C6*C9</f>
        <v>7406.4337349999996</v>
      </c>
      <c r="D8" s="62">
        <f>D6*D9</f>
        <v>14173.203706200002</v>
      </c>
      <c r="E8" s="62">
        <f>E6*E9</f>
        <v>16922.307864000009</v>
      </c>
      <c r="N8" s="55" t="s">
        <v>38</v>
      </c>
      <c r="O8" s="69">
        <f>C10</f>
        <v>13077.584520000004</v>
      </c>
      <c r="P8" s="68">
        <f>D10</f>
        <v>19981.020262500002</v>
      </c>
      <c r="Q8" s="69">
        <f>E10</f>
        <v>23282.369880000006</v>
      </c>
    </row>
    <row r="9" spans="2:17" x14ac:dyDescent="0.2">
      <c r="B9" s="55" t="s">
        <v>33</v>
      </c>
      <c r="C9" s="56">
        <f>Assumptions!F29-Assumptions!F30-Assumptions!F31-Assumptions!F32-Assumptions!F33/C6</f>
        <v>0.15857679547996525</v>
      </c>
      <c r="D9" s="56">
        <f>Assumptions!F9-Assumptions!F10-Assumptions!F11-Assumptions!F12-Assumptions!F13/D6</f>
        <v>0.26600000000000001</v>
      </c>
      <c r="E9" s="56">
        <f>Assumptions!F19-Assumptions!F20-Assumptions!F21-Assumptions!F22-Assumptions!F23/E6</f>
        <v>0.29800000000000004</v>
      </c>
    </row>
    <row r="10" spans="2:17" ht="17" x14ac:dyDescent="0.25">
      <c r="B10" s="61" t="s">
        <v>38</v>
      </c>
      <c r="C10" s="62">
        <f>C6*C11</f>
        <v>13077.584520000004</v>
      </c>
      <c r="D10" s="64">
        <f>D6*D11</f>
        <v>19981.020262500002</v>
      </c>
      <c r="E10" s="64">
        <f>E6*E11</f>
        <v>23282.369880000006</v>
      </c>
      <c r="O10" s="1"/>
    </row>
    <row r="11" spans="2:17" x14ac:dyDescent="0.2">
      <c r="B11" s="55" t="s">
        <v>39</v>
      </c>
      <c r="C11" s="63">
        <f>Assumptions!F34</f>
        <v>0.28000000000000003</v>
      </c>
      <c r="D11" s="63">
        <f>Assumptions!F14</f>
        <v>0.375</v>
      </c>
      <c r="E11" s="63">
        <f>Assumptions!F24</f>
        <v>0.41</v>
      </c>
      <c r="N11" s="67" t="s">
        <v>16</v>
      </c>
      <c r="O11" s="67" t="s">
        <v>66</v>
      </c>
      <c r="P11" s="67" t="s">
        <v>64</v>
      </c>
      <c r="Q11" s="67" t="s">
        <v>65</v>
      </c>
    </row>
    <row r="12" spans="2:17" x14ac:dyDescent="0.2">
      <c r="B12" s="61" t="s">
        <v>42</v>
      </c>
      <c r="C12" s="65">
        <f>C7+C11</f>
        <v>0.31000000000000005</v>
      </c>
      <c r="D12" s="65">
        <f>D7+D11</f>
        <v>0.45500000000000002</v>
      </c>
      <c r="E12" s="65">
        <f>E7+E11</f>
        <v>0.51</v>
      </c>
      <c r="N12" s="55" t="s">
        <v>20</v>
      </c>
      <c r="O12" s="56">
        <f>C7</f>
        <v>0.03</v>
      </c>
      <c r="P12" s="56">
        <f>D7</f>
        <v>0.08</v>
      </c>
      <c r="Q12" s="56">
        <f>E7</f>
        <v>0.1</v>
      </c>
    </row>
    <row r="13" spans="2:17" ht="17" x14ac:dyDescent="0.25">
      <c r="N13" s="55" t="s">
        <v>33</v>
      </c>
      <c r="O13" s="57">
        <f>C9</f>
        <v>0.15857679547996525</v>
      </c>
      <c r="P13" s="56">
        <f>D9</f>
        <v>0.26600000000000001</v>
      </c>
      <c r="Q13" s="56">
        <f>E9</f>
        <v>0.29800000000000004</v>
      </c>
    </row>
    <row r="14" spans="2:17" x14ac:dyDescent="0.2">
      <c r="N14" s="55" t="s">
        <v>39</v>
      </c>
      <c r="O14" s="56">
        <f>C11</f>
        <v>0.28000000000000003</v>
      </c>
      <c r="P14" s="56">
        <f>D11</f>
        <v>0.375</v>
      </c>
      <c r="Q14" s="56">
        <f>E11</f>
        <v>0.41</v>
      </c>
    </row>
    <row r="15" spans="2:17" x14ac:dyDescent="0.2">
      <c r="N15" s="55" t="s">
        <v>42</v>
      </c>
      <c r="O15" s="56">
        <f>C12</f>
        <v>0.31000000000000005</v>
      </c>
      <c r="P15" s="56">
        <f>D12</f>
        <v>0.45500000000000002</v>
      </c>
      <c r="Q15" s="56">
        <f>E12</f>
        <v>0.51</v>
      </c>
    </row>
    <row r="34" spans="2:10" x14ac:dyDescent="0.2">
      <c r="B34" s="28" t="s">
        <v>69</v>
      </c>
      <c r="C34" s="28"/>
      <c r="D34" s="28"/>
      <c r="E34" s="28"/>
      <c r="F34" s="28"/>
      <c r="G34" s="28"/>
      <c r="H34" s="28"/>
      <c r="I34" s="28"/>
      <c r="J34" s="28"/>
    </row>
    <row r="35" spans="2:10" ht="30" customHeight="1" x14ac:dyDescent="0.2">
      <c r="B35" s="52" t="s">
        <v>50</v>
      </c>
      <c r="C35" s="71" t="s">
        <v>73</v>
      </c>
      <c r="D35" s="71"/>
      <c r="E35" s="71"/>
      <c r="F35" s="71"/>
      <c r="G35" s="71"/>
      <c r="H35" s="71"/>
      <c r="I35" s="71"/>
      <c r="J35" s="71"/>
    </row>
    <row r="36" spans="2:10" ht="30" customHeight="1" x14ac:dyDescent="0.2">
      <c r="B36" s="53" t="s">
        <v>70</v>
      </c>
      <c r="C36" s="71" t="s">
        <v>74</v>
      </c>
      <c r="D36" s="71"/>
      <c r="E36" s="71"/>
      <c r="F36" s="71"/>
      <c r="G36" s="71"/>
      <c r="H36" s="71"/>
      <c r="I36" s="71"/>
      <c r="J36" s="71"/>
    </row>
    <row r="37" spans="2:10" ht="30" customHeight="1" x14ac:dyDescent="0.2">
      <c r="B37" s="54" t="s">
        <v>71</v>
      </c>
      <c r="C37" s="71" t="s">
        <v>75</v>
      </c>
      <c r="D37" s="71"/>
      <c r="E37" s="71"/>
      <c r="F37" s="71"/>
      <c r="G37" s="71"/>
      <c r="H37" s="71"/>
      <c r="I37" s="71"/>
      <c r="J37" s="71"/>
    </row>
    <row r="38" spans="2:10" ht="30" customHeight="1" x14ac:dyDescent="0.2">
      <c r="B38" s="74" t="s">
        <v>72</v>
      </c>
      <c r="C38" s="71" t="s">
        <v>76</v>
      </c>
      <c r="D38" s="71"/>
      <c r="E38" s="71"/>
      <c r="F38" s="71"/>
      <c r="G38" s="71"/>
      <c r="H38" s="71"/>
      <c r="I38" s="71"/>
      <c r="J38" s="71"/>
    </row>
  </sheetData>
  <mergeCells count="4">
    <mergeCell ref="C35:J35"/>
    <mergeCell ref="C36:J36"/>
    <mergeCell ref="C37:J37"/>
    <mergeCell ref="C38:J38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9F6A-0B52-DE43-94FD-A547E45E3846}">
  <sheetPr>
    <tabColor theme="7"/>
  </sheetPr>
  <dimension ref="B2:G34"/>
  <sheetViews>
    <sheetView workbookViewId="0">
      <selection activeCell="B27" sqref="B27"/>
    </sheetView>
  </sheetViews>
  <sheetFormatPr baseColWidth="10" defaultRowHeight="16" x14ac:dyDescent="0.2"/>
  <cols>
    <col min="2" max="2" width="29.33203125" customWidth="1"/>
    <col min="3" max="3" width="15.6640625" customWidth="1"/>
    <col min="4" max="4" width="16.1640625" customWidth="1"/>
    <col min="5" max="5" width="15.5" customWidth="1"/>
    <col min="6" max="6" width="14.83203125" customWidth="1"/>
    <col min="7" max="7" width="50.5" customWidth="1"/>
  </cols>
  <sheetData>
    <row r="2" spans="2:7" x14ac:dyDescent="0.2">
      <c r="B2" t="s">
        <v>43</v>
      </c>
    </row>
    <row r="3" spans="2:7" x14ac:dyDescent="0.2">
      <c r="B3" t="s">
        <v>44</v>
      </c>
    </row>
    <row r="5" spans="2:7" x14ac:dyDescent="0.2"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55</v>
      </c>
    </row>
    <row r="7" spans="2:7" x14ac:dyDescent="0.2">
      <c r="B7" s="28" t="s">
        <v>50</v>
      </c>
      <c r="C7" s="29"/>
      <c r="D7" s="29"/>
      <c r="E7" s="29"/>
      <c r="F7" s="29"/>
      <c r="G7" s="29" t="s">
        <v>56</v>
      </c>
    </row>
    <row r="8" spans="2:7" x14ac:dyDescent="0.2">
      <c r="B8" t="s">
        <v>20</v>
      </c>
      <c r="C8" s="22">
        <f>Actuals!H9</f>
        <v>9.5791001451378754E-2</v>
      </c>
      <c r="D8" s="24">
        <v>0.09</v>
      </c>
      <c r="E8" s="24">
        <v>0.09</v>
      </c>
      <c r="F8" s="24">
        <v>0.08</v>
      </c>
    </row>
    <row r="9" spans="2:7" ht="17" x14ac:dyDescent="0.25">
      <c r="B9" t="s">
        <v>26</v>
      </c>
      <c r="C9" s="23">
        <f>Actuals!H16</f>
        <v>0.77676098735701382</v>
      </c>
      <c r="D9" s="24">
        <v>0.78</v>
      </c>
      <c r="E9" s="24">
        <v>0.78500000000000003</v>
      </c>
      <c r="F9" s="24">
        <v>0.79</v>
      </c>
    </row>
    <row r="10" spans="2:7" x14ac:dyDescent="0.2">
      <c r="B10" t="s">
        <v>51</v>
      </c>
      <c r="C10" s="22">
        <f>Actuals!H18/Actuals!H8</f>
        <v>0.14432269717037929</v>
      </c>
      <c r="D10" s="24">
        <v>0.14199999999999999</v>
      </c>
      <c r="E10" s="24">
        <v>0.14000000000000001</v>
      </c>
      <c r="F10" s="24">
        <v>0.13800000000000001</v>
      </c>
    </row>
    <row r="11" spans="2:7" x14ac:dyDescent="0.2">
      <c r="B11" t="s">
        <v>52</v>
      </c>
      <c r="C11" s="22">
        <f>Actuals!H19/Actuals!H8</f>
        <v>0.34545454545454546</v>
      </c>
      <c r="D11" s="24">
        <v>0.34</v>
      </c>
      <c r="E11" s="24">
        <v>0.33</v>
      </c>
      <c r="F11" s="24">
        <v>0.32</v>
      </c>
    </row>
    <row r="12" spans="2:7" x14ac:dyDescent="0.2">
      <c r="B12" t="s">
        <v>53</v>
      </c>
      <c r="C12" s="22">
        <f>Actuals!H20/Actuals!H8</f>
        <v>7.2245635159542451E-2</v>
      </c>
      <c r="D12" s="24">
        <v>7.0000000000000007E-2</v>
      </c>
      <c r="E12" s="24">
        <v>6.8000000000000005E-2</v>
      </c>
      <c r="F12" s="24">
        <v>6.6000000000000003E-2</v>
      </c>
    </row>
    <row r="13" spans="2:7" x14ac:dyDescent="0.2">
      <c r="B13" t="s">
        <v>54</v>
      </c>
      <c r="C13" s="13">
        <f>Actuals!H21</f>
        <v>586</v>
      </c>
      <c r="D13" s="25">
        <v>300</v>
      </c>
      <c r="E13" s="25">
        <v>150</v>
      </c>
      <c r="F13" s="25">
        <v>0</v>
      </c>
    </row>
    <row r="14" spans="2:7" x14ac:dyDescent="0.2">
      <c r="B14" t="s">
        <v>39</v>
      </c>
      <c r="C14" s="22">
        <f>Actuals!H31</f>
        <v>0.34682721252257676</v>
      </c>
      <c r="D14" s="24">
        <v>0.35499999999999998</v>
      </c>
      <c r="E14" s="24">
        <v>0.36499999999999999</v>
      </c>
      <c r="F14" s="24">
        <v>0.375</v>
      </c>
    </row>
    <row r="17" spans="2:7" x14ac:dyDescent="0.2">
      <c r="B17" s="28" t="s">
        <v>59</v>
      </c>
      <c r="C17" s="29"/>
      <c r="D17" s="29"/>
      <c r="E17" s="29"/>
      <c r="F17" s="29"/>
      <c r="G17" s="29" t="s">
        <v>57</v>
      </c>
    </row>
    <row r="18" spans="2:7" x14ac:dyDescent="0.2">
      <c r="B18" t="s">
        <v>20</v>
      </c>
      <c r="C18" s="22">
        <f>$C8</f>
        <v>9.5791001451378754E-2</v>
      </c>
      <c r="D18" s="24">
        <v>0.12</v>
      </c>
      <c r="E18" s="24">
        <v>0.11</v>
      </c>
      <c r="F18" s="24">
        <v>0.1</v>
      </c>
    </row>
    <row r="19" spans="2:7" x14ac:dyDescent="0.2">
      <c r="B19" t="s">
        <v>26</v>
      </c>
      <c r="C19" s="22">
        <f t="shared" ref="C19:C24" si="0">$C9</f>
        <v>0.77676098735701382</v>
      </c>
      <c r="D19" s="24">
        <v>0.78500000000000003</v>
      </c>
      <c r="E19" s="24">
        <v>0.79200000000000004</v>
      </c>
      <c r="F19" s="24">
        <v>0.8</v>
      </c>
    </row>
    <row r="20" spans="2:7" x14ac:dyDescent="0.2">
      <c r="B20" t="s">
        <v>51</v>
      </c>
      <c r="C20" s="22">
        <f t="shared" si="0"/>
        <v>0.14432269717037929</v>
      </c>
      <c r="D20" s="24">
        <v>0.14000000000000001</v>
      </c>
      <c r="E20" s="24">
        <v>0.13800000000000001</v>
      </c>
      <c r="F20" s="24">
        <v>0.13500000000000001</v>
      </c>
    </row>
    <row r="21" spans="2:7" x14ac:dyDescent="0.2">
      <c r="B21" t="s">
        <v>52</v>
      </c>
      <c r="C21" s="22">
        <f t="shared" si="0"/>
        <v>0.34545454545454546</v>
      </c>
      <c r="D21" s="24">
        <v>0.33500000000000002</v>
      </c>
      <c r="E21" s="24">
        <v>0.32</v>
      </c>
      <c r="F21" s="24">
        <v>0.30499999999999999</v>
      </c>
    </row>
    <row r="22" spans="2:7" x14ac:dyDescent="0.2">
      <c r="B22" t="s">
        <v>53</v>
      </c>
      <c r="C22" s="22">
        <f t="shared" si="0"/>
        <v>7.2245635159542451E-2</v>
      </c>
      <c r="D22" s="24">
        <v>6.8000000000000005E-2</v>
      </c>
      <c r="E22" s="24">
        <v>6.5000000000000002E-2</v>
      </c>
      <c r="F22" s="24">
        <v>6.2E-2</v>
      </c>
    </row>
    <row r="23" spans="2:7" x14ac:dyDescent="0.2">
      <c r="B23" t="s">
        <v>54</v>
      </c>
      <c r="C23" s="27">
        <f>$C13</f>
        <v>586</v>
      </c>
      <c r="D23" s="26">
        <v>150</v>
      </c>
      <c r="E23" s="26">
        <v>0</v>
      </c>
      <c r="F23" s="26">
        <v>0</v>
      </c>
    </row>
    <row r="24" spans="2:7" x14ac:dyDescent="0.2">
      <c r="B24" t="s">
        <v>39</v>
      </c>
      <c r="C24" s="22">
        <f t="shared" si="0"/>
        <v>0.34682721252257676</v>
      </c>
      <c r="D24" s="24">
        <v>0.37</v>
      </c>
      <c r="E24" s="24">
        <v>0.39</v>
      </c>
      <c r="F24" s="24">
        <v>0.41</v>
      </c>
    </row>
    <row r="26" spans="2:7" x14ac:dyDescent="0.2">
      <c r="B26" s="30"/>
      <c r="C26" s="30"/>
      <c r="D26" s="30"/>
      <c r="E26" s="30"/>
      <c r="F26" s="30"/>
      <c r="G26" s="30"/>
    </row>
    <row r="27" spans="2:7" x14ac:dyDescent="0.2">
      <c r="B27" s="28" t="s">
        <v>60</v>
      </c>
      <c r="C27" s="29"/>
      <c r="D27" s="29"/>
      <c r="E27" s="29"/>
      <c r="F27" s="29"/>
      <c r="G27" s="29" t="s">
        <v>58</v>
      </c>
    </row>
    <row r="28" spans="2:7" x14ac:dyDescent="0.2">
      <c r="B28" t="s">
        <v>20</v>
      </c>
      <c r="C28" s="22">
        <f>$C8</f>
        <v>9.5791001451378754E-2</v>
      </c>
      <c r="D28" s="24">
        <v>0.05</v>
      </c>
      <c r="E28" s="24">
        <v>0.04</v>
      </c>
      <c r="F28" s="24">
        <v>0.03</v>
      </c>
    </row>
    <row r="29" spans="2:7" x14ac:dyDescent="0.2">
      <c r="B29" t="s">
        <v>26</v>
      </c>
      <c r="C29" s="22">
        <f t="shared" ref="C29:C34" si="1">$C9</f>
        <v>0.77676098735701382</v>
      </c>
      <c r="D29" s="24">
        <v>0.77</v>
      </c>
      <c r="E29" s="24">
        <v>0.76500000000000001</v>
      </c>
      <c r="F29" s="24">
        <v>0.76</v>
      </c>
    </row>
    <row r="30" spans="2:7" x14ac:dyDescent="0.2">
      <c r="B30" t="s">
        <v>51</v>
      </c>
      <c r="C30" s="22">
        <f t="shared" si="1"/>
        <v>0.14432269717037929</v>
      </c>
      <c r="D30" s="24">
        <v>0.14799999999999999</v>
      </c>
      <c r="E30" s="24">
        <v>0.15</v>
      </c>
      <c r="F30" s="24">
        <v>0.15</v>
      </c>
    </row>
    <row r="31" spans="2:7" x14ac:dyDescent="0.2">
      <c r="B31" t="s">
        <v>52</v>
      </c>
      <c r="C31" s="22">
        <f t="shared" si="1"/>
        <v>0.34545454545454546</v>
      </c>
      <c r="D31" s="24">
        <v>0.35499999999999998</v>
      </c>
      <c r="E31" s="24">
        <v>0.36</v>
      </c>
      <c r="F31" s="24">
        <v>0.36499999999999999</v>
      </c>
    </row>
    <row r="32" spans="2:7" x14ac:dyDescent="0.2">
      <c r="B32" t="s">
        <v>53</v>
      </c>
      <c r="C32" s="22">
        <f t="shared" si="1"/>
        <v>7.2245635159542451E-2</v>
      </c>
      <c r="D32" s="24">
        <v>7.4999999999999997E-2</v>
      </c>
      <c r="E32" s="24">
        <v>7.6999999999999999E-2</v>
      </c>
      <c r="F32" s="24">
        <v>0.08</v>
      </c>
    </row>
    <row r="33" spans="2:6" x14ac:dyDescent="0.2">
      <c r="B33" t="s">
        <v>54</v>
      </c>
      <c r="C33" s="13">
        <f t="shared" si="1"/>
        <v>586</v>
      </c>
      <c r="D33" s="26">
        <v>800</v>
      </c>
      <c r="E33" s="26">
        <v>600</v>
      </c>
      <c r="F33" s="26">
        <v>300</v>
      </c>
    </row>
    <row r="34" spans="2:6" x14ac:dyDescent="0.2">
      <c r="B34" t="s">
        <v>39</v>
      </c>
      <c r="C34" s="22">
        <f t="shared" si="1"/>
        <v>0.34682721252257676</v>
      </c>
      <c r="D34" s="24">
        <v>0.31</v>
      </c>
      <c r="E34" s="24">
        <v>0.28999999999999998</v>
      </c>
      <c r="F34" s="24">
        <v>0.28000000000000003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8F6F-6A12-FA49-A8A7-2459E1D5DE21}">
  <sheetPr>
    <tabColor theme="3" tint="0.249977111117893"/>
  </sheetPr>
  <dimension ref="B2:N24"/>
  <sheetViews>
    <sheetView workbookViewId="0">
      <selection activeCell="H4" sqref="H4"/>
    </sheetView>
  </sheetViews>
  <sheetFormatPr baseColWidth="10" defaultRowHeight="16" x14ac:dyDescent="0.2"/>
  <cols>
    <col min="2" max="2" width="42.83203125" customWidth="1"/>
    <col min="3" max="3" width="12.5" customWidth="1"/>
    <col min="4" max="4" width="12.83203125" customWidth="1"/>
    <col min="5" max="5" width="12.33203125" customWidth="1"/>
    <col min="6" max="6" width="12.6640625" customWidth="1"/>
  </cols>
  <sheetData>
    <row r="2" spans="2:14" ht="19" x14ac:dyDescent="0.25">
      <c r="B2" s="31" t="s">
        <v>61</v>
      </c>
    </row>
    <row r="3" spans="2:14" x14ac:dyDescent="0.2">
      <c r="B3" t="s">
        <v>89</v>
      </c>
    </row>
    <row r="4" spans="2:14" x14ac:dyDescent="0.2">
      <c r="B4" t="s">
        <v>63</v>
      </c>
      <c r="C4" s="44" t="s">
        <v>64</v>
      </c>
    </row>
    <row r="5" spans="2:14" x14ac:dyDescent="0.2">
      <c r="B5" s="28" t="str">
        <f>$C$4&amp;" case forecast"</f>
        <v>Base case forecast</v>
      </c>
      <c r="C5" s="28"/>
      <c r="D5" s="28"/>
      <c r="E5" s="28"/>
      <c r="F5" s="28"/>
    </row>
    <row r="6" spans="2:14" x14ac:dyDescent="0.2">
      <c r="B6" s="32" t="s">
        <v>16</v>
      </c>
      <c r="C6" s="32" t="s">
        <v>46</v>
      </c>
      <c r="D6" s="32" t="s">
        <v>47</v>
      </c>
      <c r="E6" s="32" t="s">
        <v>48</v>
      </c>
      <c r="F6" s="32" t="s">
        <v>49</v>
      </c>
    </row>
    <row r="8" spans="2:14" x14ac:dyDescent="0.2">
      <c r="B8" s="2" t="s">
        <v>62</v>
      </c>
      <c r="C8" s="20">
        <f>Actuals!H8</f>
        <v>41525</v>
      </c>
      <c r="D8" s="3">
        <f>C8*(1+D9)</f>
        <v>45262.25</v>
      </c>
      <c r="E8" s="3">
        <f t="shared" ref="E8:F8" si="0">D8*(1+E9)</f>
        <v>49335.852500000001</v>
      </c>
      <c r="F8" s="3">
        <f t="shared" si="0"/>
        <v>53282.720700000005</v>
      </c>
    </row>
    <row r="9" spans="2:14" x14ac:dyDescent="0.2">
      <c r="B9" t="s">
        <v>20</v>
      </c>
      <c r="C9" s="22">
        <f>Actuals!H9</f>
        <v>9.5791001451378754E-2</v>
      </c>
      <c r="D9" s="22">
        <f>IF($C$4="Base",Assumptions!D8,IF($C$4="Upside",Assumptions!D18,Assumptions!D28))</f>
        <v>0.09</v>
      </c>
      <c r="E9" s="22">
        <f>IF($C$4="Base",Assumptions!E8,IF($C$4="Upside",Assumptions!E18,Assumptions!E28))</f>
        <v>0.09</v>
      </c>
      <c r="F9" s="22">
        <f>IF($C$4="Base",Assumptions!F8,IF($C$4="Upside",Assumptions!F18,Assumptions!F28))</f>
        <v>0.08</v>
      </c>
    </row>
    <row r="10" spans="2:14" x14ac:dyDescent="0.2">
      <c r="C10" s="19"/>
      <c r="N10" s="12"/>
    </row>
    <row r="11" spans="2:14" ht="17" x14ac:dyDescent="0.25">
      <c r="B11" s="33" t="s">
        <v>25</v>
      </c>
      <c r="C11" s="34">
        <f>Actuals!H15</f>
        <v>32255</v>
      </c>
      <c r="D11" s="39">
        <f>D8*IF($C$4="Base",Assumptions!D9,IF($C$4="Upside",Assumptions!D19,Assumptions!D29))</f>
        <v>35304.555</v>
      </c>
      <c r="E11" s="39">
        <f>E8*IF($C$4="Base",Assumptions!E9,IF($C$4="Upside",Assumptions!E19,Assumptions!E29))</f>
        <v>38728.644212500003</v>
      </c>
      <c r="F11" s="39">
        <f>F8*IF($C$4="Base",Assumptions!F9,IF($C$4="Upside",Assumptions!F19,Assumptions!F29))</f>
        <v>42093.349353000005</v>
      </c>
      <c r="N11" s="12"/>
    </row>
    <row r="12" spans="2:14" x14ac:dyDescent="0.2">
      <c r="B12" t="s">
        <v>26</v>
      </c>
      <c r="C12" s="22">
        <f>Actuals!H16</f>
        <v>0.77676098735701382</v>
      </c>
      <c r="D12" s="12">
        <f>D11/D8</f>
        <v>0.78</v>
      </c>
      <c r="E12" s="12">
        <f>E11/E8</f>
        <v>0.78500000000000003</v>
      </c>
      <c r="F12" s="12">
        <f t="shared" ref="F12" si="1">F11/F8</f>
        <v>0.79</v>
      </c>
    </row>
    <row r="13" spans="2:14" x14ac:dyDescent="0.2">
      <c r="C13" s="19"/>
    </row>
    <row r="14" spans="2:14" ht="17" x14ac:dyDescent="0.25">
      <c r="B14" t="s">
        <v>28</v>
      </c>
      <c r="C14" s="13">
        <f>Actuals!H18</f>
        <v>5993</v>
      </c>
      <c r="D14" s="9">
        <f>D8*IF($C$4="Base",Assumptions!D10,IF($C$4="Upside",Assumptions!D20,Assumptions!D30))</f>
        <v>6427.2394999999997</v>
      </c>
      <c r="E14" s="9">
        <f>E8*IF($C$4="Base",Assumptions!E10,IF($C$4="Upside",Assumptions!E20,Assumptions!E30))</f>
        <v>6907.0193500000005</v>
      </c>
      <c r="F14" s="9">
        <f>F8*IF($C$4="Base",Assumptions!F10,IF($C$4="Upside",Assumptions!F20,Assumptions!F30))</f>
        <v>7353.015456600001</v>
      </c>
    </row>
    <row r="15" spans="2:14" ht="17" x14ac:dyDescent="0.25">
      <c r="B15" t="s">
        <v>29</v>
      </c>
      <c r="C15" s="14">
        <f>Actuals!H19</f>
        <v>14345</v>
      </c>
      <c r="D15" s="9">
        <f>D8*IF($C$4="Base",Assumptions!D11,IF($C$4="Upside",Assumptions!D21,Assumptions!D31))</f>
        <v>15389.165000000001</v>
      </c>
      <c r="E15" s="9">
        <f>E8*IF($C$4="Base",Assumptions!E11,IF($C$4="Upside",Assumptions!E21,Assumptions!E31))</f>
        <v>16280.831325000001</v>
      </c>
      <c r="F15" s="9">
        <f>F8*IF($C$4="Base",Assumptions!F11,IF($C$4="Upside",Assumptions!F21,Assumptions!F31))</f>
        <v>17050.470624000001</v>
      </c>
    </row>
    <row r="16" spans="2:14" x14ac:dyDescent="0.2">
      <c r="B16" t="s">
        <v>30</v>
      </c>
      <c r="C16" s="13">
        <f>Actuals!H20</f>
        <v>3000</v>
      </c>
      <c r="D16" s="1">
        <f>D8*IF($C$4="Base",Assumptions!D12,IF($C$4="Upside",Assumptions!D22,Assumptions!D32))</f>
        <v>3168.3575000000005</v>
      </c>
      <c r="E16" s="1">
        <f>E8*IF($C$4="Base",Assumptions!E12,IF($C$4="Upside",Assumptions!E22,Assumptions!E32))</f>
        <v>3354.8379700000005</v>
      </c>
      <c r="F16" s="1">
        <f>F8*IF($C$4="Base",Assumptions!F12,IF($C$4="Upside",Assumptions!F22,Assumptions!F32))</f>
        <v>3516.6595662000004</v>
      </c>
    </row>
    <row r="17" spans="2:6" ht="17" x14ac:dyDescent="0.25">
      <c r="B17" t="s">
        <v>9</v>
      </c>
      <c r="C17" s="13">
        <f>Actuals!H21</f>
        <v>586</v>
      </c>
      <c r="D17" s="43">
        <f>IF($C$4="Base",Assumptions!D13,IF($C$4="Upside",Assumptions!D23,Assumptions!D33))</f>
        <v>300</v>
      </c>
      <c r="E17" s="43">
        <f>IF($C$4="Base",Assumptions!E13,IF($C$4="Upside",Assumptions!E23,Assumptions!E33))</f>
        <v>150</v>
      </c>
      <c r="F17" s="43">
        <f>IF($C$4="Base",Assumptions!F13,IF($C$4="Upside",Assumptions!F23,Assumptions!F33))</f>
        <v>0</v>
      </c>
    </row>
    <row r="18" spans="2:6" ht="17" x14ac:dyDescent="0.25">
      <c r="B18" s="33" t="s">
        <v>31</v>
      </c>
      <c r="C18" s="35">
        <f>Actuals!H22</f>
        <v>23924</v>
      </c>
      <c r="D18" s="40">
        <f>SUM(D14:D17)</f>
        <v>25284.762000000002</v>
      </c>
      <c r="E18" s="40">
        <f t="shared" ref="E18:F18" si="2">SUM(E14:E17)</f>
        <v>26692.688645000002</v>
      </c>
      <c r="F18" s="40">
        <f t="shared" si="2"/>
        <v>27920.145646800003</v>
      </c>
    </row>
    <row r="19" spans="2:6" x14ac:dyDescent="0.2">
      <c r="B19" s="36" t="s">
        <v>32</v>
      </c>
      <c r="C19" s="37">
        <f>Actuals!H23</f>
        <v>8331</v>
      </c>
      <c r="D19" s="41">
        <f>D11-D18</f>
        <v>10019.792999999998</v>
      </c>
      <c r="E19" s="41">
        <f t="shared" ref="E19:F19" si="3">E11-E18</f>
        <v>12035.955567500001</v>
      </c>
      <c r="F19" s="41">
        <f t="shared" si="3"/>
        <v>14173.203706200002</v>
      </c>
    </row>
    <row r="20" spans="2:6" ht="17" x14ac:dyDescent="0.25">
      <c r="B20" t="s">
        <v>33</v>
      </c>
      <c r="C20" s="23">
        <f>Actuals!H24</f>
        <v>0.20062612883804937</v>
      </c>
      <c r="D20" s="12">
        <f>D19/D8</f>
        <v>0.22137196007710616</v>
      </c>
      <c r="E20" s="12">
        <f t="shared" ref="E20:F20" si="4">E19/E8</f>
        <v>0.24395961471426891</v>
      </c>
      <c r="F20" s="12">
        <f t="shared" si="4"/>
        <v>0.26600000000000001</v>
      </c>
    </row>
    <row r="21" spans="2:6" x14ac:dyDescent="0.2">
      <c r="C21" s="19"/>
    </row>
    <row r="22" spans="2:6" x14ac:dyDescent="0.2">
      <c r="B22" s="33" t="s">
        <v>38</v>
      </c>
      <c r="C22" s="34">
        <f>Actuals!H30</f>
        <v>14402</v>
      </c>
      <c r="D22" s="40">
        <f>D8*D23</f>
        <v>16068.098749999999</v>
      </c>
      <c r="E22" s="40">
        <f t="shared" ref="E22" si="5">E8*E23</f>
        <v>18007.5861625</v>
      </c>
      <c r="F22" s="40">
        <f>F8*F23</f>
        <v>19981.020262500002</v>
      </c>
    </row>
    <row r="23" spans="2:6" x14ac:dyDescent="0.2">
      <c r="B23" t="s">
        <v>39</v>
      </c>
      <c r="C23" s="22">
        <f>Actuals!H31</f>
        <v>0.34682721252257676</v>
      </c>
      <c r="D23" s="12">
        <f>IF($C$4="Base",Assumptions!D14,IF($C$4="Upside",Assumptions!D24,Assumptions!D34))</f>
        <v>0.35499999999999998</v>
      </c>
      <c r="E23" s="12">
        <f>IF($C$4="Base",Assumptions!E14,IF($C$4="Upside",Assumptions!E24,Assumptions!E34))</f>
        <v>0.36499999999999999</v>
      </c>
      <c r="F23" s="12">
        <f>IF($C$4="Base",Assumptions!F14,IF($C$4="Upside",Assumptions!F24,Assumptions!F34))</f>
        <v>0.375</v>
      </c>
    </row>
    <row r="24" spans="2:6" x14ac:dyDescent="0.2">
      <c r="B24" s="36" t="s">
        <v>42</v>
      </c>
      <c r="C24" s="38">
        <f>Actuals!H35</f>
        <v>0.44261821397395551</v>
      </c>
      <c r="D24" s="42">
        <f>D9+D23</f>
        <v>0.44499999999999995</v>
      </c>
      <c r="E24" s="42">
        <f t="shared" ref="E24:F24" si="6">E9+E23</f>
        <v>0.45499999999999996</v>
      </c>
      <c r="F24" s="42">
        <f t="shared" si="6"/>
        <v>0.45500000000000002</v>
      </c>
    </row>
  </sheetData>
  <dataValidations count="1">
    <dataValidation type="list" allowBlank="1" showInputMessage="1" showErrorMessage="1" sqref="C4" xr:uid="{F29072D3-415A-454F-BB1E-8B3F5662DBC2}">
      <formula1>"Base,Upside,Downside"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1BA8-1166-0444-9E31-67391009996A}">
  <sheetPr>
    <tabColor theme="9" tint="0.59999389629810485"/>
  </sheetPr>
  <dimension ref="C2:H37"/>
  <sheetViews>
    <sheetView workbookViewId="0">
      <selection activeCell="C7" sqref="C7"/>
    </sheetView>
  </sheetViews>
  <sheetFormatPr baseColWidth="10" defaultRowHeight="16" x14ac:dyDescent="0.2"/>
  <cols>
    <col min="3" max="3" width="37.83203125" customWidth="1"/>
    <col min="4" max="4" width="15.83203125" customWidth="1"/>
    <col min="5" max="5" width="16.33203125" customWidth="1"/>
    <col min="6" max="6" width="15.83203125" customWidth="1"/>
    <col min="7" max="7" width="16.5" customWidth="1"/>
    <col min="8" max="8" width="15.83203125" customWidth="1"/>
  </cols>
  <sheetData>
    <row r="2" spans="3:8" ht="19" x14ac:dyDescent="0.25">
      <c r="C2" s="72" t="s">
        <v>92</v>
      </c>
    </row>
    <row r="3" spans="3:8" x14ac:dyDescent="0.2">
      <c r="C3" s="8" t="s">
        <v>15</v>
      </c>
    </row>
    <row r="5" spans="3:8" x14ac:dyDescent="0.2">
      <c r="C5" s="16" t="s">
        <v>16</v>
      </c>
      <c r="D5" s="16" t="s">
        <v>93</v>
      </c>
      <c r="E5" s="16" t="s">
        <v>94</v>
      </c>
      <c r="F5" s="16" t="s">
        <v>95</v>
      </c>
      <c r="G5" s="16" t="s">
        <v>96</v>
      </c>
      <c r="H5" s="16" t="s">
        <v>46</v>
      </c>
    </row>
    <row r="6" spans="3:8" ht="17" x14ac:dyDescent="0.25">
      <c r="C6" t="s">
        <v>17</v>
      </c>
      <c r="D6" s="13">
        <f>'Raw Actuals'!C2</f>
        <v>24657</v>
      </c>
      <c r="E6" s="13">
        <f>'Raw Actuals'!C3</f>
        <v>29021</v>
      </c>
      <c r="F6" s="13">
        <f>'Raw Actuals'!C4</f>
        <v>32537</v>
      </c>
      <c r="G6" s="14">
        <f>'Raw Actuals'!C5</f>
        <v>35679</v>
      </c>
      <c r="H6" s="13">
        <f>'Raw Actuals'!C6</f>
        <v>39388</v>
      </c>
    </row>
    <row r="7" spans="3:8" x14ac:dyDescent="0.2">
      <c r="C7" t="s">
        <v>18</v>
      </c>
      <c r="D7" s="13">
        <f>'Raw Actuals'!D2</f>
        <v>1835</v>
      </c>
      <c r="E7" s="13">
        <f>'Raw Actuals'!D3</f>
        <v>2331</v>
      </c>
      <c r="F7" s="13">
        <f>'Raw Actuals'!D4</f>
        <v>2320</v>
      </c>
      <c r="G7" s="13">
        <f>'Raw Actuals'!D5</f>
        <v>2216</v>
      </c>
      <c r="H7" s="13">
        <f>'Raw Actuals'!D6</f>
        <v>2137</v>
      </c>
    </row>
    <row r="8" spans="3:8" x14ac:dyDescent="0.2">
      <c r="C8" s="10" t="s">
        <v>19</v>
      </c>
      <c r="D8" s="11">
        <f>SUM(D6:D7)</f>
        <v>26492</v>
      </c>
      <c r="E8" s="11">
        <f t="shared" ref="E8:H8" si="0">SUM(E6:E7)</f>
        <v>31352</v>
      </c>
      <c r="F8" s="11">
        <f t="shared" si="0"/>
        <v>34857</v>
      </c>
      <c r="G8" s="11">
        <f t="shared" si="0"/>
        <v>37895</v>
      </c>
      <c r="H8" s="11">
        <f t="shared" si="0"/>
        <v>41525</v>
      </c>
    </row>
    <row r="9" spans="3:8" x14ac:dyDescent="0.2">
      <c r="C9" t="s">
        <v>20</v>
      </c>
      <c r="D9" s="17" t="s">
        <v>27</v>
      </c>
      <c r="E9" s="15">
        <f>E8 / D8 -1</f>
        <v>0.18345160803261362</v>
      </c>
      <c r="F9" s="15">
        <f t="shared" ref="F9:H9" si="1">F8 / E8 -1</f>
        <v>0.11179510079101806</v>
      </c>
      <c r="G9" s="15">
        <f t="shared" si="1"/>
        <v>8.7156094902028247E-2</v>
      </c>
      <c r="H9" s="15">
        <f t="shared" si="1"/>
        <v>9.5791001451378754E-2</v>
      </c>
    </row>
    <row r="10" spans="3:8" x14ac:dyDescent="0.2">
      <c r="C10" t="s">
        <v>21</v>
      </c>
      <c r="D10" s="15">
        <f>D6/D8</f>
        <v>0.93073380643213044</v>
      </c>
      <c r="E10" s="15">
        <f t="shared" ref="E10:H10" si="2">E6/E8</f>
        <v>0.92565067619290631</v>
      </c>
      <c r="F10" s="15">
        <f t="shared" si="2"/>
        <v>0.93344235017356625</v>
      </c>
      <c r="G10" s="15">
        <f t="shared" si="2"/>
        <v>0.94152262831508116</v>
      </c>
      <c r="H10" s="15">
        <f t="shared" si="2"/>
        <v>0.94853702588801925</v>
      </c>
    </row>
    <row r="12" spans="3:8" x14ac:dyDescent="0.2">
      <c r="C12" t="s">
        <v>22</v>
      </c>
      <c r="D12" s="13">
        <f>'Raw Actuals'!E2</f>
        <v>5059</v>
      </c>
      <c r="E12" s="13">
        <f>'Raw Actuals'!E3</f>
        <v>5821</v>
      </c>
      <c r="F12" s="13">
        <f>'Raw Actuals'!E4</f>
        <v>6177</v>
      </c>
      <c r="G12" s="13">
        <f>'Raw Actuals'!E5</f>
        <v>6198</v>
      </c>
      <c r="H12" s="13">
        <f>'Raw Actuals'!E6</f>
        <v>6796</v>
      </c>
    </row>
    <row r="13" spans="3:8" x14ac:dyDescent="0.2">
      <c r="C13" t="s">
        <v>23</v>
      </c>
      <c r="D13" s="13">
        <f>'Raw Actuals'!F2</f>
        <v>1967</v>
      </c>
      <c r="E13" s="13">
        <f>'Raw Actuals'!F3</f>
        <v>2539</v>
      </c>
      <c r="F13" s="13">
        <f>'Raw Actuals'!F4</f>
        <v>2364</v>
      </c>
      <c r="G13" s="13">
        <f>'Raw Actuals'!F5</f>
        <v>2445</v>
      </c>
      <c r="H13" s="13">
        <f>'Raw Actuals'!F6</f>
        <v>2474</v>
      </c>
    </row>
    <row r="14" spans="3:8" x14ac:dyDescent="0.2">
      <c r="C14" s="2" t="s">
        <v>24</v>
      </c>
      <c r="D14" s="3">
        <f>SUM(D12:D13)</f>
        <v>7026</v>
      </c>
      <c r="E14" s="3">
        <f t="shared" ref="E14:H14" si="3">SUM(E12:E13)</f>
        <v>8360</v>
      </c>
      <c r="F14" s="3">
        <f t="shared" si="3"/>
        <v>8541</v>
      </c>
      <c r="G14" s="3">
        <f t="shared" si="3"/>
        <v>8643</v>
      </c>
      <c r="H14" s="3">
        <f t="shared" si="3"/>
        <v>9270</v>
      </c>
    </row>
    <row r="15" spans="3:8" x14ac:dyDescent="0.2">
      <c r="C15" s="10" t="s">
        <v>25</v>
      </c>
      <c r="D15" s="11">
        <f>D8-D14</f>
        <v>19466</v>
      </c>
      <c r="E15" s="11">
        <f t="shared" ref="E15:H15" si="4">E8-E14</f>
        <v>22992</v>
      </c>
      <c r="F15" s="11">
        <f t="shared" si="4"/>
        <v>26316</v>
      </c>
      <c r="G15" s="11">
        <f t="shared" si="4"/>
        <v>29252</v>
      </c>
      <c r="H15" s="11">
        <f t="shared" si="4"/>
        <v>32255</v>
      </c>
    </row>
    <row r="16" spans="3:8" x14ac:dyDescent="0.2">
      <c r="C16" t="s">
        <v>26</v>
      </c>
      <c r="D16" s="15">
        <f>D15/D8</f>
        <v>0.7347878604861845</v>
      </c>
      <c r="E16" s="15">
        <f t="shared" ref="E16:H16" si="5">E15/E8</f>
        <v>0.73335034447563152</v>
      </c>
      <c r="F16" s="15">
        <f t="shared" si="5"/>
        <v>0.75497030725535763</v>
      </c>
      <c r="G16" s="15">
        <f t="shared" si="5"/>
        <v>0.77192241720543608</v>
      </c>
      <c r="H16" s="15">
        <f t="shared" si="5"/>
        <v>0.77676098735701382</v>
      </c>
    </row>
    <row r="18" spans="3:8" x14ac:dyDescent="0.2">
      <c r="C18" t="s">
        <v>28</v>
      </c>
      <c r="D18" s="13">
        <f>'Raw Actuals'!G2</f>
        <v>4465</v>
      </c>
      <c r="E18" s="13">
        <f>'Raw Actuals'!G3</f>
        <v>5055</v>
      </c>
      <c r="F18" s="13">
        <f>'Raw Actuals'!G4</f>
        <v>4906</v>
      </c>
      <c r="G18" s="13">
        <f>'Raw Actuals'!G5</f>
        <v>5493</v>
      </c>
      <c r="H18" s="13">
        <f>'Raw Actuals'!G6</f>
        <v>5993</v>
      </c>
    </row>
    <row r="19" spans="3:8" ht="17" x14ac:dyDescent="0.25">
      <c r="C19" t="s">
        <v>29</v>
      </c>
      <c r="D19" s="13">
        <f>'Raw Actuals'!H2</f>
        <v>11855</v>
      </c>
      <c r="E19" s="14">
        <f>'Raw Actuals'!H3</f>
        <v>13526</v>
      </c>
      <c r="F19" s="13">
        <f>'Raw Actuals'!H4</f>
        <v>12877</v>
      </c>
      <c r="G19" s="13">
        <f>'Raw Actuals'!H5</f>
        <v>13257</v>
      </c>
      <c r="H19" s="13">
        <f>'Raw Actuals'!H6</f>
        <v>14345</v>
      </c>
    </row>
    <row r="20" spans="3:8" x14ac:dyDescent="0.2">
      <c r="C20" t="s">
        <v>30</v>
      </c>
      <c r="D20" s="13">
        <f>'Raw Actuals'!I2</f>
        <v>2598</v>
      </c>
      <c r="E20" s="13">
        <f>'Raw Actuals'!I3</f>
        <v>2553</v>
      </c>
      <c r="F20" s="13">
        <f>'Raw Actuals'!I4</f>
        <v>2534</v>
      </c>
      <c r="G20" s="13">
        <f>'Raw Actuals'!I5</f>
        <v>2836</v>
      </c>
      <c r="H20" s="13">
        <f>'Raw Actuals'!I6</f>
        <v>3000</v>
      </c>
    </row>
    <row r="21" spans="3:8" x14ac:dyDescent="0.2">
      <c r="C21" t="s">
        <v>9</v>
      </c>
      <c r="D21" s="13">
        <f>'Raw Actuals'!J2</f>
        <v>0</v>
      </c>
      <c r="E21" s="13">
        <f>'Raw Actuals'!J3</f>
        <v>828</v>
      </c>
      <c r="F21" s="13">
        <f>'Raw Actuals'!J4</f>
        <v>988</v>
      </c>
      <c r="G21" s="13">
        <f>'Raw Actuals'!J5</f>
        <v>461</v>
      </c>
      <c r="H21" s="13">
        <f>'Raw Actuals'!J6</f>
        <v>586</v>
      </c>
    </row>
    <row r="22" spans="3:8" x14ac:dyDescent="0.2">
      <c r="C22" s="2" t="s">
        <v>31</v>
      </c>
      <c r="D22" s="3">
        <f>SUM(D18:D21)</f>
        <v>18918</v>
      </c>
      <c r="E22" s="3">
        <f t="shared" ref="E22:H22" si="6">SUM(E18:E21)</f>
        <v>21962</v>
      </c>
      <c r="F22" s="3">
        <f t="shared" si="6"/>
        <v>21305</v>
      </c>
      <c r="G22" s="3">
        <f t="shared" si="6"/>
        <v>22047</v>
      </c>
      <c r="H22" s="3">
        <f t="shared" si="6"/>
        <v>23924</v>
      </c>
    </row>
    <row r="23" spans="3:8" x14ac:dyDescent="0.2">
      <c r="C23" s="10" t="s">
        <v>32</v>
      </c>
      <c r="D23" s="11">
        <f>D15-D22</f>
        <v>548</v>
      </c>
      <c r="E23" s="11">
        <f t="shared" ref="E23:H23" si="7">E15-E22</f>
        <v>1030</v>
      </c>
      <c r="F23" s="11">
        <f t="shared" si="7"/>
        <v>5011</v>
      </c>
      <c r="G23" s="11">
        <f t="shared" si="7"/>
        <v>7205</v>
      </c>
      <c r="H23" s="11">
        <f t="shared" si="7"/>
        <v>8331</v>
      </c>
    </row>
    <row r="24" spans="3:8" x14ac:dyDescent="0.2">
      <c r="C24" t="s">
        <v>33</v>
      </c>
      <c r="D24" s="15">
        <f>D23/D8</f>
        <v>2.0685489959232976E-2</v>
      </c>
      <c r="E24" s="15">
        <f t="shared" ref="E24:H24" si="8">E23/E8</f>
        <v>3.2852768563409032E-2</v>
      </c>
      <c r="F24" s="15">
        <f t="shared" si="8"/>
        <v>0.14375878589666352</v>
      </c>
      <c r="G24" s="15">
        <f t="shared" si="8"/>
        <v>0.19013062409288825</v>
      </c>
      <c r="H24" s="15">
        <f t="shared" si="8"/>
        <v>0.20062612883804937</v>
      </c>
    </row>
    <row r="26" spans="3:8" x14ac:dyDescent="0.2">
      <c r="C26" t="s">
        <v>35</v>
      </c>
      <c r="D26" s="13" cm="1">
        <f t="array" ref="D26">INDEX('Raw Actuals'!$L$2:$L$6,COLUMNS($D:D))</f>
        <v>1444</v>
      </c>
      <c r="E26" s="13" cm="1">
        <f t="array" ref="E26">INDEX('Raw Actuals'!$L$2:$L$6,COLUMNS($D:E))</f>
        <v>208</v>
      </c>
      <c r="F26" s="13" cm="1">
        <f t="array" ref="F26">INDEX('Raw Actuals'!$L$2:$L$6,COLUMNS($D:F))</f>
        <v>4136</v>
      </c>
      <c r="G26" s="13" cm="1">
        <f t="array" ref="G26">INDEX('Raw Actuals'!$L$2:$L$6,COLUMNS($D:G))</f>
        <v>6197</v>
      </c>
      <c r="H26" s="13" cm="1">
        <f t="array" ref="H26">INDEX('Raw Actuals'!$L$2:$L$6,COLUMNS($D:H))</f>
        <v>7457</v>
      </c>
    </row>
    <row r="27" spans="3:8" x14ac:dyDescent="0.2">
      <c r="D27" s="1"/>
      <c r="E27" s="1"/>
      <c r="F27" s="1"/>
      <c r="G27" s="1"/>
      <c r="H27" s="1"/>
    </row>
    <row r="28" spans="3:8" x14ac:dyDescent="0.2">
      <c r="C28" t="s">
        <v>36</v>
      </c>
      <c r="D28" s="13" cm="1">
        <f t="array" ref="D28">INDEX('Raw Actuals'!$M$2:$M$6,COLUMNS($D:D))</f>
        <v>6000</v>
      </c>
      <c r="E28" s="13" cm="1">
        <f t="array" ref="E28">INDEX('Raw Actuals'!$M$2:$M$6,COLUMNS($D:E))</f>
        <v>7111</v>
      </c>
      <c r="F28" s="13" cm="1">
        <f t="array" ref="F28">INDEX('Raw Actuals'!$M$2:$M$6,COLUMNS($D:F))</f>
        <v>10234</v>
      </c>
      <c r="G28" s="13" cm="1">
        <f t="array" ref="G28">INDEX('Raw Actuals'!$M$2:$M$6,COLUMNS($D:G))</f>
        <v>13092</v>
      </c>
      <c r="H28" s="13" cm="1">
        <f t="array" ref="H28">INDEX('Raw Actuals'!$M$2:$M$6,COLUMNS($D:H))</f>
        <v>14996</v>
      </c>
    </row>
    <row r="29" spans="3:8" x14ac:dyDescent="0.2">
      <c r="C29" t="s">
        <v>37</v>
      </c>
      <c r="D29" s="20" cm="1">
        <f t="array" ref="D29">INDEX('Raw Actuals'!$N$2:$N$6,COLUMNS($D:D))</f>
        <v>717</v>
      </c>
      <c r="E29" s="20" cm="1">
        <f t="array" ref="E29">INDEX('Raw Actuals'!$N$2:$N$6,COLUMNS($D:E))</f>
        <v>798</v>
      </c>
      <c r="F29" s="20" cm="1">
        <f t="array" ref="F29">INDEX('Raw Actuals'!$N$2:$N$6,COLUMNS($D:F))</f>
        <v>736</v>
      </c>
      <c r="G29" s="20" cm="1">
        <f t="array" ref="G29">INDEX('Raw Actuals'!$N$2:$N$6,COLUMNS($D:G))</f>
        <v>658</v>
      </c>
      <c r="H29" s="20" cm="1">
        <f t="array" ref="H29">INDEX('Raw Actuals'!$N$2:$N$6,COLUMNS($D:H))</f>
        <v>594</v>
      </c>
    </row>
    <row r="30" spans="3:8" x14ac:dyDescent="0.2">
      <c r="C30" s="10" t="s">
        <v>38</v>
      </c>
      <c r="D30" s="11">
        <f>D28-D29</f>
        <v>5283</v>
      </c>
      <c r="E30" s="11">
        <f t="shared" ref="E30:H30" si="9">E28-E29</f>
        <v>6313</v>
      </c>
      <c r="F30" s="11">
        <f t="shared" si="9"/>
        <v>9498</v>
      </c>
      <c r="G30" s="11">
        <f t="shared" si="9"/>
        <v>12434</v>
      </c>
      <c r="H30" s="11">
        <f t="shared" si="9"/>
        <v>14402</v>
      </c>
    </row>
    <row r="31" spans="3:8" x14ac:dyDescent="0.2">
      <c r="C31" t="s">
        <v>39</v>
      </c>
      <c r="D31" s="15">
        <f>D30/D8</f>
        <v>0.19941869243545221</v>
      </c>
      <c r="E31" s="15">
        <f t="shared" ref="E31:H31" si="10">E30/E8</f>
        <v>0.20135876499106914</v>
      </c>
      <c r="F31" s="15">
        <f t="shared" si="10"/>
        <v>0.27248472329804629</v>
      </c>
      <c r="G31" s="15">
        <f t="shared" si="10"/>
        <v>0.32811716585301492</v>
      </c>
      <c r="H31" s="15">
        <f t="shared" si="10"/>
        <v>0.34682721252257676</v>
      </c>
    </row>
    <row r="33" spans="3:8" x14ac:dyDescent="0.2">
      <c r="C33" t="s">
        <v>40</v>
      </c>
      <c r="D33" s="13" cm="1">
        <f t="array" ref="D33">INDEX('Raw Actuals'!$O$2:$O$6,COLUMNS($D:D))</f>
        <v>2779</v>
      </c>
      <c r="E33" s="13" cm="1">
        <f t="array" ref="E33">INDEX('Raw Actuals'!$O$2:$O$6,COLUMNS($D:E))</f>
        <v>3279</v>
      </c>
      <c r="F33" s="13" cm="1">
        <f t="array" ref="F33">INDEX('Raw Actuals'!$O$2:$O$6,COLUMNS($D:F))</f>
        <v>2787</v>
      </c>
      <c r="G33" s="13" cm="1">
        <f t="array" ref="G33">INDEX('Raw Actuals'!$O$2:$O$6,COLUMNS($D:G))</f>
        <v>3183</v>
      </c>
      <c r="H33" s="13" cm="1">
        <f t="array" ref="H33">INDEX('Raw Actuals'!$O$2:$O$6,COLUMNS($D:H))</f>
        <v>3509</v>
      </c>
    </row>
    <row r="34" spans="3:8" x14ac:dyDescent="0.2">
      <c r="C34" t="s">
        <v>41</v>
      </c>
      <c r="D34" s="12">
        <f>D33/D8</f>
        <v>0.10489959232975993</v>
      </c>
      <c r="E34" s="12">
        <f t="shared" ref="E34:H34" si="11">E33/E8</f>
        <v>0.10458662924215362</v>
      </c>
      <c r="F34" s="12">
        <f t="shared" si="11"/>
        <v>7.9955245718220158E-2</v>
      </c>
      <c r="G34" s="12">
        <f t="shared" si="11"/>
        <v>8.3995250032985885E-2</v>
      </c>
      <c r="H34" s="12">
        <f t="shared" si="11"/>
        <v>8.4503311258278146E-2</v>
      </c>
    </row>
    <row r="35" spans="3:8" x14ac:dyDescent="0.2">
      <c r="C35" s="10" t="s">
        <v>42</v>
      </c>
      <c r="D35" s="70" t="s">
        <v>27</v>
      </c>
      <c r="E35" s="21">
        <f>E9+E31</f>
        <v>0.38481037302368276</v>
      </c>
      <c r="F35" s="21">
        <f t="shared" ref="F35:H35" si="12">F9+F31</f>
        <v>0.38427982408906436</v>
      </c>
      <c r="G35" s="21">
        <f t="shared" si="12"/>
        <v>0.41527326075504317</v>
      </c>
      <c r="H35" s="21">
        <f t="shared" si="12"/>
        <v>0.44261821397395551</v>
      </c>
    </row>
    <row r="37" spans="3:8" x14ac:dyDescent="0.2">
      <c r="C37" t="s">
        <v>34</v>
      </c>
      <c r="D37" s="18">
        <f>D23-'Raw Actuals'!K2</f>
        <v>0</v>
      </c>
      <c r="E37" s="18">
        <f>E23-'Raw Actuals'!K3</f>
        <v>0</v>
      </c>
      <c r="F37" s="18">
        <f>F23-'Raw Actuals'!K4</f>
        <v>0</v>
      </c>
      <c r="G37" s="18">
        <f>G23-'Raw Actuals'!K5</f>
        <v>0</v>
      </c>
      <c r="H37" s="18">
        <f>H23-'Raw Actuals'!K6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6C0-0939-AC46-89DF-9892150B95BC}">
  <sheetPr>
    <tabColor theme="2" tint="-0.249977111117893"/>
  </sheetPr>
  <dimension ref="A1:O20"/>
  <sheetViews>
    <sheetView workbookViewId="0">
      <pane ySplit="1" topLeftCell="A2" activePane="bottomLeft" state="frozen"/>
      <selection pane="bottomLeft" activeCell="B6" sqref="B6"/>
    </sheetView>
  </sheetViews>
  <sheetFormatPr baseColWidth="10" defaultRowHeight="16" x14ac:dyDescent="0.2"/>
  <cols>
    <col min="1" max="1" width="23.1640625" style="4" customWidth="1"/>
    <col min="2" max="2" width="53" style="4" customWidth="1"/>
    <col min="3" max="13" width="20.33203125" style="4" customWidth="1"/>
    <col min="14" max="14" width="20.83203125" style="4" bestFit="1" customWidth="1"/>
    <col min="15" max="15" width="20.33203125" style="4" customWidth="1"/>
    <col min="16" max="16384" width="10.83203125" style="4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5">
        <v>44592</v>
      </c>
      <c r="B2" s="73" t="s">
        <v>97</v>
      </c>
      <c r="C2" s="6">
        <v>24657</v>
      </c>
      <c r="D2" s="6">
        <v>1835</v>
      </c>
      <c r="E2" s="6">
        <v>5059</v>
      </c>
      <c r="F2" s="6">
        <v>1967</v>
      </c>
      <c r="G2" s="6">
        <v>4465</v>
      </c>
      <c r="H2" s="6">
        <v>11855</v>
      </c>
      <c r="I2" s="6">
        <v>2598</v>
      </c>
      <c r="J2" s="6">
        <v>0</v>
      </c>
      <c r="K2" s="6">
        <v>548</v>
      </c>
      <c r="L2" s="6">
        <v>1444</v>
      </c>
      <c r="M2" s="6">
        <v>6000</v>
      </c>
      <c r="N2" s="6">
        <v>717</v>
      </c>
      <c r="O2" s="6">
        <v>2779</v>
      </c>
    </row>
    <row r="3" spans="1:15" x14ac:dyDescent="0.2">
      <c r="A3" s="7">
        <v>44957</v>
      </c>
      <c r="B3" s="73" t="s">
        <v>98</v>
      </c>
      <c r="C3" s="6">
        <v>29021</v>
      </c>
      <c r="D3" s="6">
        <v>2331</v>
      </c>
      <c r="E3" s="6">
        <v>5821</v>
      </c>
      <c r="F3" s="6">
        <v>2539</v>
      </c>
      <c r="G3" s="6">
        <v>5055</v>
      </c>
      <c r="H3" s="6">
        <v>13526</v>
      </c>
      <c r="I3" s="6">
        <v>2553</v>
      </c>
      <c r="J3" s="6">
        <v>828</v>
      </c>
      <c r="K3" s="6">
        <v>1030</v>
      </c>
      <c r="L3" s="6">
        <v>208</v>
      </c>
      <c r="M3" s="6">
        <v>7111</v>
      </c>
      <c r="N3" s="6">
        <v>798</v>
      </c>
      <c r="O3" s="6">
        <v>3279</v>
      </c>
    </row>
    <row r="4" spans="1:15" x14ac:dyDescent="0.2">
      <c r="A4" s="7">
        <v>45322</v>
      </c>
      <c r="B4" s="73" t="s">
        <v>99</v>
      </c>
      <c r="C4" s="6">
        <v>32537</v>
      </c>
      <c r="D4" s="6">
        <v>2320</v>
      </c>
      <c r="E4" s="6">
        <v>6177</v>
      </c>
      <c r="F4" s="6">
        <v>2364</v>
      </c>
      <c r="G4" s="6">
        <v>4906</v>
      </c>
      <c r="H4" s="6">
        <v>12877</v>
      </c>
      <c r="I4" s="6">
        <v>2534</v>
      </c>
      <c r="J4" s="6">
        <v>988</v>
      </c>
      <c r="K4" s="6">
        <v>5011</v>
      </c>
      <c r="L4" s="6">
        <v>4136</v>
      </c>
      <c r="M4" s="6">
        <v>10234</v>
      </c>
      <c r="N4" s="6">
        <v>736</v>
      </c>
      <c r="O4" s="6">
        <v>2787</v>
      </c>
    </row>
    <row r="5" spans="1:15" x14ac:dyDescent="0.2">
      <c r="A5" s="7">
        <v>45688</v>
      </c>
      <c r="B5" s="73" t="s">
        <v>100</v>
      </c>
      <c r="C5" s="6">
        <v>35679</v>
      </c>
      <c r="D5" s="6">
        <v>2216</v>
      </c>
      <c r="E5" s="6">
        <v>6198</v>
      </c>
      <c r="F5" s="6">
        <v>2445</v>
      </c>
      <c r="G5" s="6">
        <v>5493</v>
      </c>
      <c r="H5" s="6">
        <v>13257</v>
      </c>
      <c r="I5" s="6">
        <v>2836</v>
      </c>
      <c r="J5" s="6">
        <v>461</v>
      </c>
      <c r="K5" s="6">
        <v>7205</v>
      </c>
      <c r="L5" s="6">
        <v>6197</v>
      </c>
      <c r="M5" s="6">
        <v>13092</v>
      </c>
      <c r="N5" s="6">
        <v>658</v>
      </c>
      <c r="O5" s="6">
        <v>3183</v>
      </c>
    </row>
    <row r="6" spans="1:15" x14ac:dyDescent="0.2">
      <c r="A6" s="7">
        <v>46053</v>
      </c>
      <c r="B6" s="73" t="s">
        <v>101</v>
      </c>
      <c r="C6" s="6">
        <v>39388</v>
      </c>
      <c r="D6" s="6">
        <v>2137</v>
      </c>
      <c r="E6" s="6">
        <v>6796</v>
      </c>
      <c r="F6" s="6">
        <v>2474</v>
      </c>
      <c r="G6" s="6">
        <v>5993</v>
      </c>
      <c r="H6" s="6">
        <v>14345</v>
      </c>
      <c r="I6" s="6">
        <v>3000</v>
      </c>
      <c r="J6" s="6">
        <v>586</v>
      </c>
      <c r="K6" s="6">
        <v>8331</v>
      </c>
      <c r="L6" s="6">
        <v>7457</v>
      </c>
      <c r="M6" s="6">
        <v>14996</v>
      </c>
      <c r="N6" s="6">
        <v>594</v>
      </c>
      <c r="O6" s="6">
        <v>3509</v>
      </c>
    </row>
    <row r="9" spans="1:15" x14ac:dyDescent="0.2">
      <c r="A9" s="28" t="s">
        <v>77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</row>
    <row r="10" spans="1:15" x14ac:dyDescent="0.2">
      <c r="A10" s="2" t="s">
        <v>78</v>
      </c>
      <c r="B10" s="46" t="str">
        <f>HYPERLINK("https://www.sec.gov/Archives/edgar/data/1108524/000110852426000060/crm-20260131.htm","Salesforce FY26 Form 10-K")</f>
        <v>Salesforce FY26 Form 10-K</v>
      </c>
    </row>
    <row r="11" spans="1:15" x14ac:dyDescent="0.2">
      <c r="A11" s="2" t="s">
        <v>79</v>
      </c>
      <c r="B11" s="46" t="str">
        <f>HYPERLINK("https://www.sec.gov/Archives/edgar/data/1108524/000110852424000005/crm-20240131.htm","Salesforce FY24 Form 10-K")</f>
        <v>Salesforce FY24 Form 10-K</v>
      </c>
    </row>
    <row r="12" spans="1:15" x14ac:dyDescent="0.2">
      <c r="A12" s="2" t="s">
        <v>80</v>
      </c>
      <c r="B12" s="46" t="str">
        <f>HYPERLINK("https://data.sec.gov/api/xbrl/companyfacts/CIK0001108524.json","Salesforce SEC Companyfacts")</f>
        <v>Salesforce SEC Companyfacts</v>
      </c>
    </row>
    <row r="14" spans="1:15" x14ac:dyDescent="0.2">
      <c r="A14" s="47" t="s">
        <v>81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spans="1:15" ht="17" x14ac:dyDescent="0.2">
      <c r="A15" s="2" t="s">
        <v>38</v>
      </c>
      <c r="B15" s="48" t="s">
        <v>82</v>
      </c>
    </row>
    <row r="16" spans="1:15" ht="17" x14ac:dyDescent="0.2">
      <c r="A16" s="2" t="s">
        <v>39</v>
      </c>
      <c r="B16" s="48" t="s">
        <v>83</v>
      </c>
    </row>
    <row r="17" spans="1:2" ht="15" customHeight="1" x14ac:dyDescent="0.2">
      <c r="A17" s="2" t="s">
        <v>42</v>
      </c>
      <c r="B17" s="48" t="s">
        <v>84</v>
      </c>
    </row>
    <row r="18" spans="1:2" ht="31" customHeight="1" x14ac:dyDescent="0.2">
      <c r="A18" s="49" t="s">
        <v>85</v>
      </c>
      <c r="B18" s="48" t="s">
        <v>86</v>
      </c>
    </row>
    <row r="19" spans="1:2" ht="17" x14ac:dyDescent="0.2">
      <c r="A19" s="2" t="s">
        <v>87</v>
      </c>
      <c r="B19" s="48" t="s">
        <v>88</v>
      </c>
    </row>
    <row r="20" spans="1:2" ht="51" x14ac:dyDescent="0.2">
      <c r="A20" s="49" t="s">
        <v>90</v>
      </c>
      <c r="B20" s="48" t="s">
        <v>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349E18-7614-DF47-8F0F-3162538C7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Summary</vt:lpstr>
      <vt:lpstr>Assumptions</vt:lpstr>
      <vt:lpstr>Forecast</vt:lpstr>
      <vt:lpstr>Actuals</vt:lpstr>
      <vt:lpstr>Raw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Eisen Hy</dc:creator>
  <cp:lastModifiedBy>Eisen Hy</cp:lastModifiedBy>
  <dcterms:created xsi:type="dcterms:W3CDTF">2026-09-18T21:25:10Z</dcterms:created>
  <dcterms:modified xsi:type="dcterms:W3CDTF">2026-09-26T08:15:34Z</dcterms:modified>
</cp:coreProperties>
</file>