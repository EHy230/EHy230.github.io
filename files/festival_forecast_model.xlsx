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cdon\Downloads\Case n' portfolio\Part 1\"/>
    </mc:Choice>
  </mc:AlternateContent>
  <xr:revisionPtr revIDLastSave="0" documentId="13_ncr:1_{830F9B81-ABD7-49B8-836D-49158503DF41}" xr6:coauthVersionLast="47" xr6:coauthVersionMax="47" xr10:uidLastSave="{00000000-0000-0000-0000-000000000000}"/>
  <bookViews>
    <workbookView xWindow="-120" yWindow="-120" windowWidth="29040" windowHeight="15720" tabRatio="500" activeTab="3" xr2:uid="{00000000-000D-0000-FFFF-FFFF00000000}"/>
  </bookViews>
  <sheets>
    <sheet name="README" sheetId="1" r:id="rId1"/>
    <sheet name="Summary" sheetId="2" r:id="rId2"/>
    <sheet name="Data" sheetId="3" r:id="rId3"/>
    <sheet name="Trend_Models" sheetId="4" r:id="rId4"/>
    <sheet name="Backtest" sheetId="5" r:id="rId5"/>
    <sheet name="Assumptions" sheetId="6" r:id="rId6"/>
    <sheet name="Forecast" sheetId="7" r:id="rId7"/>
    <sheet name="MonteCarlo"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013" i="8" l="1"/>
  <c r="K1013" i="8" s="1"/>
  <c r="E1013" i="8"/>
  <c r="J1013" i="8" s="1"/>
  <c r="D1013" i="8"/>
  <c r="I1013" i="8" s="1"/>
  <c r="C1013" i="8"/>
  <c r="H1013" i="8" s="1"/>
  <c r="B1013" i="8"/>
  <c r="F1012" i="8"/>
  <c r="K1012" i="8" s="1"/>
  <c r="E1012" i="8"/>
  <c r="J1012" i="8" s="1"/>
  <c r="D1012" i="8"/>
  <c r="I1012" i="8" s="1"/>
  <c r="C1012" i="8"/>
  <c r="H1012" i="8" s="1"/>
  <c r="B1012" i="8"/>
  <c r="F1011" i="8"/>
  <c r="K1011" i="8" s="1"/>
  <c r="E1011" i="8"/>
  <c r="J1011" i="8" s="1"/>
  <c r="D1011" i="8"/>
  <c r="I1011" i="8" s="1"/>
  <c r="C1011" i="8"/>
  <c r="H1011" i="8" s="1"/>
  <c r="B1011" i="8"/>
  <c r="F1010" i="8"/>
  <c r="K1010" i="8" s="1"/>
  <c r="E1010" i="8"/>
  <c r="J1010" i="8" s="1"/>
  <c r="D1010" i="8"/>
  <c r="I1010" i="8" s="1"/>
  <c r="C1010" i="8"/>
  <c r="H1010" i="8" s="1"/>
  <c r="B1010" i="8"/>
  <c r="F1009" i="8"/>
  <c r="K1009" i="8" s="1"/>
  <c r="E1009" i="8"/>
  <c r="J1009" i="8" s="1"/>
  <c r="D1009" i="8"/>
  <c r="I1009" i="8" s="1"/>
  <c r="C1009" i="8"/>
  <c r="H1009" i="8" s="1"/>
  <c r="B1009" i="8"/>
  <c r="F1008" i="8"/>
  <c r="K1008" i="8" s="1"/>
  <c r="E1008" i="8"/>
  <c r="J1008" i="8" s="1"/>
  <c r="D1008" i="8"/>
  <c r="I1008" i="8" s="1"/>
  <c r="C1008" i="8"/>
  <c r="H1008" i="8" s="1"/>
  <c r="B1008" i="8"/>
  <c r="F1007" i="8"/>
  <c r="K1007" i="8" s="1"/>
  <c r="E1007" i="8"/>
  <c r="J1007" i="8" s="1"/>
  <c r="D1007" i="8"/>
  <c r="I1007" i="8" s="1"/>
  <c r="C1007" i="8"/>
  <c r="H1007" i="8" s="1"/>
  <c r="B1007" i="8"/>
  <c r="F1006" i="8"/>
  <c r="K1006" i="8" s="1"/>
  <c r="E1006" i="8"/>
  <c r="J1006" i="8" s="1"/>
  <c r="D1006" i="8"/>
  <c r="I1006" i="8" s="1"/>
  <c r="C1006" i="8"/>
  <c r="H1006" i="8" s="1"/>
  <c r="B1006" i="8"/>
  <c r="F1005" i="8"/>
  <c r="K1005" i="8" s="1"/>
  <c r="E1005" i="8"/>
  <c r="J1005" i="8" s="1"/>
  <c r="D1005" i="8"/>
  <c r="I1005" i="8" s="1"/>
  <c r="C1005" i="8"/>
  <c r="H1005" i="8" s="1"/>
  <c r="B1005" i="8"/>
  <c r="F1004" i="8"/>
  <c r="K1004" i="8" s="1"/>
  <c r="E1004" i="8"/>
  <c r="J1004" i="8" s="1"/>
  <c r="D1004" i="8"/>
  <c r="I1004" i="8" s="1"/>
  <c r="C1004" i="8"/>
  <c r="H1004" i="8" s="1"/>
  <c r="B1004" i="8"/>
  <c r="F1003" i="8"/>
  <c r="K1003" i="8" s="1"/>
  <c r="E1003" i="8"/>
  <c r="J1003" i="8" s="1"/>
  <c r="D1003" i="8"/>
  <c r="I1003" i="8" s="1"/>
  <c r="C1003" i="8"/>
  <c r="H1003" i="8" s="1"/>
  <c r="B1003" i="8"/>
  <c r="F1002" i="8"/>
  <c r="K1002" i="8" s="1"/>
  <c r="E1002" i="8"/>
  <c r="J1002" i="8" s="1"/>
  <c r="D1002" i="8"/>
  <c r="I1002" i="8" s="1"/>
  <c r="C1002" i="8"/>
  <c r="H1002" i="8" s="1"/>
  <c r="B1002" i="8"/>
  <c r="F1001" i="8"/>
  <c r="K1001" i="8" s="1"/>
  <c r="E1001" i="8"/>
  <c r="J1001" i="8" s="1"/>
  <c r="D1001" i="8"/>
  <c r="I1001" i="8" s="1"/>
  <c r="C1001" i="8"/>
  <c r="H1001" i="8" s="1"/>
  <c r="B1001" i="8"/>
  <c r="F1000" i="8"/>
  <c r="K1000" i="8" s="1"/>
  <c r="E1000" i="8"/>
  <c r="J1000" i="8" s="1"/>
  <c r="D1000" i="8"/>
  <c r="I1000" i="8" s="1"/>
  <c r="C1000" i="8"/>
  <c r="H1000" i="8" s="1"/>
  <c r="B1000" i="8"/>
  <c r="F999" i="8"/>
  <c r="K999" i="8" s="1"/>
  <c r="E999" i="8"/>
  <c r="J999" i="8" s="1"/>
  <c r="D999" i="8"/>
  <c r="I999" i="8" s="1"/>
  <c r="C999" i="8"/>
  <c r="H999" i="8" s="1"/>
  <c r="B999" i="8"/>
  <c r="F998" i="8"/>
  <c r="K998" i="8" s="1"/>
  <c r="E998" i="8"/>
  <c r="J998" i="8" s="1"/>
  <c r="D998" i="8"/>
  <c r="I998" i="8" s="1"/>
  <c r="C998" i="8"/>
  <c r="H998" i="8" s="1"/>
  <c r="B998" i="8"/>
  <c r="F997" i="8"/>
  <c r="K997" i="8" s="1"/>
  <c r="E997" i="8"/>
  <c r="J997" i="8" s="1"/>
  <c r="D997" i="8"/>
  <c r="I997" i="8" s="1"/>
  <c r="C997" i="8"/>
  <c r="H997" i="8" s="1"/>
  <c r="B997" i="8"/>
  <c r="F996" i="8"/>
  <c r="K996" i="8" s="1"/>
  <c r="E996" i="8"/>
  <c r="J996" i="8" s="1"/>
  <c r="D996" i="8"/>
  <c r="I996" i="8" s="1"/>
  <c r="C996" i="8"/>
  <c r="H996" i="8" s="1"/>
  <c r="B996" i="8"/>
  <c r="F995" i="8"/>
  <c r="K995" i="8" s="1"/>
  <c r="E995" i="8"/>
  <c r="J995" i="8" s="1"/>
  <c r="D995" i="8"/>
  <c r="I995" i="8" s="1"/>
  <c r="C995" i="8"/>
  <c r="H995" i="8" s="1"/>
  <c r="B995" i="8"/>
  <c r="F994" i="8"/>
  <c r="K994" i="8" s="1"/>
  <c r="E994" i="8"/>
  <c r="J994" i="8" s="1"/>
  <c r="D994" i="8"/>
  <c r="I994" i="8" s="1"/>
  <c r="C994" i="8"/>
  <c r="H994" i="8" s="1"/>
  <c r="B994" i="8"/>
  <c r="F993" i="8"/>
  <c r="K993" i="8" s="1"/>
  <c r="E993" i="8"/>
  <c r="J993" i="8" s="1"/>
  <c r="D993" i="8"/>
  <c r="I993" i="8" s="1"/>
  <c r="C993" i="8"/>
  <c r="H993" i="8" s="1"/>
  <c r="B993" i="8"/>
  <c r="F992" i="8"/>
  <c r="K992" i="8" s="1"/>
  <c r="E992" i="8"/>
  <c r="J992" i="8" s="1"/>
  <c r="D992" i="8"/>
  <c r="I992" i="8" s="1"/>
  <c r="C992" i="8"/>
  <c r="H992" i="8" s="1"/>
  <c r="B992" i="8"/>
  <c r="F991" i="8"/>
  <c r="K991" i="8" s="1"/>
  <c r="E991" i="8"/>
  <c r="J991" i="8" s="1"/>
  <c r="D991" i="8"/>
  <c r="I991" i="8" s="1"/>
  <c r="C991" i="8"/>
  <c r="H991" i="8" s="1"/>
  <c r="B991" i="8"/>
  <c r="F990" i="8"/>
  <c r="K990" i="8" s="1"/>
  <c r="E990" i="8"/>
  <c r="J990" i="8" s="1"/>
  <c r="D990" i="8"/>
  <c r="I990" i="8" s="1"/>
  <c r="C990" i="8"/>
  <c r="H990" i="8" s="1"/>
  <c r="B990" i="8"/>
  <c r="F989" i="8"/>
  <c r="K989" i="8" s="1"/>
  <c r="E989" i="8"/>
  <c r="J989" i="8" s="1"/>
  <c r="D989" i="8"/>
  <c r="I989" i="8" s="1"/>
  <c r="C989" i="8"/>
  <c r="H989" i="8" s="1"/>
  <c r="B989" i="8"/>
  <c r="F988" i="8"/>
  <c r="K988" i="8" s="1"/>
  <c r="E988" i="8"/>
  <c r="J988" i="8" s="1"/>
  <c r="D988" i="8"/>
  <c r="I988" i="8" s="1"/>
  <c r="C988" i="8"/>
  <c r="H988" i="8" s="1"/>
  <c r="B988" i="8"/>
  <c r="F987" i="8"/>
  <c r="K987" i="8" s="1"/>
  <c r="E987" i="8"/>
  <c r="J987" i="8" s="1"/>
  <c r="D987" i="8"/>
  <c r="I987" i="8" s="1"/>
  <c r="C987" i="8"/>
  <c r="H987" i="8" s="1"/>
  <c r="B987" i="8"/>
  <c r="F986" i="8"/>
  <c r="K986" i="8" s="1"/>
  <c r="E986" i="8"/>
  <c r="J986" i="8" s="1"/>
  <c r="D986" i="8"/>
  <c r="I986" i="8" s="1"/>
  <c r="C986" i="8"/>
  <c r="H986" i="8" s="1"/>
  <c r="B986" i="8"/>
  <c r="F985" i="8"/>
  <c r="K985" i="8" s="1"/>
  <c r="E985" i="8"/>
  <c r="J985" i="8" s="1"/>
  <c r="D985" i="8"/>
  <c r="I985" i="8" s="1"/>
  <c r="C985" i="8"/>
  <c r="H985" i="8" s="1"/>
  <c r="B985" i="8"/>
  <c r="F984" i="8"/>
  <c r="K984" i="8" s="1"/>
  <c r="E984" i="8"/>
  <c r="J984" i="8" s="1"/>
  <c r="D984" i="8"/>
  <c r="I984" i="8" s="1"/>
  <c r="C984" i="8"/>
  <c r="H984" i="8" s="1"/>
  <c r="B984" i="8"/>
  <c r="F983" i="8"/>
  <c r="K983" i="8" s="1"/>
  <c r="E983" i="8"/>
  <c r="J983" i="8" s="1"/>
  <c r="D983" i="8"/>
  <c r="I983" i="8" s="1"/>
  <c r="C983" i="8"/>
  <c r="H983" i="8" s="1"/>
  <c r="B983" i="8"/>
  <c r="F982" i="8"/>
  <c r="K982" i="8" s="1"/>
  <c r="E982" i="8"/>
  <c r="J982" i="8" s="1"/>
  <c r="D982" i="8"/>
  <c r="I982" i="8" s="1"/>
  <c r="C982" i="8"/>
  <c r="H982" i="8" s="1"/>
  <c r="B982" i="8"/>
  <c r="F981" i="8"/>
  <c r="K981" i="8" s="1"/>
  <c r="E981" i="8"/>
  <c r="J981" i="8" s="1"/>
  <c r="D981" i="8"/>
  <c r="I981" i="8" s="1"/>
  <c r="C981" i="8"/>
  <c r="H981" i="8" s="1"/>
  <c r="B981" i="8"/>
  <c r="F980" i="8"/>
  <c r="K980" i="8" s="1"/>
  <c r="E980" i="8"/>
  <c r="J980" i="8" s="1"/>
  <c r="D980" i="8"/>
  <c r="I980" i="8" s="1"/>
  <c r="C980" i="8"/>
  <c r="H980" i="8" s="1"/>
  <c r="B980" i="8"/>
  <c r="F979" i="8"/>
  <c r="K979" i="8" s="1"/>
  <c r="E979" i="8"/>
  <c r="J979" i="8" s="1"/>
  <c r="D979" i="8"/>
  <c r="I979" i="8" s="1"/>
  <c r="C979" i="8"/>
  <c r="H979" i="8" s="1"/>
  <c r="B979" i="8"/>
  <c r="F978" i="8"/>
  <c r="K978" i="8" s="1"/>
  <c r="E978" i="8"/>
  <c r="J978" i="8" s="1"/>
  <c r="D978" i="8"/>
  <c r="I978" i="8" s="1"/>
  <c r="C978" i="8"/>
  <c r="H978" i="8" s="1"/>
  <c r="B978" i="8"/>
  <c r="F977" i="8"/>
  <c r="K977" i="8" s="1"/>
  <c r="E977" i="8"/>
  <c r="J977" i="8" s="1"/>
  <c r="D977" i="8"/>
  <c r="I977" i="8" s="1"/>
  <c r="C977" i="8"/>
  <c r="H977" i="8" s="1"/>
  <c r="B977" i="8"/>
  <c r="F976" i="8"/>
  <c r="K976" i="8" s="1"/>
  <c r="E976" i="8"/>
  <c r="J976" i="8" s="1"/>
  <c r="D976" i="8"/>
  <c r="I976" i="8" s="1"/>
  <c r="C976" i="8"/>
  <c r="H976" i="8" s="1"/>
  <c r="B976" i="8"/>
  <c r="F975" i="8"/>
  <c r="K975" i="8" s="1"/>
  <c r="E975" i="8"/>
  <c r="J975" i="8" s="1"/>
  <c r="D975" i="8"/>
  <c r="I975" i="8" s="1"/>
  <c r="C975" i="8"/>
  <c r="H975" i="8" s="1"/>
  <c r="B975" i="8"/>
  <c r="F974" i="8"/>
  <c r="K974" i="8" s="1"/>
  <c r="E974" i="8"/>
  <c r="J974" i="8" s="1"/>
  <c r="D974" i="8"/>
  <c r="I974" i="8" s="1"/>
  <c r="C974" i="8"/>
  <c r="H974" i="8" s="1"/>
  <c r="B974" i="8"/>
  <c r="F973" i="8"/>
  <c r="K973" i="8" s="1"/>
  <c r="E973" i="8"/>
  <c r="J973" i="8" s="1"/>
  <c r="D973" i="8"/>
  <c r="I973" i="8" s="1"/>
  <c r="C973" i="8"/>
  <c r="H973" i="8" s="1"/>
  <c r="B973" i="8"/>
  <c r="F972" i="8"/>
  <c r="K972" i="8" s="1"/>
  <c r="E972" i="8"/>
  <c r="J972" i="8" s="1"/>
  <c r="D972" i="8"/>
  <c r="I972" i="8" s="1"/>
  <c r="C972" i="8"/>
  <c r="H972" i="8" s="1"/>
  <c r="B972" i="8"/>
  <c r="F971" i="8"/>
  <c r="K971" i="8" s="1"/>
  <c r="E971" i="8"/>
  <c r="J971" i="8" s="1"/>
  <c r="D971" i="8"/>
  <c r="I971" i="8" s="1"/>
  <c r="C971" i="8"/>
  <c r="H971" i="8" s="1"/>
  <c r="B971" i="8"/>
  <c r="F970" i="8"/>
  <c r="K970" i="8" s="1"/>
  <c r="E970" i="8"/>
  <c r="J970" i="8" s="1"/>
  <c r="D970" i="8"/>
  <c r="I970" i="8" s="1"/>
  <c r="C970" i="8"/>
  <c r="H970" i="8" s="1"/>
  <c r="B970" i="8"/>
  <c r="F969" i="8"/>
  <c r="K969" i="8" s="1"/>
  <c r="E969" i="8"/>
  <c r="J969" i="8" s="1"/>
  <c r="D969" i="8"/>
  <c r="I969" i="8" s="1"/>
  <c r="C969" i="8"/>
  <c r="H969" i="8" s="1"/>
  <c r="B969" i="8"/>
  <c r="F968" i="8"/>
  <c r="K968" i="8" s="1"/>
  <c r="E968" i="8"/>
  <c r="J968" i="8" s="1"/>
  <c r="D968" i="8"/>
  <c r="I968" i="8" s="1"/>
  <c r="C968" i="8"/>
  <c r="H968" i="8" s="1"/>
  <c r="B968" i="8"/>
  <c r="F967" i="8"/>
  <c r="K967" i="8" s="1"/>
  <c r="E967" i="8"/>
  <c r="J967" i="8" s="1"/>
  <c r="D967" i="8"/>
  <c r="I967" i="8" s="1"/>
  <c r="C967" i="8"/>
  <c r="H967" i="8" s="1"/>
  <c r="B967" i="8"/>
  <c r="F966" i="8"/>
  <c r="K966" i="8" s="1"/>
  <c r="E966" i="8"/>
  <c r="J966" i="8" s="1"/>
  <c r="D966" i="8"/>
  <c r="I966" i="8" s="1"/>
  <c r="C966" i="8"/>
  <c r="H966" i="8" s="1"/>
  <c r="B966" i="8"/>
  <c r="F965" i="8"/>
  <c r="K965" i="8" s="1"/>
  <c r="E965" i="8"/>
  <c r="J965" i="8" s="1"/>
  <c r="D965" i="8"/>
  <c r="I965" i="8" s="1"/>
  <c r="C965" i="8"/>
  <c r="H965" i="8" s="1"/>
  <c r="B965" i="8"/>
  <c r="F964" i="8"/>
  <c r="K964" i="8" s="1"/>
  <c r="E964" i="8"/>
  <c r="J964" i="8" s="1"/>
  <c r="D964" i="8"/>
  <c r="I964" i="8" s="1"/>
  <c r="C964" i="8"/>
  <c r="H964" i="8" s="1"/>
  <c r="B964" i="8"/>
  <c r="F963" i="8"/>
  <c r="K963" i="8" s="1"/>
  <c r="E963" i="8"/>
  <c r="J963" i="8" s="1"/>
  <c r="D963" i="8"/>
  <c r="I963" i="8" s="1"/>
  <c r="C963" i="8"/>
  <c r="H963" i="8" s="1"/>
  <c r="B963" i="8"/>
  <c r="F962" i="8"/>
  <c r="K962" i="8" s="1"/>
  <c r="E962" i="8"/>
  <c r="J962" i="8" s="1"/>
  <c r="D962" i="8"/>
  <c r="I962" i="8" s="1"/>
  <c r="C962" i="8"/>
  <c r="H962" i="8" s="1"/>
  <c r="B962" i="8"/>
  <c r="F961" i="8"/>
  <c r="K961" i="8" s="1"/>
  <c r="E961" i="8"/>
  <c r="J961" i="8" s="1"/>
  <c r="D961" i="8"/>
  <c r="I961" i="8" s="1"/>
  <c r="C961" i="8"/>
  <c r="H961" i="8" s="1"/>
  <c r="B961" i="8"/>
  <c r="F960" i="8"/>
  <c r="K960" i="8" s="1"/>
  <c r="E960" i="8"/>
  <c r="J960" i="8" s="1"/>
  <c r="D960" i="8"/>
  <c r="I960" i="8" s="1"/>
  <c r="C960" i="8"/>
  <c r="H960" i="8" s="1"/>
  <c r="B960" i="8"/>
  <c r="F959" i="8"/>
  <c r="K959" i="8" s="1"/>
  <c r="E959" i="8"/>
  <c r="J959" i="8" s="1"/>
  <c r="D959" i="8"/>
  <c r="I959" i="8" s="1"/>
  <c r="C959" i="8"/>
  <c r="H959" i="8" s="1"/>
  <c r="B959" i="8"/>
  <c r="F958" i="8"/>
  <c r="K958" i="8" s="1"/>
  <c r="E958" i="8"/>
  <c r="J958" i="8" s="1"/>
  <c r="D958" i="8"/>
  <c r="I958" i="8" s="1"/>
  <c r="C958" i="8"/>
  <c r="H958" i="8" s="1"/>
  <c r="B958" i="8"/>
  <c r="F957" i="8"/>
  <c r="K957" i="8" s="1"/>
  <c r="E957" i="8"/>
  <c r="J957" i="8" s="1"/>
  <c r="D957" i="8"/>
  <c r="I957" i="8" s="1"/>
  <c r="C957" i="8"/>
  <c r="H957" i="8" s="1"/>
  <c r="B957" i="8"/>
  <c r="F956" i="8"/>
  <c r="K956" i="8" s="1"/>
  <c r="E956" i="8"/>
  <c r="J956" i="8" s="1"/>
  <c r="D956" i="8"/>
  <c r="I956" i="8" s="1"/>
  <c r="C956" i="8"/>
  <c r="H956" i="8" s="1"/>
  <c r="B956" i="8"/>
  <c r="F955" i="8"/>
  <c r="K955" i="8" s="1"/>
  <c r="E955" i="8"/>
  <c r="J955" i="8" s="1"/>
  <c r="D955" i="8"/>
  <c r="I955" i="8" s="1"/>
  <c r="C955" i="8"/>
  <c r="H955" i="8" s="1"/>
  <c r="B955" i="8"/>
  <c r="F954" i="8"/>
  <c r="K954" i="8" s="1"/>
  <c r="E954" i="8"/>
  <c r="J954" i="8" s="1"/>
  <c r="D954" i="8"/>
  <c r="I954" i="8" s="1"/>
  <c r="C954" i="8"/>
  <c r="H954" i="8" s="1"/>
  <c r="B954" i="8"/>
  <c r="F953" i="8"/>
  <c r="K953" i="8" s="1"/>
  <c r="E953" i="8"/>
  <c r="J953" i="8" s="1"/>
  <c r="D953" i="8"/>
  <c r="I953" i="8" s="1"/>
  <c r="C953" i="8"/>
  <c r="H953" i="8" s="1"/>
  <c r="B953" i="8"/>
  <c r="F952" i="8"/>
  <c r="K952" i="8" s="1"/>
  <c r="E952" i="8"/>
  <c r="J952" i="8" s="1"/>
  <c r="D952" i="8"/>
  <c r="I952" i="8" s="1"/>
  <c r="C952" i="8"/>
  <c r="H952" i="8" s="1"/>
  <c r="B952" i="8"/>
  <c r="F951" i="8"/>
  <c r="K951" i="8" s="1"/>
  <c r="E951" i="8"/>
  <c r="J951" i="8" s="1"/>
  <c r="D951" i="8"/>
  <c r="I951" i="8" s="1"/>
  <c r="C951" i="8"/>
  <c r="H951" i="8" s="1"/>
  <c r="B951" i="8"/>
  <c r="F950" i="8"/>
  <c r="K950" i="8" s="1"/>
  <c r="E950" i="8"/>
  <c r="J950" i="8" s="1"/>
  <c r="D950" i="8"/>
  <c r="I950" i="8" s="1"/>
  <c r="C950" i="8"/>
  <c r="H950" i="8" s="1"/>
  <c r="B950" i="8"/>
  <c r="F949" i="8"/>
  <c r="K949" i="8" s="1"/>
  <c r="E949" i="8"/>
  <c r="J949" i="8" s="1"/>
  <c r="D949" i="8"/>
  <c r="I949" i="8" s="1"/>
  <c r="C949" i="8"/>
  <c r="H949" i="8" s="1"/>
  <c r="B949" i="8"/>
  <c r="F948" i="8"/>
  <c r="K948" i="8" s="1"/>
  <c r="E948" i="8"/>
  <c r="J948" i="8" s="1"/>
  <c r="D948" i="8"/>
  <c r="I948" i="8" s="1"/>
  <c r="C948" i="8"/>
  <c r="H948" i="8" s="1"/>
  <c r="B948" i="8"/>
  <c r="F947" i="8"/>
  <c r="K947" i="8" s="1"/>
  <c r="E947" i="8"/>
  <c r="J947" i="8" s="1"/>
  <c r="D947" i="8"/>
  <c r="I947" i="8" s="1"/>
  <c r="C947" i="8"/>
  <c r="H947" i="8" s="1"/>
  <c r="B947" i="8"/>
  <c r="F946" i="8"/>
  <c r="K946" i="8" s="1"/>
  <c r="E946" i="8"/>
  <c r="J946" i="8" s="1"/>
  <c r="D946" i="8"/>
  <c r="I946" i="8" s="1"/>
  <c r="C946" i="8"/>
  <c r="H946" i="8" s="1"/>
  <c r="B946" i="8"/>
  <c r="F945" i="8"/>
  <c r="K945" i="8" s="1"/>
  <c r="E945" i="8"/>
  <c r="J945" i="8" s="1"/>
  <c r="D945" i="8"/>
  <c r="I945" i="8" s="1"/>
  <c r="C945" i="8"/>
  <c r="H945" i="8" s="1"/>
  <c r="B945" i="8"/>
  <c r="F944" i="8"/>
  <c r="K944" i="8" s="1"/>
  <c r="E944" i="8"/>
  <c r="J944" i="8" s="1"/>
  <c r="D944" i="8"/>
  <c r="I944" i="8" s="1"/>
  <c r="C944" i="8"/>
  <c r="H944" i="8" s="1"/>
  <c r="B944" i="8"/>
  <c r="F943" i="8"/>
  <c r="K943" i="8" s="1"/>
  <c r="E943" i="8"/>
  <c r="J943" i="8" s="1"/>
  <c r="D943" i="8"/>
  <c r="I943" i="8" s="1"/>
  <c r="C943" i="8"/>
  <c r="H943" i="8" s="1"/>
  <c r="B943" i="8"/>
  <c r="F942" i="8"/>
  <c r="K942" i="8" s="1"/>
  <c r="E942" i="8"/>
  <c r="J942" i="8" s="1"/>
  <c r="D942" i="8"/>
  <c r="I942" i="8" s="1"/>
  <c r="C942" i="8"/>
  <c r="H942" i="8" s="1"/>
  <c r="B942" i="8"/>
  <c r="F941" i="8"/>
  <c r="K941" i="8" s="1"/>
  <c r="E941" i="8"/>
  <c r="J941" i="8" s="1"/>
  <c r="D941" i="8"/>
  <c r="I941" i="8" s="1"/>
  <c r="C941" i="8"/>
  <c r="H941" i="8" s="1"/>
  <c r="B941" i="8"/>
  <c r="F940" i="8"/>
  <c r="K940" i="8" s="1"/>
  <c r="E940" i="8"/>
  <c r="J940" i="8" s="1"/>
  <c r="D940" i="8"/>
  <c r="I940" i="8" s="1"/>
  <c r="C940" i="8"/>
  <c r="H940" i="8" s="1"/>
  <c r="B940" i="8"/>
  <c r="F939" i="8"/>
  <c r="K939" i="8" s="1"/>
  <c r="E939" i="8"/>
  <c r="J939" i="8" s="1"/>
  <c r="D939" i="8"/>
  <c r="I939" i="8" s="1"/>
  <c r="C939" i="8"/>
  <c r="H939" i="8" s="1"/>
  <c r="B939" i="8"/>
  <c r="F938" i="8"/>
  <c r="K938" i="8" s="1"/>
  <c r="E938" i="8"/>
  <c r="J938" i="8" s="1"/>
  <c r="D938" i="8"/>
  <c r="I938" i="8" s="1"/>
  <c r="C938" i="8"/>
  <c r="H938" i="8" s="1"/>
  <c r="B938" i="8"/>
  <c r="F937" i="8"/>
  <c r="K937" i="8" s="1"/>
  <c r="E937" i="8"/>
  <c r="J937" i="8" s="1"/>
  <c r="D937" i="8"/>
  <c r="I937" i="8" s="1"/>
  <c r="C937" i="8"/>
  <c r="H937" i="8" s="1"/>
  <c r="B937" i="8"/>
  <c r="F936" i="8"/>
  <c r="K936" i="8" s="1"/>
  <c r="E936" i="8"/>
  <c r="J936" i="8" s="1"/>
  <c r="D936" i="8"/>
  <c r="I936" i="8" s="1"/>
  <c r="C936" i="8"/>
  <c r="H936" i="8" s="1"/>
  <c r="B936" i="8"/>
  <c r="F935" i="8"/>
  <c r="K935" i="8" s="1"/>
  <c r="E935" i="8"/>
  <c r="J935" i="8" s="1"/>
  <c r="D935" i="8"/>
  <c r="I935" i="8" s="1"/>
  <c r="C935" i="8"/>
  <c r="H935" i="8" s="1"/>
  <c r="B935" i="8"/>
  <c r="F934" i="8"/>
  <c r="K934" i="8" s="1"/>
  <c r="E934" i="8"/>
  <c r="J934" i="8" s="1"/>
  <c r="D934" i="8"/>
  <c r="I934" i="8" s="1"/>
  <c r="C934" i="8"/>
  <c r="H934" i="8" s="1"/>
  <c r="B934" i="8"/>
  <c r="F933" i="8"/>
  <c r="K933" i="8" s="1"/>
  <c r="E933" i="8"/>
  <c r="J933" i="8" s="1"/>
  <c r="D933" i="8"/>
  <c r="I933" i="8" s="1"/>
  <c r="C933" i="8"/>
  <c r="H933" i="8" s="1"/>
  <c r="B933" i="8"/>
  <c r="F932" i="8"/>
  <c r="K932" i="8" s="1"/>
  <c r="E932" i="8"/>
  <c r="J932" i="8" s="1"/>
  <c r="D932" i="8"/>
  <c r="I932" i="8" s="1"/>
  <c r="C932" i="8"/>
  <c r="H932" i="8" s="1"/>
  <c r="B932" i="8"/>
  <c r="F931" i="8"/>
  <c r="K931" i="8" s="1"/>
  <c r="E931" i="8"/>
  <c r="J931" i="8" s="1"/>
  <c r="D931" i="8"/>
  <c r="I931" i="8" s="1"/>
  <c r="C931" i="8"/>
  <c r="H931" i="8" s="1"/>
  <c r="B931" i="8"/>
  <c r="F930" i="8"/>
  <c r="K930" i="8" s="1"/>
  <c r="E930" i="8"/>
  <c r="J930" i="8" s="1"/>
  <c r="D930" i="8"/>
  <c r="I930" i="8" s="1"/>
  <c r="C930" i="8"/>
  <c r="H930" i="8" s="1"/>
  <c r="B930" i="8"/>
  <c r="F929" i="8"/>
  <c r="K929" i="8" s="1"/>
  <c r="E929" i="8"/>
  <c r="J929" i="8" s="1"/>
  <c r="D929" i="8"/>
  <c r="I929" i="8" s="1"/>
  <c r="C929" i="8"/>
  <c r="H929" i="8" s="1"/>
  <c r="B929" i="8"/>
  <c r="F928" i="8"/>
  <c r="K928" i="8" s="1"/>
  <c r="E928" i="8"/>
  <c r="J928" i="8" s="1"/>
  <c r="D928" i="8"/>
  <c r="I928" i="8" s="1"/>
  <c r="C928" i="8"/>
  <c r="H928" i="8" s="1"/>
  <c r="B928" i="8"/>
  <c r="F927" i="8"/>
  <c r="K927" i="8" s="1"/>
  <c r="E927" i="8"/>
  <c r="J927" i="8" s="1"/>
  <c r="D927" i="8"/>
  <c r="I927" i="8" s="1"/>
  <c r="C927" i="8"/>
  <c r="H927" i="8" s="1"/>
  <c r="B927" i="8"/>
  <c r="F926" i="8"/>
  <c r="K926" i="8" s="1"/>
  <c r="E926" i="8"/>
  <c r="J926" i="8" s="1"/>
  <c r="D926" i="8"/>
  <c r="I926" i="8" s="1"/>
  <c r="C926" i="8"/>
  <c r="H926" i="8" s="1"/>
  <c r="B926" i="8"/>
  <c r="F925" i="8"/>
  <c r="K925" i="8" s="1"/>
  <c r="E925" i="8"/>
  <c r="J925" i="8" s="1"/>
  <c r="D925" i="8"/>
  <c r="I925" i="8" s="1"/>
  <c r="C925" i="8"/>
  <c r="H925" i="8" s="1"/>
  <c r="B925" i="8"/>
  <c r="F924" i="8"/>
  <c r="K924" i="8" s="1"/>
  <c r="E924" i="8"/>
  <c r="J924" i="8" s="1"/>
  <c r="D924" i="8"/>
  <c r="I924" i="8" s="1"/>
  <c r="C924" i="8"/>
  <c r="H924" i="8" s="1"/>
  <c r="B924" i="8"/>
  <c r="F923" i="8"/>
  <c r="K923" i="8" s="1"/>
  <c r="E923" i="8"/>
  <c r="J923" i="8" s="1"/>
  <c r="D923" i="8"/>
  <c r="I923" i="8" s="1"/>
  <c r="C923" i="8"/>
  <c r="H923" i="8" s="1"/>
  <c r="B923" i="8"/>
  <c r="F922" i="8"/>
  <c r="K922" i="8" s="1"/>
  <c r="E922" i="8"/>
  <c r="J922" i="8" s="1"/>
  <c r="D922" i="8"/>
  <c r="I922" i="8" s="1"/>
  <c r="C922" i="8"/>
  <c r="H922" i="8" s="1"/>
  <c r="B922" i="8"/>
  <c r="F921" i="8"/>
  <c r="K921" i="8" s="1"/>
  <c r="E921" i="8"/>
  <c r="J921" i="8" s="1"/>
  <c r="D921" i="8"/>
  <c r="I921" i="8" s="1"/>
  <c r="C921" i="8"/>
  <c r="H921" i="8" s="1"/>
  <c r="B921" i="8"/>
  <c r="F920" i="8"/>
  <c r="K920" i="8" s="1"/>
  <c r="E920" i="8"/>
  <c r="J920" i="8" s="1"/>
  <c r="D920" i="8"/>
  <c r="I920" i="8" s="1"/>
  <c r="C920" i="8"/>
  <c r="H920" i="8" s="1"/>
  <c r="B920" i="8"/>
  <c r="F919" i="8"/>
  <c r="K919" i="8" s="1"/>
  <c r="E919" i="8"/>
  <c r="J919" i="8" s="1"/>
  <c r="D919" i="8"/>
  <c r="I919" i="8" s="1"/>
  <c r="C919" i="8"/>
  <c r="H919" i="8" s="1"/>
  <c r="B919" i="8"/>
  <c r="F918" i="8"/>
  <c r="K918" i="8" s="1"/>
  <c r="E918" i="8"/>
  <c r="J918" i="8" s="1"/>
  <c r="D918" i="8"/>
  <c r="I918" i="8" s="1"/>
  <c r="C918" i="8"/>
  <c r="H918" i="8" s="1"/>
  <c r="B918" i="8"/>
  <c r="F917" i="8"/>
  <c r="K917" i="8" s="1"/>
  <c r="E917" i="8"/>
  <c r="J917" i="8" s="1"/>
  <c r="D917" i="8"/>
  <c r="I917" i="8" s="1"/>
  <c r="C917" i="8"/>
  <c r="H917" i="8" s="1"/>
  <c r="B917" i="8"/>
  <c r="F916" i="8"/>
  <c r="K916" i="8" s="1"/>
  <c r="E916" i="8"/>
  <c r="J916" i="8" s="1"/>
  <c r="D916" i="8"/>
  <c r="I916" i="8" s="1"/>
  <c r="C916" i="8"/>
  <c r="H916" i="8" s="1"/>
  <c r="B916" i="8"/>
  <c r="F915" i="8"/>
  <c r="K915" i="8" s="1"/>
  <c r="E915" i="8"/>
  <c r="J915" i="8" s="1"/>
  <c r="D915" i="8"/>
  <c r="I915" i="8" s="1"/>
  <c r="C915" i="8"/>
  <c r="H915" i="8" s="1"/>
  <c r="B915" i="8"/>
  <c r="F914" i="8"/>
  <c r="K914" i="8" s="1"/>
  <c r="E914" i="8"/>
  <c r="J914" i="8" s="1"/>
  <c r="D914" i="8"/>
  <c r="I914" i="8" s="1"/>
  <c r="C914" i="8"/>
  <c r="H914" i="8" s="1"/>
  <c r="B914" i="8"/>
  <c r="F913" i="8"/>
  <c r="K913" i="8" s="1"/>
  <c r="E913" i="8"/>
  <c r="J913" i="8" s="1"/>
  <c r="D913" i="8"/>
  <c r="I913" i="8" s="1"/>
  <c r="C913" i="8"/>
  <c r="H913" i="8" s="1"/>
  <c r="B913" i="8"/>
  <c r="F912" i="8"/>
  <c r="K912" i="8" s="1"/>
  <c r="E912" i="8"/>
  <c r="J912" i="8" s="1"/>
  <c r="D912" i="8"/>
  <c r="I912" i="8" s="1"/>
  <c r="C912" i="8"/>
  <c r="H912" i="8" s="1"/>
  <c r="B912" i="8"/>
  <c r="F911" i="8"/>
  <c r="K911" i="8" s="1"/>
  <c r="E911" i="8"/>
  <c r="J911" i="8" s="1"/>
  <c r="D911" i="8"/>
  <c r="I911" i="8" s="1"/>
  <c r="C911" i="8"/>
  <c r="H911" i="8" s="1"/>
  <c r="B911" i="8"/>
  <c r="F910" i="8"/>
  <c r="K910" i="8" s="1"/>
  <c r="E910" i="8"/>
  <c r="J910" i="8" s="1"/>
  <c r="D910" i="8"/>
  <c r="I910" i="8" s="1"/>
  <c r="C910" i="8"/>
  <c r="H910" i="8" s="1"/>
  <c r="B910" i="8"/>
  <c r="F909" i="8"/>
  <c r="K909" i="8" s="1"/>
  <c r="E909" i="8"/>
  <c r="J909" i="8" s="1"/>
  <c r="D909" i="8"/>
  <c r="I909" i="8" s="1"/>
  <c r="C909" i="8"/>
  <c r="H909" i="8" s="1"/>
  <c r="B909" i="8"/>
  <c r="F908" i="8"/>
  <c r="K908" i="8" s="1"/>
  <c r="E908" i="8"/>
  <c r="J908" i="8" s="1"/>
  <c r="D908" i="8"/>
  <c r="I908" i="8" s="1"/>
  <c r="C908" i="8"/>
  <c r="H908" i="8" s="1"/>
  <c r="B908" i="8"/>
  <c r="F907" i="8"/>
  <c r="K907" i="8" s="1"/>
  <c r="E907" i="8"/>
  <c r="J907" i="8" s="1"/>
  <c r="D907" i="8"/>
  <c r="I907" i="8" s="1"/>
  <c r="C907" i="8"/>
  <c r="H907" i="8" s="1"/>
  <c r="B907" i="8"/>
  <c r="F906" i="8"/>
  <c r="K906" i="8" s="1"/>
  <c r="E906" i="8"/>
  <c r="J906" i="8" s="1"/>
  <c r="D906" i="8"/>
  <c r="I906" i="8" s="1"/>
  <c r="C906" i="8"/>
  <c r="H906" i="8" s="1"/>
  <c r="B906" i="8"/>
  <c r="F905" i="8"/>
  <c r="K905" i="8" s="1"/>
  <c r="E905" i="8"/>
  <c r="J905" i="8" s="1"/>
  <c r="D905" i="8"/>
  <c r="I905" i="8" s="1"/>
  <c r="C905" i="8"/>
  <c r="H905" i="8" s="1"/>
  <c r="B905" i="8"/>
  <c r="F904" i="8"/>
  <c r="K904" i="8" s="1"/>
  <c r="E904" i="8"/>
  <c r="J904" i="8" s="1"/>
  <c r="D904" i="8"/>
  <c r="I904" i="8" s="1"/>
  <c r="C904" i="8"/>
  <c r="H904" i="8" s="1"/>
  <c r="B904" i="8"/>
  <c r="F903" i="8"/>
  <c r="K903" i="8" s="1"/>
  <c r="E903" i="8"/>
  <c r="J903" i="8" s="1"/>
  <c r="D903" i="8"/>
  <c r="I903" i="8" s="1"/>
  <c r="C903" i="8"/>
  <c r="H903" i="8" s="1"/>
  <c r="B903" i="8"/>
  <c r="F902" i="8"/>
  <c r="K902" i="8" s="1"/>
  <c r="E902" i="8"/>
  <c r="J902" i="8" s="1"/>
  <c r="D902" i="8"/>
  <c r="I902" i="8" s="1"/>
  <c r="C902" i="8"/>
  <c r="H902" i="8" s="1"/>
  <c r="B902" i="8"/>
  <c r="F901" i="8"/>
  <c r="K901" i="8" s="1"/>
  <c r="E901" i="8"/>
  <c r="J901" i="8" s="1"/>
  <c r="D901" i="8"/>
  <c r="I901" i="8" s="1"/>
  <c r="C901" i="8"/>
  <c r="H901" i="8" s="1"/>
  <c r="B901" i="8"/>
  <c r="F900" i="8"/>
  <c r="K900" i="8" s="1"/>
  <c r="E900" i="8"/>
  <c r="J900" i="8" s="1"/>
  <c r="D900" i="8"/>
  <c r="I900" i="8" s="1"/>
  <c r="C900" i="8"/>
  <c r="H900" i="8" s="1"/>
  <c r="B900" i="8"/>
  <c r="F899" i="8"/>
  <c r="K899" i="8" s="1"/>
  <c r="E899" i="8"/>
  <c r="J899" i="8" s="1"/>
  <c r="D899" i="8"/>
  <c r="I899" i="8" s="1"/>
  <c r="C899" i="8"/>
  <c r="H899" i="8" s="1"/>
  <c r="B899" i="8"/>
  <c r="F898" i="8"/>
  <c r="K898" i="8" s="1"/>
  <c r="E898" i="8"/>
  <c r="J898" i="8" s="1"/>
  <c r="D898" i="8"/>
  <c r="I898" i="8" s="1"/>
  <c r="C898" i="8"/>
  <c r="H898" i="8" s="1"/>
  <c r="B898" i="8"/>
  <c r="F897" i="8"/>
  <c r="K897" i="8" s="1"/>
  <c r="E897" i="8"/>
  <c r="J897" i="8" s="1"/>
  <c r="D897" i="8"/>
  <c r="I897" i="8" s="1"/>
  <c r="C897" i="8"/>
  <c r="H897" i="8" s="1"/>
  <c r="B897" i="8"/>
  <c r="F896" i="8"/>
  <c r="K896" i="8" s="1"/>
  <c r="E896" i="8"/>
  <c r="J896" i="8" s="1"/>
  <c r="D896" i="8"/>
  <c r="I896" i="8" s="1"/>
  <c r="C896" i="8"/>
  <c r="H896" i="8" s="1"/>
  <c r="B896" i="8"/>
  <c r="F895" i="8"/>
  <c r="K895" i="8" s="1"/>
  <c r="E895" i="8"/>
  <c r="J895" i="8" s="1"/>
  <c r="D895" i="8"/>
  <c r="I895" i="8" s="1"/>
  <c r="C895" i="8"/>
  <c r="H895" i="8" s="1"/>
  <c r="B895" i="8"/>
  <c r="F894" i="8"/>
  <c r="K894" i="8" s="1"/>
  <c r="E894" i="8"/>
  <c r="J894" i="8" s="1"/>
  <c r="D894" i="8"/>
  <c r="I894" i="8" s="1"/>
  <c r="C894" i="8"/>
  <c r="H894" i="8" s="1"/>
  <c r="B894" i="8"/>
  <c r="F893" i="8"/>
  <c r="K893" i="8" s="1"/>
  <c r="E893" i="8"/>
  <c r="J893" i="8" s="1"/>
  <c r="D893" i="8"/>
  <c r="I893" i="8" s="1"/>
  <c r="C893" i="8"/>
  <c r="H893" i="8" s="1"/>
  <c r="B893" i="8"/>
  <c r="F892" i="8"/>
  <c r="K892" i="8" s="1"/>
  <c r="E892" i="8"/>
  <c r="J892" i="8" s="1"/>
  <c r="D892" i="8"/>
  <c r="I892" i="8" s="1"/>
  <c r="C892" i="8"/>
  <c r="H892" i="8" s="1"/>
  <c r="B892" i="8"/>
  <c r="F891" i="8"/>
  <c r="K891" i="8" s="1"/>
  <c r="E891" i="8"/>
  <c r="J891" i="8" s="1"/>
  <c r="D891" i="8"/>
  <c r="I891" i="8" s="1"/>
  <c r="C891" i="8"/>
  <c r="H891" i="8" s="1"/>
  <c r="B891" i="8"/>
  <c r="F890" i="8"/>
  <c r="K890" i="8" s="1"/>
  <c r="E890" i="8"/>
  <c r="J890" i="8" s="1"/>
  <c r="D890" i="8"/>
  <c r="I890" i="8" s="1"/>
  <c r="C890" i="8"/>
  <c r="H890" i="8" s="1"/>
  <c r="B890" i="8"/>
  <c r="F889" i="8"/>
  <c r="K889" i="8" s="1"/>
  <c r="E889" i="8"/>
  <c r="J889" i="8" s="1"/>
  <c r="D889" i="8"/>
  <c r="I889" i="8" s="1"/>
  <c r="C889" i="8"/>
  <c r="H889" i="8" s="1"/>
  <c r="B889" i="8"/>
  <c r="F888" i="8"/>
  <c r="K888" i="8" s="1"/>
  <c r="E888" i="8"/>
  <c r="J888" i="8" s="1"/>
  <c r="D888" i="8"/>
  <c r="I888" i="8" s="1"/>
  <c r="C888" i="8"/>
  <c r="H888" i="8" s="1"/>
  <c r="B888" i="8"/>
  <c r="F887" i="8"/>
  <c r="K887" i="8" s="1"/>
  <c r="E887" i="8"/>
  <c r="J887" i="8" s="1"/>
  <c r="D887" i="8"/>
  <c r="I887" i="8" s="1"/>
  <c r="C887" i="8"/>
  <c r="H887" i="8" s="1"/>
  <c r="B887" i="8"/>
  <c r="F886" i="8"/>
  <c r="K886" i="8" s="1"/>
  <c r="E886" i="8"/>
  <c r="J886" i="8" s="1"/>
  <c r="D886" i="8"/>
  <c r="I886" i="8" s="1"/>
  <c r="C886" i="8"/>
  <c r="H886" i="8" s="1"/>
  <c r="B886" i="8"/>
  <c r="F885" i="8"/>
  <c r="E885" i="8"/>
  <c r="D885" i="8"/>
  <c r="I885" i="8" s="1"/>
  <c r="C885" i="8"/>
  <c r="H885" i="8" s="1"/>
  <c r="B885" i="8"/>
  <c r="F884" i="8"/>
  <c r="K884" i="8" s="1"/>
  <c r="E884" i="8"/>
  <c r="J884" i="8" s="1"/>
  <c r="D884" i="8"/>
  <c r="I884" i="8" s="1"/>
  <c r="C884" i="8"/>
  <c r="H884" i="8" s="1"/>
  <c r="B884" i="8"/>
  <c r="F883" i="8"/>
  <c r="K883" i="8" s="1"/>
  <c r="E883" i="8"/>
  <c r="J883" i="8" s="1"/>
  <c r="D883" i="8"/>
  <c r="I883" i="8" s="1"/>
  <c r="C883" i="8"/>
  <c r="H883" i="8" s="1"/>
  <c r="B883" i="8"/>
  <c r="F882" i="8"/>
  <c r="K882" i="8" s="1"/>
  <c r="E882" i="8"/>
  <c r="J882" i="8" s="1"/>
  <c r="D882" i="8"/>
  <c r="I882" i="8" s="1"/>
  <c r="C882" i="8"/>
  <c r="H882" i="8" s="1"/>
  <c r="B882" i="8"/>
  <c r="F881" i="8"/>
  <c r="K881" i="8" s="1"/>
  <c r="E881" i="8"/>
  <c r="J881" i="8" s="1"/>
  <c r="D881" i="8"/>
  <c r="I881" i="8" s="1"/>
  <c r="C881" i="8"/>
  <c r="H881" i="8" s="1"/>
  <c r="B881" i="8"/>
  <c r="F880" i="8"/>
  <c r="K880" i="8" s="1"/>
  <c r="E880" i="8"/>
  <c r="J880" i="8" s="1"/>
  <c r="D880" i="8"/>
  <c r="I880" i="8" s="1"/>
  <c r="C880" i="8"/>
  <c r="H880" i="8" s="1"/>
  <c r="B880" i="8"/>
  <c r="F879" i="8"/>
  <c r="K879" i="8" s="1"/>
  <c r="E879" i="8"/>
  <c r="J879" i="8" s="1"/>
  <c r="D879" i="8"/>
  <c r="I879" i="8" s="1"/>
  <c r="C879" i="8"/>
  <c r="H879" i="8" s="1"/>
  <c r="B879" i="8"/>
  <c r="F878" i="8"/>
  <c r="K878" i="8" s="1"/>
  <c r="E878" i="8"/>
  <c r="J878" i="8" s="1"/>
  <c r="D878" i="8"/>
  <c r="I878" i="8" s="1"/>
  <c r="C878" i="8"/>
  <c r="H878" i="8" s="1"/>
  <c r="B878" i="8"/>
  <c r="F877" i="8"/>
  <c r="K877" i="8" s="1"/>
  <c r="E877" i="8"/>
  <c r="J877" i="8" s="1"/>
  <c r="D877" i="8"/>
  <c r="I877" i="8" s="1"/>
  <c r="C877" i="8"/>
  <c r="H877" i="8" s="1"/>
  <c r="B877" i="8"/>
  <c r="F876" i="8"/>
  <c r="K876" i="8" s="1"/>
  <c r="E876" i="8"/>
  <c r="J876" i="8" s="1"/>
  <c r="D876" i="8"/>
  <c r="I876" i="8" s="1"/>
  <c r="C876" i="8"/>
  <c r="H876" i="8" s="1"/>
  <c r="B876" i="8"/>
  <c r="F875" i="8"/>
  <c r="K875" i="8" s="1"/>
  <c r="E875" i="8"/>
  <c r="J875" i="8" s="1"/>
  <c r="D875" i="8"/>
  <c r="I875" i="8" s="1"/>
  <c r="C875" i="8"/>
  <c r="H875" i="8" s="1"/>
  <c r="B875" i="8"/>
  <c r="F874" i="8"/>
  <c r="K874" i="8" s="1"/>
  <c r="E874" i="8"/>
  <c r="J874" i="8" s="1"/>
  <c r="D874" i="8"/>
  <c r="I874" i="8" s="1"/>
  <c r="C874" i="8"/>
  <c r="H874" i="8" s="1"/>
  <c r="B874" i="8"/>
  <c r="F873" i="8"/>
  <c r="K873" i="8" s="1"/>
  <c r="E873" i="8"/>
  <c r="J873" i="8" s="1"/>
  <c r="D873" i="8"/>
  <c r="I873" i="8" s="1"/>
  <c r="C873" i="8"/>
  <c r="H873" i="8" s="1"/>
  <c r="B873" i="8"/>
  <c r="F872" i="8"/>
  <c r="K872" i="8" s="1"/>
  <c r="E872" i="8"/>
  <c r="J872" i="8" s="1"/>
  <c r="D872" i="8"/>
  <c r="I872" i="8" s="1"/>
  <c r="C872" i="8"/>
  <c r="H872" i="8" s="1"/>
  <c r="B872" i="8"/>
  <c r="F871" i="8"/>
  <c r="K871" i="8" s="1"/>
  <c r="E871" i="8"/>
  <c r="J871" i="8" s="1"/>
  <c r="D871" i="8"/>
  <c r="I871" i="8" s="1"/>
  <c r="C871" i="8"/>
  <c r="H871" i="8" s="1"/>
  <c r="B871" i="8"/>
  <c r="F870" i="8"/>
  <c r="K870" i="8" s="1"/>
  <c r="E870" i="8"/>
  <c r="J870" i="8" s="1"/>
  <c r="D870" i="8"/>
  <c r="I870" i="8" s="1"/>
  <c r="C870" i="8"/>
  <c r="H870" i="8" s="1"/>
  <c r="B870" i="8"/>
  <c r="F869" i="8"/>
  <c r="K869" i="8" s="1"/>
  <c r="E869" i="8"/>
  <c r="J869" i="8" s="1"/>
  <c r="D869" i="8"/>
  <c r="I869" i="8" s="1"/>
  <c r="C869" i="8"/>
  <c r="H869" i="8" s="1"/>
  <c r="B869" i="8"/>
  <c r="F868" i="8"/>
  <c r="K868" i="8" s="1"/>
  <c r="E868" i="8"/>
  <c r="J868" i="8" s="1"/>
  <c r="D868" i="8"/>
  <c r="I868" i="8" s="1"/>
  <c r="C868" i="8"/>
  <c r="H868" i="8" s="1"/>
  <c r="B868" i="8"/>
  <c r="F867" i="8"/>
  <c r="K867" i="8" s="1"/>
  <c r="E867" i="8"/>
  <c r="J867" i="8" s="1"/>
  <c r="D867" i="8"/>
  <c r="I867" i="8" s="1"/>
  <c r="C867" i="8"/>
  <c r="H867" i="8" s="1"/>
  <c r="B867" i="8"/>
  <c r="F866" i="8"/>
  <c r="K866" i="8" s="1"/>
  <c r="E866" i="8"/>
  <c r="J866" i="8" s="1"/>
  <c r="D866" i="8"/>
  <c r="I866" i="8" s="1"/>
  <c r="C866" i="8"/>
  <c r="H866" i="8" s="1"/>
  <c r="B866" i="8"/>
  <c r="F865" i="8"/>
  <c r="K865" i="8" s="1"/>
  <c r="E865" i="8"/>
  <c r="J865" i="8" s="1"/>
  <c r="D865" i="8"/>
  <c r="I865" i="8" s="1"/>
  <c r="C865" i="8"/>
  <c r="H865" i="8" s="1"/>
  <c r="B865" i="8"/>
  <c r="F864" i="8"/>
  <c r="K864" i="8" s="1"/>
  <c r="E864" i="8"/>
  <c r="J864" i="8" s="1"/>
  <c r="D864" i="8"/>
  <c r="I864" i="8" s="1"/>
  <c r="C864" i="8"/>
  <c r="H864" i="8" s="1"/>
  <c r="B864" i="8"/>
  <c r="F863" i="8"/>
  <c r="K863" i="8" s="1"/>
  <c r="E863" i="8"/>
  <c r="J863" i="8" s="1"/>
  <c r="D863" i="8"/>
  <c r="I863" i="8" s="1"/>
  <c r="C863" i="8"/>
  <c r="H863" i="8" s="1"/>
  <c r="B863" i="8"/>
  <c r="F862" i="8"/>
  <c r="K862" i="8" s="1"/>
  <c r="E862" i="8"/>
  <c r="J862" i="8" s="1"/>
  <c r="D862" i="8"/>
  <c r="I862" i="8" s="1"/>
  <c r="C862" i="8"/>
  <c r="H862" i="8" s="1"/>
  <c r="B862" i="8"/>
  <c r="F861" i="8"/>
  <c r="K861" i="8" s="1"/>
  <c r="E861" i="8"/>
  <c r="J861" i="8" s="1"/>
  <c r="D861" i="8"/>
  <c r="I861" i="8" s="1"/>
  <c r="C861" i="8"/>
  <c r="H861" i="8" s="1"/>
  <c r="B861" i="8"/>
  <c r="F860" i="8"/>
  <c r="K860" i="8" s="1"/>
  <c r="E860" i="8"/>
  <c r="J860" i="8" s="1"/>
  <c r="D860" i="8"/>
  <c r="I860" i="8" s="1"/>
  <c r="C860" i="8"/>
  <c r="H860" i="8" s="1"/>
  <c r="B860" i="8"/>
  <c r="F859" i="8"/>
  <c r="K859" i="8" s="1"/>
  <c r="E859" i="8"/>
  <c r="J859" i="8" s="1"/>
  <c r="D859" i="8"/>
  <c r="I859" i="8" s="1"/>
  <c r="C859" i="8"/>
  <c r="H859" i="8" s="1"/>
  <c r="B859" i="8"/>
  <c r="F858" i="8"/>
  <c r="K858" i="8" s="1"/>
  <c r="E858" i="8"/>
  <c r="J858" i="8" s="1"/>
  <c r="D858" i="8"/>
  <c r="I858" i="8" s="1"/>
  <c r="C858" i="8"/>
  <c r="H858" i="8" s="1"/>
  <c r="B858" i="8"/>
  <c r="F857" i="8"/>
  <c r="K857" i="8" s="1"/>
  <c r="E857" i="8"/>
  <c r="J857" i="8" s="1"/>
  <c r="D857" i="8"/>
  <c r="I857" i="8" s="1"/>
  <c r="C857" i="8"/>
  <c r="H857" i="8" s="1"/>
  <c r="B857" i="8"/>
  <c r="F856" i="8"/>
  <c r="K856" i="8" s="1"/>
  <c r="E856" i="8"/>
  <c r="J856" i="8" s="1"/>
  <c r="D856" i="8"/>
  <c r="I856" i="8" s="1"/>
  <c r="C856" i="8"/>
  <c r="H856" i="8" s="1"/>
  <c r="B856" i="8"/>
  <c r="F855" i="8"/>
  <c r="K855" i="8" s="1"/>
  <c r="E855" i="8"/>
  <c r="J855" i="8" s="1"/>
  <c r="D855" i="8"/>
  <c r="I855" i="8" s="1"/>
  <c r="C855" i="8"/>
  <c r="H855" i="8" s="1"/>
  <c r="B855" i="8"/>
  <c r="F854" i="8"/>
  <c r="K854" i="8" s="1"/>
  <c r="E854" i="8"/>
  <c r="J854" i="8" s="1"/>
  <c r="D854" i="8"/>
  <c r="I854" i="8" s="1"/>
  <c r="C854" i="8"/>
  <c r="H854" i="8" s="1"/>
  <c r="B854" i="8"/>
  <c r="F853" i="8"/>
  <c r="K853" i="8" s="1"/>
  <c r="E853" i="8"/>
  <c r="J853" i="8" s="1"/>
  <c r="D853" i="8"/>
  <c r="I853" i="8" s="1"/>
  <c r="C853" i="8"/>
  <c r="H853" i="8" s="1"/>
  <c r="B853" i="8"/>
  <c r="F852" i="8"/>
  <c r="K852" i="8" s="1"/>
  <c r="E852" i="8"/>
  <c r="J852" i="8" s="1"/>
  <c r="D852" i="8"/>
  <c r="I852" i="8" s="1"/>
  <c r="C852" i="8"/>
  <c r="H852" i="8" s="1"/>
  <c r="B852" i="8"/>
  <c r="F851" i="8"/>
  <c r="K851" i="8" s="1"/>
  <c r="E851" i="8"/>
  <c r="J851" i="8" s="1"/>
  <c r="D851" i="8"/>
  <c r="I851" i="8" s="1"/>
  <c r="C851" i="8"/>
  <c r="H851" i="8" s="1"/>
  <c r="B851" i="8"/>
  <c r="F850" i="8"/>
  <c r="K850" i="8" s="1"/>
  <c r="E850" i="8"/>
  <c r="J850" i="8" s="1"/>
  <c r="D850" i="8"/>
  <c r="I850" i="8" s="1"/>
  <c r="C850" i="8"/>
  <c r="H850" i="8" s="1"/>
  <c r="B850" i="8"/>
  <c r="F849" i="8"/>
  <c r="K849" i="8" s="1"/>
  <c r="E849" i="8"/>
  <c r="J849" i="8" s="1"/>
  <c r="D849" i="8"/>
  <c r="I849" i="8" s="1"/>
  <c r="C849" i="8"/>
  <c r="H849" i="8" s="1"/>
  <c r="B849" i="8"/>
  <c r="F848" i="8"/>
  <c r="K848" i="8" s="1"/>
  <c r="E848" i="8"/>
  <c r="J848" i="8" s="1"/>
  <c r="D848" i="8"/>
  <c r="I848" i="8" s="1"/>
  <c r="C848" i="8"/>
  <c r="H848" i="8" s="1"/>
  <c r="B848" i="8"/>
  <c r="F847" i="8"/>
  <c r="K847" i="8" s="1"/>
  <c r="E847" i="8"/>
  <c r="J847" i="8" s="1"/>
  <c r="D847" i="8"/>
  <c r="I847" i="8" s="1"/>
  <c r="C847" i="8"/>
  <c r="H847" i="8" s="1"/>
  <c r="B847" i="8"/>
  <c r="F846" i="8"/>
  <c r="K846" i="8" s="1"/>
  <c r="E846" i="8"/>
  <c r="J846" i="8" s="1"/>
  <c r="D846" i="8"/>
  <c r="I846" i="8" s="1"/>
  <c r="C846" i="8"/>
  <c r="H846" i="8" s="1"/>
  <c r="B846" i="8"/>
  <c r="F845" i="8"/>
  <c r="K845" i="8" s="1"/>
  <c r="E845" i="8"/>
  <c r="J845" i="8" s="1"/>
  <c r="D845" i="8"/>
  <c r="I845" i="8" s="1"/>
  <c r="C845" i="8"/>
  <c r="H845" i="8" s="1"/>
  <c r="B845" i="8"/>
  <c r="F844" i="8"/>
  <c r="K844" i="8" s="1"/>
  <c r="E844" i="8"/>
  <c r="J844" i="8" s="1"/>
  <c r="D844" i="8"/>
  <c r="I844" i="8" s="1"/>
  <c r="C844" i="8"/>
  <c r="H844" i="8" s="1"/>
  <c r="B844" i="8"/>
  <c r="F843" i="8"/>
  <c r="K843" i="8" s="1"/>
  <c r="E843" i="8"/>
  <c r="J843" i="8" s="1"/>
  <c r="D843" i="8"/>
  <c r="I843" i="8" s="1"/>
  <c r="C843" i="8"/>
  <c r="H843" i="8" s="1"/>
  <c r="B843" i="8"/>
  <c r="F842" i="8"/>
  <c r="K842" i="8" s="1"/>
  <c r="E842" i="8"/>
  <c r="J842" i="8" s="1"/>
  <c r="D842" i="8"/>
  <c r="I842" i="8" s="1"/>
  <c r="C842" i="8"/>
  <c r="H842" i="8" s="1"/>
  <c r="B842" i="8"/>
  <c r="F841" i="8"/>
  <c r="K841" i="8" s="1"/>
  <c r="E841" i="8"/>
  <c r="J841" i="8" s="1"/>
  <c r="D841" i="8"/>
  <c r="I841" i="8" s="1"/>
  <c r="C841" i="8"/>
  <c r="H841" i="8" s="1"/>
  <c r="B841" i="8"/>
  <c r="F840" i="8"/>
  <c r="K840" i="8" s="1"/>
  <c r="E840" i="8"/>
  <c r="J840" i="8" s="1"/>
  <c r="D840" i="8"/>
  <c r="I840" i="8" s="1"/>
  <c r="C840" i="8"/>
  <c r="H840" i="8" s="1"/>
  <c r="B840" i="8"/>
  <c r="F839" i="8"/>
  <c r="K839" i="8" s="1"/>
  <c r="E839" i="8"/>
  <c r="J839" i="8" s="1"/>
  <c r="D839" i="8"/>
  <c r="I839" i="8" s="1"/>
  <c r="C839" i="8"/>
  <c r="H839" i="8" s="1"/>
  <c r="B839" i="8"/>
  <c r="F838" i="8"/>
  <c r="K838" i="8" s="1"/>
  <c r="E838" i="8"/>
  <c r="J838" i="8" s="1"/>
  <c r="D838" i="8"/>
  <c r="I838" i="8" s="1"/>
  <c r="C838" i="8"/>
  <c r="H838" i="8" s="1"/>
  <c r="B838" i="8"/>
  <c r="F837" i="8"/>
  <c r="K837" i="8" s="1"/>
  <c r="E837" i="8"/>
  <c r="J837" i="8" s="1"/>
  <c r="D837" i="8"/>
  <c r="I837" i="8" s="1"/>
  <c r="C837" i="8"/>
  <c r="H837" i="8" s="1"/>
  <c r="B837" i="8"/>
  <c r="F836" i="8"/>
  <c r="K836" i="8" s="1"/>
  <c r="E836" i="8"/>
  <c r="J836" i="8" s="1"/>
  <c r="D836" i="8"/>
  <c r="I836" i="8" s="1"/>
  <c r="C836" i="8"/>
  <c r="H836" i="8" s="1"/>
  <c r="B836" i="8"/>
  <c r="F835" i="8"/>
  <c r="K835" i="8" s="1"/>
  <c r="E835" i="8"/>
  <c r="J835" i="8" s="1"/>
  <c r="D835" i="8"/>
  <c r="I835" i="8" s="1"/>
  <c r="C835" i="8"/>
  <c r="H835" i="8" s="1"/>
  <c r="B835" i="8"/>
  <c r="F834" i="8"/>
  <c r="K834" i="8" s="1"/>
  <c r="E834" i="8"/>
  <c r="J834" i="8" s="1"/>
  <c r="D834" i="8"/>
  <c r="I834" i="8" s="1"/>
  <c r="C834" i="8"/>
  <c r="H834" i="8" s="1"/>
  <c r="B834" i="8"/>
  <c r="F833" i="8"/>
  <c r="K833" i="8" s="1"/>
  <c r="E833" i="8"/>
  <c r="J833" i="8" s="1"/>
  <c r="D833" i="8"/>
  <c r="I833" i="8" s="1"/>
  <c r="C833" i="8"/>
  <c r="H833" i="8" s="1"/>
  <c r="B833" i="8"/>
  <c r="F832" i="8"/>
  <c r="K832" i="8" s="1"/>
  <c r="E832" i="8"/>
  <c r="J832" i="8" s="1"/>
  <c r="D832" i="8"/>
  <c r="I832" i="8" s="1"/>
  <c r="C832" i="8"/>
  <c r="H832" i="8" s="1"/>
  <c r="B832" i="8"/>
  <c r="F831" i="8"/>
  <c r="K831" i="8" s="1"/>
  <c r="E831" i="8"/>
  <c r="J831" i="8" s="1"/>
  <c r="D831" i="8"/>
  <c r="I831" i="8" s="1"/>
  <c r="C831" i="8"/>
  <c r="H831" i="8" s="1"/>
  <c r="B831" i="8"/>
  <c r="F830" i="8"/>
  <c r="K830" i="8" s="1"/>
  <c r="E830" i="8"/>
  <c r="J830" i="8" s="1"/>
  <c r="D830" i="8"/>
  <c r="I830" i="8" s="1"/>
  <c r="C830" i="8"/>
  <c r="H830" i="8" s="1"/>
  <c r="B830" i="8"/>
  <c r="F829" i="8"/>
  <c r="K829" i="8" s="1"/>
  <c r="E829" i="8"/>
  <c r="J829" i="8" s="1"/>
  <c r="D829" i="8"/>
  <c r="I829" i="8" s="1"/>
  <c r="C829" i="8"/>
  <c r="H829" i="8" s="1"/>
  <c r="B829" i="8"/>
  <c r="F828" i="8"/>
  <c r="K828" i="8" s="1"/>
  <c r="E828" i="8"/>
  <c r="J828" i="8" s="1"/>
  <c r="D828" i="8"/>
  <c r="I828" i="8" s="1"/>
  <c r="C828" i="8"/>
  <c r="H828" i="8" s="1"/>
  <c r="B828" i="8"/>
  <c r="F827" i="8"/>
  <c r="K827" i="8" s="1"/>
  <c r="E827" i="8"/>
  <c r="J827" i="8" s="1"/>
  <c r="D827" i="8"/>
  <c r="I827" i="8" s="1"/>
  <c r="C827" i="8"/>
  <c r="H827" i="8" s="1"/>
  <c r="B827" i="8"/>
  <c r="F826" i="8"/>
  <c r="K826" i="8" s="1"/>
  <c r="E826" i="8"/>
  <c r="J826" i="8" s="1"/>
  <c r="D826" i="8"/>
  <c r="I826" i="8" s="1"/>
  <c r="C826" i="8"/>
  <c r="H826" i="8" s="1"/>
  <c r="B826" i="8"/>
  <c r="F825" i="8"/>
  <c r="K825" i="8" s="1"/>
  <c r="E825" i="8"/>
  <c r="J825" i="8" s="1"/>
  <c r="D825" i="8"/>
  <c r="I825" i="8" s="1"/>
  <c r="C825" i="8"/>
  <c r="H825" i="8" s="1"/>
  <c r="B825" i="8"/>
  <c r="F824" i="8"/>
  <c r="K824" i="8" s="1"/>
  <c r="E824" i="8"/>
  <c r="J824" i="8" s="1"/>
  <c r="D824" i="8"/>
  <c r="I824" i="8" s="1"/>
  <c r="C824" i="8"/>
  <c r="H824" i="8" s="1"/>
  <c r="B824" i="8"/>
  <c r="F823" i="8"/>
  <c r="K823" i="8" s="1"/>
  <c r="E823" i="8"/>
  <c r="J823" i="8" s="1"/>
  <c r="D823" i="8"/>
  <c r="I823" i="8" s="1"/>
  <c r="C823" i="8"/>
  <c r="H823" i="8" s="1"/>
  <c r="B823" i="8"/>
  <c r="F822" i="8"/>
  <c r="K822" i="8" s="1"/>
  <c r="E822" i="8"/>
  <c r="J822" i="8" s="1"/>
  <c r="D822" i="8"/>
  <c r="I822" i="8" s="1"/>
  <c r="C822" i="8"/>
  <c r="H822" i="8" s="1"/>
  <c r="B822" i="8"/>
  <c r="F821" i="8"/>
  <c r="E821" i="8"/>
  <c r="D821" i="8"/>
  <c r="C821" i="8"/>
  <c r="B821" i="8"/>
  <c r="F820" i="8"/>
  <c r="K820" i="8" s="1"/>
  <c r="E820" i="8"/>
  <c r="J820" i="8" s="1"/>
  <c r="D820" i="8"/>
  <c r="I820" i="8" s="1"/>
  <c r="C820" i="8"/>
  <c r="H820" i="8" s="1"/>
  <c r="B820" i="8"/>
  <c r="F819" i="8"/>
  <c r="K819" i="8" s="1"/>
  <c r="E819" i="8"/>
  <c r="J819" i="8" s="1"/>
  <c r="D819" i="8"/>
  <c r="I819" i="8" s="1"/>
  <c r="C819" i="8"/>
  <c r="H819" i="8" s="1"/>
  <c r="B819" i="8"/>
  <c r="F818" i="8"/>
  <c r="K818" i="8" s="1"/>
  <c r="E818" i="8"/>
  <c r="J818" i="8" s="1"/>
  <c r="D818" i="8"/>
  <c r="I818" i="8" s="1"/>
  <c r="C818" i="8"/>
  <c r="H818" i="8" s="1"/>
  <c r="B818" i="8"/>
  <c r="F817" i="8"/>
  <c r="K817" i="8" s="1"/>
  <c r="E817" i="8"/>
  <c r="J817" i="8" s="1"/>
  <c r="D817" i="8"/>
  <c r="I817" i="8" s="1"/>
  <c r="C817" i="8"/>
  <c r="H817" i="8" s="1"/>
  <c r="B817" i="8"/>
  <c r="F816" i="8"/>
  <c r="K816" i="8" s="1"/>
  <c r="E816" i="8"/>
  <c r="J816" i="8" s="1"/>
  <c r="D816" i="8"/>
  <c r="I816" i="8" s="1"/>
  <c r="C816" i="8"/>
  <c r="H816" i="8" s="1"/>
  <c r="B816" i="8"/>
  <c r="F815" i="8"/>
  <c r="K815" i="8" s="1"/>
  <c r="E815" i="8"/>
  <c r="J815" i="8" s="1"/>
  <c r="D815" i="8"/>
  <c r="I815" i="8" s="1"/>
  <c r="C815" i="8"/>
  <c r="H815" i="8" s="1"/>
  <c r="B815" i="8"/>
  <c r="F814" i="8"/>
  <c r="K814" i="8" s="1"/>
  <c r="E814" i="8"/>
  <c r="J814" i="8" s="1"/>
  <c r="D814" i="8"/>
  <c r="I814" i="8" s="1"/>
  <c r="C814" i="8"/>
  <c r="H814" i="8" s="1"/>
  <c r="B814" i="8"/>
  <c r="F813" i="8"/>
  <c r="K813" i="8" s="1"/>
  <c r="E813" i="8"/>
  <c r="J813" i="8" s="1"/>
  <c r="D813" i="8"/>
  <c r="I813" i="8" s="1"/>
  <c r="C813" i="8"/>
  <c r="H813" i="8" s="1"/>
  <c r="B813" i="8"/>
  <c r="F812" i="8"/>
  <c r="K812" i="8" s="1"/>
  <c r="E812" i="8"/>
  <c r="J812" i="8" s="1"/>
  <c r="D812" i="8"/>
  <c r="I812" i="8" s="1"/>
  <c r="C812" i="8"/>
  <c r="H812" i="8" s="1"/>
  <c r="B812" i="8"/>
  <c r="F811" i="8"/>
  <c r="K811" i="8" s="1"/>
  <c r="E811" i="8"/>
  <c r="J811" i="8" s="1"/>
  <c r="D811" i="8"/>
  <c r="I811" i="8" s="1"/>
  <c r="C811" i="8"/>
  <c r="H811" i="8" s="1"/>
  <c r="B811" i="8"/>
  <c r="F810" i="8"/>
  <c r="K810" i="8" s="1"/>
  <c r="E810" i="8"/>
  <c r="J810" i="8" s="1"/>
  <c r="D810" i="8"/>
  <c r="I810" i="8" s="1"/>
  <c r="C810" i="8"/>
  <c r="H810" i="8" s="1"/>
  <c r="B810" i="8"/>
  <c r="F809" i="8"/>
  <c r="K809" i="8" s="1"/>
  <c r="E809" i="8"/>
  <c r="J809" i="8" s="1"/>
  <c r="D809" i="8"/>
  <c r="I809" i="8" s="1"/>
  <c r="C809" i="8"/>
  <c r="H809" i="8" s="1"/>
  <c r="B809" i="8"/>
  <c r="F808" i="8"/>
  <c r="K808" i="8" s="1"/>
  <c r="E808" i="8"/>
  <c r="J808" i="8" s="1"/>
  <c r="D808" i="8"/>
  <c r="I808" i="8" s="1"/>
  <c r="C808" i="8"/>
  <c r="H808" i="8" s="1"/>
  <c r="B808" i="8"/>
  <c r="F807" i="8"/>
  <c r="K807" i="8" s="1"/>
  <c r="E807" i="8"/>
  <c r="J807" i="8" s="1"/>
  <c r="D807" i="8"/>
  <c r="I807" i="8" s="1"/>
  <c r="C807" i="8"/>
  <c r="H807" i="8" s="1"/>
  <c r="B807" i="8"/>
  <c r="F806" i="8"/>
  <c r="K806" i="8" s="1"/>
  <c r="E806" i="8"/>
  <c r="J806" i="8" s="1"/>
  <c r="D806" i="8"/>
  <c r="I806" i="8" s="1"/>
  <c r="C806" i="8"/>
  <c r="H806" i="8" s="1"/>
  <c r="B806" i="8"/>
  <c r="F805" i="8"/>
  <c r="K805" i="8" s="1"/>
  <c r="E805" i="8"/>
  <c r="J805" i="8" s="1"/>
  <c r="D805" i="8"/>
  <c r="I805" i="8" s="1"/>
  <c r="C805" i="8"/>
  <c r="H805" i="8" s="1"/>
  <c r="B805" i="8"/>
  <c r="F804" i="8"/>
  <c r="K804" i="8" s="1"/>
  <c r="E804" i="8"/>
  <c r="J804" i="8" s="1"/>
  <c r="D804" i="8"/>
  <c r="I804" i="8" s="1"/>
  <c r="C804" i="8"/>
  <c r="H804" i="8" s="1"/>
  <c r="B804" i="8"/>
  <c r="F803" i="8"/>
  <c r="K803" i="8" s="1"/>
  <c r="E803" i="8"/>
  <c r="J803" i="8" s="1"/>
  <c r="D803" i="8"/>
  <c r="I803" i="8" s="1"/>
  <c r="C803" i="8"/>
  <c r="H803" i="8" s="1"/>
  <c r="B803" i="8"/>
  <c r="F802" i="8"/>
  <c r="K802" i="8" s="1"/>
  <c r="E802" i="8"/>
  <c r="J802" i="8" s="1"/>
  <c r="D802" i="8"/>
  <c r="I802" i="8" s="1"/>
  <c r="C802" i="8"/>
  <c r="H802" i="8" s="1"/>
  <c r="B802" i="8"/>
  <c r="F801" i="8"/>
  <c r="K801" i="8" s="1"/>
  <c r="E801" i="8"/>
  <c r="J801" i="8" s="1"/>
  <c r="D801" i="8"/>
  <c r="I801" i="8" s="1"/>
  <c r="C801" i="8"/>
  <c r="H801" i="8" s="1"/>
  <c r="B801" i="8"/>
  <c r="F800" i="8"/>
  <c r="K800" i="8" s="1"/>
  <c r="E800" i="8"/>
  <c r="J800" i="8" s="1"/>
  <c r="D800" i="8"/>
  <c r="I800" i="8" s="1"/>
  <c r="C800" i="8"/>
  <c r="H800" i="8" s="1"/>
  <c r="B800" i="8"/>
  <c r="F799" i="8"/>
  <c r="K799" i="8" s="1"/>
  <c r="E799" i="8"/>
  <c r="J799" i="8" s="1"/>
  <c r="D799" i="8"/>
  <c r="I799" i="8" s="1"/>
  <c r="C799" i="8"/>
  <c r="H799" i="8" s="1"/>
  <c r="B799" i="8"/>
  <c r="F798" i="8"/>
  <c r="K798" i="8" s="1"/>
  <c r="E798" i="8"/>
  <c r="J798" i="8" s="1"/>
  <c r="D798" i="8"/>
  <c r="I798" i="8" s="1"/>
  <c r="C798" i="8"/>
  <c r="H798" i="8" s="1"/>
  <c r="B798" i="8"/>
  <c r="F797" i="8"/>
  <c r="K797" i="8" s="1"/>
  <c r="E797" i="8"/>
  <c r="J797" i="8" s="1"/>
  <c r="D797" i="8"/>
  <c r="I797" i="8" s="1"/>
  <c r="C797" i="8"/>
  <c r="H797" i="8" s="1"/>
  <c r="B797" i="8"/>
  <c r="F796" i="8"/>
  <c r="K796" i="8" s="1"/>
  <c r="E796" i="8"/>
  <c r="J796" i="8" s="1"/>
  <c r="D796" i="8"/>
  <c r="I796" i="8" s="1"/>
  <c r="C796" i="8"/>
  <c r="H796" i="8" s="1"/>
  <c r="B796" i="8"/>
  <c r="F795" i="8"/>
  <c r="K795" i="8" s="1"/>
  <c r="E795" i="8"/>
  <c r="J795" i="8" s="1"/>
  <c r="D795" i="8"/>
  <c r="I795" i="8" s="1"/>
  <c r="C795" i="8"/>
  <c r="H795" i="8" s="1"/>
  <c r="B795" i="8"/>
  <c r="F794" i="8"/>
  <c r="K794" i="8" s="1"/>
  <c r="E794" i="8"/>
  <c r="J794" i="8" s="1"/>
  <c r="D794" i="8"/>
  <c r="I794" i="8" s="1"/>
  <c r="C794" i="8"/>
  <c r="H794" i="8" s="1"/>
  <c r="B794" i="8"/>
  <c r="F793" i="8"/>
  <c r="K793" i="8" s="1"/>
  <c r="E793" i="8"/>
  <c r="J793" i="8" s="1"/>
  <c r="D793" i="8"/>
  <c r="I793" i="8" s="1"/>
  <c r="C793" i="8"/>
  <c r="H793" i="8" s="1"/>
  <c r="B793" i="8"/>
  <c r="F792" i="8"/>
  <c r="K792" i="8" s="1"/>
  <c r="E792" i="8"/>
  <c r="J792" i="8" s="1"/>
  <c r="D792" i="8"/>
  <c r="I792" i="8" s="1"/>
  <c r="C792" i="8"/>
  <c r="H792" i="8" s="1"/>
  <c r="B792" i="8"/>
  <c r="F791" i="8"/>
  <c r="K791" i="8" s="1"/>
  <c r="E791" i="8"/>
  <c r="J791" i="8" s="1"/>
  <c r="D791" i="8"/>
  <c r="I791" i="8" s="1"/>
  <c r="C791" i="8"/>
  <c r="H791" i="8" s="1"/>
  <c r="B791" i="8"/>
  <c r="F790" i="8"/>
  <c r="K790" i="8" s="1"/>
  <c r="E790" i="8"/>
  <c r="J790" i="8" s="1"/>
  <c r="D790" i="8"/>
  <c r="I790" i="8" s="1"/>
  <c r="C790" i="8"/>
  <c r="H790" i="8" s="1"/>
  <c r="B790" i="8"/>
  <c r="F789" i="8"/>
  <c r="K789" i="8" s="1"/>
  <c r="E789" i="8"/>
  <c r="J789" i="8" s="1"/>
  <c r="D789" i="8"/>
  <c r="I789" i="8" s="1"/>
  <c r="C789" i="8"/>
  <c r="H789" i="8" s="1"/>
  <c r="B789" i="8"/>
  <c r="F788" i="8"/>
  <c r="K788" i="8" s="1"/>
  <c r="E788" i="8"/>
  <c r="J788" i="8" s="1"/>
  <c r="D788" i="8"/>
  <c r="I788" i="8" s="1"/>
  <c r="C788" i="8"/>
  <c r="H788" i="8" s="1"/>
  <c r="B788" i="8"/>
  <c r="F787" i="8"/>
  <c r="K787" i="8" s="1"/>
  <c r="E787" i="8"/>
  <c r="J787" i="8" s="1"/>
  <c r="D787" i="8"/>
  <c r="I787" i="8" s="1"/>
  <c r="C787" i="8"/>
  <c r="H787" i="8" s="1"/>
  <c r="B787" i="8"/>
  <c r="F786" i="8"/>
  <c r="K786" i="8" s="1"/>
  <c r="E786" i="8"/>
  <c r="J786" i="8" s="1"/>
  <c r="D786" i="8"/>
  <c r="I786" i="8" s="1"/>
  <c r="C786" i="8"/>
  <c r="H786" i="8" s="1"/>
  <c r="B786" i="8"/>
  <c r="F785" i="8"/>
  <c r="K785" i="8" s="1"/>
  <c r="E785" i="8"/>
  <c r="J785" i="8" s="1"/>
  <c r="D785" i="8"/>
  <c r="I785" i="8" s="1"/>
  <c r="C785" i="8"/>
  <c r="H785" i="8" s="1"/>
  <c r="B785" i="8"/>
  <c r="F784" i="8"/>
  <c r="K784" i="8" s="1"/>
  <c r="E784" i="8"/>
  <c r="J784" i="8" s="1"/>
  <c r="D784" i="8"/>
  <c r="I784" i="8" s="1"/>
  <c r="C784" i="8"/>
  <c r="H784" i="8" s="1"/>
  <c r="B784" i="8"/>
  <c r="F783" i="8"/>
  <c r="K783" i="8" s="1"/>
  <c r="E783" i="8"/>
  <c r="J783" i="8" s="1"/>
  <c r="D783" i="8"/>
  <c r="I783" i="8" s="1"/>
  <c r="C783" i="8"/>
  <c r="H783" i="8" s="1"/>
  <c r="B783" i="8"/>
  <c r="F782" i="8"/>
  <c r="K782" i="8" s="1"/>
  <c r="E782" i="8"/>
  <c r="J782" i="8" s="1"/>
  <c r="D782" i="8"/>
  <c r="I782" i="8" s="1"/>
  <c r="C782" i="8"/>
  <c r="H782" i="8" s="1"/>
  <c r="B782" i="8"/>
  <c r="F781" i="8"/>
  <c r="K781" i="8" s="1"/>
  <c r="E781" i="8"/>
  <c r="J781" i="8" s="1"/>
  <c r="D781" i="8"/>
  <c r="I781" i="8" s="1"/>
  <c r="C781" i="8"/>
  <c r="H781" i="8" s="1"/>
  <c r="B781" i="8"/>
  <c r="F780" i="8"/>
  <c r="K780" i="8" s="1"/>
  <c r="E780" i="8"/>
  <c r="J780" i="8" s="1"/>
  <c r="D780" i="8"/>
  <c r="I780" i="8" s="1"/>
  <c r="C780" i="8"/>
  <c r="H780" i="8" s="1"/>
  <c r="B780" i="8"/>
  <c r="F779" i="8"/>
  <c r="K779" i="8" s="1"/>
  <c r="E779" i="8"/>
  <c r="J779" i="8" s="1"/>
  <c r="D779" i="8"/>
  <c r="I779" i="8" s="1"/>
  <c r="C779" i="8"/>
  <c r="H779" i="8" s="1"/>
  <c r="B779" i="8"/>
  <c r="F778" i="8"/>
  <c r="K778" i="8" s="1"/>
  <c r="E778" i="8"/>
  <c r="J778" i="8" s="1"/>
  <c r="D778" i="8"/>
  <c r="I778" i="8" s="1"/>
  <c r="C778" i="8"/>
  <c r="H778" i="8" s="1"/>
  <c r="B778" i="8"/>
  <c r="F777" i="8"/>
  <c r="K777" i="8" s="1"/>
  <c r="E777" i="8"/>
  <c r="J777" i="8" s="1"/>
  <c r="D777" i="8"/>
  <c r="I777" i="8" s="1"/>
  <c r="C777" i="8"/>
  <c r="H777" i="8" s="1"/>
  <c r="B777" i="8"/>
  <c r="F776" i="8"/>
  <c r="K776" i="8" s="1"/>
  <c r="E776" i="8"/>
  <c r="J776" i="8" s="1"/>
  <c r="D776" i="8"/>
  <c r="I776" i="8" s="1"/>
  <c r="C776" i="8"/>
  <c r="H776" i="8" s="1"/>
  <c r="B776" i="8"/>
  <c r="F775" i="8"/>
  <c r="K775" i="8" s="1"/>
  <c r="E775" i="8"/>
  <c r="J775" i="8" s="1"/>
  <c r="D775" i="8"/>
  <c r="I775" i="8" s="1"/>
  <c r="C775" i="8"/>
  <c r="H775" i="8" s="1"/>
  <c r="B775" i="8"/>
  <c r="F774" i="8"/>
  <c r="K774" i="8" s="1"/>
  <c r="E774" i="8"/>
  <c r="J774" i="8" s="1"/>
  <c r="D774" i="8"/>
  <c r="I774" i="8" s="1"/>
  <c r="C774" i="8"/>
  <c r="H774" i="8" s="1"/>
  <c r="B774" i="8"/>
  <c r="F773" i="8"/>
  <c r="K773" i="8" s="1"/>
  <c r="E773" i="8"/>
  <c r="J773" i="8" s="1"/>
  <c r="D773" i="8"/>
  <c r="I773" i="8" s="1"/>
  <c r="C773" i="8"/>
  <c r="H773" i="8" s="1"/>
  <c r="B773" i="8"/>
  <c r="F772" i="8"/>
  <c r="K772" i="8" s="1"/>
  <c r="E772" i="8"/>
  <c r="J772" i="8" s="1"/>
  <c r="D772" i="8"/>
  <c r="I772" i="8" s="1"/>
  <c r="C772" i="8"/>
  <c r="H772" i="8" s="1"/>
  <c r="B772" i="8"/>
  <c r="F771" i="8"/>
  <c r="K771" i="8" s="1"/>
  <c r="E771" i="8"/>
  <c r="J771" i="8" s="1"/>
  <c r="D771" i="8"/>
  <c r="I771" i="8" s="1"/>
  <c r="C771" i="8"/>
  <c r="H771" i="8" s="1"/>
  <c r="B771" i="8"/>
  <c r="F770" i="8"/>
  <c r="K770" i="8" s="1"/>
  <c r="E770" i="8"/>
  <c r="J770" i="8" s="1"/>
  <c r="D770" i="8"/>
  <c r="I770" i="8" s="1"/>
  <c r="C770" i="8"/>
  <c r="H770" i="8" s="1"/>
  <c r="B770" i="8"/>
  <c r="F769" i="8"/>
  <c r="K769" i="8" s="1"/>
  <c r="E769" i="8"/>
  <c r="J769" i="8" s="1"/>
  <c r="D769" i="8"/>
  <c r="I769" i="8" s="1"/>
  <c r="C769" i="8"/>
  <c r="H769" i="8" s="1"/>
  <c r="B769" i="8"/>
  <c r="F768" i="8"/>
  <c r="K768" i="8" s="1"/>
  <c r="E768" i="8"/>
  <c r="J768" i="8" s="1"/>
  <c r="D768" i="8"/>
  <c r="I768" i="8" s="1"/>
  <c r="C768" i="8"/>
  <c r="H768" i="8" s="1"/>
  <c r="B768" i="8"/>
  <c r="F767" i="8"/>
  <c r="K767" i="8" s="1"/>
  <c r="E767" i="8"/>
  <c r="J767" i="8" s="1"/>
  <c r="D767" i="8"/>
  <c r="I767" i="8" s="1"/>
  <c r="C767" i="8"/>
  <c r="H767" i="8" s="1"/>
  <c r="B767" i="8"/>
  <c r="F766" i="8"/>
  <c r="K766" i="8" s="1"/>
  <c r="E766" i="8"/>
  <c r="J766" i="8" s="1"/>
  <c r="D766" i="8"/>
  <c r="I766" i="8" s="1"/>
  <c r="C766" i="8"/>
  <c r="H766" i="8" s="1"/>
  <c r="B766" i="8"/>
  <c r="F765" i="8"/>
  <c r="K765" i="8" s="1"/>
  <c r="E765" i="8"/>
  <c r="J765" i="8" s="1"/>
  <c r="D765" i="8"/>
  <c r="I765" i="8" s="1"/>
  <c r="C765" i="8"/>
  <c r="H765" i="8" s="1"/>
  <c r="B765" i="8"/>
  <c r="F764" i="8"/>
  <c r="K764" i="8" s="1"/>
  <c r="E764" i="8"/>
  <c r="J764" i="8" s="1"/>
  <c r="D764" i="8"/>
  <c r="I764" i="8" s="1"/>
  <c r="C764" i="8"/>
  <c r="H764" i="8" s="1"/>
  <c r="B764" i="8"/>
  <c r="F763" i="8"/>
  <c r="K763" i="8" s="1"/>
  <c r="E763" i="8"/>
  <c r="J763" i="8" s="1"/>
  <c r="D763" i="8"/>
  <c r="I763" i="8" s="1"/>
  <c r="C763" i="8"/>
  <c r="H763" i="8" s="1"/>
  <c r="B763" i="8"/>
  <c r="F762" i="8"/>
  <c r="K762" i="8" s="1"/>
  <c r="E762" i="8"/>
  <c r="J762" i="8" s="1"/>
  <c r="D762" i="8"/>
  <c r="I762" i="8" s="1"/>
  <c r="C762" i="8"/>
  <c r="H762" i="8" s="1"/>
  <c r="B762" i="8"/>
  <c r="F761" i="8"/>
  <c r="K761" i="8" s="1"/>
  <c r="E761" i="8"/>
  <c r="J761" i="8" s="1"/>
  <c r="D761" i="8"/>
  <c r="I761" i="8" s="1"/>
  <c r="C761" i="8"/>
  <c r="H761" i="8" s="1"/>
  <c r="B761" i="8"/>
  <c r="F760" i="8"/>
  <c r="K760" i="8" s="1"/>
  <c r="E760" i="8"/>
  <c r="J760" i="8" s="1"/>
  <c r="D760" i="8"/>
  <c r="I760" i="8" s="1"/>
  <c r="C760" i="8"/>
  <c r="H760" i="8" s="1"/>
  <c r="B760" i="8"/>
  <c r="F759" i="8"/>
  <c r="K759" i="8" s="1"/>
  <c r="E759" i="8"/>
  <c r="J759" i="8" s="1"/>
  <c r="D759" i="8"/>
  <c r="I759" i="8" s="1"/>
  <c r="C759" i="8"/>
  <c r="H759" i="8" s="1"/>
  <c r="B759" i="8"/>
  <c r="F758" i="8"/>
  <c r="K758" i="8" s="1"/>
  <c r="E758" i="8"/>
  <c r="J758" i="8" s="1"/>
  <c r="D758" i="8"/>
  <c r="I758" i="8" s="1"/>
  <c r="C758" i="8"/>
  <c r="H758" i="8" s="1"/>
  <c r="B758" i="8"/>
  <c r="F757" i="8"/>
  <c r="K757" i="8" s="1"/>
  <c r="E757" i="8"/>
  <c r="D757" i="8"/>
  <c r="C757" i="8"/>
  <c r="B757" i="8"/>
  <c r="F756" i="8"/>
  <c r="K756" i="8" s="1"/>
  <c r="E756" i="8"/>
  <c r="J756" i="8" s="1"/>
  <c r="D756" i="8"/>
  <c r="I756" i="8" s="1"/>
  <c r="C756" i="8"/>
  <c r="H756" i="8" s="1"/>
  <c r="B756" i="8"/>
  <c r="F755" i="8"/>
  <c r="K755" i="8" s="1"/>
  <c r="E755" i="8"/>
  <c r="J755" i="8" s="1"/>
  <c r="D755" i="8"/>
  <c r="I755" i="8" s="1"/>
  <c r="C755" i="8"/>
  <c r="H755" i="8" s="1"/>
  <c r="B755" i="8"/>
  <c r="F754" i="8"/>
  <c r="K754" i="8" s="1"/>
  <c r="E754" i="8"/>
  <c r="J754" i="8" s="1"/>
  <c r="D754" i="8"/>
  <c r="I754" i="8" s="1"/>
  <c r="C754" i="8"/>
  <c r="H754" i="8" s="1"/>
  <c r="B754" i="8"/>
  <c r="F753" i="8"/>
  <c r="K753" i="8" s="1"/>
  <c r="E753" i="8"/>
  <c r="J753" i="8" s="1"/>
  <c r="D753" i="8"/>
  <c r="I753" i="8" s="1"/>
  <c r="C753" i="8"/>
  <c r="H753" i="8" s="1"/>
  <c r="B753" i="8"/>
  <c r="F752" i="8"/>
  <c r="K752" i="8" s="1"/>
  <c r="E752" i="8"/>
  <c r="J752" i="8" s="1"/>
  <c r="D752" i="8"/>
  <c r="I752" i="8" s="1"/>
  <c r="C752" i="8"/>
  <c r="H752" i="8" s="1"/>
  <c r="B752" i="8"/>
  <c r="F751" i="8"/>
  <c r="K751" i="8" s="1"/>
  <c r="E751" i="8"/>
  <c r="J751" i="8" s="1"/>
  <c r="D751" i="8"/>
  <c r="I751" i="8" s="1"/>
  <c r="C751" i="8"/>
  <c r="H751" i="8" s="1"/>
  <c r="B751" i="8"/>
  <c r="F750" i="8"/>
  <c r="K750" i="8" s="1"/>
  <c r="E750" i="8"/>
  <c r="J750" i="8" s="1"/>
  <c r="D750" i="8"/>
  <c r="I750" i="8" s="1"/>
  <c r="C750" i="8"/>
  <c r="H750" i="8" s="1"/>
  <c r="B750" i="8"/>
  <c r="F749" i="8"/>
  <c r="K749" i="8" s="1"/>
  <c r="E749" i="8"/>
  <c r="J749" i="8" s="1"/>
  <c r="D749" i="8"/>
  <c r="I749" i="8" s="1"/>
  <c r="C749" i="8"/>
  <c r="H749" i="8" s="1"/>
  <c r="B749" i="8"/>
  <c r="F748" i="8"/>
  <c r="K748" i="8" s="1"/>
  <c r="E748" i="8"/>
  <c r="J748" i="8" s="1"/>
  <c r="D748" i="8"/>
  <c r="I748" i="8" s="1"/>
  <c r="C748" i="8"/>
  <c r="H748" i="8" s="1"/>
  <c r="B748" i="8"/>
  <c r="F747" i="8"/>
  <c r="K747" i="8" s="1"/>
  <c r="E747" i="8"/>
  <c r="J747" i="8" s="1"/>
  <c r="D747" i="8"/>
  <c r="I747" i="8" s="1"/>
  <c r="C747" i="8"/>
  <c r="H747" i="8" s="1"/>
  <c r="B747" i="8"/>
  <c r="F746" i="8"/>
  <c r="K746" i="8" s="1"/>
  <c r="E746" i="8"/>
  <c r="J746" i="8" s="1"/>
  <c r="D746" i="8"/>
  <c r="I746" i="8" s="1"/>
  <c r="C746" i="8"/>
  <c r="H746" i="8" s="1"/>
  <c r="B746" i="8"/>
  <c r="F745" i="8"/>
  <c r="K745" i="8" s="1"/>
  <c r="E745" i="8"/>
  <c r="J745" i="8" s="1"/>
  <c r="D745" i="8"/>
  <c r="I745" i="8" s="1"/>
  <c r="C745" i="8"/>
  <c r="H745" i="8" s="1"/>
  <c r="B745" i="8"/>
  <c r="F744" i="8"/>
  <c r="K744" i="8" s="1"/>
  <c r="E744" i="8"/>
  <c r="J744" i="8" s="1"/>
  <c r="D744" i="8"/>
  <c r="I744" i="8" s="1"/>
  <c r="C744" i="8"/>
  <c r="H744" i="8" s="1"/>
  <c r="B744" i="8"/>
  <c r="F743" i="8"/>
  <c r="K743" i="8" s="1"/>
  <c r="E743" i="8"/>
  <c r="J743" i="8" s="1"/>
  <c r="D743" i="8"/>
  <c r="I743" i="8" s="1"/>
  <c r="C743" i="8"/>
  <c r="H743" i="8" s="1"/>
  <c r="B743" i="8"/>
  <c r="F742" i="8"/>
  <c r="K742" i="8" s="1"/>
  <c r="E742" i="8"/>
  <c r="J742" i="8" s="1"/>
  <c r="D742" i="8"/>
  <c r="I742" i="8" s="1"/>
  <c r="C742" i="8"/>
  <c r="H742" i="8" s="1"/>
  <c r="B742" i="8"/>
  <c r="F741" i="8"/>
  <c r="K741" i="8" s="1"/>
  <c r="E741" i="8"/>
  <c r="J741" i="8" s="1"/>
  <c r="D741" i="8"/>
  <c r="I741" i="8" s="1"/>
  <c r="C741" i="8"/>
  <c r="H741" i="8" s="1"/>
  <c r="B741" i="8"/>
  <c r="F740" i="8"/>
  <c r="K740" i="8" s="1"/>
  <c r="E740" i="8"/>
  <c r="J740" i="8" s="1"/>
  <c r="D740" i="8"/>
  <c r="I740" i="8" s="1"/>
  <c r="C740" i="8"/>
  <c r="H740" i="8" s="1"/>
  <c r="B740" i="8"/>
  <c r="F739" i="8"/>
  <c r="K739" i="8" s="1"/>
  <c r="E739" i="8"/>
  <c r="J739" i="8" s="1"/>
  <c r="D739" i="8"/>
  <c r="I739" i="8" s="1"/>
  <c r="C739" i="8"/>
  <c r="H739" i="8" s="1"/>
  <c r="B739" i="8"/>
  <c r="F738" i="8"/>
  <c r="K738" i="8" s="1"/>
  <c r="E738" i="8"/>
  <c r="J738" i="8" s="1"/>
  <c r="D738" i="8"/>
  <c r="I738" i="8" s="1"/>
  <c r="C738" i="8"/>
  <c r="H738" i="8" s="1"/>
  <c r="B738" i="8"/>
  <c r="F737" i="8"/>
  <c r="K737" i="8" s="1"/>
  <c r="E737" i="8"/>
  <c r="J737" i="8" s="1"/>
  <c r="D737" i="8"/>
  <c r="I737" i="8" s="1"/>
  <c r="C737" i="8"/>
  <c r="H737" i="8" s="1"/>
  <c r="B737" i="8"/>
  <c r="F736" i="8"/>
  <c r="K736" i="8" s="1"/>
  <c r="E736" i="8"/>
  <c r="J736" i="8" s="1"/>
  <c r="D736" i="8"/>
  <c r="I736" i="8" s="1"/>
  <c r="C736" i="8"/>
  <c r="H736" i="8" s="1"/>
  <c r="B736" i="8"/>
  <c r="F735" i="8"/>
  <c r="K735" i="8" s="1"/>
  <c r="E735" i="8"/>
  <c r="J735" i="8" s="1"/>
  <c r="D735" i="8"/>
  <c r="I735" i="8" s="1"/>
  <c r="C735" i="8"/>
  <c r="H735" i="8" s="1"/>
  <c r="B735" i="8"/>
  <c r="F734" i="8"/>
  <c r="K734" i="8" s="1"/>
  <c r="E734" i="8"/>
  <c r="J734" i="8" s="1"/>
  <c r="D734" i="8"/>
  <c r="I734" i="8" s="1"/>
  <c r="C734" i="8"/>
  <c r="H734" i="8" s="1"/>
  <c r="B734" i="8"/>
  <c r="F733" i="8"/>
  <c r="K733" i="8" s="1"/>
  <c r="E733" i="8"/>
  <c r="J733" i="8" s="1"/>
  <c r="D733" i="8"/>
  <c r="I733" i="8" s="1"/>
  <c r="C733" i="8"/>
  <c r="H733" i="8" s="1"/>
  <c r="B733" i="8"/>
  <c r="F732" i="8"/>
  <c r="K732" i="8" s="1"/>
  <c r="E732" i="8"/>
  <c r="J732" i="8" s="1"/>
  <c r="D732" i="8"/>
  <c r="I732" i="8" s="1"/>
  <c r="C732" i="8"/>
  <c r="H732" i="8" s="1"/>
  <c r="B732" i="8"/>
  <c r="F731" i="8"/>
  <c r="K731" i="8" s="1"/>
  <c r="E731" i="8"/>
  <c r="J731" i="8" s="1"/>
  <c r="D731" i="8"/>
  <c r="I731" i="8" s="1"/>
  <c r="C731" i="8"/>
  <c r="H731" i="8" s="1"/>
  <c r="B731" i="8"/>
  <c r="F730" i="8"/>
  <c r="K730" i="8" s="1"/>
  <c r="E730" i="8"/>
  <c r="J730" i="8" s="1"/>
  <c r="D730" i="8"/>
  <c r="I730" i="8" s="1"/>
  <c r="C730" i="8"/>
  <c r="H730" i="8" s="1"/>
  <c r="B730" i="8"/>
  <c r="F729" i="8"/>
  <c r="K729" i="8" s="1"/>
  <c r="E729" i="8"/>
  <c r="J729" i="8" s="1"/>
  <c r="D729" i="8"/>
  <c r="I729" i="8" s="1"/>
  <c r="C729" i="8"/>
  <c r="H729" i="8" s="1"/>
  <c r="B729" i="8"/>
  <c r="F728" i="8"/>
  <c r="K728" i="8" s="1"/>
  <c r="E728" i="8"/>
  <c r="J728" i="8" s="1"/>
  <c r="D728" i="8"/>
  <c r="I728" i="8" s="1"/>
  <c r="C728" i="8"/>
  <c r="H728" i="8" s="1"/>
  <c r="B728" i="8"/>
  <c r="F727" i="8"/>
  <c r="K727" i="8" s="1"/>
  <c r="E727" i="8"/>
  <c r="J727" i="8" s="1"/>
  <c r="D727" i="8"/>
  <c r="I727" i="8" s="1"/>
  <c r="C727" i="8"/>
  <c r="H727" i="8" s="1"/>
  <c r="B727" i="8"/>
  <c r="F726" i="8"/>
  <c r="K726" i="8" s="1"/>
  <c r="E726" i="8"/>
  <c r="J726" i="8" s="1"/>
  <c r="D726" i="8"/>
  <c r="I726" i="8" s="1"/>
  <c r="C726" i="8"/>
  <c r="H726" i="8" s="1"/>
  <c r="B726" i="8"/>
  <c r="F725" i="8"/>
  <c r="K725" i="8" s="1"/>
  <c r="E725" i="8"/>
  <c r="J725" i="8" s="1"/>
  <c r="D725" i="8"/>
  <c r="I725" i="8" s="1"/>
  <c r="C725" i="8"/>
  <c r="H725" i="8" s="1"/>
  <c r="B725" i="8"/>
  <c r="F724" i="8"/>
  <c r="K724" i="8" s="1"/>
  <c r="E724" i="8"/>
  <c r="J724" i="8" s="1"/>
  <c r="D724" i="8"/>
  <c r="I724" i="8" s="1"/>
  <c r="C724" i="8"/>
  <c r="H724" i="8" s="1"/>
  <c r="B724" i="8"/>
  <c r="F723" i="8"/>
  <c r="K723" i="8" s="1"/>
  <c r="E723" i="8"/>
  <c r="J723" i="8" s="1"/>
  <c r="D723" i="8"/>
  <c r="I723" i="8" s="1"/>
  <c r="C723" i="8"/>
  <c r="H723" i="8" s="1"/>
  <c r="B723" i="8"/>
  <c r="F722" i="8"/>
  <c r="K722" i="8" s="1"/>
  <c r="E722" i="8"/>
  <c r="J722" i="8" s="1"/>
  <c r="D722" i="8"/>
  <c r="I722" i="8" s="1"/>
  <c r="C722" i="8"/>
  <c r="H722" i="8" s="1"/>
  <c r="B722" i="8"/>
  <c r="F721" i="8"/>
  <c r="K721" i="8" s="1"/>
  <c r="E721" i="8"/>
  <c r="J721" i="8" s="1"/>
  <c r="D721" i="8"/>
  <c r="I721" i="8" s="1"/>
  <c r="C721" i="8"/>
  <c r="H721" i="8" s="1"/>
  <c r="B721" i="8"/>
  <c r="F720" i="8"/>
  <c r="K720" i="8" s="1"/>
  <c r="E720" i="8"/>
  <c r="J720" i="8" s="1"/>
  <c r="D720" i="8"/>
  <c r="I720" i="8" s="1"/>
  <c r="C720" i="8"/>
  <c r="H720" i="8" s="1"/>
  <c r="B720" i="8"/>
  <c r="F719" i="8"/>
  <c r="K719" i="8" s="1"/>
  <c r="E719" i="8"/>
  <c r="J719" i="8" s="1"/>
  <c r="D719" i="8"/>
  <c r="I719" i="8" s="1"/>
  <c r="C719" i="8"/>
  <c r="H719" i="8" s="1"/>
  <c r="B719" i="8"/>
  <c r="F718" i="8"/>
  <c r="K718" i="8" s="1"/>
  <c r="E718" i="8"/>
  <c r="J718" i="8" s="1"/>
  <c r="D718" i="8"/>
  <c r="I718" i="8" s="1"/>
  <c r="C718" i="8"/>
  <c r="H718" i="8" s="1"/>
  <c r="B718" i="8"/>
  <c r="F717" i="8"/>
  <c r="K717" i="8" s="1"/>
  <c r="E717" i="8"/>
  <c r="J717" i="8" s="1"/>
  <c r="D717" i="8"/>
  <c r="I717" i="8" s="1"/>
  <c r="C717" i="8"/>
  <c r="H717" i="8" s="1"/>
  <c r="B717" i="8"/>
  <c r="F716" i="8"/>
  <c r="K716" i="8" s="1"/>
  <c r="E716" i="8"/>
  <c r="J716" i="8" s="1"/>
  <c r="D716" i="8"/>
  <c r="I716" i="8" s="1"/>
  <c r="C716" i="8"/>
  <c r="H716" i="8" s="1"/>
  <c r="B716" i="8"/>
  <c r="F715" i="8"/>
  <c r="K715" i="8" s="1"/>
  <c r="E715" i="8"/>
  <c r="J715" i="8" s="1"/>
  <c r="D715" i="8"/>
  <c r="I715" i="8" s="1"/>
  <c r="C715" i="8"/>
  <c r="H715" i="8" s="1"/>
  <c r="B715" i="8"/>
  <c r="F714" i="8"/>
  <c r="K714" i="8" s="1"/>
  <c r="E714" i="8"/>
  <c r="J714" i="8" s="1"/>
  <c r="D714" i="8"/>
  <c r="I714" i="8" s="1"/>
  <c r="C714" i="8"/>
  <c r="H714" i="8" s="1"/>
  <c r="B714" i="8"/>
  <c r="F713" i="8"/>
  <c r="K713" i="8" s="1"/>
  <c r="E713" i="8"/>
  <c r="J713" i="8" s="1"/>
  <c r="D713" i="8"/>
  <c r="I713" i="8" s="1"/>
  <c r="C713" i="8"/>
  <c r="H713" i="8" s="1"/>
  <c r="B713" i="8"/>
  <c r="F712" i="8"/>
  <c r="K712" i="8" s="1"/>
  <c r="E712" i="8"/>
  <c r="J712" i="8" s="1"/>
  <c r="D712" i="8"/>
  <c r="I712" i="8" s="1"/>
  <c r="C712" i="8"/>
  <c r="H712" i="8" s="1"/>
  <c r="B712" i="8"/>
  <c r="F711" i="8"/>
  <c r="K711" i="8" s="1"/>
  <c r="E711" i="8"/>
  <c r="J711" i="8" s="1"/>
  <c r="D711" i="8"/>
  <c r="I711" i="8" s="1"/>
  <c r="C711" i="8"/>
  <c r="H711" i="8" s="1"/>
  <c r="B711" i="8"/>
  <c r="F710" i="8"/>
  <c r="K710" i="8" s="1"/>
  <c r="E710" i="8"/>
  <c r="J710" i="8" s="1"/>
  <c r="D710" i="8"/>
  <c r="I710" i="8" s="1"/>
  <c r="C710" i="8"/>
  <c r="H710" i="8" s="1"/>
  <c r="B710" i="8"/>
  <c r="F709" i="8"/>
  <c r="K709" i="8" s="1"/>
  <c r="E709" i="8"/>
  <c r="J709" i="8" s="1"/>
  <c r="D709" i="8"/>
  <c r="I709" i="8" s="1"/>
  <c r="C709" i="8"/>
  <c r="H709" i="8" s="1"/>
  <c r="B709" i="8"/>
  <c r="F708" i="8"/>
  <c r="K708" i="8" s="1"/>
  <c r="E708" i="8"/>
  <c r="J708" i="8" s="1"/>
  <c r="D708" i="8"/>
  <c r="I708" i="8" s="1"/>
  <c r="C708" i="8"/>
  <c r="H708" i="8" s="1"/>
  <c r="B708" i="8"/>
  <c r="F707" i="8"/>
  <c r="K707" i="8" s="1"/>
  <c r="E707" i="8"/>
  <c r="J707" i="8" s="1"/>
  <c r="D707" i="8"/>
  <c r="I707" i="8" s="1"/>
  <c r="C707" i="8"/>
  <c r="H707" i="8" s="1"/>
  <c r="B707" i="8"/>
  <c r="F706" i="8"/>
  <c r="K706" i="8" s="1"/>
  <c r="E706" i="8"/>
  <c r="J706" i="8" s="1"/>
  <c r="D706" i="8"/>
  <c r="I706" i="8" s="1"/>
  <c r="C706" i="8"/>
  <c r="H706" i="8" s="1"/>
  <c r="B706" i="8"/>
  <c r="F705" i="8"/>
  <c r="K705" i="8" s="1"/>
  <c r="E705" i="8"/>
  <c r="J705" i="8" s="1"/>
  <c r="D705" i="8"/>
  <c r="I705" i="8" s="1"/>
  <c r="C705" i="8"/>
  <c r="H705" i="8" s="1"/>
  <c r="B705" i="8"/>
  <c r="F704" i="8"/>
  <c r="K704" i="8" s="1"/>
  <c r="E704" i="8"/>
  <c r="J704" i="8" s="1"/>
  <c r="D704" i="8"/>
  <c r="I704" i="8" s="1"/>
  <c r="C704" i="8"/>
  <c r="H704" i="8" s="1"/>
  <c r="B704" i="8"/>
  <c r="F703" i="8"/>
  <c r="K703" i="8" s="1"/>
  <c r="E703" i="8"/>
  <c r="J703" i="8" s="1"/>
  <c r="D703" i="8"/>
  <c r="I703" i="8" s="1"/>
  <c r="C703" i="8"/>
  <c r="H703" i="8" s="1"/>
  <c r="B703" i="8"/>
  <c r="F702" i="8"/>
  <c r="K702" i="8" s="1"/>
  <c r="E702" i="8"/>
  <c r="J702" i="8" s="1"/>
  <c r="D702" i="8"/>
  <c r="I702" i="8" s="1"/>
  <c r="C702" i="8"/>
  <c r="H702" i="8" s="1"/>
  <c r="B702" i="8"/>
  <c r="F701" i="8"/>
  <c r="K701" i="8" s="1"/>
  <c r="E701" i="8"/>
  <c r="J701" i="8" s="1"/>
  <c r="D701" i="8"/>
  <c r="I701" i="8" s="1"/>
  <c r="C701" i="8"/>
  <c r="H701" i="8" s="1"/>
  <c r="B701" i="8"/>
  <c r="F700" i="8"/>
  <c r="K700" i="8" s="1"/>
  <c r="E700" i="8"/>
  <c r="J700" i="8" s="1"/>
  <c r="D700" i="8"/>
  <c r="I700" i="8" s="1"/>
  <c r="C700" i="8"/>
  <c r="H700" i="8" s="1"/>
  <c r="B700" i="8"/>
  <c r="F699" i="8"/>
  <c r="K699" i="8" s="1"/>
  <c r="E699" i="8"/>
  <c r="J699" i="8" s="1"/>
  <c r="D699" i="8"/>
  <c r="I699" i="8" s="1"/>
  <c r="C699" i="8"/>
  <c r="H699" i="8" s="1"/>
  <c r="B699" i="8"/>
  <c r="F698" i="8"/>
  <c r="K698" i="8" s="1"/>
  <c r="E698" i="8"/>
  <c r="J698" i="8" s="1"/>
  <c r="D698" i="8"/>
  <c r="I698" i="8" s="1"/>
  <c r="C698" i="8"/>
  <c r="H698" i="8" s="1"/>
  <c r="B698" i="8"/>
  <c r="F697" i="8"/>
  <c r="K697" i="8" s="1"/>
  <c r="E697" i="8"/>
  <c r="J697" i="8" s="1"/>
  <c r="D697" i="8"/>
  <c r="I697" i="8" s="1"/>
  <c r="C697" i="8"/>
  <c r="H697" i="8" s="1"/>
  <c r="B697" i="8"/>
  <c r="F696" i="8"/>
  <c r="K696" i="8" s="1"/>
  <c r="E696" i="8"/>
  <c r="J696" i="8" s="1"/>
  <c r="D696" i="8"/>
  <c r="I696" i="8" s="1"/>
  <c r="C696" i="8"/>
  <c r="H696" i="8" s="1"/>
  <c r="B696" i="8"/>
  <c r="F695" i="8"/>
  <c r="K695" i="8" s="1"/>
  <c r="E695" i="8"/>
  <c r="J695" i="8" s="1"/>
  <c r="D695" i="8"/>
  <c r="I695" i="8" s="1"/>
  <c r="C695" i="8"/>
  <c r="H695" i="8" s="1"/>
  <c r="B695" i="8"/>
  <c r="F694" i="8"/>
  <c r="K694" i="8" s="1"/>
  <c r="E694" i="8"/>
  <c r="J694" i="8" s="1"/>
  <c r="D694" i="8"/>
  <c r="I694" i="8" s="1"/>
  <c r="C694" i="8"/>
  <c r="H694" i="8" s="1"/>
  <c r="B694" i="8"/>
  <c r="F693" i="8"/>
  <c r="K693" i="8" s="1"/>
  <c r="E693" i="8"/>
  <c r="J693" i="8" s="1"/>
  <c r="D693" i="8"/>
  <c r="I693" i="8" s="1"/>
  <c r="C693" i="8"/>
  <c r="H693" i="8" s="1"/>
  <c r="B693" i="8"/>
  <c r="F692" i="8"/>
  <c r="K692" i="8" s="1"/>
  <c r="E692" i="8"/>
  <c r="J692" i="8" s="1"/>
  <c r="D692" i="8"/>
  <c r="I692" i="8" s="1"/>
  <c r="C692" i="8"/>
  <c r="H692" i="8" s="1"/>
  <c r="B692" i="8"/>
  <c r="F691" i="8"/>
  <c r="K691" i="8" s="1"/>
  <c r="E691" i="8"/>
  <c r="J691" i="8" s="1"/>
  <c r="D691" i="8"/>
  <c r="I691" i="8" s="1"/>
  <c r="C691" i="8"/>
  <c r="H691" i="8" s="1"/>
  <c r="B691" i="8"/>
  <c r="F690" i="8"/>
  <c r="K690" i="8" s="1"/>
  <c r="E690" i="8"/>
  <c r="J690" i="8" s="1"/>
  <c r="D690" i="8"/>
  <c r="I690" i="8" s="1"/>
  <c r="C690" i="8"/>
  <c r="H690" i="8" s="1"/>
  <c r="B690" i="8"/>
  <c r="F689" i="8"/>
  <c r="K689" i="8" s="1"/>
  <c r="E689" i="8"/>
  <c r="J689" i="8" s="1"/>
  <c r="D689" i="8"/>
  <c r="I689" i="8" s="1"/>
  <c r="C689" i="8"/>
  <c r="H689" i="8" s="1"/>
  <c r="B689" i="8"/>
  <c r="F688" i="8"/>
  <c r="K688" i="8" s="1"/>
  <c r="E688" i="8"/>
  <c r="J688" i="8" s="1"/>
  <c r="D688" i="8"/>
  <c r="I688" i="8" s="1"/>
  <c r="C688" i="8"/>
  <c r="H688" i="8" s="1"/>
  <c r="B688" i="8"/>
  <c r="F687" i="8"/>
  <c r="K687" i="8" s="1"/>
  <c r="E687" i="8"/>
  <c r="J687" i="8" s="1"/>
  <c r="D687" i="8"/>
  <c r="I687" i="8" s="1"/>
  <c r="C687" i="8"/>
  <c r="H687" i="8" s="1"/>
  <c r="B687" i="8"/>
  <c r="F686" i="8"/>
  <c r="K686" i="8" s="1"/>
  <c r="E686" i="8"/>
  <c r="J686" i="8" s="1"/>
  <c r="D686" i="8"/>
  <c r="I686" i="8" s="1"/>
  <c r="C686" i="8"/>
  <c r="H686" i="8" s="1"/>
  <c r="B686" i="8"/>
  <c r="F685" i="8"/>
  <c r="K685" i="8" s="1"/>
  <c r="E685" i="8"/>
  <c r="J685" i="8" s="1"/>
  <c r="D685" i="8"/>
  <c r="I685" i="8" s="1"/>
  <c r="C685" i="8"/>
  <c r="H685" i="8" s="1"/>
  <c r="B685" i="8"/>
  <c r="F684" i="8"/>
  <c r="K684" i="8" s="1"/>
  <c r="E684" i="8"/>
  <c r="J684" i="8" s="1"/>
  <c r="D684" i="8"/>
  <c r="I684" i="8" s="1"/>
  <c r="C684" i="8"/>
  <c r="H684" i="8" s="1"/>
  <c r="B684" i="8"/>
  <c r="F683" i="8"/>
  <c r="K683" i="8" s="1"/>
  <c r="E683" i="8"/>
  <c r="J683" i="8" s="1"/>
  <c r="D683" i="8"/>
  <c r="I683" i="8" s="1"/>
  <c r="C683" i="8"/>
  <c r="H683" i="8" s="1"/>
  <c r="B683" i="8"/>
  <c r="F682" i="8"/>
  <c r="K682" i="8" s="1"/>
  <c r="E682" i="8"/>
  <c r="J682" i="8" s="1"/>
  <c r="D682" i="8"/>
  <c r="I682" i="8" s="1"/>
  <c r="C682" i="8"/>
  <c r="H682" i="8" s="1"/>
  <c r="B682" i="8"/>
  <c r="F681" i="8"/>
  <c r="K681" i="8" s="1"/>
  <c r="E681" i="8"/>
  <c r="J681" i="8" s="1"/>
  <c r="D681" i="8"/>
  <c r="I681" i="8" s="1"/>
  <c r="C681" i="8"/>
  <c r="H681" i="8" s="1"/>
  <c r="B681" i="8"/>
  <c r="F680" i="8"/>
  <c r="K680" i="8" s="1"/>
  <c r="E680" i="8"/>
  <c r="J680" i="8" s="1"/>
  <c r="D680" i="8"/>
  <c r="I680" i="8" s="1"/>
  <c r="C680" i="8"/>
  <c r="H680" i="8" s="1"/>
  <c r="B680" i="8"/>
  <c r="F679" i="8"/>
  <c r="K679" i="8" s="1"/>
  <c r="E679" i="8"/>
  <c r="J679" i="8" s="1"/>
  <c r="D679" i="8"/>
  <c r="I679" i="8" s="1"/>
  <c r="C679" i="8"/>
  <c r="H679" i="8" s="1"/>
  <c r="B679" i="8"/>
  <c r="F678" i="8"/>
  <c r="K678" i="8" s="1"/>
  <c r="E678" i="8"/>
  <c r="J678" i="8" s="1"/>
  <c r="D678" i="8"/>
  <c r="I678" i="8" s="1"/>
  <c r="C678" i="8"/>
  <c r="H678" i="8" s="1"/>
  <c r="B678" i="8"/>
  <c r="F677" i="8"/>
  <c r="K677" i="8" s="1"/>
  <c r="E677" i="8"/>
  <c r="J677" i="8" s="1"/>
  <c r="D677" i="8"/>
  <c r="I677" i="8" s="1"/>
  <c r="C677" i="8"/>
  <c r="H677" i="8" s="1"/>
  <c r="B677" i="8"/>
  <c r="F676" i="8"/>
  <c r="K676" i="8" s="1"/>
  <c r="E676" i="8"/>
  <c r="J676" i="8" s="1"/>
  <c r="D676" i="8"/>
  <c r="I676" i="8" s="1"/>
  <c r="C676" i="8"/>
  <c r="H676" i="8" s="1"/>
  <c r="B676" i="8"/>
  <c r="F675" i="8"/>
  <c r="K675" i="8" s="1"/>
  <c r="E675" i="8"/>
  <c r="J675" i="8" s="1"/>
  <c r="D675" i="8"/>
  <c r="I675" i="8" s="1"/>
  <c r="C675" i="8"/>
  <c r="H675" i="8" s="1"/>
  <c r="B675" i="8"/>
  <c r="F674" i="8"/>
  <c r="K674" i="8" s="1"/>
  <c r="E674" i="8"/>
  <c r="J674" i="8" s="1"/>
  <c r="D674" i="8"/>
  <c r="I674" i="8" s="1"/>
  <c r="C674" i="8"/>
  <c r="H674" i="8" s="1"/>
  <c r="B674" i="8"/>
  <c r="F673" i="8"/>
  <c r="K673" i="8" s="1"/>
  <c r="E673" i="8"/>
  <c r="J673" i="8" s="1"/>
  <c r="D673" i="8"/>
  <c r="I673" i="8" s="1"/>
  <c r="C673" i="8"/>
  <c r="H673" i="8" s="1"/>
  <c r="B673" i="8"/>
  <c r="F672" i="8"/>
  <c r="K672" i="8" s="1"/>
  <c r="E672" i="8"/>
  <c r="J672" i="8" s="1"/>
  <c r="D672" i="8"/>
  <c r="I672" i="8" s="1"/>
  <c r="C672" i="8"/>
  <c r="H672" i="8" s="1"/>
  <c r="B672" i="8"/>
  <c r="F671" i="8"/>
  <c r="K671" i="8" s="1"/>
  <c r="E671" i="8"/>
  <c r="J671" i="8" s="1"/>
  <c r="D671" i="8"/>
  <c r="I671" i="8" s="1"/>
  <c r="C671" i="8"/>
  <c r="H671" i="8" s="1"/>
  <c r="B671" i="8"/>
  <c r="F670" i="8"/>
  <c r="K670" i="8" s="1"/>
  <c r="E670" i="8"/>
  <c r="J670" i="8" s="1"/>
  <c r="D670" i="8"/>
  <c r="I670" i="8" s="1"/>
  <c r="C670" i="8"/>
  <c r="H670" i="8" s="1"/>
  <c r="B670" i="8"/>
  <c r="F669" i="8"/>
  <c r="K669" i="8" s="1"/>
  <c r="E669" i="8"/>
  <c r="J669" i="8" s="1"/>
  <c r="D669" i="8"/>
  <c r="I669" i="8" s="1"/>
  <c r="C669" i="8"/>
  <c r="H669" i="8" s="1"/>
  <c r="B669" i="8"/>
  <c r="F668" i="8"/>
  <c r="K668" i="8" s="1"/>
  <c r="E668" i="8"/>
  <c r="J668" i="8" s="1"/>
  <c r="D668" i="8"/>
  <c r="I668" i="8" s="1"/>
  <c r="C668" i="8"/>
  <c r="H668" i="8" s="1"/>
  <c r="B668" i="8"/>
  <c r="F667" i="8"/>
  <c r="K667" i="8" s="1"/>
  <c r="E667" i="8"/>
  <c r="J667" i="8" s="1"/>
  <c r="D667" i="8"/>
  <c r="I667" i="8" s="1"/>
  <c r="C667" i="8"/>
  <c r="H667" i="8" s="1"/>
  <c r="B667" i="8"/>
  <c r="F666" i="8"/>
  <c r="K666" i="8" s="1"/>
  <c r="E666" i="8"/>
  <c r="J666" i="8" s="1"/>
  <c r="D666" i="8"/>
  <c r="I666" i="8" s="1"/>
  <c r="C666" i="8"/>
  <c r="H666" i="8" s="1"/>
  <c r="B666" i="8"/>
  <c r="F665" i="8"/>
  <c r="K665" i="8" s="1"/>
  <c r="E665" i="8"/>
  <c r="J665" i="8" s="1"/>
  <c r="D665" i="8"/>
  <c r="I665" i="8" s="1"/>
  <c r="C665" i="8"/>
  <c r="H665" i="8" s="1"/>
  <c r="B665" i="8"/>
  <c r="F664" i="8"/>
  <c r="K664" i="8" s="1"/>
  <c r="E664" i="8"/>
  <c r="J664" i="8" s="1"/>
  <c r="D664" i="8"/>
  <c r="I664" i="8" s="1"/>
  <c r="C664" i="8"/>
  <c r="H664" i="8" s="1"/>
  <c r="B664" i="8"/>
  <c r="F663" i="8"/>
  <c r="K663" i="8" s="1"/>
  <c r="E663" i="8"/>
  <c r="J663" i="8" s="1"/>
  <c r="D663" i="8"/>
  <c r="I663" i="8" s="1"/>
  <c r="C663" i="8"/>
  <c r="H663" i="8" s="1"/>
  <c r="B663" i="8"/>
  <c r="F662" i="8"/>
  <c r="K662" i="8" s="1"/>
  <c r="E662" i="8"/>
  <c r="J662" i="8" s="1"/>
  <c r="D662" i="8"/>
  <c r="I662" i="8" s="1"/>
  <c r="C662" i="8"/>
  <c r="H662" i="8" s="1"/>
  <c r="B662" i="8"/>
  <c r="F661" i="8"/>
  <c r="K661" i="8" s="1"/>
  <c r="E661" i="8"/>
  <c r="J661" i="8" s="1"/>
  <c r="D661" i="8"/>
  <c r="I661" i="8" s="1"/>
  <c r="C661" i="8"/>
  <c r="H661" i="8" s="1"/>
  <c r="B661" i="8"/>
  <c r="F660" i="8"/>
  <c r="K660" i="8" s="1"/>
  <c r="E660" i="8"/>
  <c r="J660" i="8" s="1"/>
  <c r="D660" i="8"/>
  <c r="I660" i="8" s="1"/>
  <c r="C660" i="8"/>
  <c r="H660" i="8" s="1"/>
  <c r="B660" i="8"/>
  <c r="F659" i="8"/>
  <c r="K659" i="8" s="1"/>
  <c r="E659" i="8"/>
  <c r="J659" i="8" s="1"/>
  <c r="D659" i="8"/>
  <c r="I659" i="8" s="1"/>
  <c r="C659" i="8"/>
  <c r="H659" i="8" s="1"/>
  <c r="B659" i="8"/>
  <c r="F658" i="8"/>
  <c r="K658" i="8" s="1"/>
  <c r="E658" i="8"/>
  <c r="J658" i="8" s="1"/>
  <c r="D658" i="8"/>
  <c r="I658" i="8" s="1"/>
  <c r="C658" i="8"/>
  <c r="H658" i="8" s="1"/>
  <c r="B658" i="8"/>
  <c r="F657" i="8"/>
  <c r="K657" i="8" s="1"/>
  <c r="E657" i="8"/>
  <c r="J657" i="8" s="1"/>
  <c r="D657" i="8"/>
  <c r="I657" i="8" s="1"/>
  <c r="C657" i="8"/>
  <c r="H657" i="8" s="1"/>
  <c r="B657" i="8"/>
  <c r="F656" i="8"/>
  <c r="K656" i="8" s="1"/>
  <c r="E656" i="8"/>
  <c r="J656" i="8" s="1"/>
  <c r="D656" i="8"/>
  <c r="I656" i="8" s="1"/>
  <c r="C656" i="8"/>
  <c r="H656" i="8" s="1"/>
  <c r="B656" i="8"/>
  <c r="F655" i="8"/>
  <c r="K655" i="8" s="1"/>
  <c r="E655" i="8"/>
  <c r="J655" i="8" s="1"/>
  <c r="D655" i="8"/>
  <c r="I655" i="8" s="1"/>
  <c r="C655" i="8"/>
  <c r="H655" i="8" s="1"/>
  <c r="B655" i="8"/>
  <c r="F654" i="8"/>
  <c r="K654" i="8" s="1"/>
  <c r="E654" i="8"/>
  <c r="J654" i="8" s="1"/>
  <c r="D654" i="8"/>
  <c r="I654" i="8" s="1"/>
  <c r="C654" i="8"/>
  <c r="H654" i="8" s="1"/>
  <c r="B654" i="8"/>
  <c r="F653" i="8"/>
  <c r="K653" i="8" s="1"/>
  <c r="E653" i="8"/>
  <c r="J653" i="8" s="1"/>
  <c r="D653" i="8"/>
  <c r="I653" i="8" s="1"/>
  <c r="C653" i="8"/>
  <c r="H653" i="8" s="1"/>
  <c r="B653" i="8"/>
  <c r="F652" i="8"/>
  <c r="K652" i="8" s="1"/>
  <c r="E652" i="8"/>
  <c r="J652" i="8" s="1"/>
  <c r="D652" i="8"/>
  <c r="I652" i="8" s="1"/>
  <c r="C652" i="8"/>
  <c r="H652" i="8" s="1"/>
  <c r="B652" i="8"/>
  <c r="F651" i="8"/>
  <c r="K651" i="8" s="1"/>
  <c r="E651" i="8"/>
  <c r="J651" i="8" s="1"/>
  <c r="D651" i="8"/>
  <c r="I651" i="8" s="1"/>
  <c r="C651" i="8"/>
  <c r="H651" i="8" s="1"/>
  <c r="B651" i="8"/>
  <c r="F650" i="8"/>
  <c r="K650" i="8" s="1"/>
  <c r="E650" i="8"/>
  <c r="J650" i="8" s="1"/>
  <c r="D650" i="8"/>
  <c r="I650" i="8" s="1"/>
  <c r="C650" i="8"/>
  <c r="H650" i="8" s="1"/>
  <c r="B650" i="8"/>
  <c r="F649" i="8"/>
  <c r="K649" i="8" s="1"/>
  <c r="E649" i="8"/>
  <c r="J649" i="8" s="1"/>
  <c r="D649" i="8"/>
  <c r="I649" i="8" s="1"/>
  <c r="C649" i="8"/>
  <c r="H649" i="8" s="1"/>
  <c r="B649" i="8"/>
  <c r="F648" i="8"/>
  <c r="K648" i="8" s="1"/>
  <c r="E648" i="8"/>
  <c r="J648" i="8" s="1"/>
  <c r="D648" i="8"/>
  <c r="I648" i="8" s="1"/>
  <c r="C648" i="8"/>
  <c r="H648" i="8" s="1"/>
  <c r="B648" i="8"/>
  <c r="F647" i="8"/>
  <c r="K647" i="8" s="1"/>
  <c r="E647" i="8"/>
  <c r="J647" i="8" s="1"/>
  <c r="D647" i="8"/>
  <c r="I647" i="8" s="1"/>
  <c r="C647" i="8"/>
  <c r="H647" i="8" s="1"/>
  <c r="B647" i="8"/>
  <c r="F646" i="8"/>
  <c r="K646" i="8" s="1"/>
  <c r="E646" i="8"/>
  <c r="J646" i="8" s="1"/>
  <c r="D646" i="8"/>
  <c r="I646" i="8" s="1"/>
  <c r="C646" i="8"/>
  <c r="H646" i="8" s="1"/>
  <c r="B646" i="8"/>
  <c r="F645" i="8"/>
  <c r="K645" i="8" s="1"/>
  <c r="E645" i="8"/>
  <c r="J645" i="8" s="1"/>
  <c r="D645" i="8"/>
  <c r="I645" i="8" s="1"/>
  <c r="C645" i="8"/>
  <c r="H645" i="8" s="1"/>
  <c r="B645" i="8"/>
  <c r="F644" i="8"/>
  <c r="K644" i="8" s="1"/>
  <c r="E644" i="8"/>
  <c r="J644" i="8" s="1"/>
  <c r="D644" i="8"/>
  <c r="I644" i="8" s="1"/>
  <c r="C644" i="8"/>
  <c r="H644" i="8" s="1"/>
  <c r="B644" i="8"/>
  <c r="F643" i="8"/>
  <c r="K643" i="8" s="1"/>
  <c r="E643" i="8"/>
  <c r="J643" i="8" s="1"/>
  <c r="D643" i="8"/>
  <c r="I643" i="8" s="1"/>
  <c r="C643" i="8"/>
  <c r="H643" i="8" s="1"/>
  <c r="B643" i="8"/>
  <c r="F642" i="8"/>
  <c r="K642" i="8" s="1"/>
  <c r="E642" i="8"/>
  <c r="J642" i="8" s="1"/>
  <c r="D642" i="8"/>
  <c r="I642" i="8" s="1"/>
  <c r="C642" i="8"/>
  <c r="H642" i="8" s="1"/>
  <c r="B642" i="8"/>
  <c r="F641" i="8"/>
  <c r="K641" i="8" s="1"/>
  <c r="E641" i="8"/>
  <c r="J641" i="8" s="1"/>
  <c r="D641" i="8"/>
  <c r="I641" i="8" s="1"/>
  <c r="C641" i="8"/>
  <c r="H641" i="8" s="1"/>
  <c r="B641" i="8"/>
  <c r="F640" i="8"/>
  <c r="K640" i="8" s="1"/>
  <c r="E640" i="8"/>
  <c r="J640" i="8" s="1"/>
  <c r="D640" i="8"/>
  <c r="I640" i="8" s="1"/>
  <c r="C640" i="8"/>
  <c r="H640" i="8" s="1"/>
  <c r="B640" i="8"/>
  <c r="F639" i="8"/>
  <c r="K639" i="8" s="1"/>
  <c r="E639" i="8"/>
  <c r="J639" i="8" s="1"/>
  <c r="D639" i="8"/>
  <c r="I639" i="8" s="1"/>
  <c r="C639" i="8"/>
  <c r="H639" i="8" s="1"/>
  <c r="B639" i="8"/>
  <c r="F638" i="8"/>
  <c r="K638" i="8" s="1"/>
  <c r="E638" i="8"/>
  <c r="J638" i="8" s="1"/>
  <c r="D638" i="8"/>
  <c r="I638" i="8" s="1"/>
  <c r="C638" i="8"/>
  <c r="H638" i="8" s="1"/>
  <c r="B638" i="8"/>
  <c r="F637" i="8"/>
  <c r="K637" i="8" s="1"/>
  <c r="E637" i="8"/>
  <c r="J637" i="8" s="1"/>
  <c r="D637" i="8"/>
  <c r="I637" i="8" s="1"/>
  <c r="C637" i="8"/>
  <c r="H637" i="8" s="1"/>
  <c r="B637" i="8"/>
  <c r="F636" i="8"/>
  <c r="K636" i="8" s="1"/>
  <c r="E636" i="8"/>
  <c r="J636" i="8" s="1"/>
  <c r="D636" i="8"/>
  <c r="I636" i="8" s="1"/>
  <c r="C636" i="8"/>
  <c r="H636" i="8" s="1"/>
  <c r="B636" i="8"/>
  <c r="F635" i="8"/>
  <c r="K635" i="8" s="1"/>
  <c r="E635" i="8"/>
  <c r="J635" i="8" s="1"/>
  <c r="D635" i="8"/>
  <c r="I635" i="8" s="1"/>
  <c r="C635" i="8"/>
  <c r="H635" i="8" s="1"/>
  <c r="B635" i="8"/>
  <c r="F634" i="8"/>
  <c r="K634" i="8" s="1"/>
  <c r="E634" i="8"/>
  <c r="J634" i="8" s="1"/>
  <c r="D634" i="8"/>
  <c r="I634" i="8" s="1"/>
  <c r="C634" i="8"/>
  <c r="H634" i="8" s="1"/>
  <c r="B634" i="8"/>
  <c r="F633" i="8"/>
  <c r="K633" i="8" s="1"/>
  <c r="E633" i="8"/>
  <c r="J633" i="8" s="1"/>
  <c r="D633" i="8"/>
  <c r="I633" i="8" s="1"/>
  <c r="C633" i="8"/>
  <c r="H633" i="8" s="1"/>
  <c r="B633" i="8"/>
  <c r="F632" i="8"/>
  <c r="K632" i="8" s="1"/>
  <c r="E632" i="8"/>
  <c r="J632" i="8" s="1"/>
  <c r="D632" i="8"/>
  <c r="I632" i="8" s="1"/>
  <c r="C632" i="8"/>
  <c r="H632" i="8" s="1"/>
  <c r="B632" i="8"/>
  <c r="F631" i="8"/>
  <c r="K631" i="8" s="1"/>
  <c r="E631" i="8"/>
  <c r="J631" i="8" s="1"/>
  <c r="D631" i="8"/>
  <c r="I631" i="8" s="1"/>
  <c r="C631" i="8"/>
  <c r="H631" i="8" s="1"/>
  <c r="B631" i="8"/>
  <c r="F630" i="8"/>
  <c r="K630" i="8" s="1"/>
  <c r="E630" i="8"/>
  <c r="J630" i="8" s="1"/>
  <c r="D630" i="8"/>
  <c r="I630" i="8" s="1"/>
  <c r="C630" i="8"/>
  <c r="H630" i="8" s="1"/>
  <c r="B630" i="8"/>
  <c r="F629" i="8"/>
  <c r="K629" i="8" s="1"/>
  <c r="E629" i="8"/>
  <c r="J629" i="8" s="1"/>
  <c r="D629" i="8"/>
  <c r="I629" i="8" s="1"/>
  <c r="C629" i="8"/>
  <c r="H629" i="8" s="1"/>
  <c r="B629" i="8"/>
  <c r="F628" i="8"/>
  <c r="K628" i="8" s="1"/>
  <c r="E628" i="8"/>
  <c r="J628" i="8" s="1"/>
  <c r="D628" i="8"/>
  <c r="I628" i="8" s="1"/>
  <c r="C628" i="8"/>
  <c r="H628" i="8" s="1"/>
  <c r="B628" i="8"/>
  <c r="F627" i="8"/>
  <c r="K627" i="8" s="1"/>
  <c r="E627" i="8"/>
  <c r="J627" i="8" s="1"/>
  <c r="D627" i="8"/>
  <c r="I627" i="8" s="1"/>
  <c r="C627" i="8"/>
  <c r="H627" i="8" s="1"/>
  <c r="B627" i="8"/>
  <c r="F626" i="8"/>
  <c r="K626" i="8" s="1"/>
  <c r="E626" i="8"/>
  <c r="J626" i="8" s="1"/>
  <c r="D626" i="8"/>
  <c r="I626" i="8" s="1"/>
  <c r="C626" i="8"/>
  <c r="H626" i="8" s="1"/>
  <c r="B626" i="8"/>
  <c r="F625" i="8"/>
  <c r="K625" i="8" s="1"/>
  <c r="E625" i="8"/>
  <c r="J625" i="8" s="1"/>
  <c r="D625" i="8"/>
  <c r="I625" i="8" s="1"/>
  <c r="C625" i="8"/>
  <c r="H625" i="8" s="1"/>
  <c r="B625" i="8"/>
  <c r="F624" i="8"/>
  <c r="K624" i="8" s="1"/>
  <c r="E624" i="8"/>
  <c r="J624" i="8" s="1"/>
  <c r="D624" i="8"/>
  <c r="I624" i="8" s="1"/>
  <c r="C624" i="8"/>
  <c r="H624" i="8" s="1"/>
  <c r="B624" i="8"/>
  <c r="F623" i="8"/>
  <c r="K623" i="8" s="1"/>
  <c r="E623" i="8"/>
  <c r="J623" i="8" s="1"/>
  <c r="D623" i="8"/>
  <c r="I623" i="8" s="1"/>
  <c r="C623" i="8"/>
  <c r="H623" i="8" s="1"/>
  <c r="B623" i="8"/>
  <c r="F622" i="8"/>
  <c r="K622" i="8" s="1"/>
  <c r="E622" i="8"/>
  <c r="J622" i="8" s="1"/>
  <c r="D622" i="8"/>
  <c r="I622" i="8" s="1"/>
  <c r="C622" i="8"/>
  <c r="H622" i="8" s="1"/>
  <c r="B622" i="8"/>
  <c r="F621" i="8"/>
  <c r="K621" i="8" s="1"/>
  <c r="E621" i="8"/>
  <c r="J621" i="8" s="1"/>
  <c r="D621" i="8"/>
  <c r="I621" i="8" s="1"/>
  <c r="C621" i="8"/>
  <c r="H621" i="8" s="1"/>
  <c r="B621" i="8"/>
  <c r="F620" i="8"/>
  <c r="K620" i="8" s="1"/>
  <c r="E620" i="8"/>
  <c r="J620" i="8" s="1"/>
  <c r="D620" i="8"/>
  <c r="I620" i="8" s="1"/>
  <c r="C620" i="8"/>
  <c r="H620" i="8" s="1"/>
  <c r="B620" i="8"/>
  <c r="F619" i="8"/>
  <c r="K619" i="8" s="1"/>
  <c r="E619" i="8"/>
  <c r="J619" i="8" s="1"/>
  <c r="D619" i="8"/>
  <c r="I619" i="8" s="1"/>
  <c r="C619" i="8"/>
  <c r="H619" i="8" s="1"/>
  <c r="B619" i="8"/>
  <c r="F618" i="8"/>
  <c r="K618" i="8" s="1"/>
  <c r="E618" i="8"/>
  <c r="J618" i="8" s="1"/>
  <c r="D618" i="8"/>
  <c r="I618" i="8" s="1"/>
  <c r="C618" i="8"/>
  <c r="H618" i="8" s="1"/>
  <c r="B618" i="8"/>
  <c r="F617" i="8"/>
  <c r="K617" i="8" s="1"/>
  <c r="E617" i="8"/>
  <c r="J617" i="8" s="1"/>
  <c r="D617" i="8"/>
  <c r="I617" i="8" s="1"/>
  <c r="C617" i="8"/>
  <c r="H617" i="8" s="1"/>
  <c r="B617" i="8"/>
  <c r="F616" i="8"/>
  <c r="K616" i="8" s="1"/>
  <c r="E616" i="8"/>
  <c r="J616" i="8" s="1"/>
  <c r="D616" i="8"/>
  <c r="I616" i="8" s="1"/>
  <c r="C616" i="8"/>
  <c r="H616" i="8" s="1"/>
  <c r="B616" i="8"/>
  <c r="F615" i="8"/>
  <c r="K615" i="8" s="1"/>
  <c r="E615" i="8"/>
  <c r="J615" i="8" s="1"/>
  <c r="D615" i="8"/>
  <c r="I615" i="8" s="1"/>
  <c r="C615" i="8"/>
  <c r="H615" i="8" s="1"/>
  <c r="B615" i="8"/>
  <c r="F614" i="8"/>
  <c r="K614" i="8" s="1"/>
  <c r="E614" i="8"/>
  <c r="J614" i="8" s="1"/>
  <c r="D614" i="8"/>
  <c r="I614" i="8" s="1"/>
  <c r="C614" i="8"/>
  <c r="H614" i="8" s="1"/>
  <c r="B614" i="8"/>
  <c r="F613" i="8"/>
  <c r="K613" i="8" s="1"/>
  <c r="E613" i="8"/>
  <c r="J613" i="8" s="1"/>
  <c r="D613" i="8"/>
  <c r="I613" i="8" s="1"/>
  <c r="C613" i="8"/>
  <c r="H613" i="8" s="1"/>
  <c r="B613" i="8"/>
  <c r="F612" i="8"/>
  <c r="K612" i="8" s="1"/>
  <c r="E612" i="8"/>
  <c r="J612" i="8" s="1"/>
  <c r="D612" i="8"/>
  <c r="I612" i="8" s="1"/>
  <c r="C612" i="8"/>
  <c r="H612" i="8" s="1"/>
  <c r="B612" i="8"/>
  <c r="F611" i="8"/>
  <c r="K611" i="8" s="1"/>
  <c r="E611" i="8"/>
  <c r="J611" i="8" s="1"/>
  <c r="D611" i="8"/>
  <c r="I611" i="8" s="1"/>
  <c r="C611" i="8"/>
  <c r="H611" i="8" s="1"/>
  <c r="B611" i="8"/>
  <c r="F610" i="8"/>
  <c r="K610" i="8" s="1"/>
  <c r="E610" i="8"/>
  <c r="J610" i="8" s="1"/>
  <c r="D610" i="8"/>
  <c r="I610" i="8" s="1"/>
  <c r="C610" i="8"/>
  <c r="H610" i="8" s="1"/>
  <c r="B610" i="8"/>
  <c r="F609" i="8"/>
  <c r="K609" i="8" s="1"/>
  <c r="E609" i="8"/>
  <c r="J609" i="8" s="1"/>
  <c r="D609" i="8"/>
  <c r="I609" i="8" s="1"/>
  <c r="C609" i="8"/>
  <c r="H609" i="8" s="1"/>
  <c r="B609" i="8"/>
  <c r="F608" i="8"/>
  <c r="K608" i="8" s="1"/>
  <c r="E608" i="8"/>
  <c r="J608" i="8" s="1"/>
  <c r="D608" i="8"/>
  <c r="I608" i="8" s="1"/>
  <c r="C608" i="8"/>
  <c r="H608" i="8" s="1"/>
  <c r="B608" i="8"/>
  <c r="F607" i="8"/>
  <c r="K607" i="8" s="1"/>
  <c r="E607" i="8"/>
  <c r="J607" i="8" s="1"/>
  <c r="D607" i="8"/>
  <c r="I607" i="8" s="1"/>
  <c r="C607" i="8"/>
  <c r="H607" i="8" s="1"/>
  <c r="B607" i="8"/>
  <c r="F606" i="8"/>
  <c r="K606" i="8" s="1"/>
  <c r="E606" i="8"/>
  <c r="J606" i="8" s="1"/>
  <c r="D606" i="8"/>
  <c r="I606" i="8" s="1"/>
  <c r="C606" i="8"/>
  <c r="H606" i="8" s="1"/>
  <c r="B606" i="8"/>
  <c r="F605" i="8"/>
  <c r="K605" i="8" s="1"/>
  <c r="E605" i="8"/>
  <c r="J605" i="8" s="1"/>
  <c r="D605" i="8"/>
  <c r="I605" i="8" s="1"/>
  <c r="C605" i="8"/>
  <c r="H605" i="8" s="1"/>
  <c r="B605" i="8"/>
  <c r="F604" i="8"/>
  <c r="K604" i="8" s="1"/>
  <c r="E604" i="8"/>
  <c r="J604" i="8" s="1"/>
  <c r="D604" i="8"/>
  <c r="I604" i="8" s="1"/>
  <c r="C604" i="8"/>
  <c r="H604" i="8" s="1"/>
  <c r="B604" i="8"/>
  <c r="F603" i="8"/>
  <c r="K603" i="8" s="1"/>
  <c r="E603" i="8"/>
  <c r="J603" i="8" s="1"/>
  <c r="D603" i="8"/>
  <c r="I603" i="8" s="1"/>
  <c r="C603" i="8"/>
  <c r="H603" i="8" s="1"/>
  <c r="B603" i="8"/>
  <c r="F602" i="8"/>
  <c r="K602" i="8" s="1"/>
  <c r="E602" i="8"/>
  <c r="J602" i="8" s="1"/>
  <c r="D602" i="8"/>
  <c r="I602" i="8" s="1"/>
  <c r="C602" i="8"/>
  <c r="H602" i="8" s="1"/>
  <c r="B602" i="8"/>
  <c r="F601" i="8"/>
  <c r="K601" i="8" s="1"/>
  <c r="E601" i="8"/>
  <c r="J601" i="8" s="1"/>
  <c r="D601" i="8"/>
  <c r="I601" i="8" s="1"/>
  <c r="C601" i="8"/>
  <c r="H601" i="8" s="1"/>
  <c r="B601" i="8"/>
  <c r="F600" i="8"/>
  <c r="K600" i="8" s="1"/>
  <c r="E600" i="8"/>
  <c r="J600" i="8" s="1"/>
  <c r="D600" i="8"/>
  <c r="I600" i="8" s="1"/>
  <c r="C600" i="8"/>
  <c r="H600" i="8" s="1"/>
  <c r="B600" i="8"/>
  <c r="F599" i="8"/>
  <c r="K599" i="8" s="1"/>
  <c r="E599" i="8"/>
  <c r="J599" i="8" s="1"/>
  <c r="D599" i="8"/>
  <c r="I599" i="8" s="1"/>
  <c r="C599" i="8"/>
  <c r="H599" i="8" s="1"/>
  <c r="B599" i="8"/>
  <c r="F598" i="8"/>
  <c r="K598" i="8" s="1"/>
  <c r="E598" i="8"/>
  <c r="J598" i="8" s="1"/>
  <c r="D598" i="8"/>
  <c r="I598" i="8" s="1"/>
  <c r="C598" i="8"/>
  <c r="H598" i="8" s="1"/>
  <c r="B598" i="8"/>
  <c r="F597" i="8"/>
  <c r="K597" i="8" s="1"/>
  <c r="E597" i="8"/>
  <c r="J597" i="8" s="1"/>
  <c r="D597" i="8"/>
  <c r="I597" i="8" s="1"/>
  <c r="C597" i="8"/>
  <c r="H597" i="8" s="1"/>
  <c r="B597" i="8"/>
  <c r="F596" i="8"/>
  <c r="K596" i="8" s="1"/>
  <c r="E596" i="8"/>
  <c r="J596" i="8" s="1"/>
  <c r="D596" i="8"/>
  <c r="I596" i="8" s="1"/>
  <c r="C596" i="8"/>
  <c r="H596" i="8" s="1"/>
  <c r="B596" i="8"/>
  <c r="F595" i="8"/>
  <c r="K595" i="8" s="1"/>
  <c r="E595" i="8"/>
  <c r="J595" i="8" s="1"/>
  <c r="D595" i="8"/>
  <c r="I595" i="8" s="1"/>
  <c r="C595" i="8"/>
  <c r="H595" i="8" s="1"/>
  <c r="B595" i="8"/>
  <c r="F594" i="8"/>
  <c r="K594" i="8" s="1"/>
  <c r="E594" i="8"/>
  <c r="J594" i="8" s="1"/>
  <c r="D594" i="8"/>
  <c r="I594" i="8" s="1"/>
  <c r="C594" i="8"/>
  <c r="H594" i="8" s="1"/>
  <c r="B594" i="8"/>
  <c r="F593" i="8"/>
  <c r="K593" i="8" s="1"/>
  <c r="E593" i="8"/>
  <c r="J593" i="8" s="1"/>
  <c r="D593" i="8"/>
  <c r="I593" i="8" s="1"/>
  <c r="C593" i="8"/>
  <c r="H593" i="8" s="1"/>
  <c r="B593" i="8"/>
  <c r="F592" i="8"/>
  <c r="K592" i="8" s="1"/>
  <c r="E592" i="8"/>
  <c r="J592" i="8" s="1"/>
  <c r="D592" i="8"/>
  <c r="I592" i="8" s="1"/>
  <c r="C592" i="8"/>
  <c r="H592" i="8" s="1"/>
  <c r="B592" i="8"/>
  <c r="F591" i="8"/>
  <c r="K591" i="8" s="1"/>
  <c r="E591" i="8"/>
  <c r="J591" i="8" s="1"/>
  <c r="D591" i="8"/>
  <c r="I591" i="8" s="1"/>
  <c r="C591" i="8"/>
  <c r="H591" i="8" s="1"/>
  <c r="B591" i="8"/>
  <c r="F590" i="8"/>
  <c r="K590" i="8" s="1"/>
  <c r="E590" i="8"/>
  <c r="J590" i="8" s="1"/>
  <c r="D590" i="8"/>
  <c r="I590" i="8" s="1"/>
  <c r="C590" i="8"/>
  <c r="H590" i="8" s="1"/>
  <c r="B590" i="8"/>
  <c r="F589" i="8"/>
  <c r="K589" i="8" s="1"/>
  <c r="E589" i="8"/>
  <c r="J589" i="8" s="1"/>
  <c r="D589" i="8"/>
  <c r="I589" i="8" s="1"/>
  <c r="C589" i="8"/>
  <c r="H589" i="8" s="1"/>
  <c r="B589" i="8"/>
  <c r="F588" i="8"/>
  <c r="K588" i="8" s="1"/>
  <c r="E588" i="8"/>
  <c r="J588" i="8" s="1"/>
  <c r="D588" i="8"/>
  <c r="I588" i="8" s="1"/>
  <c r="C588" i="8"/>
  <c r="H588" i="8" s="1"/>
  <c r="B588" i="8"/>
  <c r="F587" i="8"/>
  <c r="K587" i="8" s="1"/>
  <c r="E587" i="8"/>
  <c r="J587" i="8" s="1"/>
  <c r="D587" i="8"/>
  <c r="I587" i="8" s="1"/>
  <c r="C587" i="8"/>
  <c r="H587" i="8" s="1"/>
  <c r="B587" i="8"/>
  <c r="F586" i="8"/>
  <c r="K586" i="8" s="1"/>
  <c r="E586" i="8"/>
  <c r="J586" i="8" s="1"/>
  <c r="D586" i="8"/>
  <c r="I586" i="8" s="1"/>
  <c r="C586" i="8"/>
  <c r="H586" i="8" s="1"/>
  <c r="B586" i="8"/>
  <c r="F585" i="8"/>
  <c r="K585" i="8" s="1"/>
  <c r="E585" i="8"/>
  <c r="J585" i="8" s="1"/>
  <c r="D585" i="8"/>
  <c r="I585" i="8" s="1"/>
  <c r="C585" i="8"/>
  <c r="H585" i="8" s="1"/>
  <c r="B585" i="8"/>
  <c r="F584" i="8"/>
  <c r="K584" i="8" s="1"/>
  <c r="E584" i="8"/>
  <c r="J584" i="8" s="1"/>
  <c r="D584" i="8"/>
  <c r="I584" i="8" s="1"/>
  <c r="C584" i="8"/>
  <c r="H584" i="8" s="1"/>
  <c r="B584" i="8"/>
  <c r="F583" i="8"/>
  <c r="K583" i="8" s="1"/>
  <c r="E583" i="8"/>
  <c r="J583" i="8" s="1"/>
  <c r="D583" i="8"/>
  <c r="I583" i="8" s="1"/>
  <c r="C583" i="8"/>
  <c r="H583" i="8" s="1"/>
  <c r="B583" i="8"/>
  <c r="F582" i="8"/>
  <c r="K582" i="8" s="1"/>
  <c r="E582" i="8"/>
  <c r="J582" i="8" s="1"/>
  <c r="D582" i="8"/>
  <c r="I582" i="8" s="1"/>
  <c r="C582" i="8"/>
  <c r="H582" i="8" s="1"/>
  <c r="B582" i="8"/>
  <c r="F581" i="8"/>
  <c r="K581" i="8" s="1"/>
  <c r="E581" i="8"/>
  <c r="J581" i="8" s="1"/>
  <c r="D581" i="8"/>
  <c r="I581" i="8" s="1"/>
  <c r="C581" i="8"/>
  <c r="H581" i="8" s="1"/>
  <c r="B581" i="8"/>
  <c r="F580" i="8"/>
  <c r="K580" i="8" s="1"/>
  <c r="E580" i="8"/>
  <c r="J580" i="8" s="1"/>
  <c r="D580" i="8"/>
  <c r="I580" i="8" s="1"/>
  <c r="C580" i="8"/>
  <c r="H580" i="8" s="1"/>
  <c r="B580" i="8"/>
  <c r="F579" i="8"/>
  <c r="K579" i="8" s="1"/>
  <c r="E579" i="8"/>
  <c r="J579" i="8" s="1"/>
  <c r="D579" i="8"/>
  <c r="I579" i="8" s="1"/>
  <c r="C579" i="8"/>
  <c r="H579" i="8" s="1"/>
  <c r="B579" i="8"/>
  <c r="F578" i="8"/>
  <c r="K578" i="8" s="1"/>
  <c r="E578" i="8"/>
  <c r="J578" i="8" s="1"/>
  <c r="D578" i="8"/>
  <c r="I578" i="8" s="1"/>
  <c r="C578" i="8"/>
  <c r="H578" i="8" s="1"/>
  <c r="B578" i="8"/>
  <c r="F577" i="8"/>
  <c r="K577" i="8" s="1"/>
  <c r="E577" i="8"/>
  <c r="J577" i="8" s="1"/>
  <c r="D577" i="8"/>
  <c r="I577" i="8" s="1"/>
  <c r="C577" i="8"/>
  <c r="H577" i="8" s="1"/>
  <c r="B577" i="8"/>
  <c r="F576" i="8"/>
  <c r="K576" i="8" s="1"/>
  <c r="E576" i="8"/>
  <c r="J576" i="8" s="1"/>
  <c r="D576" i="8"/>
  <c r="I576" i="8" s="1"/>
  <c r="C576" i="8"/>
  <c r="H576" i="8" s="1"/>
  <c r="B576" i="8"/>
  <c r="F575" i="8"/>
  <c r="K575" i="8" s="1"/>
  <c r="E575" i="8"/>
  <c r="J575" i="8" s="1"/>
  <c r="D575" i="8"/>
  <c r="I575" i="8" s="1"/>
  <c r="C575" i="8"/>
  <c r="H575" i="8" s="1"/>
  <c r="B575" i="8"/>
  <c r="F574" i="8"/>
  <c r="K574" i="8" s="1"/>
  <c r="E574" i="8"/>
  <c r="J574" i="8" s="1"/>
  <c r="D574" i="8"/>
  <c r="I574" i="8" s="1"/>
  <c r="C574" i="8"/>
  <c r="H574" i="8" s="1"/>
  <c r="B574" i="8"/>
  <c r="F573" i="8"/>
  <c r="K573" i="8" s="1"/>
  <c r="E573" i="8"/>
  <c r="J573" i="8" s="1"/>
  <c r="D573" i="8"/>
  <c r="I573" i="8" s="1"/>
  <c r="C573" i="8"/>
  <c r="H573" i="8" s="1"/>
  <c r="B573" i="8"/>
  <c r="F572" i="8"/>
  <c r="K572" i="8" s="1"/>
  <c r="E572" i="8"/>
  <c r="J572" i="8" s="1"/>
  <c r="D572" i="8"/>
  <c r="I572" i="8" s="1"/>
  <c r="C572" i="8"/>
  <c r="H572" i="8" s="1"/>
  <c r="B572" i="8"/>
  <c r="F571" i="8"/>
  <c r="K571" i="8" s="1"/>
  <c r="E571" i="8"/>
  <c r="J571" i="8" s="1"/>
  <c r="D571" i="8"/>
  <c r="I571" i="8" s="1"/>
  <c r="C571" i="8"/>
  <c r="H571" i="8" s="1"/>
  <c r="B571" i="8"/>
  <c r="F570" i="8"/>
  <c r="K570" i="8" s="1"/>
  <c r="E570" i="8"/>
  <c r="J570" i="8" s="1"/>
  <c r="D570" i="8"/>
  <c r="I570" i="8" s="1"/>
  <c r="C570" i="8"/>
  <c r="H570" i="8" s="1"/>
  <c r="B570" i="8"/>
  <c r="F569" i="8"/>
  <c r="K569" i="8" s="1"/>
  <c r="E569" i="8"/>
  <c r="J569" i="8" s="1"/>
  <c r="D569" i="8"/>
  <c r="I569" i="8" s="1"/>
  <c r="C569" i="8"/>
  <c r="H569" i="8" s="1"/>
  <c r="B569" i="8"/>
  <c r="F568" i="8"/>
  <c r="K568" i="8" s="1"/>
  <c r="E568" i="8"/>
  <c r="J568" i="8" s="1"/>
  <c r="D568" i="8"/>
  <c r="I568" i="8" s="1"/>
  <c r="C568" i="8"/>
  <c r="H568" i="8" s="1"/>
  <c r="B568" i="8"/>
  <c r="F567" i="8"/>
  <c r="K567" i="8" s="1"/>
  <c r="E567" i="8"/>
  <c r="J567" i="8" s="1"/>
  <c r="D567" i="8"/>
  <c r="I567" i="8" s="1"/>
  <c r="C567" i="8"/>
  <c r="H567" i="8" s="1"/>
  <c r="B567" i="8"/>
  <c r="F566" i="8"/>
  <c r="K566" i="8" s="1"/>
  <c r="E566" i="8"/>
  <c r="J566" i="8" s="1"/>
  <c r="D566" i="8"/>
  <c r="I566" i="8" s="1"/>
  <c r="C566" i="8"/>
  <c r="H566" i="8" s="1"/>
  <c r="B566" i="8"/>
  <c r="F565" i="8"/>
  <c r="K565" i="8" s="1"/>
  <c r="E565" i="8"/>
  <c r="J565" i="8" s="1"/>
  <c r="D565" i="8"/>
  <c r="I565" i="8" s="1"/>
  <c r="C565" i="8"/>
  <c r="H565" i="8" s="1"/>
  <c r="B565" i="8"/>
  <c r="F564" i="8"/>
  <c r="K564" i="8" s="1"/>
  <c r="E564" i="8"/>
  <c r="J564" i="8" s="1"/>
  <c r="D564" i="8"/>
  <c r="I564" i="8" s="1"/>
  <c r="C564" i="8"/>
  <c r="H564" i="8" s="1"/>
  <c r="B564" i="8"/>
  <c r="F563" i="8"/>
  <c r="K563" i="8" s="1"/>
  <c r="E563" i="8"/>
  <c r="J563" i="8" s="1"/>
  <c r="D563" i="8"/>
  <c r="I563" i="8" s="1"/>
  <c r="C563" i="8"/>
  <c r="H563" i="8" s="1"/>
  <c r="B563" i="8"/>
  <c r="F562" i="8"/>
  <c r="K562" i="8" s="1"/>
  <c r="E562" i="8"/>
  <c r="J562" i="8" s="1"/>
  <c r="D562" i="8"/>
  <c r="I562" i="8" s="1"/>
  <c r="C562" i="8"/>
  <c r="H562" i="8" s="1"/>
  <c r="B562" i="8"/>
  <c r="F561" i="8"/>
  <c r="K561" i="8" s="1"/>
  <c r="E561" i="8"/>
  <c r="J561" i="8" s="1"/>
  <c r="D561" i="8"/>
  <c r="I561" i="8" s="1"/>
  <c r="C561" i="8"/>
  <c r="H561" i="8" s="1"/>
  <c r="B561" i="8"/>
  <c r="F560" i="8"/>
  <c r="K560" i="8" s="1"/>
  <c r="E560" i="8"/>
  <c r="J560" i="8" s="1"/>
  <c r="D560" i="8"/>
  <c r="I560" i="8" s="1"/>
  <c r="C560" i="8"/>
  <c r="H560" i="8" s="1"/>
  <c r="B560" i="8"/>
  <c r="F559" i="8"/>
  <c r="K559" i="8" s="1"/>
  <c r="E559" i="8"/>
  <c r="J559" i="8" s="1"/>
  <c r="D559" i="8"/>
  <c r="I559" i="8" s="1"/>
  <c r="C559" i="8"/>
  <c r="H559" i="8" s="1"/>
  <c r="B559" i="8"/>
  <c r="F558" i="8"/>
  <c r="K558" i="8" s="1"/>
  <c r="E558" i="8"/>
  <c r="J558" i="8" s="1"/>
  <c r="D558" i="8"/>
  <c r="I558" i="8" s="1"/>
  <c r="C558" i="8"/>
  <c r="H558" i="8" s="1"/>
  <c r="B558" i="8"/>
  <c r="F557" i="8"/>
  <c r="K557" i="8" s="1"/>
  <c r="E557" i="8"/>
  <c r="J557" i="8" s="1"/>
  <c r="D557" i="8"/>
  <c r="I557" i="8" s="1"/>
  <c r="C557" i="8"/>
  <c r="H557" i="8" s="1"/>
  <c r="B557" i="8"/>
  <c r="F556" i="8"/>
  <c r="K556" i="8" s="1"/>
  <c r="E556" i="8"/>
  <c r="J556" i="8" s="1"/>
  <c r="D556" i="8"/>
  <c r="I556" i="8" s="1"/>
  <c r="C556" i="8"/>
  <c r="H556" i="8" s="1"/>
  <c r="B556" i="8"/>
  <c r="F555" i="8"/>
  <c r="K555" i="8" s="1"/>
  <c r="E555" i="8"/>
  <c r="J555" i="8" s="1"/>
  <c r="D555" i="8"/>
  <c r="I555" i="8" s="1"/>
  <c r="C555" i="8"/>
  <c r="H555" i="8" s="1"/>
  <c r="B555" i="8"/>
  <c r="F554" i="8"/>
  <c r="K554" i="8" s="1"/>
  <c r="E554" i="8"/>
  <c r="J554" i="8" s="1"/>
  <c r="D554" i="8"/>
  <c r="I554" i="8" s="1"/>
  <c r="C554" i="8"/>
  <c r="H554" i="8" s="1"/>
  <c r="B554" i="8"/>
  <c r="F553" i="8"/>
  <c r="K553" i="8" s="1"/>
  <c r="E553" i="8"/>
  <c r="J553" i="8" s="1"/>
  <c r="D553" i="8"/>
  <c r="I553" i="8" s="1"/>
  <c r="C553" i="8"/>
  <c r="H553" i="8" s="1"/>
  <c r="B553" i="8"/>
  <c r="F552" i="8"/>
  <c r="K552" i="8" s="1"/>
  <c r="E552" i="8"/>
  <c r="J552" i="8" s="1"/>
  <c r="D552" i="8"/>
  <c r="I552" i="8" s="1"/>
  <c r="C552" i="8"/>
  <c r="H552" i="8" s="1"/>
  <c r="B552" i="8"/>
  <c r="F551" i="8"/>
  <c r="K551" i="8" s="1"/>
  <c r="E551" i="8"/>
  <c r="J551" i="8" s="1"/>
  <c r="D551" i="8"/>
  <c r="I551" i="8" s="1"/>
  <c r="C551" i="8"/>
  <c r="H551" i="8" s="1"/>
  <c r="B551" i="8"/>
  <c r="F550" i="8"/>
  <c r="K550" i="8" s="1"/>
  <c r="E550" i="8"/>
  <c r="J550" i="8" s="1"/>
  <c r="D550" i="8"/>
  <c r="I550" i="8" s="1"/>
  <c r="C550" i="8"/>
  <c r="H550" i="8" s="1"/>
  <c r="B550" i="8"/>
  <c r="F549" i="8"/>
  <c r="K549" i="8" s="1"/>
  <c r="E549" i="8"/>
  <c r="J549" i="8" s="1"/>
  <c r="D549" i="8"/>
  <c r="I549" i="8" s="1"/>
  <c r="C549" i="8"/>
  <c r="H549" i="8" s="1"/>
  <c r="B549" i="8"/>
  <c r="F548" i="8"/>
  <c r="K548" i="8" s="1"/>
  <c r="E548" i="8"/>
  <c r="J548" i="8" s="1"/>
  <c r="D548" i="8"/>
  <c r="I548" i="8" s="1"/>
  <c r="C548" i="8"/>
  <c r="H548" i="8" s="1"/>
  <c r="B548" i="8"/>
  <c r="F547" i="8"/>
  <c r="K547" i="8" s="1"/>
  <c r="E547" i="8"/>
  <c r="J547" i="8" s="1"/>
  <c r="D547" i="8"/>
  <c r="I547" i="8" s="1"/>
  <c r="C547" i="8"/>
  <c r="H547" i="8" s="1"/>
  <c r="B547" i="8"/>
  <c r="F546" i="8"/>
  <c r="K546" i="8" s="1"/>
  <c r="E546" i="8"/>
  <c r="J546" i="8" s="1"/>
  <c r="D546" i="8"/>
  <c r="I546" i="8" s="1"/>
  <c r="C546" i="8"/>
  <c r="H546" i="8" s="1"/>
  <c r="B546" i="8"/>
  <c r="F545" i="8"/>
  <c r="K545" i="8" s="1"/>
  <c r="E545" i="8"/>
  <c r="J545" i="8" s="1"/>
  <c r="D545" i="8"/>
  <c r="I545" i="8" s="1"/>
  <c r="C545" i="8"/>
  <c r="H545" i="8" s="1"/>
  <c r="B545" i="8"/>
  <c r="F544" i="8"/>
  <c r="K544" i="8" s="1"/>
  <c r="E544" i="8"/>
  <c r="J544" i="8" s="1"/>
  <c r="D544" i="8"/>
  <c r="I544" i="8" s="1"/>
  <c r="C544" i="8"/>
  <c r="H544" i="8" s="1"/>
  <c r="B544" i="8"/>
  <c r="F543" i="8"/>
  <c r="K543" i="8" s="1"/>
  <c r="E543" i="8"/>
  <c r="J543" i="8" s="1"/>
  <c r="D543" i="8"/>
  <c r="I543" i="8" s="1"/>
  <c r="C543" i="8"/>
  <c r="H543" i="8" s="1"/>
  <c r="B543" i="8"/>
  <c r="F542" i="8"/>
  <c r="K542" i="8" s="1"/>
  <c r="E542" i="8"/>
  <c r="J542" i="8" s="1"/>
  <c r="D542" i="8"/>
  <c r="I542" i="8" s="1"/>
  <c r="C542" i="8"/>
  <c r="H542" i="8" s="1"/>
  <c r="B542" i="8"/>
  <c r="F541" i="8"/>
  <c r="K541" i="8" s="1"/>
  <c r="E541" i="8"/>
  <c r="J541" i="8" s="1"/>
  <c r="D541" i="8"/>
  <c r="I541" i="8" s="1"/>
  <c r="C541" i="8"/>
  <c r="H541" i="8" s="1"/>
  <c r="B541" i="8"/>
  <c r="F540" i="8"/>
  <c r="K540" i="8" s="1"/>
  <c r="E540" i="8"/>
  <c r="J540" i="8" s="1"/>
  <c r="D540" i="8"/>
  <c r="I540" i="8" s="1"/>
  <c r="C540" i="8"/>
  <c r="H540" i="8" s="1"/>
  <c r="B540" i="8"/>
  <c r="F539" i="8"/>
  <c r="K539" i="8" s="1"/>
  <c r="E539" i="8"/>
  <c r="J539" i="8" s="1"/>
  <c r="D539" i="8"/>
  <c r="I539" i="8" s="1"/>
  <c r="C539" i="8"/>
  <c r="H539" i="8" s="1"/>
  <c r="B539" i="8"/>
  <c r="F538" i="8"/>
  <c r="K538" i="8" s="1"/>
  <c r="E538" i="8"/>
  <c r="J538" i="8" s="1"/>
  <c r="D538" i="8"/>
  <c r="I538" i="8" s="1"/>
  <c r="C538" i="8"/>
  <c r="H538" i="8" s="1"/>
  <c r="B538" i="8"/>
  <c r="F537" i="8"/>
  <c r="K537" i="8" s="1"/>
  <c r="E537" i="8"/>
  <c r="J537" i="8" s="1"/>
  <c r="D537" i="8"/>
  <c r="I537" i="8" s="1"/>
  <c r="C537" i="8"/>
  <c r="H537" i="8" s="1"/>
  <c r="B537" i="8"/>
  <c r="F536" i="8"/>
  <c r="K536" i="8" s="1"/>
  <c r="E536" i="8"/>
  <c r="J536" i="8" s="1"/>
  <c r="D536" i="8"/>
  <c r="I536" i="8" s="1"/>
  <c r="C536" i="8"/>
  <c r="H536" i="8" s="1"/>
  <c r="B536" i="8"/>
  <c r="F535" i="8"/>
  <c r="K535" i="8" s="1"/>
  <c r="E535" i="8"/>
  <c r="J535" i="8" s="1"/>
  <c r="D535" i="8"/>
  <c r="I535" i="8" s="1"/>
  <c r="C535" i="8"/>
  <c r="H535" i="8" s="1"/>
  <c r="B535" i="8"/>
  <c r="F534" i="8"/>
  <c r="K534" i="8" s="1"/>
  <c r="E534" i="8"/>
  <c r="J534" i="8" s="1"/>
  <c r="D534" i="8"/>
  <c r="I534" i="8" s="1"/>
  <c r="C534" i="8"/>
  <c r="H534" i="8" s="1"/>
  <c r="B534" i="8"/>
  <c r="F533" i="8"/>
  <c r="K533" i="8" s="1"/>
  <c r="E533" i="8"/>
  <c r="J533" i="8" s="1"/>
  <c r="D533" i="8"/>
  <c r="I533" i="8" s="1"/>
  <c r="C533" i="8"/>
  <c r="H533" i="8" s="1"/>
  <c r="B533" i="8"/>
  <c r="F532" i="8"/>
  <c r="K532" i="8" s="1"/>
  <c r="E532" i="8"/>
  <c r="J532" i="8" s="1"/>
  <c r="D532" i="8"/>
  <c r="I532" i="8" s="1"/>
  <c r="C532" i="8"/>
  <c r="H532" i="8" s="1"/>
  <c r="B532" i="8"/>
  <c r="F531" i="8"/>
  <c r="K531" i="8" s="1"/>
  <c r="E531" i="8"/>
  <c r="J531" i="8" s="1"/>
  <c r="D531" i="8"/>
  <c r="I531" i="8" s="1"/>
  <c r="C531" i="8"/>
  <c r="H531" i="8" s="1"/>
  <c r="B531" i="8"/>
  <c r="F530" i="8"/>
  <c r="K530" i="8" s="1"/>
  <c r="E530" i="8"/>
  <c r="J530" i="8" s="1"/>
  <c r="D530" i="8"/>
  <c r="I530" i="8" s="1"/>
  <c r="C530" i="8"/>
  <c r="H530" i="8" s="1"/>
  <c r="B530" i="8"/>
  <c r="F529" i="8"/>
  <c r="K529" i="8" s="1"/>
  <c r="E529" i="8"/>
  <c r="J529" i="8" s="1"/>
  <c r="D529" i="8"/>
  <c r="I529" i="8" s="1"/>
  <c r="C529" i="8"/>
  <c r="H529" i="8" s="1"/>
  <c r="B529" i="8"/>
  <c r="F528" i="8"/>
  <c r="K528" i="8" s="1"/>
  <c r="E528" i="8"/>
  <c r="J528" i="8" s="1"/>
  <c r="D528" i="8"/>
  <c r="I528" i="8" s="1"/>
  <c r="C528" i="8"/>
  <c r="H528" i="8" s="1"/>
  <c r="B528" i="8"/>
  <c r="F527" i="8"/>
  <c r="K527" i="8" s="1"/>
  <c r="E527" i="8"/>
  <c r="J527" i="8" s="1"/>
  <c r="D527" i="8"/>
  <c r="I527" i="8" s="1"/>
  <c r="C527" i="8"/>
  <c r="H527" i="8" s="1"/>
  <c r="B527" i="8"/>
  <c r="F526" i="8"/>
  <c r="K526" i="8" s="1"/>
  <c r="E526" i="8"/>
  <c r="J526" i="8" s="1"/>
  <c r="D526" i="8"/>
  <c r="I526" i="8" s="1"/>
  <c r="C526" i="8"/>
  <c r="H526" i="8" s="1"/>
  <c r="B526" i="8"/>
  <c r="F525" i="8"/>
  <c r="K525" i="8" s="1"/>
  <c r="E525" i="8"/>
  <c r="J525" i="8" s="1"/>
  <c r="D525" i="8"/>
  <c r="I525" i="8" s="1"/>
  <c r="C525" i="8"/>
  <c r="H525" i="8" s="1"/>
  <c r="B525" i="8"/>
  <c r="F524" i="8"/>
  <c r="K524" i="8" s="1"/>
  <c r="E524" i="8"/>
  <c r="J524" i="8" s="1"/>
  <c r="D524" i="8"/>
  <c r="I524" i="8" s="1"/>
  <c r="C524" i="8"/>
  <c r="H524" i="8" s="1"/>
  <c r="B524" i="8"/>
  <c r="F523" i="8"/>
  <c r="K523" i="8" s="1"/>
  <c r="E523" i="8"/>
  <c r="J523" i="8" s="1"/>
  <c r="D523" i="8"/>
  <c r="I523" i="8" s="1"/>
  <c r="C523" i="8"/>
  <c r="H523" i="8" s="1"/>
  <c r="B523" i="8"/>
  <c r="F522" i="8"/>
  <c r="K522" i="8" s="1"/>
  <c r="E522" i="8"/>
  <c r="J522" i="8" s="1"/>
  <c r="D522" i="8"/>
  <c r="I522" i="8" s="1"/>
  <c r="C522" i="8"/>
  <c r="H522" i="8" s="1"/>
  <c r="B522" i="8"/>
  <c r="F521" i="8"/>
  <c r="K521" i="8" s="1"/>
  <c r="E521" i="8"/>
  <c r="J521" i="8" s="1"/>
  <c r="D521" i="8"/>
  <c r="I521" i="8" s="1"/>
  <c r="C521" i="8"/>
  <c r="H521" i="8" s="1"/>
  <c r="B521" i="8"/>
  <c r="F520" i="8"/>
  <c r="K520" i="8" s="1"/>
  <c r="E520" i="8"/>
  <c r="J520" i="8" s="1"/>
  <c r="D520" i="8"/>
  <c r="I520" i="8" s="1"/>
  <c r="C520" i="8"/>
  <c r="H520" i="8" s="1"/>
  <c r="B520" i="8"/>
  <c r="F519" i="8"/>
  <c r="K519" i="8" s="1"/>
  <c r="E519" i="8"/>
  <c r="J519" i="8" s="1"/>
  <c r="D519" i="8"/>
  <c r="I519" i="8" s="1"/>
  <c r="C519" i="8"/>
  <c r="H519" i="8" s="1"/>
  <c r="B519" i="8"/>
  <c r="F518" i="8"/>
  <c r="K518" i="8" s="1"/>
  <c r="E518" i="8"/>
  <c r="J518" i="8" s="1"/>
  <c r="D518" i="8"/>
  <c r="I518" i="8" s="1"/>
  <c r="C518" i="8"/>
  <c r="H518" i="8" s="1"/>
  <c r="B518" i="8"/>
  <c r="F517" i="8"/>
  <c r="K517" i="8" s="1"/>
  <c r="E517" i="8"/>
  <c r="J517" i="8" s="1"/>
  <c r="D517" i="8"/>
  <c r="I517" i="8" s="1"/>
  <c r="C517" i="8"/>
  <c r="H517" i="8" s="1"/>
  <c r="B517" i="8"/>
  <c r="F516" i="8"/>
  <c r="K516" i="8" s="1"/>
  <c r="E516" i="8"/>
  <c r="J516" i="8" s="1"/>
  <c r="D516" i="8"/>
  <c r="I516" i="8" s="1"/>
  <c r="C516" i="8"/>
  <c r="H516" i="8" s="1"/>
  <c r="B516" i="8"/>
  <c r="F515" i="8"/>
  <c r="K515" i="8" s="1"/>
  <c r="E515" i="8"/>
  <c r="J515" i="8" s="1"/>
  <c r="D515" i="8"/>
  <c r="I515" i="8" s="1"/>
  <c r="C515" i="8"/>
  <c r="H515" i="8" s="1"/>
  <c r="B515" i="8"/>
  <c r="F514" i="8"/>
  <c r="K514" i="8" s="1"/>
  <c r="E514" i="8"/>
  <c r="J514" i="8" s="1"/>
  <c r="D514" i="8"/>
  <c r="I514" i="8" s="1"/>
  <c r="C514" i="8"/>
  <c r="H514" i="8" s="1"/>
  <c r="B514" i="8"/>
  <c r="F513" i="8"/>
  <c r="K513" i="8" s="1"/>
  <c r="E513" i="8"/>
  <c r="J513" i="8" s="1"/>
  <c r="D513" i="8"/>
  <c r="I513" i="8" s="1"/>
  <c r="C513" i="8"/>
  <c r="H513" i="8" s="1"/>
  <c r="B513" i="8"/>
  <c r="F512" i="8"/>
  <c r="K512" i="8" s="1"/>
  <c r="E512" i="8"/>
  <c r="J512" i="8" s="1"/>
  <c r="D512" i="8"/>
  <c r="I512" i="8" s="1"/>
  <c r="C512" i="8"/>
  <c r="H512" i="8" s="1"/>
  <c r="B512" i="8"/>
  <c r="F511" i="8"/>
  <c r="K511" i="8" s="1"/>
  <c r="E511" i="8"/>
  <c r="J511" i="8" s="1"/>
  <c r="D511" i="8"/>
  <c r="I511" i="8" s="1"/>
  <c r="C511" i="8"/>
  <c r="H511" i="8" s="1"/>
  <c r="B511" i="8"/>
  <c r="F510" i="8"/>
  <c r="K510" i="8" s="1"/>
  <c r="E510" i="8"/>
  <c r="J510" i="8" s="1"/>
  <c r="D510" i="8"/>
  <c r="I510" i="8" s="1"/>
  <c r="C510" i="8"/>
  <c r="H510" i="8" s="1"/>
  <c r="B510" i="8"/>
  <c r="F509" i="8"/>
  <c r="K509" i="8" s="1"/>
  <c r="E509" i="8"/>
  <c r="J509" i="8" s="1"/>
  <c r="D509" i="8"/>
  <c r="I509" i="8" s="1"/>
  <c r="C509" i="8"/>
  <c r="H509" i="8" s="1"/>
  <c r="B509" i="8"/>
  <c r="F508" i="8"/>
  <c r="K508" i="8" s="1"/>
  <c r="E508" i="8"/>
  <c r="J508" i="8" s="1"/>
  <c r="D508" i="8"/>
  <c r="I508" i="8" s="1"/>
  <c r="C508" i="8"/>
  <c r="H508" i="8" s="1"/>
  <c r="B508" i="8"/>
  <c r="F507" i="8"/>
  <c r="K507" i="8" s="1"/>
  <c r="E507" i="8"/>
  <c r="J507" i="8" s="1"/>
  <c r="D507" i="8"/>
  <c r="I507" i="8" s="1"/>
  <c r="C507" i="8"/>
  <c r="H507" i="8" s="1"/>
  <c r="B507" i="8"/>
  <c r="F506" i="8"/>
  <c r="K506" i="8" s="1"/>
  <c r="E506" i="8"/>
  <c r="J506" i="8" s="1"/>
  <c r="D506" i="8"/>
  <c r="I506" i="8" s="1"/>
  <c r="C506" i="8"/>
  <c r="H506" i="8" s="1"/>
  <c r="B506" i="8"/>
  <c r="F505" i="8"/>
  <c r="K505" i="8" s="1"/>
  <c r="E505" i="8"/>
  <c r="J505" i="8" s="1"/>
  <c r="D505" i="8"/>
  <c r="I505" i="8" s="1"/>
  <c r="C505" i="8"/>
  <c r="H505" i="8" s="1"/>
  <c r="B505" i="8"/>
  <c r="F504" i="8"/>
  <c r="K504" i="8" s="1"/>
  <c r="E504" i="8"/>
  <c r="J504" i="8" s="1"/>
  <c r="D504" i="8"/>
  <c r="I504" i="8" s="1"/>
  <c r="C504" i="8"/>
  <c r="H504" i="8" s="1"/>
  <c r="B504" i="8"/>
  <c r="F503" i="8"/>
  <c r="K503" i="8" s="1"/>
  <c r="E503" i="8"/>
  <c r="J503" i="8" s="1"/>
  <c r="D503" i="8"/>
  <c r="I503" i="8" s="1"/>
  <c r="C503" i="8"/>
  <c r="H503" i="8" s="1"/>
  <c r="B503" i="8"/>
  <c r="F502" i="8"/>
  <c r="K502" i="8" s="1"/>
  <c r="E502" i="8"/>
  <c r="J502" i="8" s="1"/>
  <c r="D502" i="8"/>
  <c r="I502" i="8" s="1"/>
  <c r="C502" i="8"/>
  <c r="H502" i="8" s="1"/>
  <c r="B502" i="8"/>
  <c r="F501" i="8"/>
  <c r="K501" i="8" s="1"/>
  <c r="E501" i="8"/>
  <c r="J501" i="8" s="1"/>
  <c r="D501" i="8"/>
  <c r="I501" i="8" s="1"/>
  <c r="C501" i="8"/>
  <c r="H501" i="8" s="1"/>
  <c r="B501" i="8"/>
  <c r="F500" i="8"/>
  <c r="E500" i="8"/>
  <c r="D500" i="8"/>
  <c r="C500" i="8"/>
  <c r="H500" i="8" s="1"/>
  <c r="B500" i="8"/>
  <c r="F499" i="8"/>
  <c r="K499" i="8" s="1"/>
  <c r="E499" i="8"/>
  <c r="J499" i="8" s="1"/>
  <c r="D499" i="8"/>
  <c r="I499" i="8" s="1"/>
  <c r="C499" i="8"/>
  <c r="H499" i="8" s="1"/>
  <c r="B499" i="8"/>
  <c r="F498" i="8"/>
  <c r="K498" i="8" s="1"/>
  <c r="E498" i="8"/>
  <c r="J498" i="8" s="1"/>
  <c r="D498" i="8"/>
  <c r="I498" i="8" s="1"/>
  <c r="C498" i="8"/>
  <c r="H498" i="8" s="1"/>
  <c r="B498" i="8"/>
  <c r="F497" i="8"/>
  <c r="K497" i="8" s="1"/>
  <c r="E497" i="8"/>
  <c r="J497" i="8" s="1"/>
  <c r="D497" i="8"/>
  <c r="I497" i="8" s="1"/>
  <c r="C497" i="8"/>
  <c r="H497" i="8" s="1"/>
  <c r="B497" i="8"/>
  <c r="F496" i="8"/>
  <c r="K496" i="8" s="1"/>
  <c r="E496" i="8"/>
  <c r="J496" i="8" s="1"/>
  <c r="D496" i="8"/>
  <c r="I496" i="8" s="1"/>
  <c r="C496" i="8"/>
  <c r="H496" i="8" s="1"/>
  <c r="B496" i="8"/>
  <c r="F495" i="8"/>
  <c r="K495" i="8" s="1"/>
  <c r="E495" i="8"/>
  <c r="J495" i="8" s="1"/>
  <c r="D495" i="8"/>
  <c r="I495" i="8" s="1"/>
  <c r="C495" i="8"/>
  <c r="H495" i="8" s="1"/>
  <c r="B495" i="8"/>
  <c r="F494" i="8"/>
  <c r="K494" i="8" s="1"/>
  <c r="E494" i="8"/>
  <c r="J494" i="8" s="1"/>
  <c r="D494" i="8"/>
  <c r="I494" i="8" s="1"/>
  <c r="C494" i="8"/>
  <c r="H494" i="8" s="1"/>
  <c r="B494" i="8"/>
  <c r="F493" i="8"/>
  <c r="K493" i="8" s="1"/>
  <c r="E493" i="8"/>
  <c r="J493" i="8" s="1"/>
  <c r="D493" i="8"/>
  <c r="I493" i="8" s="1"/>
  <c r="C493" i="8"/>
  <c r="H493" i="8" s="1"/>
  <c r="B493" i="8"/>
  <c r="F492" i="8"/>
  <c r="K492" i="8" s="1"/>
  <c r="E492" i="8"/>
  <c r="J492" i="8" s="1"/>
  <c r="D492" i="8"/>
  <c r="I492" i="8" s="1"/>
  <c r="C492" i="8"/>
  <c r="H492" i="8" s="1"/>
  <c r="B492" i="8"/>
  <c r="F491" i="8"/>
  <c r="K491" i="8" s="1"/>
  <c r="E491" i="8"/>
  <c r="J491" i="8" s="1"/>
  <c r="D491" i="8"/>
  <c r="I491" i="8" s="1"/>
  <c r="C491" i="8"/>
  <c r="H491" i="8" s="1"/>
  <c r="B491" i="8"/>
  <c r="F490" i="8"/>
  <c r="K490" i="8" s="1"/>
  <c r="E490" i="8"/>
  <c r="J490" i="8" s="1"/>
  <c r="D490" i="8"/>
  <c r="I490" i="8" s="1"/>
  <c r="C490" i="8"/>
  <c r="H490" i="8" s="1"/>
  <c r="B490" i="8"/>
  <c r="F489" i="8"/>
  <c r="K489" i="8" s="1"/>
  <c r="E489" i="8"/>
  <c r="J489" i="8" s="1"/>
  <c r="D489" i="8"/>
  <c r="I489" i="8" s="1"/>
  <c r="C489" i="8"/>
  <c r="H489" i="8" s="1"/>
  <c r="B489" i="8"/>
  <c r="F488" i="8"/>
  <c r="K488" i="8" s="1"/>
  <c r="E488" i="8"/>
  <c r="J488" i="8" s="1"/>
  <c r="D488" i="8"/>
  <c r="I488" i="8" s="1"/>
  <c r="C488" i="8"/>
  <c r="H488" i="8" s="1"/>
  <c r="B488" i="8"/>
  <c r="F487" i="8"/>
  <c r="K487" i="8" s="1"/>
  <c r="E487" i="8"/>
  <c r="J487" i="8" s="1"/>
  <c r="D487" i="8"/>
  <c r="I487" i="8" s="1"/>
  <c r="C487" i="8"/>
  <c r="H487" i="8" s="1"/>
  <c r="B487" i="8"/>
  <c r="F486" i="8"/>
  <c r="K486" i="8" s="1"/>
  <c r="E486" i="8"/>
  <c r="J486" i="8" s="1"/>
  <c r="D486" i="8"/>
  <c r="I486" i="8" s="1"/>
  <c r="C486" i="8"/>
  <c r="H486" i="8" s="1"/>
  <c r="B486" i="8"/>
  <c r="F485" i="8"/>
  <c r="K485" i="8" s="1"/>
  <c r="E485" i="8"/>
  <c r="J485" i="8" s="1"/>
  <c r="D485" i="8"/>
  <c r="I485" i="8" s="1"/>
  <c r="C485" i="8"/>
  <c r="H485" i="8" s="1"/>
  <c r="B485" i="8"/>
  <c r="F484" i="8"/>
  <c r="K484" i="8" s="1"/>
  <c r="E484" i="8"/>
  <c r="J484" i="8" s="1"/>
  <c r="D484" i="8"/>
  <c r="I484" i="8" s="1"/>
  <c r="C484" i="8"/>
  <c r="H484" i="8" s="1"/>
  <c r="B484" i="8"/>
  <c r="F483" i="8"/>
  <c r="K483" i="8" s="1"/>
  <c r="E483" i="8"/>
  <c r="J483" i="8" s="1"/>
  <c r="D483" i="8"/>
  <c r="I483" i="8" s="1"/>
  <c r="C483" i="8"/>
  <c r="H483" i="8" s="1"/>
  <c r="B483" i="8"/>
  <c r="F482" i="8"/>
  <c r="K482" i="8" s="1"/>
  <c r="E482" i="8"/>
  <c r="J482" i="8" s="1"/>
  <c r="D482" i="8"/>
  <c r="I482" i="8" s="1"/>
  <c r="C482" i="8"/>
  <c r="H482" i="8" s="1"/>
  <c r="B482" i="8"/>
  <c r="F481" i="8"/>
  <c r="K481" i="8" s="1"/>
  <c r="E481" i="8"/>
  <c r="J481" i="8" s="1"/>
  <c r="D481" i="8"/>
  <c r="I481" i="8" s="1"/>
  <c r="C481" i="8"/>
  <c r="H481" i="8" s="1"/>
  <c r="B481" i="8"/>
  <c r="F480" i="8"/>
  <c r="K480" i="8" s="1"/>
  <c r="E480" i="8"/>
  <c r="J480" i="8" s="1"/>
  <c r="D480" i="8"/>
  <c r="I480" i="8" s="1"/>
  <c r="C480" i="8"/>
  <c r="H480" i="8" s="1"/>
  <c r="B480" i="8"/>
  <c r="F479" i="8"/>
  <c r="K479" i="8" s="1"/>
  <c r="E479" i="8"/>
  <c r="J479" i="8" s="1"/>
  <c r="D479" i="8"/>
  <c r="I479" i="8" s="1"/>
  <c r="C479" i="8"/>
  <c r="H479" i="8" s="1"/>
  <c r="B479" i="8"/>
  <c r="F478" i="8"/>
  <c r="K478" i="8" s="1"/>
  <c r="E478" i="8"/>
  <c r="J478" i="8" s="1"/>
  <c r="D478" i="8"/>
  <c r="I478" i="8" s="1"/>
  <c r="C478" i="8"/>
  <c r="H478" i="8" s="1"/>
  <c r="B478" i="8"/>
  <c r="F477" i="8"/>
  <c r="K477" i="8" s="1"/>
  <c r="E477" i="8"/>
  <c r="J477" i="8" s="1"/>
  <c r="D477" i="8"/>
  <c r="I477" i="8" s="1"/>
  <c r="C477" i="8"/>
  <c r="H477" i="8" s="1"/>
  <c r="B477" i="8"/>
  <c r="F476" i="8"/>
  <c r="K476" i="8" s="1"/>
  <c r="E476" i="8"/>
  <c r="J476" i="8" s="1"/>
  <c r="D476" i="8"/>
  <c r="I476" i="8" s="1"/>
  <c r="C476" i="8"/>
  <c r="H476" i="8" s="1"/>
  <c r="B476" i="8"/>
  <c r="F475" i="8"/>
  <c r="K475" i="8" s="1"/>
  <c r="E475" i="8"/>
  <c r="J475" i="8" s="1"/>
  <c r="D475" i="8"/>
  <c r="I475" i="8" s="1"/>
  <c r="C475" i="8"/>
  <c r="H475" i="8" s="1"/>
  <c r="B475" i="8"/>
  <c r="F474" i="8"/>
  <c r="K474" i="8" s="1"/>
  <c r="E474" i="8"/>
  <c r="J474" i="8" s="1"/>
  <c r="D474" i="8"/>
  <c r="I474" i="8" s="1"/>
  <c r="C474" i="8"/>
  <c r="H474" i="8" s="1"/>
  <c r="B474" i="8"/>
  <c r="F473" i="8"/>
  <c r="K473" i="8" s="1"/>
  <c r="E473" i="8"/>
  <c r="J473" i="8" s="1"/>
  <c r="D473" i="8"/>
  <c r="I473" i="8" s="1"/>
  <c r="C473" i="8"/>
  <c r="H473" i="8" s="1"/>
  <c r="B473" i="8"/>
  <c r="F472" i="8"/>
  <c r="K472" i="8" s="1"/>
  <c r="E472" i="8"/>
  <c r="J472" i="8" s="1"/>
  <c r="D472" i="8"/>
  <c r="I472" i="8" s="1"/>
  <c r="C472" i="8"/>
  <c r="H472" i="8" s="1"/>
  <c r="B472" i="8"/>
  <c r="F471" i="8"/>
  <c r="K471" i="8" s="1"/>
  <c r="E471" i="8"/>
  <c r="J471" i="8" s="1"/>
  <c r="D471" i="8"/>
  <c r="I471" i="8" s="1"/>
  <c r="C471" i="8"/>
  <c r="H471" i="8" s="1"/>
  <c r="B471" i="8"/>
  <c r="F470" i="8"/>
  <c r="K470" i="8" s="1"/>
  <c r="E470" i="8"/>
  <c r="J470" i="8" s="1"/>
  <c r="D470" i="8"/>
  <c r="I470" i="8" s="1"/>
  <c r="C470" i="8"/>
  <c r="H470" i="8" s="1"/>
  <c r="B470" i="8"/>
  <c r="F469" i="8"/>
  <c r="K469" i="8" s="1"/>
  <c r="E469" i="8"/>
  <c r="J469" i="8" s="1"/>
  <c r="D469" i="8"/>
  <c r="I469" i="8" s="1"/>
  <c r="C469" i="8"/>
  <c r="H469" i="8" s="1"/>
  <c r="B469" i="8"/>
  <c r="F468" i="8"/>
  <c r="K468" i="8" s="1"/>
  <c r="E468" i="8"/>
  <c r="J468" i="8" s="1"/>
  <c r="D468" i="8"/>
  <c r="I468" i="8" s="1"/>
  <c r="C468" i="8"/>
  <c r="H468" i="8" s="1"/>
  <c r="B468" i="8"/>
  <c r="F467" i="8"/>
  <c r="K467" i="8" s="1"/>
  <c r="E467" i="8"/>
  <c r="J467" i="8" s="1"/>
  <c r="D467" i="8"/>
  <c r="I467" i="8" s="1"/>
  <c r="C467" i="8"/>
  <c r="H467" i="8" s="1"/>
  <c r="B467" i="8"/>
  <c r="F466" i="8"/>
  <c r="K466" i="8" s="1"/>
  <c r="E466" i="8"/>
  <c r="J466" i="8" s="1"/>
  <c r="D466" i="8"/>
  <c r="I466" i="8" s="1"/>
  <c r="C466" i="8"/>
  <c r="H466" i="8" s="1"/>
  <c r="B466" i="8"/>
  <c r="F465" i="8"/>
  <c r="K465" i="8" s="1"/>
  <c r="E465" i="8"/>
  <c r="J465" i="8" s="1"/>
  <c r="D465" i="8"/>
  <c r="I465" i="8" s="1"/>
  <c r="C465" i="8"/>
  <c r="H465" i="8" s="1"/>
  <c r="B465" i="8"/>
  <c r="F464" i="8"/>
  <c r="K464" i="8" s="1"/>
  <c r="E464" i="8"/>
  <c r="J464" i="8" s="1"/>
  <c r="D464" i="8"/>
  <c r="I464" i="8" s="1"/>
  <c r="C464" i="8"/>
  <c r="H464" i="8" s="1"/>
  <c r="B464" i="8"/>
  <c r="F463" i="8"/>
  <c r="K463" i="8" s="1"/>
  <c r="E463" i="8"/>
  <c r="J463" i="8" s="1"/>
  <c r="D463" i="8"/>
  <c r="I463" i="8" s="1"/>
  <c r="C463" i="8"/>
  <c r="H463" i="8" s="1"/>
  <c r="B463" i="8"/>
  <c r="F462" i="8"/>
  <c r="K462" i="8" s="1"/>
  <c r="E462" i="8"/>
  <c r="J462" i="8" s="1"/>
  <c r="D462" i="8"/>
  <c r="I462" i="8" s="1"/>
  <c r="C462" i="8"/>
  <c r="H462" i="8" s="1"/>
  <c r="B462" i="8"/>
  <c r="F461" i="8"/>
  <c r="K461" i="8" s="1"/>
  <c r="E461" i="8"/>
  <c r="J461" i="8" s="1"/>
  <c r="D461" i="8"/>
  <c r="I461" i="8" s="1"/>
  <c r="C461" i="8"/>
  <c r="H461" i="8" s="1"/>
  <c r="B461" i="8"/>
  <c r="F460" i="8"/>
  <c r="K460" i="8" s="1"/>
  <c r="E460" i="8"/>
  <c r="J460" i="8" s="1"/>
  <c r="D460" i="8"/>
  <c r="I460" i="8" s="1"/>
  <c r="C460" i="8"/>
  <c r="H460" i="8" s="1"/>
  <c r="B460" i="8"/>
  <c r="F459" i="8"/>
  <c r="K459" i="8" s="1"/>
  <c r="E459" i="8"/>
  <c r="J459" i="8" s="1"/>
  <c r="D459" i="8"/>
  <c r="I459" i="8" s="1"/>
  <c r="C459" i="8"/>
  <c r="H459" i="8" s="1"/>
  <c r="B459" i="8"/>
  <c r="F458" i="8"/>
  <c r="K458" i="8" s="1"/>
  <c r="E458" i="8"/>
  <c r="J458" i="8" s="1"/>
  <c r="D458" i="8"/>
  <c r="I458" i="8" s="1"/>
  <c r="C458" i="8"/>
  <c r="H458" i="8" s="1"/>
  <c r="B458" i="8"/>
  <c r="F457" i="8"/>
  <c r="K457" i="8" s="1"/>
  <c r="E457" i="8"/>
  <c r="J457" i="8" s="1"/>
  <c r="D457" i="8"/>
  <c r="I457" i="8" s="1"/>
  <c r="C457" i="8"/>
  <c r="H457" i="8" s="1"/>
  <c r="B457" i="8"/>
  <c r="F456" i="8"/>
  <c r="K456" i="8" s="1"/>
  <c r="E456" i="8"/>
  <c r="J456" i="8" s="1"/>
  <c r="D456" i="8"/>
  <c r="I456" i="8" s="1"/>
  <c r="C456" i="8"/>
  <c r="H456" i="8" s="1"/>
  <c r="B456" i="8"/>
  <c r="F455" i="8"/>
  <c r="K455" i="8" s="1"/>
  <c r="E455" i="8"/>
  <c r="J455" i="8" s="1"/>
  <c r="D455" i="8"/>
  <c r="I455" i="8" s="1"/>
  <c r="C455" i="8"/>
  <c r="H455" i="8" s="1"/>
  <c r="B455" i="8"/>
  <c r="F454" i="8"/>
  <c r="K454" i="8" s="1"/>
  <c r="E454" i="8"/>
  <c r="J454" i="8" s="1"/>
  <c r="D454" i="8"/>
  <c r="I454" i="8" s="1"/>
  <c r="C454" i="8"/>
  <c r="H454" i="8" s="1"/>
  <c r="B454" i="8"/>
  <c r="F453" i="8"/>
  <c r="K453" i="8" s="1"/>
  <c r="E453" i="8"/>
  <c r="J453" i="8" s="1"/>
  <c r="D453" i="8"/>
  <c r="I453" i="8" s="1"/>
  <c r="C453" i="8"/>
  <c r="H453" i="8" s="1"/>
  <c r="B453" i="8"/>
  <c r="F452" i="8"/>
  <c r="K452" i="8" s="1"/>
  <c r="E452" i="8"/>
  <c r="J452" i="8" s="1"/>
  <c r="D452" i="8"/>
  <c r="I452" i="8" s="1"/>
  <c r="C452" i="8"/>
  <c r="H452" i="8" s="1"/>
  <c r="B452" i="8"/>
  <c r="F451" i="8"/>
  <c r="K451" i="8" s="1"/>
  <c r="E451" i="8"/>
  <c r="J451" i="8" s="1"/>
  <c r="D451" i="8"/>
  <c r="I451" i="8" s="1"/>
  <c r="C451" i="8"/>
  <c r="H451" i="8" s="1"/>
  <c r="B451" i="8"/>
  <c r="F450" i="8"/>
  <c r="K450" i="8" s="1"/>
  <c r="E450" i="8"/>
  <c r="J450" i="8" s="1"/>
  <c r="D450" i="8"/>
  <c r="I450" i="8" s="1"/>
  <c r="C450" i="8"/>
  <c r="H450" i="8" s="1"/>
  <c r="B450" i="8"/>
  <c r="F449" i="8"/>
  <c r="K449" i="8" s="1"/>
  <c r="E449" i="8"/>
  <c r="J449" i="8" s="1"/>
  <c r="D449" i="8"/>
  <c r="I449" i="8" s="1"/>
  <c r="C449" i="8"/>
  <c r="H449" i="8" s="1"/>
  <c r="B449" i="8"/>
  <c r="F448" i="8"/>
  <c r="K448" i="8" s="1"/>
  <c r="E448" i="8"/>
  <c r="J448" i="8" s="1"/>
  <c r="D448" i="8"/>
  <c r="I448" i="8" s="1"/>
  <c r="C448" i="8"/>
  <c r="H448" i="8" s="1"/>
  <c r="B448" i="8"/>
  <c r="F447" i="8"/>
  <c r="K447" i="8" s="1"/>
  <c r="E447" i="8"/>
  <c r="J447" i="8" s="1"/>
  <c r="D447" i="8"/>
  <c r="I447" i="8" s="1"/>
  <c r="C447" i="8"/>
  <c r="H447" i="8" s="1"/>
  <c r="B447" i="8"/>
  <c r="F446" i="8"/>
  <c r="K446" i="8" s="1"/>
  <c r="E446" i="8"/>
  <c r="J446" i="8" s="1"/>
  <c r="D446" i="8"/>
  <c r="I446" i="8" s="1"/>
  <c r="C446" i="8"/>
  <c r="H446" i="8" s="1"/>
  <c r="B446" i="8"/>
  <c r="F445" i="8"/>
  <c r="K445" i="8" s="1"/>
  <c r="E445" i="8"/>
  <c r="J445" i="8" s="1"/>
  <c r="D445" i="8"/>
  <c r="I445" i="8" s="1"/>
  <c r="C445" i="8"/>
  <c r="H445" i="8" s="1"/>
  <c r="B445" i="8"/>
  <c r="F444" i="8"/>
  <c r="K444" i="8" s="1"/>
  <c r="E444" i="8"/>
  <c r="J444" i="8" s="1"/>
  <c r="D444" i="8"/>
  <c r="I444" i="8" s="1"/>
  <c r="C444" i="8"/>
  <c r="H444" i="8" s="1"/>
  <c r="B444" i="8"/>
  <c r="F443" i="8"/>
  <c r="K443" i="8" s="1"/>
  <c r="E443" i="8"/>
  <c r="J443" i="8" s="1"/>
  <c r="D443" i="8"/>
  <c r="I443" i="8" s="1"/>
  <c r="C443" i="8"/>
  <c r="H443" i="8" s="1"/>
  <c r="B443" i="8"/>
  <c r="F442" i="8"/>
  <c r="K442" i="8" s="1"/>
  <c r="E442" i="8"/>
  <c r="J442" i="8" s="1"/>
  <c r="D442" i="8"/>
  <c r="I442" i="8" s="1"/>
  <c r="C442" i="8"/>
  <c r="H442" i="8" s="1"/>
  <c r="B442" i="8"/>
  <c r="F441" i="8"/>
  <c r="K441" i="8" s="1"/>
  <c r="E441" i="8"/>
  <c r="J441" i="8" s="1"/>
  <c r="D441" i="8"/>
  <c r="I441" i="8" s="1"/>
  <c r="C441" i="8"/>
  <c r="H441" i="8" s="1"/>
  <c r="B441" i="8"/>
  <c r="F440" i="8"/>
  <c r="K440" i="8" s="1"/>
  <c r="E440" i="8"/>
  <c r="J440" i="8" s="1"/>
  <c r="D440" i="8"/>
  <c r="I440" i="8" s="1"/>
  <c r="C440" i="8"/>
  <c r="H440" i="8" s="1"/>
  <c r="B440" i="8"/>
  <c r="F439" i="8"/>
  <c r="K439" i="8" s="1"/>
  <c r="E439" i="8"/>
  <c r="J439" i="8" s="1"/>
  <c r="D439" i="8"/>
  <c r="I439" i="8" s="1"/>
  <c r="C439" i="8"/>
  <c r="H439" i="8" s="1"/>
  <c r="B439" i="8"/>
  <c r="F438" i="8"/>
  <c r="K438" i="8" s="1"/>
  <c r="E438" i="8"/>
  <c r="J438" i="8" s="1"/>
  <c r="D438" i="8"/>
  <c r="I438" i="8" s="1"/>
  <c r="C438" i="8"/>
  <c r="H438" i="8" s="1"/>
  <c r="B438" i="8"/>
  <c r="F437" i="8"/>
  <c r="K437" i="8" s="1"/>
  <c r="E437" i="8"/>
  <c r="J437" i="8" s="1"/>
  <c r="D437" i="8"/>
  <c r="I437" i="8" s="1"/>
  <c r="C437" i="8"/>
  <c r="H437" i="8" s="1"/>
  <c r="B437" i="8"/>
  <c r="F436" i="8"/>
  <c r="E436" i="8"/>
  <c r="D436" i="8"/>
  <c r="C436" i="8"/>
  <c r="B436" i="8"/>
  <c r="F435" i="8"/>
  <c r="K435" i="8" s="1"/>
  <c r="E435" i="8"/>
  <c r="J435" i="8" s="1"/>
  <c r="D435" i="8"/>
  <c r="I435" i="8" s="1"/>
  <c r="C435" i="8"/>
  <c r="H435" i="8" s="1"/>
  <c r="B435" i="8"/>
  <c r="F434" i="8"/>
  <c r="K434" i="8" s="1"/>
  <c r="E434" i="8"/>
  <c r="J434" i="8" s="1"/>
  <c r="D434" i="8"/>
  <c r="I434" i="8" s="1"/>
  <c r="C434" i="8"/>
  <c r="H434" i="8" s="1"/>
  <c r="B434" i="8"/>
  <c r="F433" i="8"/>
  <c r="K433" i="8" s="1"/>
  <c r="E433" i="8"/>
  <c r="J433" i="8" s="1"/>
  <c r="D433" i="8"/>
  <c r="I433" i="8" s="1"/>
  <c r="C433" i="8"/>
  <c r="H433" i="8" s="1"/>
  <c r="B433" i="8"/>
  <c r="F432" i="8"/>
  <c r="K432" i="8" s="1"/>
  <c r="E432" i="8"/>
  <c r="J432" i="8" s="1"/>
  <c r="D432" i="8"/>
  <c r="I432" i="8" s="1"/>
  <c r="C432" i="8"/>
  <c r="H432" i="8" s="1"/>
  <c r="B432" i="8"/>
  <c r="F431" i="8"/>
  <c r="K431" i="8" s="1"/>
  <c r="E431" i="8"/>
  <c r="J431" i="8" s="1"/>
  <c r="D431" i="8"/>
  <c r="I431" i="8" s="1"/>
  <c r="C431" i="8"/>
  <c r="H431" i="8" s="1"/>
  <c r="B431" i="8"/>
  <c r="F430" i="8"/>
  <c r="K430" i="8" s="1"/>
  <c r="E430" i="8"/>
  <c r="J430" i="8" s="1"/>
  <c r="D430" i="8"/>
  <c r="I430" i="8" s="1"/>
  <c r="C430" i="8"/>
  <c r="H430" i="8" s="1"/>
  <c r="B430" i="8"/>
  <c r="F429" i="8"/>
  <c r="K429" i="8" s="1"/>
  <c r="E429" i="8"/>
  <c r="J429" i="8" s="1"/>
  <c r="D429" i="8"/>
  <c r="I429" i="8" s="1"/>
  <c r="C429" i="8"/>
  <c r="H429" i="8" s="1"/>
  <c r="B429" i="8"/>
  <c r="F428" i="8"/>
  <c r="K428" i="8" s="1"/>
  <c r="E428" i="8"/>
  <c r="J428" i="8" s="1"/>
  <c r="D428" i="8"/>
  <c r="I428" i="8" s="1"/>
  <c r="C428" i="8"/>
  <c r="H428" i="8" s="1"/>
  <c r="B428" i="8"/>
  <c r="F427" i="8"/>
  <c r="K427" i="8" s="1"/>
  <c r="E427" i="8"/>
  <c r="J427" i="8" s="1"/>
  <c r="D427" i="8"/>
  <c r="I427" i="8" s="1"/>
  <c r="C427" i="8"/>
  <c r="H427" i="8" s="1"/>
  <c r="B427" i="8"/>
  <c r="F426" i="8"/>
  <c r="K426" i="8" s="1"/>
  <c r="E426" i="8"/>
  <c r="J426" i="8" s="1"/>
  <c r="D426" i="8"/>
  <c r="I426" i="8" s="1"/>
  <c r="C426" i="8"/>
  <c r="H426" i="8" s="1"/>
  <c r="B426" i="8"/>
  <c r="F425" i="8"/>
  <c r="K425" i="8" s="1"/>
  <c r="E425" i="8"/>
  <c r="J425" i="8" s="1"/>
  <c r="D425" i="8"/>
  <c r="I425" i="8" s="1"/>
  <c r="C425" i="8"/>
  <c r="H425" i="8" s="1"/>
  <c r="B425" i="8"/>
  <c r="F424" i="8"/>
  <c r="K424" i="8" s="1"/>
  <c r="E424" i="8"/>
  <c r="J424" i="8" s="1"/>
  <c r="D424" i="8"/>
  <c r="I424" i="8" s="1"/>
  <c r="C424" i="8"/>
  <c r="H424" i="8" s="1"/>
  <c r="B424" i="8"/>
  <c r="F423" i="8"/>
  <c r="K423" i="8" s="1"/>
  <c r="E423" i="8"/>
  <c r="J423" i="8" s="1"/>
  <c r="D423" i="8"/>
  <c r="I423" i="8" s="1"/>
  <c r="C423" i="8"/>
  <c r="H423" i="8" s="1"/>
  <c r="B423" i="8"/>
  <c r="F422" i="8"/>
  <c r="K422" i="8" s="1"/>
  <c r="E422" i="8"/>
  <c r="J422" i="8" s="1"/>
  <c r="D422" i="8"/>
  <c r="I422" i="8" s="1"/>
  <c r="C422" i="8"/>
  <c r="H422" i="8" s="1"/>
  <c r="B422" i="8"/>
  <c r="F421" i="8"/>
  <c r="K421" i="8" s="1"/>
  <c r="E421" i="8"/>
  <c r="J421" i="8" s="1"/>
  <c r="D421" i="8"/>
  <c r="I421" i="8" s="1"/>
  <c r="C421" i="8"/>
  <c r="H421" i="8" s="1"/>
  <c r="B421" i="8"/>
  <c r="F420" i="8"/>
  <c r="K420" i="8" s="1"/>
  <c r="E420" i="8"/>
  <c r="J420" i="8" s="1"/>
  <c r="D420" i="8"/>
  <c r="I420" i="8" s="1"/>
  <c r="C420" i="8"/>
  <c r="H420" i="8" s="1"/>
  <c r="B420" i="8"/>
  <c r="F419" i="8"/>
  <c r="K419" i="8" s="1"/>
  <c r="E419" i="8"/>
  <c r="J419" i="8" s="1"/>
  <c r="D419" i="8"/>
  <c r="I419" i="8" s="1"/>
  <c r="C419" i="8"/>
  <c r="H419" i="8" s="1"/>
  <c r="B419" i="8"/>
  <c r="F418" i="8"/>
  <c r="K418" i="8" s="1"/>
  <c r="E418" i="8"/>
  <c r="J418" i="8" s="1"/>
  <c r="D418" i="8"/>
  <c r="I418" i="8" s="1"/>
  <c r="C418" i="8"/>
  <c r="H418" i="8" s="1"/>
  <c r="B418" i="8"/>
  <c r="F417" i="8"/>
  <c r="K417" i="8" s="1"/>
  <c r="E417" i="8"/>
  <c r="J417" i="8" s="1"/>
  <c r="D417" i="8"/>
  <c r="I417" i="8" s="1"/>
  <c r="C417" i="8"/>
  <c r="H417" i="8" s="1"/>
  <c r="B417" i="8"/>
  <c r="F416" i="8"/>
  <c r="K416" i="8" s="1"/>
  <c r="E416" i="8"/>
  <c r="J416" i="8" s="1"/>
  <c r="D416" i="8"/>
  <c r="I416" i="8" s="1"/>
  <c r="C416" i="8"/>
  <c r="H416" i="8" s="1"/>
  <c r="B416" i="8"/>
  <c r="F415" i="8"/>
  <c r="K415" i="8" s="1"/>
  <c r="E415" i="8"/>
  <c r="J415" i="8" s="1"/>
  <c r="D415" i="8"/>
  <c r="I415" i="8" s="1"/>
  <c r="C415" i="8"/>
  <c r="H415" i="8" s="1"/>
  <c r="B415" i="8"/>
  <c r="F414" i="8"/>
  <c r="K414" i="8" s="1"/>
  <c r="E414" i="8"/>
  <c r="J414" i="8" s="1"/>
  <c r="D414" i="8"/>
  <c r="I414" i="8" s="1"/>
  <c r="C414" i="8"/>
  <c r="H414" i="8" s="1"/>
  <c r="B414" i="8"/>
  <c r="F413" i="8"/>
  <c r="K413" i="8" s="1"/>
  <c r="E413" i="8"/>
  <c r="J413" i="8" s="1"/>
  <c r="D413" i="8"/>
  <c r="I413" i="8" s="1"/>
  <c r="C413" i="8"/>
  <c r="H413" i="8" s="1"/>
  <c r="B413" i="8"/>
  <c r="F412" i="8"/>
  <c r="K412" i="8" s="1"/>
  <c r="E412" i="8"/>
  <c r="J412" i="8" s="1"/>
  <c r="D412" i="8"/>
  <c r="I412" i="8" s="1"/>
  <c r="C412" i="8"/>
  <c r="H412" i="8" s="1"/>
  <c r="B412" i="8"/>
  <c r="F411" i="8"/>
  <c r="K411" i="8" s="1"/>
  <c r="E411" i="8"/>
  <c r="J411" i="8" s="1"/>
  <c r="D411" i="8"/>
  <c r="I411" i="8" s="1"/>
  <c r="C411" i="8"/>
  <c r="H411" i="8" s="1"/>
  <c r="B411" i="8"/>
  <c r="F410" i="8"/>
  <c r="K410" i="8" s="1"/>
  <c r="E410" i="8"/>
  <c r="J410" i="8" s="1"/>
  <c r="D410" i="8"/>
  <c r="I410" i="8" s="1"/>
  <c r="C410" i="8"/>
  <c r="H410" i="8" s="1"/>
  <c r="B410" i="8"/>
  <c r="F409" i="8"/>
  <c r="K409" i="8" s="1"/>
  <c r="E409" i="8"/>
  <c r="J409" i="8" s="1"/>
  <c r="D409" i="8"/>
  <c r="I409" i="8" s="1"/>
  <c r="C409" i="8"/>
  <c r="H409" i="8" s="1"/>
  <c r="B409" i="8"/>
  <c r="F408" i="8"/>
  <c r="K408" i="8" s="1"/>
  <c r="E408" i="8"/>
  <c r="J408" i="8" s="1"/>
  <c r="D408" i="8"/>
  <c r="I408" i="8" s="1"/>
  <c r="C408" i="8"/>
  <c r="H408" i="8" s="1"/>
  <c r="B408" i="8"/>
  <c r="F407" i="8"/>
  <c r="K407" i="8" s="1"/>
  <c r="E407" i="8"/>
  <c r="J407" i="8" s="1"/>
  <c r="D407" i="8"/>
  <c r="I407" i="8" s="1"/>
  <c r="C407" i="8"/>
  <c r="H407" i="8" s="1"/>
  <c r="B407" i="8"/>
  <c r="F406" i="8"/>
  <c r="K406" i="8" s="1"/>
  <c r="E406" i="8"/>
  <c r="J406" i="8" s="1"/>
  <c r="D406" i="8"/>
  <c r="I406" i="8" s="1"/>
  <c r="C406" i="8"/>
  <c r="H406" i="8" s="1"/>
  <c r="B406" i="8"/>
  <c r="F405" i="8"/>
  <c r="K405" i="8" s="1"/>
  <c r="E405" i="8"/>
  <c r="J405" i="8" s="1"/>
  <c r="D405" i="8"/>
  <c r="I405" i="8" s="1"/>
  <c r="C405" i="8"/>
  <c r="H405" i="8" s="1"/>
  <c r="B405" i="8"/>
  <c r="F404" i="8"/>
  <c r="K404" i="8" s="1"/>
  <c r="E404" i="8"/>
  <c r="J404" i="8" s="1"/>
  <c r="D404" i="8"/>
  <c r="I404" i="8" s="1"/>
  <c r="C404" i="8"/>
  <c r="H404" i="8" s="1"/>
  <c r="B404" i="8"/>
  <c r="F403" i="8"/>
  <c r="K403" i="8" s="1"/>
  <c r="E403" i="8"/>
  <c r="J403" i="8" s="1"/>
  <c r="D403" i="8"/>
  <c r="I403" i="8" s="1"/>
  <c r="C403" i="8"/>
  <c r="H403" i="8" s="1"/>
  <c r="B403" i="8"/>
  <c r="F402" i="8"/>
  <c r="K402" i="8" s="1"/>
  <c r="E402" i="8"/>
  <c r="J402" i="8" s="1"/>
  <c r="D402" i="8"/>
  <c r="I402" i="8" s="1"/>
  <c r="C402" i="8"/>
  <c r="H402" i="8" s="1"/>
  <c r="B402" i="8"/>
  <c r="F401" i="8"/>
  <c r="K401" i="8" s="1"/>
  <c r="E401" i="8"/>
  <c r="J401" i="8" s="1"/>
  <c r="D401" i="8"/>
  <c r="I401" i="8" s="1"/>
  <c r="C401" i="8"/>
  <c r="H401" i="8" s="1"/>
  <c r="B401" i="8"/>
  <c r="F400" i="8"/>
  <c r="K400" i="8" s="1"/>
  <c r="E400" i="8"/>
  <c r="J400" i="8" s="1"/>
  <c r="D400" i="8"/>
  <c r="I400" i="8" s="1"/>
  <c r="C400" i="8"/>
  <c r="H400" i="8" s="1"/>
  <c r="B400" i="8"/>
  <c r="F399" i="8"/>
  <c r="K399" i="8" s="1"/>
  <c r="E399" i="8"/>
  <c r="J399" i="8" s="1"/>
  <c r="D399" i="8"/>
  <c r="I399" i="8" s="1"/>
  <c r="C399" i="8"/>
  <c r="H399" i="8" s="1"/>
  <c r="B399" i="8"/>
  <c r="F398" i="8"/>
  <c r="K398" i="8" s="1"/>
  <c r="E398" i="8"/>
  <c r="J398" i="8" s="1"/>
  <c r="D398" i="8"/>
  <c r="I398" i="8" s="1"/>
  <c r="C398" i="8"/>
  <c r="H398" i="8" s="1"/>
  <c r="B398" i="8"/>
  <c r="F397" i="8"/>
  <c r="K397" i="8" s="1"/>
  <c r="E397" i="8"/>
  <c r="J397" i="8" s="1"/>
  <c r="D397" i="8"/>
  <c r="I397" i="8" s="1"/>
  <c r="C397" i="8"/>
  <c r="H397" i="8" s="1"/>
  <c r="B397" i="8"/>
  <c r="F396" i="8"/>
  <c r="K396" i="8" s="1"/>
  <c r="E396" i="8"/>
  <c r="J396" i="8" s="1"/>
  <c r="D396" i="8"/>
  <c r="I396" i="8" s="1"/>
  <c r="C396" i="8"/>
  <c r="H396" i="8" s="1"/>
  <c r="B396" i="8"/>
  <c r="F395" i="8"/>
  <c r="K395" i="8" s="1"/>
  <c r="E395" i="8"/>
  <c r="J395" i="8" s="1"/>
  <c r="D395" i="8"/>
  <c r="I395" i="8" s="1"/>
  <c r="C395" i="8"/>
  <c r="H395" i="8" s="1"/>
  <c r="B395" i="8"/>
  <c r="F394" i="8"/>
  <c r="K394" i="8" s="1"/>
  <c r="E394" i="8"/>
  <c r="J394" i="8" s="1"/>
  <c r="D394" i="8"/>
  <c r="I394" i="8" s="1"/>
  <c r="C394" i="8"/>
  <c r="H394" i="8" s="1"/>
  <c r="B394" i="8"/>
  <c r="F393" i="8"/>
  <c r="K393" i="8" s="1"/>
  <c r="E393" i="8"/>
  <c r="J393" i="8" s="1"/>
  <c r="D393" i="8"/>
  <c r="I393" i="8" s="1"/>
  <c r="C393" i="8"/>
  <c r="H393" i="8" s="1"/>
  <c r="B393" i="8"/>
  <c r="F392" i="8"/>
  <c r="K392" i="8" s="1"/>
  <c r="E392" i="8"/>
  <c r="J392" i="8" s="1"/>
  <c r="D392" i="8"/>
  <c r="I392" i="8" s="1"/>
  <c r="C392" i="8"/>
  <c r="H392" i="8" s="1"/>
  <c r="B392" i="8"/>
  <c r="F391" i="8"/>
  <c r="K391" i="8" s="1"/>
  <c r="E391" i="8"/>
  <c r="J391" i="8" s="1"/>
  <c r="D391" i="8"/>
  <c r="I391" i="8" s="1"/>
  <c r="C391" i="8"/>
  <c r="H391" i="8" s="1"/>
  <c r="B391" i="8"/>
  <c r="F390" i="8"/>
  <c r="K390" i="8" s="1"/>
  <c r="E390" i="8"/>
  <c r="J390" i="8" s="1"/>
  <c r="D390" i="8"/>
  <c r="I390" i="8" s="1"/>
  <c r="C390" i="8"/>
  <c r="H390" i="8" s="1"/>
  <c r="B390" i="8"/>
  <c r="F389" i="8"/>
  <c r="K389" i="8" s="1"/>
  <c r="E389" i="8"/>
  <c r="J389" i="8" s="1"/>
  <c r="D389" i="8"/>
  <c r="I389" i="8" s="1"/>
  <c r="C389" i="8"/>
  <c r="H389" i="8" s="1"/>
  <c r="B389" i="8"/>
  <c r="F388" i="8"/>
  <c r="K388" i="8" s="1"/>
  <c r="E388" i="8"/>
  <c r="J388" i="8" s="1"/>
  <c r="D388" i="8"/>
  <c r="I388" i="8" s="1"/>
  <c r="C388" i="8"/>
  <c r="H388" i="8" s="1"/>
  <c r="B388" i="8"/>
  <c r="F387" i="8"/>
  <c r="K387" i="8" s="1"/>
  <c r="E387" i="8"/>
  <c r="J387" i="8" s="1"/>
  <c r="D387" i="8"/>
  <c r="I387" i="8" s="1"/>
  <c r="C387" i="8"/>
  <c r="H387" i="8" s="1"/>
  <c r="B387" i="8"/>
  <c r="F386" i="8"/>
  <c r="K386" i="8" s="1"/>
  <c r="E386" i="8"/>
  <c r="J386" i="8" s="1"/>
  <c r="D386" i="8"/>
  <c r="I386" i="8" s="1"/>
  <c r="C386" i="8"/>
  <c r="H386" i="8" s="1"/>
  <c r="B386" i="8"/>
  <c r="F385" i="8"/>
  <c r="K385" i="8" s="1"/>
  <c r="E385" i="8"/>
  <c r="J385" i="8" s="1"/>
  <c r="D385" i="8"/>
  <c r="I385" i="8" s="1"/>
  <c r="C385" i="8"/>
  <c r="H385" i="8" s="1"/>
  <c r="B385" i="8"/>
  <c r="F384" i="8"/>
  <c r="K384" i="8" s="1"/>
  <c r="E384" i="8"/>
  <c r="J384" i="8" s="1"/>
  <c r="D384" i="8"/>
  <c r="I384" i="8" s="1"/>
  <c r="C384" i="8"/>
  <c r="H384" i="8" s="1"/>
  <c r="B384" i="8"/>
  <c r="F383" i="8"/>
  <c r="K383" i="8" s="1"/>
  <c r="E383" i="8"/>
  <c r="J383" i="8" s="1"/>
  <c r="D383" i="8"/>
  <c r="I383" i="8" s="1"/>
  <c r="C383" i="8"/>
  <c r="H383" i="8" s="1"/>
  <c r="B383" i="8"/>
  <c r="F382" i="8"/>
  <c r="K382" i="8" s="1"/>
  <c r="E382" i="8"/>
  <c r="J382" i="8" s="1"/>
  <c r="D382" i="8"/>
  <c r="I382" i="8" s="1"/>
  <c r="C382" i="8"/>
  <c r="H382" i="8" s="1"/>
  <c r="B382" i="8"/>
  <c r="F381" i="8"/>
  <c r="K381" i="8" s="1"/>
  <c r="E381" i="8"/>
  <c r="J381" i="8" s="1"/>
  <c r="D381" i="8"/>
  <c r="I381" i="8" s="1"/>
  <c r="C381" i="8"/>
  <c r="H381" i="8" s="1"/>
  <c r="B381" i="8"/>
  <c r="F380" i="8"/>
  <c r="K380" i="8" s="1"/>
  <c r="E380" i="8"/>
  <c r="J380" i="8" s="1"/>
  <c r="D380" i="8"/>
  <c r="I380" i="8" s="1"/>
  <c r="C380" i="8"/>
  <c r="H380" i="8" s="1"/>
  <c r="B380" i="8"/>
  <c r="F379" i="8"/>
  <c r="K379" i="8" s="1"/>
  <c r="E379" i="8"/>
  <c r="J379" i="8" s="1"/>
  <c r="D379" i="8"/>
  <c r="I379" i="8" s="1"/>
  <c r="C379" i="8"/>
  <c r="H379" i="8" s="1"/>
  <c r="B379" i="8"/>
  <c r="F378" i="8"/>
  <c r="K378" i="8" s="1"/>
  <c r="E378" i="8"/>
  <c r="J378" i="8" s="1"/>
  <c r="D378" i="8"/>
  <c r="I378" i="8" s="1"/>
  <c r="C378" i="8"/>
  <c r="H378" i="8" s="1"/>
  <c r="B378" i="8"/>
  <c r="F377" i="8"/>
  <c r="K377" i="8" s="1"/>
  <c r="E377" i="8"/>
  <c r="J377" i="8" s="1"/>
  <c r="D377" i="8"/>
  <c r="I377" i="8" s="1"/>
  <c r="C377" i="8"/>
  <c r="H377" i="8" s="1"/>
  <c r="B377" i="8"/>
  <c r="F376" i="8"/>
  <c r="K376" i="8" s="1"/>
  <c r="E376" i="8"/>
  <c r="J376" i="8" s="1"/>
  <c r="D376" i="8"/>
  <c r="I376" i="8" s="1"/>
  <c r="C376" i="8"/>
  <c r="H376" i="8" s="1"/>
  <c r="B376" i="8"/>
  <c r="F375" i="8"/>
  <c r="K375" i="8" s="1"/>
  <c r="E375" i="8"/>
  <c r="J375" i="8" s="1"/>
  <c r="D375" i="8"/>
  <c r="I375" i="8" s="1"/>
  <c r="C375" i="8"/>
  <c r="H375" i="8" s="1"/>
  <c r="B375" i="8"/>
  <c r="F374" i="8"/>
  <c r="K374" i="8" s="1"/>
  <c r="E374" i="8"/>
  <c r="J374" i="8" s="1"/>
  <c r="D374" i="8"/>
  <c r="I374" i="8" s="1"/>
  <c r="C374" i="8"/>
  <c r="H374" i="8" s="1"/>
  <c r="B374" i="8"/>
  <c r="F373" i="8"/>
  <c r="K373" i="8" s="1"/>
  <c r="E373" i="8"/>
  <c r="J373" i="8" s="1"/>
  <c r="D373" i="8"/>
  <c r="I373" i="8" s="1"/>
  <c r="C373" i="8"/>
  <c r="H373" i="8" s="1"/>
  <c r="B373" i="8"/>
  <c r="F372" i="8"/>
  <c r="K372" i="8" s="1"/>
  <c r="E372" i="8"/>
  <c r="J372" i="8" s="1"/>
  <c r="D372" i="8"/>
  <c r="C372" i="8"/>
  <c r="B372" i="8"/>
  <c r="F371" i="8"/>
  <c r="K371" i="8" s="1"/>
  <c r="E371" i="8"/>
  <c r="J371" i="8" s="1"/>
  <c r="D371" i="8"/>
  <c r="I371" i="8" s="1"/>
  <c r="C371" i="8"/>
  <c r="H371" i="8" s="1"/>
  <c r="B371" i="8"/>
  <c r="F370" i="8"/>
  <c r="K370" i="8" s="1"/>
  <c r="E370" i="8"/>
  <c r="J370" i="8" s="1"/>
  <c r="D370" i="8"/>
  <c r="I370" i="8" s="1"/>
  <c r="C370" i="8"/>
  <c r="H370" i="8" s="1"/>
  <c r="B370" i="8"/>
  <c r="F369" i="8"/>
  <c r="K369" i="8" s="1"/>
  <c r="E369" i="8"/>
  <c r="J369" i="8" s="1"/>
  <c r="D369" i="8"/>
  <c r="I369" i="8" s="1"/>
  <c r="C369" i="8"/>
  <c r="H369" i="8" s="1"/>
  <c r="B369" i="8"/>
  <c r="F368" i="8"/>
  <c r="K368" i="8" s="1"/>
  <c r="E368" i="8"/>
  <c r="J368" i="8" s="1"/>
  <c r="D368" i="8"/>
  <c r="I368" i="8" s="1"/>
  <c r="C368" i="8"/>
  <c r="H368" i="8" s="1"/>
  <c r="B368" i="8"/>
  <c r="F367" i="8"/>
  <c r="K367" i="8" s="1"/>
  <c r="E367" i="8"/>
  <c r="J367" i="8" s="1"/>
  <c r="D367" i="8"/>
  <c r="I367" i="8" s="1"/>
  <c r="C367" i="8"/>
  <c r="H367" i="8" s="1"/>
  <c r="B367" i="8"/>
  <c r="F366" i="8"/>
  <c r="K366" i="8" s="1"/>
  <c r="E366" i="8"/>
  <c r="J366" i="8" s="1"/>
  <c r="D366" i="8"/>
  <c r="I366" i="8" s="1"/>
  <c r="C366" i="8"/>
  <c r="H366" i="8" s="1"/>
  <c r="B366" i="8"/>
  <c r="F365" i="8"/>
  <c r="K365" i="8" s="1"/>
  <c r="E365" i="8"/>
  <c r="J365" i="8" s="1"/>
  <c r="D365" i="8"/>
  <c r="I365" i="8" s="1"/>
  <c r="C365" i="8"/>
  <c r="H365" i="8" s="1"/>
  <c r="B365" i="8"/>
  <c r="F364" i="8"/>
  <c r="K364" i="8" s="1"/>
  <c r="E364" i="8"/>
  <c r="J364" i="8" s="1"/>
  <c r="D364" i="8"/>
  <c r="I364" i="8" s="1"/>
  <c r="C364" i="8"/>
  <c r="H364" i="8" s="1"/>
  <c r="B364" i="8"/>
  <c r="F363" i="8"/>
  <c r="K363" i="8" s="1"/>
  <c r="E363" i="8"/>
  <c r="J363" i="8" s="1"/>
  <c r="D363" i="8"/>
  <c r="I363" i="8" s="1"/>
  <c r="C363" i="8"/>
  <c r="H363" i="8" s="1"/>
  <c r="B363" i="8"/>
  <c r="F362" i="8"/>
  <c r="K362" i="8" s="1"/>
  <c r="E362" i="8"/>
  <c r="J362" i="8" s="1"/>
  <c r="D362" i="8"/>
  <c r="I362" i="8" s="1"/>
  <c r="C362" i="8"/>
  <c r="H362" i="8" s="1"/>
  <c r="B362" i="8"/>
  <c r="F361" i="8"/>
  <c r="K361" i="8" s="1"/>
  <c r="E361" i="8"/>
  <c r="J361" i="8" s="1"/>
  <c r="D361" i="8"/>
  <c r="I361" i="8" s="1"/>
  <c r="C361" i="8"/>
  <c r="H361" i="8" s="1"/>
  <c r="B361" i="8"/>
  <c r="F360" i="8"/>
  <c r="K360" i="8" s="1"/>
  <c r="E360" i="8"/>
  <c r="J360" i="8" s="1"/>
  <c r="D360" i="8"/>
  <c r="I360" i="8" s="1"/>
  <c r="C360" i="8"/>
  <c r="H360" i="8" s="1"/>
  <c r="B360" i="8"/>
  <c r="F359" i="8"/>
  <c r="K359" i="8" s="1"/>
  <c r="E359" i="8"/>
  <c r="J359" i="8" s="1"/>
  <c r="D359" i="8"/>
  <c r="I359" i="8" s="1"/>
  <c r="C359" i="8"/>
  <c r="H359" i="8" s="1"/>
  <c r="B359" i="8"/>
  <c r="F358" i="8"/>
  <c r="K358" i="8" s="1"/>
  <c r="E358" i="8"/>
  <c r="J358" i="8" s="1"/>
  <c r="D358" i="8"/>
  <c r="I358" i="8" s="1"/>
  <c r="C358" i="8"/>
  <c r="H358" i="8" s="1"/>
  <c r="B358" i="8"/>
  <c r="F357" i="8"/>
  <c r="K357" i="8" s="1"/>
  <c r="E357" i="8"/>
  <c r="J357" i="8" s="1"/>
  <c r="D357" i="8"/>
  <c r="I357" i="8" s="1"/>
  <c r="C357" i="8"/>
  <c r="H357" i="8" s="1"/>
  <c r="B357" i="8"/>
  <c r="F356" i="8"/>
  <c r="K356" i="8" s="1"/>
  <c r="E356" i="8"/>
  <c r="J356" i="8" s="1"/>
  <c r="D356" i="8"/>
  <c r="I356" i="8" s="1"/>
  <c r="C356" i="8"/>
  <c r="H356" i="8" s="1"/>
  <c r="B356" i="8"/>
  <c r="F355" i="8"/>
  <c r="K355" i="8" s="1"/>
  <c r="E355" i="8"/>
  <c r="J355" i="8" s="1"/>
  <c r="D355" i="8"/>
  <c r="I355" i="8" s="1"/>
  <c r="C355" i="8"/>
  <c r="H355" i="8" s="1"/>
  <c r="B355" i="8"/>
  <c r="F354" i="8"/>
  <c r="K354" i="8" s="1"/>
  <c r="E354" i="8"/>
  <c r="J354" i="8" s="1"/>
  <c r="D354" i="8"/>
  <c r="I354" i="8" s="1"/>
  <c r="C354" i="8"/>
  <c r="H354" i="8" s="1"/>
  <c r="B354" i="8"/>
  <c r="F353" i="8"/>
  <c r="K353" i="8" s="1"/>
  <c r="E353" i="8"/>
  <c r="J353" i="8" s="1"/>
  <c r="D353" i="8"/>
  <c r="I353" i="8" s="1"/>
  <c r="C353" i="8"/>
  <c r="H353" i="8" s="1"/>
  <c r="B353" i="8"/>
  <c r="F352" i="8"/>
  <c r="K352" i="8" s="1"/>
  <c r="E352" i="8"/>
  <c r="J352" i="8" s="1"/>
  <c r="D352" i="8"/>
  <c r="I352" i="8" s="1"/>
  <c r="C352" i="8"/>
  <c r="H352" i="8" s="1"/>
  <c r="B352" i="8"/>
  <c r="F351" i="8"/>
  <c r="K351" i="8" s="1"/>
  <c r="E351" i="8"/>
  <c r="J351" i="8" s="1"/>
  <c r="D351" i="8"/>
  <c r="I351" i="8" s="1"/>
  <c r="C351" i="8"/>
  <c r="H351" i="8" s="1"/>
  <c r="B351" i="8"/>
  <c r="F350" i="8"/>
  <c r="K350" i="8" s="1"/>
  <c r="E350" i="8"/>
  <c r="J350" i="8" s="1"/>
  <c r="D350" i="8"/>
  <c r="I350" i="8" s="1"/>
  <c r="C350" i="8"/>
  <c r="H350" i="8" s="1"/>
  <c r="B350" i="8"/>
  <c r="F349" i="8"/>
  <c r="K349" i="8" s="1"/>
  <c r="E349" i="8"/>
  <c r="J349" i="8" s="1"/>
  <c r="D349" i="8"/>
  <c r="I349" i="8" s="1"/>
  <c r="C349" i="8"/>
  <c r="H349" i="8" s="1"/>
  <c r="B349" i="8"/>
  <c r="F348" i="8"/>
  <c r="K348" i="8" s="1"/>
  <c r="E348" i="8"/>
  <c r="J348" i="8" s="1"/>
  <c r="D348" i="8"/>
  <c r="I348" i="8" s="1"/>
  <c r="C348" i="8"/>
  <c r="H348" i="8" s="1"/>
  <c r="B348" i="8"/>
  <c r="F347" i="8"/>
  <c r="K347" i="8" s="1"/>
  <c r="E347" i="8"/>
  <c r="J347" i="8" s="1"/>
  <c r="D347" i="8"/>
  <c r="I347" i="8" s="1"/>
  <c r="C347" i="8"/>
  <c r="H347" i="8" s="1"/>
  <c r="B347" i="8"/>
  <c r="F346" i="8"/>
  <c r="K346" i="8" s="1"/>
  <c r="E346" i="8"/>
  <c r="J346" i="8" s="1"/>
  <c r="D346" i="8"/>
  <c r="I346" i="8" s="1"/>
  <c r="C346" i="8"/>
  <c r="H346" i="8" s="1"/>
  <c r="B346" i="8"/>
  <c r="F345" i="8"/>
  <c r="K345" i="8" s="1"/>
  <c r="E345" i="8"/>
  <c r="J345" i="8" s="1"/>
  <c r="D345" i="8"/>
  <c r="I345" i="8" s="1"/>
  <c r="C345" i="8"/>
  <c r="H345" i="8" s="1"/>
  <c r="B345" i="8"/>
  <c r="F344" i="8"/>
  <c r="K344" i="8" s="1"/>
  <c r="E344" i="8"/>
  <c r="J344" i="8" s="1"/>
  <c r="D344" i="8"/>
  <c r="I344" i="8" s="1"/>
  <c r="C344" i="8"/>
  <c r="H344" i="8" s="1"/>
  <c r="B344" i="8"/>
  <c r="F343" i="8"/>
  <c r="K343" i="8" s="1"/>
  <c r="E343" i="8"/>
  <c r="J343" i="8" s="1"/>
  <c r="D343" i="8"/>
  <c r="I343" i="8" s="1"/>
  <c r="C343" i="8"/>
  <c r="H343" i="8" s="1"/>
  <c r="B343" i="8"/>
  <c r="F342" i="8"/>
  <c r="K342" i="8" s="1"/>
  <c r="E342" i="8"/>
  <c r="J342" i="8" s="1"/>
  <c r="D342" i="8"/>
  <c r="I342" i="8" s="1"/>
  <c r="C342" i="8"/>
  <c r="H342" i="8" s="1"/>
  <c r="B342" i="8"/>
  <c r="F341" i="8"/>
  <c r="K341" i="8" s="1"/>
  <c r="E341" i="8"/>
  <c r="J341" i="8" s="1"/>
  <c r="D341" i="8"/>
  <c r="I341" i="8" s="1"/>
  <c r="C341" i="8"/>
  <c r="H341" i="8" s="1"/>
  <c r="B341" i="8"/>
  <c r="F340" i="8"/>
  <c r="K340" i="8" s="1"/>
  <c r="E340" i="8"/>
  <c r="J340" i="8" s="1"/>
  <c r="D340" i="8"/>
  <c r="I340" i="8" s="1"/>
  <c r="C340" i="8"/>
  <c r="H340" i="8" s="1"/>
  <c r="B340" i="8"/>
  <c r="F339" i="8"/>
  <c r="K339" i="8" s="1"/>
  <c r="E339" i="8"/>
  <c r="J339" i="8" s="1"/>
  <c r="D339" i="8"/>
  <c r="I339" i="8" s="1"/>
  <c r="C339" i="8"/>
  <c r="H339" i="8" s="1"/>
  <c r="B339" i="8"/>
  <c r="F338" i="8"/>
  <c r="K338" i="8" s="1"/>
  <c r="E338" i="8"/>
  <c r="J338" i="8" s="1"/>
  <c r="D338" i="8"/>
  <c r="I338" i="8" s="1"/>
  <c r="C338" i="8"/>
  <c r="H338" i="8" s="1"/>
  <c r="B338" i="8"/>
  <c r="F337" i="8"/>
  <c r="K337" i="8" s="1"/>
  <c r="E337" i="8"/>
  <c r="J337" i="8" s="1"/>
  <c r="D337" i="8"/>
  <c r="I337" i="8" s="1"/>
  <c r="C337" i="8"/>
  <c r="H337" i="8" s="1"/>
  <c r="B337" i="8"/>
  <c r="F336" i="8"/>
  <c r="K336" i="8" s="1"/>
  <c r="E336" i="8"/>
  <c r="J336" i="8" s="1"/>
  <c r="D336" i="8"/>
  <c r="I336" i="8" s="1"/>
  <c r="C336" i="8"/>
  <c r="H336" i="8" s="1"/>
  <c r="B336" i="8"/>
  <c r="F335" i="8"/>
  <c r="K335" i="8" s="1"/>
  <c r="E335" i="8"/>
  <c r="J335" i="8" s="1"/>
  <c r="D335" i="8"/>
  <c r="I335" i="8" s="1"/>
  <c r="C335" i="8"/>
  <c r="H335" i="8" s="1"/>
  <c r="B335" i="8"/>
  <c r="F334" i="8"/>
  <c r="K334" i="8" s="1"/>
  <c r="E334" i="8"/>
  <c r="J334" i="8" s="1"/>
  <c r="D334" i="8"/>
  <c r="I334" i="8" s="1"/>
  <c r="C334" i="8"/>
  <c r="H334" i="8" s="1"/>
  <c r="B334" i="8"/>
  <c r="F333" i="8"/>
  <c r="K333" i="8" s="1"/>
  <c r="E333" i="8"/>
  <c r="J333" i="8" s="1"/>
  <c r="D333" i="8"/>
  <c r="I333" i="8" s="1"/>
  <c r="C333" i="8"/>
  <c r="H333" i="8" s="1"/>
  <c r="B333" i="8"/>
  <c r="F332" i="8"/>
  <c r="K332" i="8" s="1"/>
  <c r="E332" i="8"/>
  <c r="J332" i="8" s="1"/>
  <c r="D332" i="8"/>
  <c r="I332" i="8" s="1"/>
  <c r="C332" i="8"/>
  <c r="H332" i="8" s="1"/>
  <c r="B332" i="8"/>
  <c r="F331" i="8"/>
  <c r="K331" i="8" s="1"/>
  <c r="E331" i="8"/>
  <c r="J331" i="8" s="1"/>
  <c r="D331" i="8"/>
  <c r="I331" i="8" s="1"/>
  <c r="C331" i="8"/>
  <c r="H331" i="8" s="1"/>
  <c r="B331" i="8"/>
  <c r="F330" i="8"/>
  <c r="K330" i="8" s="1"/>
  <c r="E330" i="8"/>
  <c r="J330" i="8" s="1"/>
  <c r="D330" i="8"/>
  <c r="I330" i="8" s="1"/>
  <c r="C330" i="8"/>
  <c r="H330" i="8" s="1"/>
  <c r="B330" i="8"/>
  <c r="F329" i="8"/>
  <c r="K329" i="8" s="1"/>
  <c r="E329" i="8"/>
  <c r="J329" i="8" s="1"/>
  <c r="D329" i="8"/>
  <c r="I329" i="8" s="1"/>
  <c r="C329" i="8"/>
  <c r="H329" i="8" s="1"/>
  <c r="B329" i="8"/>
  <c r="F328" i="8"/>
  <c r="K328" i="8" s="1"/>
  <c r="E328" i="8"/>
  <c r="J328" i="8" s="1"/>
  <c r="D328" i="8"/>
  <c r="I328" i="8" s="1"/>
  <c r="C328" i="8"/>
  <c r="H328" i="8" s="1"/>
  <c r="B328" i="8"/>
  <c r="F327" i="8"/>
  <c r="K327" i="8" s="1"/>
  <c r="E327" i="8"/>
  <c r="J327" i="8" s="1"/>
  <c r="D327" i="8"/>
  <c r="I327" i="8" s="1"/>
  <c r="C327" i="8"/>
  <c r="H327" i="8" s="1"/>
  <c r="B327" i="8"/>
  <c r="F326" i="8"/>
  <c r="K326" i="8" s="1"/>
  <c r="E326" i="8"/>
  <c r="J326" i="8" s="1"/>
  <c r="D326" i="8"/>
  <c r="I326" i="8" s="1"/>
  <c r="C326" i="8"/>
  <c r="H326" i="8" s="1"/>
  <c r="B326" i="8"/>
  <c r="F325" i="8"/>
  <c r="K325" i="8" s="1"/>
  <c r="E325" i="8"/>
  <c r="J325" i="8" s="1"/>
  <c r="D325" i="8"/>
  <c r="I325" i="8" s="1"/>
  <c r="C325" i="8"/>
  <c r="H325" i="8" s="1"/>
  <c r="B325" i="8"/>
  <c r="F324" i="8"/>
  <c r="K324" i="8" s="1"/>
  <c r="E324" i="8"/>
  <c r="J324" i="8" s="1"/>
  <c r="D324" i="8"/>
  <c r="I324" i="8" s="1"/>
  <c r="C324" i="8"/>
  <c r="H324" i="8" s="1"/>
  <c r="B324" i="8"/>
  <c r="F323" i="8"/>
  <c r="K323" i="8" s="1"/>
  <c r="E323" i="8"/>
  <c r="J323" i="8" s="1"/>
  <c r="D323" i="8"/>
  <c r="I323" i="8" s="1"/>
  <c r="C323" i="8"/>
  <c r="H323" i="8" s="1"/>
  <c r="B323" i="8"/>
  <c r="F322" i="8"/>
  <c r="K322" i="8" s="1"/>
  <c r="E322" i="8"/>
  <c r="J322" i="8" s="1"/>
  <c r="D322" i="8"/>
  <c r="I322" i="8" s="1"/>
  <c r="C322" i="8"/>
  <c r="H322" i="8" s="1"/>
  <c r="B322" i="8"/>
  <c r="F321" i="8"/>
  <c r="K321" i="8" s="1"/>
  <c r="E321" i="8"/>
  <c r="J321" i="8" s="1"/>
  <c r="D321" i="8"/>
  <c r="I321" i="8" s="1"/>
  <c r="C321" i="8"/>
  <c r="H321" i="8" s="1"/>
  <c r="B321" i="8"/>
  <c r="F320" i="8"/>
  <c r="K320" i="8" s="1"/>
  <c r="E320" i="8"/>
  <c r="J320" i="8" s="1"/>
  <c r="D320" i="8"/>
  <c r="I320" i="8" s="1"/>
  <c r="C320" i="8"/>
  <c r="H320" i="8" s="1"/>
  <c r="B320" i="8"/>
  <c r="F319" i="8"/>
  <c r="K319" i="8" s="1"/>
  <c r="E319" i="8"/>
  <c r="J319" i="8" s="1"/>
  <c r="D319" i="8"/>
  <c r="I319" i="8" s="1"/>
  <c r="C319" i="8"/>
  <c r="H319" i="8" s="1"/>
  <c r="B319" i="8"/>
  <c r="F318" i="8"/>
  <c r="K318" i="8" s="1"/>
  <c r="E318" i="8"/>
  <c r="J318" i="8" s="1"/>
  <c r="D318" i="8"/>
  <c r="I318" i="8" s="1"/>
  <c r="C318" i="8"/>
  <c r="H318" i="8" s="1"/>
  <c r="B318" i="8"/>
  <c r="F317" i="8"/>
  <c r="K317" i="8" s="1"/>
  <c r="E317" i="8"/>
  <c r="J317" i="8" s="1"/>
  <c r="D317" i="8"/>
  <c r="I317" i="8" s="1"/>
  <c r="C317" i="8"/>
  <c r="H317" i="8" s="1"/>
  <c r="B317" i="8"/>
  <c r="F316" i="8"/>
  <c r="K316" i="8" s="1"/>
  <c r="E316" i="8"/>
  <c r="J316" i="8" s="1"/>
  <c r="D316" i="8"/>
  <c r="I316" i="8" s="1"/>
  <c r="C316" i="8"/>
  <c r="H316" i="8" s="1"/>
  <c r="B316" i="8"/>
  <c r="F315" i="8"/>
  <c r="K315" i="8" s="1"/>
  <c r="E315" i="8"/>
  <c r="J315" i="8" s="1"/>
  <c r="D315" i="8"/>
  <c r="I315" i="8" s="1"/>
  <c r="C315" i="8"/>
  <c r="H315" i="8" s="1"/>
  <c r="B315" i="8"/>
  <c r="F314" i="8"/>
  <c r="K314" i="8" s="1"/>
  <c r="E314" i="8"/>
  <c r="J314" i="8" s="1"/>
  <c r="D314" i="8"/>
  <c r="I314" i="8" s="1"/>
  <c r="C314" i="8"/>
  <c r="H314" i="8" s="1"/>
  <c r="B314" i="8"/>
  <c r="F313" i="8"/>
  <c r="K313" i="8" s="1"/>
  <c r="E313" i="8"/>
  <c r="J313" i="8" s="1"/>
  <c r="D313" i="8"/>
  <c r="I313" i="8" s="1"/>
  <c r="C313" i="8"/>
  <c r="H313" i="8" s="1"/>
  <c r="B313" i="8"/>
  <c r="F312" i="8"/>
  <c r="K312" i="8" s="1"/>
  <c r="E312" i="8"/>
  <c r="J312" i="8" s="1"/>
  <c r="D312" i="8"/>
  <c r="I312" i="8" s="1"/>
  <c r="C312" i="8"/>
  <c r="H312" i="8" s="1"/>
  <c r="B312" i="8"/>
  <c r="F311" i="8"/>
  <c r="K311" i="8" s="1"/>
  <c r="E311" i="8"/>
  <c r="J311" i="8" s="1"/>
  <c r="D311" i="8"/>
  <c r="I311" i="8" s="1"/>
  <c r="C311" i="8"/>
  <c r="H311" i="8" s="1"/>
  <c r="B311" i="8"/>
  <c r="F310" i="8"/>
  <c r="K310" i="8" s="1"/>
  <c r="E310" i="8"/>
  <c r="J310" i="8" s="1"/>
  <c r="D310" i="8"/>
  <c r="I310" i="8" s="1"/>
  <c r="C310" i="8"/>
  <c r="H310" i="8" s="1"/>
  <c r="B310" i="8"/>
  <c r="F309" i="8"/>
  <c r="K309" i="8" s="1"/>
  <c r="E309" i="8"/>
  <c r="J309" i="8" s="1"/>
  <c r="D309" i="8"/>
  <c r="I309" i="8" s="1"/>
  <c r="C309" i="8"/>
  <c r="H309" i="8" s="1"/>
  <c r="B309" i="8"/>
  <c r="F308" i="8"/>
  <c r="K308" i="8" s="1"/>
  <c r="E308" i="8"/>
  <c r="J308" i="8" s="1"/>
  <c r="D308" i="8"/>
  <c r="I308" i="8" s="1"/>
  <c r="C308" i="8"/>
  <c r="H308" i="8" s="1"/>
  <c r="B308" i="8"/>
  <c r="F307" i="8"/>
  <c r="K307" i="8" s="1"/>
  <c r="E307" i="8"/>
  <c r="J307" i="8" s="1"/>
  <c r="D307" i="8"/>
  <c r="I307" i="8" s="1"/>
  <c r="C307" i="8"/>
  <c r="H307" i="8" s="1"/>
  <c r="B307" i="8"/>
  <c r="F306" i="8"/>
  <c r="K306" i="8" s="1"/>
  <c r="E306" i="8"/>
  <c r="J306" i="8" s="1"/>
  <c r="D306" i="8"/>
  <c r="I306" i="8" s="1"/>
  <c r="C306" i="8"/>
  <c r="H306" i="8" s="1"/>
  <c r="B306" i="8"/>
  <c r="F305" i="8"/>
  <c r="K305" i="8" s="1"/>
  <c r="E305" i="8"/>
  <c r="J305" i="8" s="1"/>
  <c r="D305" i="8"/>
  <c r="I305" i="8" s="1"/>
  <c r="C305" i="8"/>
  <c r="H305" i="8" s="1"/>
  <c r="B305" i="8"/>
  <c r="F304" i="8"/>
  <c r="K304" i="8" s="1"/>
  <c r="E304" i="8"/>
  <c r="J304" i="8" s="1"/>
  <c r="D304" i="8"/>
  <c r="I304" i="8" s="1"/>
  <c r="C304" i="8"/>
  <c r="H304" i="8" s="1"/>
  <c r="B304" i="8"/>
  <c r="F303" i="8"/>
  <c r="K303" i="8" s="1"/>
  <c r="E303" i="8"/>
  <c r="J303" i="8" s="1"/>
  <c r="D303" i="8"/>
  <c r="I303" i="8" s="1"/>
  <c r="C303" i="8"/>
  <c r="H303" i="8" s="1"/>
  <c r="B303" i="8"/>
  <c r="F302" i="8"/>
  <c r="K302" i="8" s="1"/>
  <c r="E302" i="8"/>
  <c r="J302" i="8" s="1"/>
  <c r="D302" i="8"/>
  <c r="I302" i="8" s="1"/>
  <c r="C302" i="8"/>
  <c r="H302" i="8" s="1"/>
  <c r="B302" i="8"/>
  <c r="F301" i="8"/>
  <c r="K301" i="8" s="1"/>
  <c r="E301" i="8"/>
  <c r="J301" i="8" s="1"/>
  <c r="D301" i="8"/>
  <c r="I301" i="8" s="1"/>
  <c r="C301" i="8"/>
  <c r="H301" i="8" s="1"/>
  <c r="B301" i="8"/>
  <c r="F300" i="8"/>
  <c r="K300" i="8" s="1"/>
  <c r="E300" i="8"/>
  <c r="J300" i="8" s="1"/>
  <c r="D300" i="8"/>
  <c r="I300" i="8" s="1"/>
  <c r="C300" i="8"/>
  <c r="H300" i="8" s="1"/>
  <c r="B300" i="8"/>
  <c r="F299" i="8"/>
  <c r="K299" i="8" s="1"/>
  <c r="E299" i="8"/>
  <c r="J299" i="8" s="1"/>
  <c r="D299" i="8"/>
  <c r="I299" i="8" s="1"/>
  <c r="C299" i="8"/>
  <c r="H299" i="8" s="1"/>
  <c r="B299" i="8"/>
  <c r="F298" i="8"/>
  <c r="K298" i="8" s="1"/>
  <c r="E298" i="8"/>
  <c r="J298" i="8" s="1"/>
  <c r="D298" i="8"/>
  <c r="I298" i="8" s="1"/>
  <c r="C298" i="8"/>
  <c r="H298" i="8" s="1"/>
  <c r="B298" i="8"/>
  <c r="F297" i="8"/>
  <c r="K297" i="8" s="1"/>
  <c r="E297" i="8"/>
  <c r="J297" i="8" s="1"/>
  <c r="D297" i="8"/>
  <c r="I297" i="8" s="1"/>
  <c r="C297" i="8"/>
  <c r="H297" i="8" s="1"/>
  <c r="B297" i="8"/>
  <c r="F296" i="8"/>
  <c r="K296" i="8" s="1"/>
  <c r="E296" i="8"/>
  <c r="J296" i="8" s="1"/>
  <c r="D296" i="8"/>
  <c r="I296" i="8" s="1"/>
  <c r="C296" i="8"/>
  <c r="H296" i="8" s="1"/>
  <c r="B296" i="8"/>
  <c r="F295" i="8"/>
  <c r="K295" i="8" s="1"/>
  <c r="E295" i="8"/>
  <c r="J295" i="8" s="1"/>
  <c r="D295" i="8"/>
  <c r="I295" i="8" s="1"/>
  <c r="C295" i="8"/>
  <c r="H295" i="8" s="1"/>
  <c r="B295" i="8"/>
  <c r="F294" i="8"/>
  <c r="K294" i="8" s="1"/>
  <c r="E294" i="8"/>
  <c r="J294" i="8" s="1"/>
  <c r="D294" i="8"/>
  <c r="I294" i="8" s="1"/>
  <c r="C294" i="8"/>
  <c r="H294" i="8" s="1"/>
  <c r="B294" i="8"/>
  <c r="F293" i="8"/>
  <c r="K293" i="8" s="1"/>
  <c r="E293" i="8"/>
  <c r="J293" i="8" s="1"/>
  <c r="D293" i="8"/>
  <c r="I293" i="8" s="1"/>
  <c r="C293" i="8"/>
  <c r="H293" i="8" s="1"/>
  <c r="B293" i="8"/>
  <c r="F292" i="8"/>
  <c r="K292" i="8" s="1"/>
  <c r="E292" i="8"/>
  <c r="J292" i="8" s="1"/>
  <c r="D292" i="8"/>
  <c r="I292" i="8" s="1"/>
  <c r="C292" i="8"/>
  <c r="H292" i="8" s="1"/>
  <c r="B292" i="8"/>
  <c r="F291" i="8"/>
  <c r="K291" i="8" s="1"/>
  <c r="E291" i="8"/>
  <c r="J291" i="8" s="1"/>
  <c r="D291" i="8"/>
  <c r="I291" i="8" s="1"/>
  <c r="C291" i="8"/>
  <c r="H291" i="8" s="1"/>
  <c r="B291" i="8"/>
  <c r="F290" i="8"/>
  <c r="K290" i="8" s="1"/>
  <c r="E290" i="8"/>
  <c r="J290" i="8" s="1"/>
  <c r="D290" i="8"/>
  <c r="I290" i="8" s="1"/>
  <c r="C290" i="8"/>
  <c r="H290" i="8" s="1"/>
  <c r="B290" i="8"/>
  <c r="F289" i="8"/>
  <c r="K289" i="8" s="1"/>
  <c r="E289" i="8"/>
  <c r="J289" i="8" s="1"/>
  <c r="D289" i="8"/>
  <c r="I289" i="8" s="1"/>
  <c r="C289" i="8"/>
  <c r="H289" i="8" s="1"/>
  <c r="B289" i="8"/>
  <c r="F288" i="8"/>
  <c r="K288" i="8" s="1"/>
  <c r="E288" i="8"/>
  <c r="J288" i="8" s="1"/>
  <c r="D288" i="8"/>
  <c r="I288" i="8" s="1"/>
  <c r="C288" i="8"/>
  <c r="H288" i="8" s="1"/>
  <c r="B288" i="8"/>
  <c r="F287" i="8"/>
  <c r="K287" i="8" s="1"/>
  <c r="E287" i="8"/>
  <c r="J287" i="8" s="1"/>
  <c r="D287" i="8"/>
  <c r="I287" i="8" s="1"/>
  <c r="C287" i="8"/>
  <c r="H287" i="8" s="1"/>
  <c r="B287" i="8"/>
  <c r="F286" i="8"/>
  <c r="K286" i="8" s="1"/>
  <c r="E286" i="8"/>
  <c r="J286" i="8" s="1"/>
  <c r="D286" i="8"/>
  <c r="I286" i="8" s="1"/>
  <c r="C286" i="8"/>
  <c r="H286" i="8" s="1"/>
  <c r="B286" i="8"/>
  <c r="F285" i="8"/>
  <c r="K285" i="8" s="1"/>
  <c r="E285" i="8"/>
  <c r="J285" i="8" s="1"/>
  <c r="D285" i="8"/>
  <c r="I285" i="8" s="1"/>
  <c r="C285" i="8"/>
  <c r="H285" i="8" s="1"/>
  <c r="B285" i="8"/>
  <c r="F284" i="8"/>
  <c r="K284" i="8" s="1"/>
  <c r="E284" i="8"/>
  <c r="J284" i="8" s="1"/>
  <c r="D284" i="8"/>
  <c r="I284" i="8" s="1"/>
  <c r="C284" i="8"/>
  <c r="H284" i="8" s="1"/>
  <c r="B284" i="8"/>
  <c r="F283" i="8"/>
  <c r="K283" i="8" s="1"/>
  <c r="E283" i="8"/>
  <c r="J283" i="8" s="1"/>
  <c r="D283" i="8"/>
  <c r="I283" i="8" s="1"/>
  <c r="C283" i="8"/>
  <c r="H283" i="8" s="1"/>
  <c r="B283" i="8"/>
  <c r="F282" i="8"/>
  <c r="K282" i="8" s="1"/>
  <c r="E282" i="8"/>
  <c r="J282" i="8" s="1"/>
  <c r="D282" i="8"/>
  <c r="I282" i="8" s="1"/>
  <c r="C282" i="8"/>
  <c r="H282" i="8" s="1"/>
  <c r="B282" i="8"/>
  <c r="F281" i="8"/>
  <c r="K281" i="8" s="1"/>
  <c r="E281" i="8"/>
  <c r="J281" i="8" s="1"/>
  <c r="D281" i="8"/>
  <c r="I281" i="8" s="1"/>
  <c r="C281" i="8"/>
  <c r="H281" i="8" s="1"/>
  <c r="B281" i="8"/>
  <c r="F280" i="8"/>
  <c r="K280" i="8" s="1"/>
  <c r="E280" i="8"/>
  <c r="J280" i="8" s="1"/>
  <c r="D280" i="8"/>
  <c r="I280" i="8" s="1"/>
  <c r="C280" i="8"/>
  <c r="H280" i="8" s="1"/>
  <c r="B280" i="8"/>
  <c r="F279" i="8"/>
  <c r="K279" i="8" s="1"/>
  <c r="E279" i="8"/>
  <c r="J279" i="8" s="1"/>
  <c r="D279" i="8"/>
  <c r="I279" i="8" s="1"/>
  <c r="C279" i="8"/>
  <c r="H279" i="8" s="1"/>
  <c r="B279" i="8"/>
  <c r="F278" i="8"/>
  <c r="K278" i="8" s="1"/>
  <c r="E278" i="8"/>
  <c r="J278" i="8" s="1"/>
  <c r="D278" i="8"/>
  <c r="I278" i="8" s="1"/>
  <c r="C278" i="8"/>
  <c r="H278" i="8" s="1"/>
  <c r="B278" i="8"/>
  <c r="F277" i="8"/>
  <c r="K277" i="8" s="1"/>
  <c r="E277" i="8"/>
  <c r="J277" i="8" s="1"/>
  <c r="D277" i="8"/>
  <c r="I277" i="8" s="1"/>
  <c r="C277" i="8"/>
  <c r="H277" i="8" s="1"/>
  <c r="B277" i="8"/>
  <c r="F276" i="8"/>
  <c r="K276" i="8" s="1"/>
  <c r="E276" i="8"/>
  <c r="J276" i="8" s="1"/>
  <c r="D276" i="8"/>
  <c r="I276" i="8" s="1"/>
  <c r="C276" i="8"/>
  <c r="H276" i="8" s="1"/>
  <c r="B276" i="8"/>
  <c r="F275" i="8"/>
  <c r="K275" i="8" s="1"/>
  <c r="E275" i="8"/>
  <c r="J275" i="8" s="1"/>
  <c r="D275" i="8"/>
  <c r="I275" i="8" s="1"/>
  <c r="C275" i="8"/>
  <c r="H275" i="8" s="1"/>
  <c r="B275" i="8"/>
  <c r="F274" i="8"/>
  <c r="K274" i="8" s="1"/>
  <c r="E274" i="8"/>
  <c r="J274" i="8" s="1"/>
  <c r="D274" i="8"/>
  <c r="I274" i="8" s="1"/>
  <c r="C274" i="8"/>
  <c r="H274" i="8" s="1"/>
  <c r="B274" i="8"/>
  <c r="F273" i="8"/>
  <c r="K273" i="8" s="1"/>
  <c r="E273" i="8"/>
  <c r="J273" i="8" s="1"/>
  <c r="D273" i="8"/>
  <c r="I273" i="8" s="1"/>
  <c r="C273" i="8"/>
  <c r="H273" i="8" s="1"/>
  <c r="B273" i="8"/>
  <c r="F272" i="8"/>
  <c r="K272" i="8" s="1"/>
  <c r="E272" i="8"/>
  <c r="J272" i="8" s="1"/>
  <c r="D272" i="8"/>
  <c r="I272" i="8" s="1"/>
  <c r="C272" i="8"/>
  <c r="H272" i="8" s="1"/>
  <c r="B272" i="8"/>
  <c r="F271" i="8"/>
  <c r="K271" i="8" s="1"/>
  <c r="E271" i="8"/>
  <c r="J271" i="8" s="1"/>
  <c r="D271" i="8"/>
  <c r="I271" i="8" s="1"/>
  <c r="C271" i="8"/>
  <c r="H271" i="8" s="1"/>
  <c r="B271" i="8"/>
  <c r="F270" i="8"/>
  <c r="K270" i="8" s="1"/>
  <c r="E270" i="8"/>
  <c r="J270" i="8" s="1"/>
  <c r="D270" i="8"/>
  <c r="I270" i="8" s="1"/>
  <c r="C270" i="8"/>
  <c r="H270" i="8" s="1"/>
  <c r="B270" i="8"/>
  <c r="F269" i="8"/>
  <c r="K269" i="8" s="1"/>
  <c r="E269" i="8"/>
  <c r="J269" i="8" s="1"/>
  <c r="D269" i="8"/>
  <c r="I269" i="8" s="1"/>
  <c r="C269" i="8"/>
  <c r="H269" i="8" s="1"/>
  <c r="B269" i="8"/>
  <c r="F268" i="8"/>
  <c r="K268" i="8" s="1"/>
  <c r="E268" i="8"/>
  <c r="J268" i="8" s="1"/>
  <c r="D268" i="8"/>
  <c r="I268" i="8" s="1"/>
  <c r="C268" i="8"/>
  <c r="H268" i="8" s="1"/>
  <c r="B268" i="8"/>
  <c r="F267" i="8"/>
  <c r="K267" i="8" s="1"/>
  <c r="E267" i="8"/>
  <c r="J267" i="8" s="1"/>
  <c r="D267" i="8"/>
  <c r="I267" i="8" s="1"/>
  <c r="C267" i="8"/>
  <c r="H267" i="8" s="1"/>
  <c r="B267" i="8"/>
  <c r="F266" i="8"/>
  <c r="K266" i="8" s="1"/>
  <c r="E266" i="8"/>
  <c r="J266" i="8" s="1"/>
  <c r="D266" i="8"/>
  <c r="I266" i="8" s="1"/>
  <c r="C266" i="8"/>
  <c r="H266" i="8" s="1"/>
  <c r="B266" i="8"/>
  <c r="F265" i="8"/>
  <c r="K265" i="8" s="1"/>
  <c r="E265" i="8"/>
  <c r="J265" i="8" s="1"/>
  <c r="D265" i="8"/>
  <c r="I265" i="8" s="1"/>
  <c r="C265" i="8"/>
  <c r="H265" i="8" s="1"/>
  <c r="B265" i="8"/>
  <c r="F264" i="8"/>
  <c r="K264" i="8" s="1"/>
  <c r="E264" i="8"/>
  <c r="J264" i="8" s="1"/>
  <c r="D264" i="8"/>
  <c r="I264" i="8" s="1"/>
  <c r="C264" i="8"/>
  <c r="H264" i="8" s="1"/>
  <c r="B264" i="8"/>
  <c r="F263" i="8"/>
  <c r="K263" i="8" s="1"/>
  <c r="E263" i="8"/>
  <c r="J263" i="8" s="1"/>
  <c r="D263" i="8"/>
  <c r="I263" i="8" s="1"/>
  <c r="C263" i="8"/>
  <c r="H263" i="8" s="1"/>
  <c r="B263" i="8"/>
  <c r="F262" i="8"/>
  <c r="K262" i="8" s="1"/>
  <c r="E262" i="8"/>
  <c r="J262" i="8" s="1"/>
  <c r="D262" i="8"/>
  <c r="I262" i="8" s="1"/>
  <c r="C262" i="8"/>
  <c r="H262" i="8" s="1"/>
  <c r="B262" i="8"/>
  <c r="F261" i="8"/>
  <c r="K261" i="8" s="1"/>
  <c r="E261" i="8"/>
  <c r="J261" i="8" s="1"/>
  <c r="D261" i="8"/>
  <c r="I261" i="8" s="1"/>
  <c r="C261" i="8"/>
  <c r="H261" i="8" s="1"/>
  <c r="B261" i="8"/>
  <c r="F260" i="8"/>
  <c r="K260" i="8" s="1"/>
  <c r="E260" i="8"/>
  <c r="J260" i="8" s="1"/>
  <c r="D260" i="8"/>
  <c r="I260" i="8" s="1"/>
  <c r="C260" i="8"/>
  <c r="H260" i="8" s="1"/>
  <c r="B260" i="8"/>
  <c r="F259" i="8"/>
  <c r="K259" i="8" s="1"/>
  <c r="E259" i="8"/>
  <c r="J259" i="8" s="1"/>
  <c r="D259" i="8"/>
  <c r="I259" i="8" s="1"/>
  <c r="C259" i="8"/>
  <c r="H259" i="8" s="1"/>
  <c r="B259" i="8"/>
  <c r="F258" i="8"/>
  <c r="K258" i="8" s="1"/>
  <c r="E258" i="8"/>
  <c r="J258" i="8" s="1"/>
  <c r="D258" i="8"/>
  <c r="I258" i="8" s="1"/>
  <c r="C258" i="8"/>
  <c r="H258" i="8" s="1"/>
  <c r="B258" i="8"/>
  <c r="F257" i="8"/>
  <c r="K257" i="8" s="1"/>
  <c r="E257" i="8"/>
  <c r="J257" i="8" s="1"/>
  <c r="D257" i="8"/>
  <c r="I257" i="8" s="1"/>
  <c r="C257" i="8"/>
  <c r="H257" i="8" s="1"/>
  <c r="B257" i="8"/>
  <c r="F256" i="8"/>
  <c r="K256" i="8" s="1"/>
  <c r="E256" i="8"/>
  <c r="J256" i="8" s="1"/>
  <c r="D256" i="8"/>
  <c r="I256" i="8" s="1"/>
  <c r="C256" i="8"/>
  <c r="H256" i="8" s="1"/>
  <c r="B256" i="8"/>
  <c r="F255" i="8"/>
  <c r="K255" i="8" s="1"/>
  <c r="E255" i="8"/>
  <c r="J255" i="8" s="1"/>
  <c r="D255" i="8"/>
  <c r="I255" i="8" s="1"/>
  <c r="C255" i="8"/>
  <c r="H255" i="8" s="1"/>
  <c r="B255" i="8"/>
  <c r="F254" i="8"/>
  <c r="K254" i="8" s="1"/>
  <c r="E254" i="8"/>
  <c r="J254" i="8" s="1"/>
  <c r="D254" i="8"/>
  <c r="I254" i="8" s="1"/>
  <c r="C254" i="8"/>
  <c r="H254" i="8" s="1"/>
  <c r="B254" i="8"/>
  <c r="F253" i="8"/>
  <c r="K253" i="8" s="1"/>
  <c r="E253" i="8"/>
  <c r="J253" i="8" s="1"/>
  <c r="D253" i="8"/>
  <c r="I253" i="8" s="1"/>
  <c r="C253" i="8"/>
  <c r="H253" i="8" s="1"/>
  <c r="B253" i="8"/>
  <c r="F252" i="8"/>
  <c r="K252" i="8" s="1"/>
  <c r="E252" i="8"/>
  <c r="J252" i="8" s="1"/>
  <c r="D252" i="8"/>
  <c r="I252" i="8" s="1"/>
  <c r="C252" i="8"/>
  <c r="H252" i="8" s="1"/>
  <c r="B252" i="8"/>
  <c r="F251" i="8"/>
  <c r="K251" i="8" s="1"/>
  <c r="E251" i="8"/>
  <c r="J251" i="8" s="1"/>
  <c r="D251" i="8"/>
  <c r="I251" i="8" s="1"/>
  <c r="C251" i="8"/>
  <c r="H251" i="8" s="1"/>
  <c r="B251" i="8"/>
  <c r="F250" i="8"/>
  <c r="K250" i="8" s="1"/>
  <c r="E250" i="8"/>
  <c r="J250" i="8" s="1"/>
  <c r="D250" i="8"/>
  <c r="I250" i="8" s="1"/>
  <c r="C250" i="8"/>
  <c r="H250" i="8" s="1"/>
  <c r="B250" i="8"/>
  <c r="F249" i="8"/>
  <c r="K249" i="8" s="1"/>
  <c r="E249" i="8"/>
  <c r="J249" i="8" s="1"/>
  <c r="D249" i="8"/>
  <c r="I249" i="8" s="1"/>
  <c r="C249" i="8"/>
  <c r="H249" i="8" s="1"/>
  <c r="B249" i="8"/>
  <c r="F248" i="8"/>
  <c r="K248" i="8" s="1"/>
  <c r="E248" i="8"/>
  <c r="J248" i="8" s="1"/>
  <c r="D248" i="8"/>
  <c r="I248" i="8" s="1"/>
  <c r="C248" i="8"/>
  <c r="H248" i="8" s="1"/>
  <c r="B248" i="8"/>
  <c r="F247" i="8"/>
  <c r="K247" i="8" s="1"/>
  <c r="E247" i="8"/>
  <c r="J247" i="8" s="1"/>
  <c r="D247" i="8"/>
  <c r="I247" i="8" s="1"/>
  <c r="C247" i="8"/>
  <c r="H247" i="8" s="1"/>
  <c r="B247" i="8"/>
  <c r="F246" i="8"/>
  <c r="K246" i="8" s="1"/>
  <c r="E246" i="8"/>
  <c r="J246" i="8" s="1"/>
  <c r="D246" i="8"/>
  <c r="I246" i="8" s="1"/>
  <c r="C246" i="8"/>
  <c r="H246" i="8" s="1"/>
  <c r="B246" i="8"/>
  <c r="F245" i="8"/>
  <c r="K245" i="8" s="1"/>
  <c r="E245" i="8"/>
  <c r="J245" i="8" s="1"/>
  <c r="D245" i="8"/>
  <c r="I245" i="8" s="1"/>
  <c r="C245" i="8"/>
  <c r="H245" i="8" s="1"/>
  <c r="B245" i="8"/>
  <c r="F244" i="8"/>
  <c r="K244" i="8" s="1"/>
  <c r="E244" i="8"/>
  <c r="J244" i="8" s="1"/>
  <c r="D244" i="8"/>
  <c r="I244" i="8" s="1"/>
  <c r="C244" i="8"/>
  <c r="H244" i="8" s="1"/>
  <c r="B244" i="8"/>
  <c r="F243" i="8"/>
  <c r="K243" i="8" s="1"/>
  <c r="E243" i="8"/>
  <c r="J243" i="8" s="1"/>
  <c r="D243" i="8"/>
  <c r="I243" i="8" s="1"/>
  <c r="C243" i="8"/>
  <c r="H243" i="8" s="1"/>
  <c r="B243" i="8"/>
  <c r="F242" i="8"/>
  <c r="K242" i="8" s="1"/>
  <c r="E242" i="8"/>
  <c r="J242" i="8" s="1"/>
  <c r="D242" i="8"/>
  <c r="I242" i="8" s="1"/>
  <c r="C242" i="8"/>
  <c r="H242" i="8" s="1"/>
  <c r="B242" i="8"/>
  <c r="F241" i="8"/>
  <c r="K241" i="8" s="1"/>
  <c r="E241" i="8"/>
  <c r="J241" i="8" s="1"/>
  <c r="D241" i="8"/>
  <c r="I241" i="8" s="1"/>
  <c r="C241" i="8"/>
  <c r="H241" i="8" s="1"/>
  <c r="B241" i="8"/>
  <c r="F240" i="8"/>
  <c r="K240" i="8" s="1"/>
  <c r="E240" i="8"/>
  <c r="J240" i="8" s="1"/>
  <c r="D240" i="8"/>
  <c r="I240" i="8" s="1"/>
  <c r="C240" i="8"/>
  <c r="H240" i="8" s="1"/>
  <c r="B240" i="8"/>
  <c r="F239" i="8"/>
  <c r="K239" i="8" s="1"/>
  <c r="E239" i="8"/>
  <c r="J239" i="8" s="1"/>
  <c r="D239" i="8"/>
  <c r="I239" i="8" s="1"/>
  <c r="C239" i="8"/>
  <c r="H239" i="8" s="1"/>
  <c r="B239" i="8"/>
  <c r="F238" i="8"/>
  <c r="K238" i="8" s="1"/>
  <c r="E238" i="8"/>
  <c r="J238" i="8" s="1"/>
  <c r="D238" i="8"/>
  <c r="I238" i="8" s="1"/>
  <c r="C238" i="8"/>
  <c r="H238" i="8" s="1"/>
  <c r="B238" i="8"/>
  <c r="F237" i="8"/>
  <c r="K237" i="8" s="1"/>
  <c r="E237" i="8"/>
  <c r="J237" i="8" s="1"/>
  <c r="D237" i="8"/>
  <c r="I237" i="8" s="1"/>
  <c r="C237" i="8"/>
  <c r="H237" i="8" s="1"/>
  <c r="B237" i="8"/>
  <c r="F236" i="8"/>
  <c r="K236" i="8" s="1"/>
  <c r="E236" i="8"/>
  <c r="J236" i="8" s="1"/>
  <c r="D236" i="8"/>
  <c r="I236" i="8" s="1"/>
  <c r="C236" i="8"/>
  <c r="H236" i="8" s="1"/>
  <c r="B236" i="8"/>
  <c r="F235" i="8"/>
  <c r="K235" i="8" s="1"/>
  <c r="E235" i="8"/>
  <c r="J235" i="8" s="1"/>
  <c r="D235" i="8"/>
  <c r="I235" i="8" s="1"/>
  <c r="C235" i="8"/>
  <c r="H235" i="8" s="1"/>
  <c r="B235" i="8"/>
  <c r="F234" i="8"/>
  <c r="K234" i="8" s="1"/>
  <c r="E234" i="8"/>
  <c r="J234" i="8" s="1"/>
  <c r="D234" i="8"/>
  <c r="I234" i="8" s="1"/>
  <c r="C234" i="8"/>
  <c r="H234" i="8" s="1"/>
  <c r="B234" i="8"/>
  <c r="F233" i="8"/>
  <c r="K233" i="8" s="1"/>
  <c r="E233" i="8"/>
  <c r="J233" i="8" s="1"/>
  <c r="D233" i="8"/>
  <c r="I233" i="8" s="1"/>
  <c r="C233" i="8"/>
  <c r="H233" i="8" s="1"/>
  <c r="B233" i="8"/>
  <c r="F232" i="8"/>
  <c r="K232" i="8" s="1"/>
  <c r="E232" i="8"/>
  <c r="J232" i="8" s="1"/>
  <c r="D232" i="8"/>
  <c r="I232" i="8" s="1"/>
  <c r="C232" i="8"/>
  <c r="H232" i="8" s="1"/>
  <c r="B232" i="8"/>
  <c r="F231" i="8"/>
  <c r="K231" i="8" s="1"/>
  <c r="E231" i="8"/>
  <c r="J231" i="8" s="1"/>
  <c r="D231" i="8"/>
  <c r="I231" i="8" s="1"/>
  <c r="C231" i="8"/>
  <c r="H231" i="8" s="1"/>
  <c r="B231" i="8"/>
  <c r="F230" i="8"/>
  <c r="K230" i="8" s="1"/>
  <c r="E230" i="8"/>
  <c r="J230" i="8" s="1"/>
  <c r="D230" i="8"/>
  <c r="I230" i="8" s="1"/>
  <c r="C230" i="8"/>
  <c r="H230" i="8" s="1"/>
  <c r="B230" i="8"/>
  <c r="F229" i="8"/>
  <c r="K229" i="8" s="1"/>
  <c r="E229" i="8"/>
  <c r="J229" i="8" s="1"/>
  <c r="D229" i="8"/>
  <c r="I229" i="8" s="1"/>
  <c r="C229" i="8"/>
  <c r="H229" i="8" s="1"/>
  <c r="B229" i="8"/>
  <c r="F228" i="8"/>
  <c r="K228" i="8" s="1"/>
  <c r="E228" i="8"/>
  <c r="J228" i="8" s="1"/>
  <c r="D228" i="8"/>
  <c r="I228" i="8" s="1"/>
  <c r="C228" i="8"/>
  <c r="H228" i="8" s="1"/>
  <c r="B228" i="8"/>
  <c r="F227" i="8"/>
  <c r="K227" i="8" s="1"/>
  <c r="E227" i="8"/>
  <c r="J227" i="8" s="1"/>
  <c r="D227" i="8"/>
  <c r="I227" i="8" s="1"/>
  <c r="C227" i="8"/>
  <c r="H227" i="8" s="1"/>
  <c r="B227" i="8"/>
  <c r="F226" i="8"/>
  <c r="K226" i="8" s="1"/>
  <c r="E226" i="8"/>
  <c r="J226" i="8" s="1"/>
  <c r="D226" i="8"/>
  <c r="I226" i="8" s="1"/>
  <c r="C226" i="8"/>
  <c r="H226" i="8" s="1"/>
  <c r="B226" i="8"/>
  <c r="F225" i="8"/>
  <c r="K225" i="8" s="1"/>
  <c r="E225" i="8"/>
  <c r="J225" i="8" s="1"/>
  <c r="D225" i="8"/>
  <c r="I225" i="8" s="1"/>
  <c r="C225" i="8"/>
  <c r="H225" i="8" s="1"/>
  <c r="B225" i="8"/>
  <c r="F224" i="8"/>
  <c r="K224" i="8" s="1"/>
  <c r="E224" i="8"/>
  <c r="J224" i="8" s="1"/>
  <c r="D224" i="8"/>
  <c r="I224" i="8" s="1"/>
  <c r="C224" i="8"/>
  <c r="H224" i="8" s="1"/>
  <c r="B224" i="8"/>
  <c r="F223" i="8"/>
  <c r="K223" i="8" s="1"/>
  <c r="E223" i="8"/>
  <c r="J223" i="8" s="1"/>
  <c r="D223" i="8"/>
  <c r="I223" i="8" s="1"/>
  <c r="C223" i="8"/>
  <c r="H223" i="8" s="1"/>
  <c r="B223" i="8"/>
  <c r="F222" i="8"/>
  <c r="K222" i="8" s="1"/>
  <c r="E222" i="8"/>
  <c r="J222" i="8" s="1"/>
  <c r="D222" i="8"/>
  <c r="I222" i="8" s="1"/>
  <c r="C222" i="8"/>
  <c r="H222" i="8" s="1"/>
  <c r="B222" i="8"/>
  <c r="F221" i="8"/>
  <c r="K221" i="8" s="1"/>
  <c r="E221" i="8"/>
  <c r="J221" i="8" s="1"/>
  <c r="D221" i="8"/>
  <c r="I221" i="8" s="1"/>
  <c r="C221" i="8"/>
  <c r="H221" i="8" s="1"/>
  <c r="B221" i="8"/>
  <c r="F220" i="8"/>
  <c r="K220" i="8" s="1"/>
  <c r="E220" i="8"/>
  <c r="J220" i="8" s="1"/>
  <c r="D220" i="8"/>
  <c r="I220" i="8" s="1"/>
  <c r="C220" i="8"/>
  <c r="H220" i="8" s="1"/>
  <c r="B220" i="8"/>
  <c r="F219" i="8"/>
  <c r="K219" i="8" s="1"/>
  <c r="E219" i="8"/>
  <c r="J219" i="8" s="1"/>
  <c r="D219" i="8"/>
  <c r="I219" i="8" s="1"/>
  <c r="C219" i="8"/>
  <c r="H219" i="8" s="1"/>
  <c r="B219" i="8"/>
  <c r="F218" i="8"/>
  <c r="K218" i="8" s="1"/>
  <c r="E218" i="8"/>
  <c r="J218" i="8" s="1"/>
  <c r="D218" i="8"/>
  <c r="I218" i="8" s="1"/>
  <c r="C218" i="8"/>
  <c r="H218" i="8" s="1"/>
  <c r="B218" i="8"/>
  <c r="F217" i="8"/>
  <c r="K217" i="8" s="1"/>
  <c r="E217" i="8"/>
  <c r="J217" i="8" s="1"/>
  <c r="D217" i="8"/>
  <c r="I217" i="8" s="1"/>
  <c r="C217" i="8"/>
  <c r="H217" i="8" s="1"/>
  <c r="B217" i="8"/>
  <c r="F216" i="8"/>
  <c r="K216" i="8" s="1"/>
  <c r="E216" i="8"/>
  <c r="J216" i="8" s="1"/>
  <c r="D216" i="8"/>
  <c r="I216" i="8" s="1"/>
  <c r="C216" i="8"/>
  <c r="H216" i="8" s="1"/>
  <c r="B216" i="8"/>
  <c r="F215" i="8"/>
  <c r="K215" i="8" s="1"/>
  <c r="E215" i="8"/>
  <c r="J215" i="8" s="1"/>
  <c r="D215" i="8"/>
  <c r="I215" i="8" s="1"/>
  <c r="C215" i="8"/>
  <c r="H215" i="8" s="1"/>
  <c r="B215" i="8"/>
  <c r="F214" i="8"/>
  <c r="K214" i="8" s="1"/>
  <c r="E214" i="8"/>
  <c r="J214" i="8" s="1"/>
  <c r="D214" i="8"/>
  <c r="I214" i="8" s="1"/>
  <c r="C214" i="8"/>
  <c r="H214" i="8" s="1"/>
  <c r="B214" i="8"/>
  <c r="F213" i="8"/>
  <c r="K213" i="8" s="1"/>
  <c r="E213" i="8"/>
  <c r="J213" i="8" s="1"/>
  <c r="D213" i="8"/>
  <c r="I213" i="8" s="1"/>
  <c r="C213" i="8"/>
  <c r="H213" i="8" s="1"/>
  <c r="B213" i="8"/>
  <c r="F212" i="8"/>
  <c r="K212" i="8" s="1"/>
  <c r="E212" i="8"/>
  <c r="J212" i="8" s="1"/>
  <c r="D212" i="8"/>
  <c r="I212" i="8" s="1"/>
  <c r="C212" i="8"/>
  <c r="H212" i="8" s="1"/>
  <c r="B212" i="8"/>
  <c r="F211" i="8"/>
  <c r="K211" i="8" s="1"/>
  <c r="E211" i="8"/>
  <c r="J211" i="8" s="1"/>
  <c r="D211" i="8"/>
  <c r="I211" i="8" s="1"/>
  <c r="C211" i="8"/>
  <c r="H211" i="8" s="1"/>
  <c r="B211" i="8"/>
  <c r="F210" i="8"/>
  <c r="K210" i="8" s="1"/>
  <c r="E210" i="8"/>
  <c r="J210" i="8" s="1"/>
  <c r="D210" i="8"/>
  <c r="I210" i="8" s="1"/>
  <c r="C210" i="8"/>
  <c r="H210" i="8" s="1"/>
  <c r="B210" i="8"/>
  <c r="F209" i="8"/>
  <c r="K209" i="8" s="1"/>
  <c r="E209" i="8"/>
  <c r="J209" i="8" s="1"/>
  <c r="D209" i="8"/>
  <c r="I209" i="8" s="1"/>
  <c r="C209" i="8"/>
  <c r="H209" i="8" s="1"/>
  <c r="B209" i="8"/>
  <c r="F208" i="8"/>
  <c r="K208" i="8" s="1"/>
  <c r="E208" i="8"/>
  <c r="J208" i="8" s="1"/>
  <c r="D208" i="8"/>
  <c r="I208" i="8" s="1"/>
  <c r="C208" i="8"/>
  <c r="H208" i="8" s="1"/>
  <c r="B208" i="8"/>
  <c r="F207" i="8"/>
  <c r="K207" i="8" s="1"/>
  <c r="E207" i="8"/>
  <c r="J207" i="8" s="1"/>
  <c r="D207" i="8"/>
  <c r="I207" i="8" s="1"/>
  <c r="C207" i="8"/>
  <c r="H207" i="8" s="1"/>
  <c r="B207" i="8"/>
  <c r="F206" i="8"/>
  <c r="K206" i="8" s="1"/>
  <c r="E206" i="8"/>
  <c r="J206" i="8" s="1"/>
  <c r="D206" i="8"/>
  <c r="I206" i="8" s="1"/>
  <c r="C206" i="8"/>
  <c r="H206" i="8" s="1"/>
  <c r="B206" i="8"/>
  <c r="F205" i="8"/>
  <c r="K205" i="8" s="1"/>
  <c r="E205" i="8"/>
  <c r="J205" i="8" s="1"/>
  <c r="D205" i="8"/>
  <c r="I205" i="8" s="1"/>
  <c r="C205" i="8"/>
  <c r="H205" i="8" s="1"/>
  <c r="B205" i="8"/>
  <c r="F204" i="8"/>
  <c r="K204" i="8" s="1"/>
  <c r="E204" i="8"/>
  <c r="J204" i="8" s="1"/>
  <c r="D204" i="8"/>
  <c r="I204" i="8" s="1"/>
  <c r="C204" i="8"/>
  <c r="H204" i="8" s="1"/>
  <c r="B204" i="8"/>
  <c r="F203" i="8"/>
  <c r="K203" i="8" s="1"/>
  <c r="E203" i="8"/>
  <c r="J203" i="8" s="1"/>
  <c r="D203" i="8"/>
  <c r="I203" i="8" s="1"/>
  <c r="C203" i="8"/>
  <c r="H203" i="8" s="1"/>
  <c r="B203" i="8"/>
  <c r="F202" i="8"/>
  <c r="K202" i="8" s="1"/>
  <c r="E202" i="8"/>
  <c r="J202" i="8" s="1"/>
  <c r="D202" i="8"/>
  <c r="I202" i="8" s="1"/>
  <c r="C202" i="8"/>
  <c r="H202" i="8" s="1"/>
  <c r="B202" i="8"/>
  <c r="F201" i="8"/>
  <c r="K201" i="8" s="1"/>
  <c r="E201" i="8"/>
  <c r="J201" i="8" s="1"/>
  <c r="D201" i="8"/>
  <c r="I201" i="8" s="1"/>
  <c r="C201" i="8"/>
  <c r="H201" i="8" s="1"/>
  <c r="B201" i="8"/>
  <c r="F200" i="8"/>
  <c r="K200" i="8" s="1"/>
  <c r="E200" i="8"/>
  <c r="J200" i="8" s="1"/>
  <c r="D200" i="8"/>
  <c r="I200" i="8" s="1"/>
  <c r="C200" i="8"/>
  <c r="H200" i="8" s="1"/>
  <c r="B200" i="8"/>
  <c r="F199" i="8"/>
  <c r="K199" i="8" s="1"/>
  <c r="E199" i="8"/>
  <c r="J199" i="8" s="1"/>
  <c r="D199" i="8"/>
  <c r="I199" i="8" s="1"/>
  <c r="C199" i="8"/>
  <c r="H199" i="8" s="1"/>
  <c r="B199" i="8"/>
  <c r="F198" i="8"/>
  <c r="K198" i="8" s="1"/>
  <c r="E198" i="8"/>
  <c r="J198" i="8" s="1"/>
  <c r="D198" i="8"/>
  <c r="I198" i="8" s="1"/>
  <c r="C198" i="8"/>
  <c r="H198" i="8" s="1"/>
  <c r="B198" i="8"/>
  <c r="F197" i="8"/>
  <c r="K197" i="8" s="1"/>
  <c r="E197" i="8"/>
  <c r="J197" i="8" s="1"/>
  <c r="D197" i="8"/>
  <c r="I197" i="8" s="1"/>
  <c r="C197" i="8"/>
  <c r="H197" i="8" s="1"/>
  <c r="B197" i="8"/>
  <c r="F196" i="8"/>
  <c r="K196" i="8" s="1"/>
  <c r="E196" i="8"/>
  <c r="J196" i="8" s="1"/>
  <c r="D196" i="8"/>
  <c r="I196" i="8" s="1"/>
  <c r="C196" i="8"/>
  <c r="H196" i="8" s="1"/>
  <c r="B196" i="8"/>
  <c r="F195" i="8"/>
  <c r="K195" i="8" s="1"/>
  <c r="E195" i="8"/>
  <c r="J195" i="8" s="1"/>
  <c r="D195" i="8"/>
  <c r="I195" i="8" s="1"/>
  <c r="C195" i="8"/>
  <c r="H195" i="8" s="1"/>
  <c r="B195" i="8"/>
  <c r="F194" i="8"/>
  <c r="K194" i="8" s="1"/>
  <c r="E194" i="8"/>
  <c r="J194" i="8" s="1"/>
  <c r="D194" i="8"/>
  <c r="I194" i="8" s="1"/>
  <c r="C194" i="8"/>
  <c r="H194" i="8" s="1"/>
  <c r="B194" i="8"/>
  <c r="F193" i="8"/>
  <c r="K193" i="8" s="1"/>
  <c r="E193" i="8"/>
  <c r="J193" i="8" s="1"/>
  <c r="D193" i="8"/>
  <c r="I193" i="8" s="1"/>
  <c r="C193" i="8"/>
  <c r="H193" i="8" s="1"/>
  <c r="B193" i="8"/>
  <c r="F192" i="8"/>
  <c r="K192" i="8" s="1"/>
  <c r="E192" i="8"/>
  <c r="J192" i="8" s="1"/>
  <c r="D192" i="8"/>
  <c r="I192" i="8" s="1"/>
  <c r="C192" i="8"/>
  <c r="H192" i="8" s="1"/>
  <c r="B192" i="8"/>
  <c r="F191" i="8"/>
  <c r="K191" i="8" s="1"/>
  <c r="E191" i="8"/>
  <c r="J191" i="8" s="1"/>
  <c r="D191" i="8"/>
  <c r="I191" i="8" s="1"/>
  <c r="C191" i="8"/>
  <c r="H191" i="8" s="1"/>
  <c r="B191" i="8"/>
  <c r="F190" i="8"/>
  <c r="K190" i="8" s="1"/>
  <c r="E190" i="8"/>
  <c r="J190" i="8" s="1"/>
  <c r="D190" i="8"/>
  <c r="I190" i="8" s="1"/>
  <c r="C190" i="8"/>
  <c r="H190" i="8" s="1"/>
  <c r="B190" i="8"/>
  <c r="F189" i="8"/>
  <c r="K189" i="8" s="1"/>
  <c r="E189" i="8"/>
  <c r="J189" i="8" s="1"/>
  <c r="D189" i="8"/>
  <c r="I189" i="8" s="1"/>
  <c r="C189" i="8"/>
  <c r="H189" i="8" s="1"/>
  <c r="B189" i="8"/>
  <c r="F188" i="8"/>
  <c r="K188" i="8" s="1"/>
  <c r="E188" i="8"/>
  <c r="J188" i="8" s="1"/>
  <c r="D188" i="8"/>
  <c r="I188" i="8" s="1"/>
  <c r="C188" i="8"/>
  <c r="H188" i="8" s="1"/>
  <c r="B188" i="8"/>
  <c r="F187" i="8"/>
  <c r="K187" i="8" s="1"/>
  <c r="E187" i="8"/>
  <c r="J187" i="8" s="1"/>
  <c r="D187" i="8"/>
  <c r="I187" i="8" s="1"/>
  <c r="C187" i="8"/>
  <c r="H187" i="8" s="1"/>
  <c r="B187" i="8"/>
  <c r="F186" i="8"/>
  <c r="K186" i="8" s="1"/>
  <c r="E186" i="8"/>
  <c r="J186" i="8" s="1"/>
  <c r="D186" i="8"/>
  <c r="I186" i="8" s="1"/>
  <c r="C186" i="8"/>
  <c r="H186" i="8" s="1"/>
  <c r="B186" i="8"/>
  <c r="F185" i="8"/>
  <c r="K185" i="8" s="1"/>
  <c r="E185" i="8"/>
  <c r="J185" i="8" s="1"/>
  <c r="D185" i="8"/>
  <c r="I185" i="8" s="1"/>
  <c r="C185" i="8"/>
  <c r="H185" i="8" s="1"/>
  <c r="B185" i="8"/>
  <c r="F184" i="8"/>
  <c r="K184" i="8" s="1"/>
  <c r="E184" i="8"/>
  <c r="J184" i="8" s="1"/>
  <c r="D184" i="8"/>
  <c r="I184" i="8" s="1"/>
  <c r="C184" i="8"/>
  <c r="H184" i="8" s="1"/>
  <c r="B184" i="8"/>
  <c r="F183" i="8"/>
  <c r="K183" i="8" s="1"/>
  <c r="E183" i="8"/>
  <c r="J183" i="8" s="1"/>
  <c r="D183" i="8"/>
  <c r="I183" i="8" s="1"/>
  <c r="C183" i="8"/>
  <c r="H183" i="8" s="1"/>
  <c r="B183" i="8"/>
  <c r="F182" i="8"/>
  <c r="K182" i="8" s="1"/>
  <c r="E182" i="8"/>
  <c r="J182" i="8" s="1"/>
  <c r="D182" i="8"/>
  <c r="I182" i="8" s="1"/>
  <c r="C182" i="8"/>
  <c r="H182" i="8" s="1"/>
  <c r="B182" i="8"/>
  <c r="F181" i="8"/>
  <c r="K181" i="8" s="1"/>
  <c r="E181" i="8"/>
  <c r="J181" i="8" s="1"/>
  <c r="D181" i="8"/>
  <c r="I181" i="8" s="1"/>
  <c r="C181" i="8"/>
  <c r="H181" i="8" s="1"/>
  <c r="B181" i="8"/>
  <c r="F180" i="8"/>
  <c r="K180" i="8" s="1"/>
  <c r="E180" i="8"/>
  <c r="J180" i="8" s="1"/>
  <c r="D180" i="8"/>
  <c r="I180" i="8" s="1"/>
  <c r="C180" i="8"/>
  <c r="H180" i="8" s="1"/>
  <c r="B180" i="8"/>
  <c r="F179" i="8"/>
  <c r="E179" i="8"/>
  <c r="J179" i="8" s="1"/>
  <c r="D179" i="8"/>
  <c r="I179" i="8" s="1"/>
  <c r="C179" i="8"/>
  <c r="H179" i="8" s="1"/>
  <c r="B179" i="8"/>
  <c r="F178" i="8"/>
  <c r="K178" i="8" s="1"/>
  <c r="E178" i="8"/>
  <c r="J178" i="8" s="1"/>
  <c r="D178" i="8"/>
  <c r="I178" i="8" s="1"/>
  <c r="C178" i="8"/>
  <c r="H178" i="8" s="1"/>
  <c r="B178" i="8"/>
  <c r="F177" i="8"/>
  <c r="K177" i="8" s="1"/>
  <c r="E177" i="8"/>
  <c r="J177" i="8" s="1"/>
  <c r="D177" i="8"/>
  <c r="I177" i="8" s="1"/>
  <c r="C177" i="8"/>
  <c r="H177" i="8" s="1"/>
  <c r="B177" i="8"/>
  <c r="F176" i="8"/>
  <c r="K176" i="8" s="1"/>
  <c r="E176" i="8"/>
  <c r="J176" i="8" s="1"/>
  <c r="D176" i="8"/>
  <c r="I176" i="8" s="1"/>
  <c r="C176" i="8"/>
  <c r="H176" i="8" s="1"/>
  <c r="B176" i="8"/>
  <c r="F175" i="8"/>
  <c r="K175" i="8" s="1"/>
  <c r="E175" i="8"/>
  <c r="J175" i="8" s="1"/>
  <c r="D175" i="8"/>
  <c r="I175" i="8" s="1"/>
  <c r="C175" i="8"/>
  <c r="H175" i="8" s="1"/>
  <c r="B175" i="8"/>
  <c r="F174" i="8"/>
  <c r="K174" i="8" s="1"/>
  <c r="E174" i="8"/>
  <c r="J174" i="8" s="1"/>
  <c r="D174" i="8"/>
  <c r="I174" i="8" s="1"/>
  <c r="C174" i="8"/>
  <c r="H174" i="8" s="1"/>
  <c r="B174" i="8"/>
  <c r="F173" i="8"/>
  <c r="K173" i="8" s="1"/>
  <c r="E173" i="8"/>
  <c r="J173" i="8" s="1"/>
  <c r="D173" i="8"/>
  <c r="I173" i="8" s="1"/>
  <c r="C173" i="8"/>
  <c r="H173" i="8" s="1"/>
  <c r="B173" i="8"/>
  <c r="F172" i="8"/>
  <c r="K172" i="8" s="1"/>
  <c r="E172" i="8"/>
  <c r="J172" i="8" s="1"/>
  <c r="D172" i="8"/>
  <c r="I172" i="8" s="1"/>
  <c r="C172" i="8"/>
  <c r="H172" i="8" s="1"/>
  <c r="B172" i="8"/>
  <c r="F171" i="8"/>
  <c r="K171" i="8" s="1"/>
  <c r="E171" i="8"/>
  <c r="J171" i="8" s="1"/>
  <c r="D171" i="8"/>
  <c r="I171" i="8" s="1"/>
  <c r="C171" i="8"/>
  <c r="H171" i="8" s="1"/>
  <c r="B171" i="8"/>
  <c r="F170" i="8"/>
  <c r="K170" i="8" s="1"/>
  <c r="E170" i="8"/>
  <c r="J170" i="8" s="1"/>
  <c r="D170" i="8"/>
  <c r="I170" i="8" s="1"/>
  <c r="C170" i="8"/>
  <c r="H170" i="8" s="1"/>
  <c r="B170" i="8"/>
  <c r="F169" i="8"/>
  <c r="K169" i="8" s="1"/>
  <c r="E169" i="8"/>
  <c r="J169" i="8" s="1"/>
  <c r="D169" i="8"/>
  <c r="I169" i="8" s="1"/>
  <c r="C169" i="8"/>
  <c r="H169" i="8" s="1"/>
  <c r="B169" i="8"/>
  <c r="F168" i="8"/>
  <c r="K168" i="8" s="1"/>
  <c r="E168" i="8"/>
  <c r="J168" i="8" s="1"/>
  <c r="D168" i="8"/>
  <c r="I168" i="8" s="1"/>
  <c r="C168" i="8"/>
  <c r="H168" i="8" s="1"/>
  <c r="B168" i="8"/>
  <c r="F167" i="8"/>
  <c r="K167" i="8" s="1"/>
  <c r="E167" i="8"/>
  <c r="J167" i="8" s="1"/>
  <c r="D167" i="8"/>
  <c r="I167" i="8" s="1"/>
  <c r="C167" i="8"/>
  <c r="H167" i="8" s="1"/>
  <c r="B167" i="8"/>
  <c r="F166" i="8"/>
  <c r="K166" i="8" s="1"/>
  <c r="E166" i="8"/>
  <c r="J166" i="8" s="1"/>
  <c r="D166" i="8"/>
  <c r="I166" i="8" s="1"/>
  <c r="C166" i="8"/>
  <c r="H166" i="8" s="1"/>
  <c r="B166" i="8"/>
  <c r="F165" i="8"/>
  <c r="K165" i="8" s="1"/>
  <c r="E165" i="8"/>
  <c r="J165" i="8" s="1"/>
  <c r="D165" i="8"/>
  <c r="I165" i="8" s="1"/>
  <c r="C165" i="8"/>
  <c r="H165" i="8" s="1"/>
  <c r="B165" i="8"/>
  <c r="F164" i="8"/>
  <c r="K164" i="8" s="1"/>
  <c r="E164" i="8"/>
  <c r="J164" i="8" s="1"/>
  <c r="D164" i="8"/>
  <c r="I164" i="8" s="1"/>
  <c r="C164" i="8"/>
  <c r="H164" i="8" s="1"/>
  <c r="B164" i="8"/>
  <c r="F163" i="8"/>
  <c r="K163" i="8" s="1"/>
  <c r="E163" i="8"/>
  <c r="J163" i="8" s="1"/>
  <c r="D163" i="8"/>
  <c r="I163" i="8" s="1"/>
  <c r="C163" i="8"/>
  <c r="H163" i="8" s="1"/>
  <c r="B163" i="8"/>
  <c r="F162" i="8"/>
  <c r="K162" i="8" s="1"/>
  <c r="E162" i="8"/>
  <c r="J162" i="8" s="1"/>
  <c r="D162" i="8"/>
  <c r="I162" i="8" s="1"/>
  <c r="C162" i="8"/>
  <c r="H162" i="8" s="1"/>
  <c r="B162" i="8"/>
  <c r="F161" i="8"/>
  <c r="K161" i="8" s="1"/>
  <c r="E161" i="8"/>
  <c r="J161" i="8" s="1"/>
  <c r="D161" i="8"/>
  <c r="I161" i="8" s="1"/>
  <c r="C161" i="8"/>
  <c r="H161" i="8" s="1"/>
  <c r="B161" i="8"/>
  <c r="F160" i="8"/>
  <c r="K160" i="8" s="1"/>
  <c r="E160" i="8"/>
  <c r="J160" i="8" s="1"/>
  <c r="D160" i="8"/>
  <c r="I160" i="8" s="1"/>
  <c r="C160" i="8"/>
  <c r="H160" i="8" s="1"/>
  <c r="B160" i="8"/>
  <c r="F159" i="8"/>
  <c r="K159" i="8" s="1"/>
  <c r="E159" i="8"/>
  <c r="J159" i="8" s="1"/>
  <c r="D159" i="8"/>
  <c r="I159" i="8" s="1"/>
  <c r="C159" i="8"/>
  <c r="H159" i="8" s="1"/>
  <c r="B159" i="8"/>
  <c r="F158" i="8"/>
  <c r="K158" i="8" s="1"/>
  <c r="E158" i="8"/>
  <c r="J158" i="8" s="1"/>
  <c r="D158" i="8"/>
  <c r="I158" i="8" s="1"/>
  <c r="C158" i="8"/>
  <c r="H158" i="8" s="1"/>
  <c r="B158" i="8"/>
  <c r="F157" i="8"/>
  <c r="K157" i="8" s="1"/>
  <c r="E157" i="8"/>
  <c r="J157" i="8" s="1"/>
  <c r="D157" i="8"/>
  <c r="I157" i="8" s="1"/>
  <c r="C157" i="8"/>
  <c r="H157" i="8" s="1"/>
  <c r="B157" i="8"/>
  <c r="F156" i="8"/>
  <c r="K156" i="8" s="1"/>
  <c r="E156" i="8"/>
  <c r="J156" i="8" s="1"/>
  <c r="D156" i="8"/>
  <c r="I156" i="8" s="1"/>
  <c r="C156" i="8"/>
  <c r="H156" i="8" s="1"/>
  <c r="B156" i="8"/>
  <c r="F155" i="8"/>
  <c r="K155" i="8" s="1"/>
  <c r="E155" i="8"/>
  <c r="J155" i="8" s="1"/>
  <c r="D155" i="8"/>
  <c r="I155" i="8" s="1"/>
  <c r="C155" i="8"/>
  <c r="H155" i="8" s="1"/>
  <c r="B155" i="8"/>
  <c r="F154" i="8"/>
  <c r="K154" i="8" s="1"/>
  <c r="E154" i="8"/>
  <c r="J154" i="8" s="1"/>
  <c r="D154" i="8"/>
  <c r="I154" i="8" s="1"/>
  <c r="C154" i="8"/>
  <c r="H154" i="8" s="1"/>
  <c r="B154" i="8"/>
  <c r="F153" i="8"/>
  <c r="K153" i="8" s="1"/>
  <c r="E153" i="8"/>
  <c r="J153" i="8" s="1"/>
  <c r="D153" i="8"/>
  <c r="I153" i="8" s="1"/>
  <c r="C153" i="8"/>
  <c r="H153" i="8" s="1"/>
  <c r="B153" i="8"/>
  <c r="F152" i="8"/>
  <c r="K152" i="8" s="1"/>
  <c r="E152" i="8"/>
  <c r="J152" i="8" s="1"/>
  <c r="D152" i="8"/>
  <c r="I152" i="8" s="1"/>
  <c r="C152" i="8"/>
  <c r="H152" i="8" s="1"/>
  <c r="B152" i="8"/>
  <c r="F151" i="8"/>
  <c r="K151" i="8" s="1"/>
  <c r="E151" i="8"/>
  <c r="J151" i="8" s="1"/>
  <c r="D151" i="8"/>
  <c r="I151" i="8" s="1"/>
  <c r="C151" i="8"/>
  <c r="H151" i="8" s="1"/>
  <c r="B151" i="8"/>
  <c r="F150" i="8"/>
  <c r="K150" i="8" s="1"/>
  <c r="E150" i="8"/>
  <c r="J150" i="8" s="1"/>
  <c r="D150" i="8"/>
  <c r="I150" i="8" s="1"/>
  <c r="C150" i="8"/>
  <c r="H150" i="8" s="1"/>
  <c r="B150" i="8"/>
  <c r="F149" i="8"/>
  <c r="K149" i="8" s="1"/>
  <c r="E149" i="8"/>
  <c r="J149" i="8" s="1"/>
  <c r="D149" i="8"/>
  <c r="I149" i="8" s="1"/>
  <c r="C149" i="8"/>
  <c r="H149" i="8" s="1"/>
  <c r="B149" i="8"/>
  <c r="F148" i="8"/>
  <c r="K148" i="8" s="1"/>
  <c r="E148" i="8"/>
  <c r="J148" i="8" s="1"/>
  <c r="D148" i="8"/>
  <c r="I148" i="8" s="1"/>
  <c r="C148" i="8"/>
  <c r="H148" i="8" s="1"/>
  <c r="B148" i="8"/>
  <c r="F147" i="8"/>
  <c r="K147" i="8" s="1"/>
  <c r="E147" i="8"/>
  <c r="J147" i="8" s="1"/>
  <c r="D147" i="8"/>
  <c r="I147" i="8" s="1"/>
  <c r="C147" i="8"/>
  <c r="H147" i="8" s="1"/>
  <c r="B147" i="8"/>
  <c r="F146" i="8"/>
  <c r="K146" i="8" s="1"/>
  <c r="E146" i="8"/>
  <c r="J146" i="8" s="1"/>
  <c r="D146" i="8"/>
  <c r="I146" i="8" s="1"/>
  <c r="C146" i="8"/>
  <c r="H146" i="8" s="1"/>
  <c r="B146" i="8"/>
  <c r="F145" i="8"/>
  <c r="K145" i="8" s="1"/>
  <c r="E145" i="8"/>
  <c r="J145" i="8" s="1"/>
  <c r="D145" i="8"/>
  <c r="I145" i="8" s="1"/>
  <c r="C145" i="8"/>
  <c r="H145" i="8" s="1"/>
  <c r="B145" i="8"/>
  <c r="F144" i="8"/>
  <c r="K144" i="8" s="1"/>
  <c r="E144" i="8"/>
  <c r="J144" i="8" s="1"/>
  <c r="D144" i="8"/>
  <c r="I144" i="8" s="1"/>
  <c r="C144" i="8"/>
  <c r="H144" i="8" s="1"/>
  <c r="B144" i="8"/>
  <c r="F143" i="8"/>
  <c r="K143" i="8" s="1"/>
  <c r="E143" i="8"/>
  <c r="J143" i="8" s="1"/>
  <c r="D143" i="8"/>
  <c r="I143" i="8" s="1"/>
  <c r="C143" i="8"/>
  <c r="H143" i="8" s="1"/>
  <c r="B143" i="8"/>
  <c r="F142" i="8"/>
  <c r="K142" i="8" s="1"/>
  <c r="E142" i="8"/>
  <c r="J142" i="8" s="1"/>
  <c r="D142" i="8"/>
  <c r="I142" i="8" s="1"/>
  <c r="C142" i="8"/>
  <c r="H142" i="8" s="1"/>
  <c r="B142" i="8"/>
  <c r="F141" i="8"/>
  <c r="K141" i="8" s="1"/>
  <c r="E141" i="8"/>
  <c r="J141" i="8" s="1"/>
  <c r="D141" i="8"/>
  <c r="I141" i="8" s="1"/>
  <c r="C141" i="8"/>
  <c r="H141" i="8" s="1"/>
  <c r="B141" i="8"/>
  <c r="F140" i="8"/>
  <c r="K140" i="8" s="1"/>
  <c r="E140" i="8"/>
  <c r="J140" i="8" s="1"/>
  <c r="D140" i="8"/>
  <c r="I140" i="8" s="1"/>
  <c r="C140" i="8"/>
  <c r="H140" i="8" s="1"/>
  <c r="B140" i="8"/>
  <c r="F139" i="8"/>
  <c r="K139" i="8" s="1"/>
  <c r="E139" i="8"/>
  <c r="J139" i="8" s="1"/>
  <c r="D139" i="8"/>
  <c r="I139" i="8" s="1"/>
  <c r="C139" i="8"/>
  <c r="H139" i="8" s="1"/>
  <c r="B139" i="8"/>
  <c r="F138" i="8"/>
  <c r="K138" i="8" s="1"/>
  <c r="E138" i="8"/>
  <c r="J138" i="8" s="1"/>
  <c r="D138" i="8"/>
  <c r="I138" i="8" s="1"/>
  <c r="C138" i="8"/>
  <c r="H138" i="8" s="1"/>
  <c r="B138" i="8"/>
  <c r="F137" i="8"/>
  <c r="K137" i="8" s="1"/>
  <c r="E137" i="8"/>
  <c r="J137" i="8" s="1"/>
  <c r="D137" i="8"/>
  <c r="I137" i="8" s="1"/>
  <c r="C137" i="8"/>
  <c r="H137" i="8" s="1"/>
  <c r="B137" i="8"/>
  <c r="F136" i="8"/>
  <c r="K136" i="8" s="1"/>
  <c r="E136" i="8"/>
  <c r="J136" i="8" s="1"/>
  <c r="D136" i="8"/>
  <c r="I136" i="8" s="1"/>
  <c r="C136" i="8"/>
  <c r="H136" i="8" s="1"/>
  <c r="B136" i="8"/>
  <c r="F135" i="8"/>
  <c r="K135" i="8" s="1"/>
  <c r="E135" i="8"/>
  <c r="J135" i="8" s="1"/>
  <c r="D135" i="8"/>
  <c r="I135" i="8" s="1"/>
  <c r="C135" i="8"/>
  <c r="H135" i="8" s="1"/>
  <c r="B135" i="8"/>
  <c r="F134" i="8"/>
  <c r="K134" i="8" s="1"/>
  <c r="E134" i="8"/>
  <c r="J134" i="8" s="1"/>
  <c r="D134" i="8"/>
  <c r="I134" i="8" s="1"/>
  <c r="C134" i="8"/>
  <c r="H134" i="8" s="1"/>
  <c r="B134" i="8"/>
  <c r="F133" i="8"/>
  <c r="K133" i="8" s="1"/>
  <c r="E133" i="8"/>
  <c r="J133" i="8" s="1"/>
  <c r="D133" i="8"/>
  <c r="I133" i="8" s="1"/>
  <c r="C133" i="8"/>
  <c r="H133" i="8" s="1"/>
  <c r="B133" i="8"/>
  <c r="F132" i="8"/>
  <c r="K132" i="8" s="1"/>
  <c r="E132" i="8"/>
  <c r="J132" i="8" s="1"/>
  <c r="D132" i="8"/>
  <c r="I132" i="8" s="1"/>
  <c r="C132" i="8"/>
  <c r="H132" i="8" s="1"/>
  <c r="B132" i="8"/>
  <c r="F131" i="8"/>
  <c r="K131" i="8" s="1"/>
  <c r="E131" i="8"/>
  <c r="J131" i="8" s="1"/>
  <c r="D131" i="8"/>
  <c r="I131" i="8" s="1"/>
  <c r="C131" i="8"/>
  <c r="H131" i="8" s="1"/>
  <c r="B131" i="8"/>
  <c r="F130" i="8"/>
  <c r="K130" i="8" s="1"/>
  <c r="E130" i="8"/>
  <c r="J130" i="8" s="1"/>
  <c r="D130" i="8"/>
  <c r="I130" i="8" s="1"/>
  <c r="C130" i="8"/>
  <c r="H130" i="8" s="1"/>
  <c r="B130" i="8"/>
  <c r="F129" i="8"/>
  <c r="K129" i="8" s="1"/>
  <c r="E129" i="8"/>
  <c r="J129" i="8" s="1"/>
  <c r="D129" i="8"/>
  <c r="I129" i="8" s="1"/>
  <c r="C129" i="8"/>
  <c r="H129" i="8" s="1"/>
  <c r="B129" i="8"/>
  <c r="F128" i="8"/>
  <c r="K128" i="8" s="1"/>
  <c r="E128" i="8"/>
  <c r="J128" i="8" s="1"/>
  <c r="D128" i="8"/>
  <c r="C128" i="8"/>
  <c r="H128" i="8" s="1"/>
  <c r="B128" i="8"/>
  <c r="F127" i="8"/>
  <c r="K127" i="8" s="1"/>
  <c r="E127" i="8"/>
  <c r="J127" i="8" s="1"/>
  <c r="D127" i="8"/>
  <c r="I127" i="8" s="1"/>
  <c r="C127" i="8"/>
  <c r="H127" i="8" s="1"/>
  <c r="B127" i="8"/>
  <c r="F126" i="8"/>
  <c r="K126" i="8" s="1"/>
  <c r="E126" i="8"/>
  <c r="J126" i="8" s="1"/>
  <c r="D126" i="8"/>
  <c r="I126" i="8" s="1"/>
  <c r="C126" i="8"/>
  <c r="H126" i="8" s="1"/>
  <c r="B126" i="8"/>
  <c r="F125" i="8"/>
  <c r="K125" i="8" s="1"/>
  <c r="E125" i="8"/>
  <c r="J125" i="8" s="1"/>
  <c r="D125" i="8"/>
  <c r="I125" i="8" s="1"/>
  <c r="C125" i="8"/>
  <c r="H125" i="8" s="1"/>
  <c r="B125" i="8"/>
  <c r="F124" i="8"/>
  <c r="K124" i="8" s="1"/>
  <c r="E124" i="8"/>
  <c r="J124" i="8" s="1"/>
  <c r="D124" i="8"/>
  <c r="I124" i="8" s="1"/>
  <c r="C124" i="8"/>
  <c r="H124" i="8" s="1"/>
  <c r="B124" i="8"/>
  <c r="F123" i="8"/>
  <c r="K123" i="8" s="1"/>
  <c r="E123" i="8"/>
  <c r="J123" i="8" s="1"/>
  <c r="D123" i="8"/>
  <c r="I123" i="8" s="1"/>
  <c r="C123" i="8"/>
  <c r="H123" i="8" s="1"/>
  <c r="B123" i="8"/>
  <c r="F122" i="8"/>
  <c r="K122" i="8" s="1"/>
  <c r="E122" i="8"/>
  <c r="J122" i="8" s="1"/>
  <c r="D122" i="8"/>
  <c r="I122" i="8" s="1"/>
  <c r="C122" i="8"/>
  <c r="H122" i="8" s="1"/>
  <c r="B122" i="8"/>
  <c r="F121" i="8"/>
  <c r="K121" i="8" s="1"/>
  <c r="E121" i="8"/>
  <c r="J121" i="8" s="1"/>
  <c r="D121" i="8"/>
  <c r="I121" i="8" s="1"/>
  <c r="C121" i="8"/>
  <c r="H121" i="8" s="1"/>
  <c r="B121" i="8"/>
  <c r="F120" i="8"/>
  <c r="K120" i="8" s="1"/>
  <c r="E120" i="8"/>
  <c r="J120" i="8" s="1"/>
  <c r="D120" i="8"/>
  <c r="I120" i="8" s="1"/>
  <c r="C120" i="8"/>
  <c r="H120" i="8" s="1"/>
  <c r="B120" i="8"/>
  <c r="F119" i="8"/>
  <c r="K119" i="8" s="1"/>
  <c r="E119" i="8"/>
  <c r="J119" i="8" s="1"/>
  <c r="D119" i="8"/>
  <c r="I119" i="8" s="1"/>
  <c r="C119" i="8"/>
  <c r="H119" i="8" s="1"/>
  <c r="B119" i="8"/>
  <c r="F118" i="8"/>
  <c r="K118" i="8" s="1"/>
  <c r="E118" i="8"/>
  <c r="J118" i="8" s="1"/>
  <c r="D118" i="8"/>
  <c r="I118" i="8" s="1"/>
  <c r="C118" i="8"/>
  <c r="H118" i="8" s="1"/>
  <c r="B118" i="8"/>
  <c r="F117" i="8"/>
  <c r="K117" i="8" s="1"/>
  <c r="E117" i="8"/>
  <c r="J117" i="8" s="1"/>
  <c r="D117" i="8"/>
  <c r="I117" i="8" s="1"/>
  <c r="C117" i="8"/>
  <c r="H117" i="8" s="1"/>
  <c r="B117" i="8"/>
  <c r="F116" i="8"/>
  <c r="K116" i="8" s="1"/>
  <c r="E116" i="8"/>
  <c r="J116" i="8" s="1"/>
  <c r="D116" i="8"/>
  <c r="I116" i="8" s="1"/>
  <c r="C116" i="8"/>
  <c r="H116" i="8" s="1"/>
  <c r="B116" i="8"/>
  <c r="F115" i="8"/>
  <c r="E115" i="8"/>
  <c r="D115" i="8"/>
  <c r="C115" i="8"/>
  <c r="H115" i="8" s="1"/>
  <c r="B115" i="8"/>
  <c r="F114" i="8"/>
  <c r="K114" i="8" s="1"/>
  <c r="E114" i="8"/>
  <c r="J114" i="8" s="1"/>
  <c r="D114" i="8"/>
  <c r="I114" i="8" s="1"/>
  <c r="C114" i="8"/>
  <c r="H114" i="8" s="1"/>
  <c r="B114" i="8"/>
  <c r="F113" i="8"/>
  <c r="K113" i="8" s="1"/>
  <c r="E113" i="8"/>
  <c r="J113" i="8" s="1"/>
  <c r="D113" i="8"/>
  <c r="I113" i="8" s="1"/>
  <c r="C113" i="8"/>
  <c r="H113" i="8" s="1"/>
  <c r="B113" i="8"/>
  <c r="F112" i="8"/>
  <c r="K112" i="8" s="1"/>
  <c r="E112" i="8"/>
  <c r="J112" i="8" s="1"/>
  <c r="D112" i="8"/>
  <c r="I112" i="8" s="1"/>
  <c r="C112" i="8"/>
  <c r="H112" i="8" s="1"/>
  <c r="B112" i="8"/>
  <c r="F111" i="8"/>
  <c r="K111" i="8" s="1"/>
  <c r="E111" i="8"/>
  <c r="J111" i="8" s="1"/>
  <c r="D111" i="8"/>
  <c r="I111" i="8" s="1"/>
  <c r="C111" i="8"/>
  <c r="H111" i="8" s="1"/>
  <c r="B111" i="8"/>
  <c r="F110" i="8"/>
  <c r="K110" i="8" s="1"/>
  <c r="E110" i="8"/>
  <c r="J110" i="8" s="1"/>
  <c r="D110" i="8"/>
  <c r="I110" i="8" s="1"/>
  <c r="C110" i="8"/>
  <c r="H110" i="8" s="1"/>
  <c r="B110" i="8"/>
  <c r="F109" i="8"/>
  <c r="K109" i="8" s="1"/>
  <c r="E109" i="8"/>
  <c r="J109" i="8" s="1"/>
  <c r="D109" i="8"/>
  <c r="I109" i="8" s="1"/>
  <c r="C109" i="8"/>
  <c r="H109" i="8" s="1"/>
  <c r="B109" i="8"/>
  <c r="F108" i="8"/>
  <c r="K108" i="8" s="1"/>
  <c r="E108" i="8"/>
  <c r="J108" i="8" s="1"/>
  <c r="D108" i="8"/>
  <c r="I108" i="8" s="1"/>
  <c r="C108" i="8"/>
  <c r="H108" i="8" s="1"/>
  <c r="B108" i="8"/>
  <c r="F107" i="8"/>
  <c r="K107" i="8" s="1"/>
  <c r="E107" i="8"/>
  <c r="J107" i="8" s="1"/>
  <c r="D107" i="8"/>
  <c r="I107" i="8" s="1"/>
  <c r="C107" i="8"/>
  <c r="H107" i="8" s="1"/>
  <c r="B107" i="8"/>
  <c r="F106" i="8"/>
  <c r="K106" i="8" s="1"/>
  <c r="E106" i="8"/>
  <c r="J106" i="8" s="1"/>
  <c r="D106" i="8"/>
  <c r="I106" i="8" s="1"/>
  <c r="C106" i="8"/>
  <c r="H106" i="8" s="1"/>
  <c r="B106" i="8"/>
  <c r="F105" i="8"/>
  <c r="K105" i="8" s="1"/>
  <c r="E105" i="8"/>
  <c r="J105" i="8" s="1"/>
  <c r="D105" i="8"/>
  <c r="I105" i="8" s="1"/>
  <c r="C105" i="8"/>
  <c r="H105" i="8" s="1"/>
  <c r="B105" i="8"/>
  <c r="F104" i="8"/>
  <c r="K104" i="8" s="1"/>
  <c r="E104" i="8"/>
  <c r="J104" i="8" s="1"/>
  <c r="D104" i="8"/>
  <c r="I104" i="8" s="1"/>
  <c r="C104" i="8"/>
  <c r="H104" i="8" s="1"/>
  <c r="B104" i="8"/>
  <c r="F103" i="8"/>
  <c r="K103" i="8" s="1"/>
  <c r="E103" i="8"/>
  <c r="J103" i="8" s="1"/>
  <c r="D103" i="8"/>
  <c r="I103" i="8" s="1"/>
  <c r="C103" i="8"/>
  <c r="H103" i="8" s="1"/>
  <c r="B103" i="8"/>
  <c r="F102" i="8"/>
  <c r="K102" i="8" s="1"/>
  <c r="E102" i="8"/>
  <c r="J102" i="8" s="1"/>
  <c r="D102" i="8"/>
  <c r="I102" i="8" s="1"/>
  <c r="C102" i="8"/>
  <c r="H102" i="8" s="1"/>
  <c r="B102" i="8"/>
  <c r="F101" i="8"/>
  <c r="K101" i="8" s="1"/>
  <c r="E101" i="8"/>
  <c r="J101" i="8" s="1"/>
  <c r="D101" i="8"/>
  <c r="I101" i="8" s="1"/>
  <c r="C101" i="8"/>
  <c r="H101" i="8" s="1"/>
  <c r="B101" i="8"/>
  <c r="F100" i="8"/>
  <c r="K100" i="8" s="1"/>
  <c r="E100" i="8"/>
  <c r="J100" i="8" s="1"/>
  <c r="D100" i="8"/>
  <c r="I100" i="8" s="1"/>
  <c r="C100" i="8"/>
  <c r="H100" i="8" s="1"/>
  <c r="B100" i="8"/>
  <c r="F99" i="8"/>
  <c r="K99" i="8" s="1"/>
  <c r="E99" i="8"/>
  <c r="J99" i="8" s="1"/>
  <c r="D99" i="8"/>
  <c r="I99" i="8" s="1"/>
  <c r="C99" i="8"/>
  <c r="H99" i="8" s="1"/>
  <c r="B99" i="8"/>
  <c r="F98" i="8"/>
  <c r="K98" i="8" s="1"/>
  <c r="E98" i="8"/>
  <c r="J98" i="8" s="1"/>
  <c r="D98" i="8"/>
  <c r="I98" i="8" s="1"/>
  <c r="C98" i="8"/>
  <c r="H98" i="8" s="1"/>
  <c r="B98" i="8"/>
  <c r="F97" i="8"/>
  <c r="K97" i="8" s="1"/>
  <c r="E97" i="8"/>
  <c r="J97" i="8" s="1"/>
  <c r="D97" i="8"/>
  <c r="I97" i="8" s="1"/>
  <c r="C97" i="8"/>
  <c r="H97" i="8" s="1"/>
  <c r="B97" i="8"/>
  <c r="F96" i="8"/>
  <c r="K96" i="8" s="1"/>
  <c r="E96" i="8"/>
  <c r="J96" i="8" s="1"/>
  <c r="D96" i="8"/>
  <c r="I96" i="8" s="1"/>
  <c r="C96" i="8"/>
  <c r="H96" i="8" s="1"/>
  <c r="B96" i="8"/>
  <c r="F95" i="8"/>
  <c r="K95" i="8" s="1"/>
  <c r="E95" i="8"/>
  <c r="J95" i="8" s="1"/>
  <c r="D95" i="8"/>
  <c r="I95" i="8" s="1"/>
  <c r="C95" i="8"/>
  <c r="H95" i="8" s="1"/>
  <c r="B95" i="8"/>
  <c r="F94" i="8"/>
  <c r="K94" i="8" s="1"/>
  <c r="E94" i="8"/>
  <c r="J94" i="8" s="1"/>
  <c r="D94" i="8"/>
  <c r="I94" i="8" s="1"/>
  <c r="C94" i="8"/>
  <c r="H94" i="8" s="1"/>
  <c r="B94" i="8"/>
  <c r="F93" i="8"/>
  <c r="K93" i="8" s="1"/>
  <c r="E93" i="8"/>
  <c r="J93" i="8" s="1"/>
  <c r="D93" i="8"/>
  <c r="I93" i="8" s="1"/>
  <c r="C93" i="8"/>
  <c r="H93" i="8" s="1"/>
  <c r="B93" i="8"/>
  <c r="F92" i="8"/>
  <c r="K92" i="8" s="1"/>
  <c r="E92" i="8"/>
  <c r="J92" i="8" s="1"/>
  <c r="D92" i="8"/>
  <c r="I92" i="8" s="1"/>
  <c r="C92" i="8"/>
  <c r="H92" i="8" s="1"/>
  <c r="B92" i="8"/>
  <c r="F91" i="8"/>
  <c r="K91" i="8" s="1"/>
  <c r="E91" i="8"/>
  <c r="J91" i="8" s="1"/>
  <c r="D91" i="8"/>
  <c r="I91" i="8" s="1"/>
  <c r="C91" i="8"/>
  <c r="H91" i="8" s="1"/>
  <c r="B91" i="8"/>
  <c r="F90" i="8"/>
  <c r="K90" i="8" s="1"/>
  <c r="E90" i="8"/>
  <c r="J90" i="8" s="1"/>
  <c r="D90" i="8"/>
  <c r="I90" i="8" s="1"/>
  <c r="C90" i="8"/>
  <c r="H90" i="8" s="1"/>
  <c r="B90" i="8"/>
  <c r="F89" i="8"/>
  <c r="K89" i="8" s="1"/>
  <c r="E89" i="8"/>
  <c r="J89" i="8" s="1"/>
  <c r="D89" i="8"/>
  <c r="I89" i="8" s="1"/>
  <c r="C89" i="8"/>
  <c r="H89" i="8" s="1"/>
  <c r="B89" i="8"/>
  <c r="F88" i="8"/>
  <c r="K88" i="8" s="1"/>
  <c r="E88" i="8"/>
  <c r="J88" i="8" s="1"/>
  <c r="D88" i="8"/>
  <c r="I88" i="8" s="1"/>
  <c r="C88" i="8"/>
  <c r="H88" i="8" s="1"/>
  <c r="B88" i="8"/>
  <c r="F87" i="8"/>
  <c r="K87" i="8" s="1"/>
  <c r="E87" i="8"/>
  <c r="J87" i="8" s="1"/>
  <c r="D87" i="8"/>
  <c r="I87" i="8" s="1"/>
  <c r="C87" i="8"/>
  <c r="H87" i="8" s="1"/>
  <c r="B87" i="8"/>
  <c r="F86" i="8"/>
  <c r="K86" i="8" s="1"/>
  <c r="E86" i="8"/>
  <c r="J86" i="8" s="1"/>
  <c r="D86" i="8"/>
  <c r="I86" i="8" s="1"/>
  <c r="C86" i="8"/>
  <c r="H86" i="8" s="1"/>
  <c r="B86" i="8"/>
  <c r="F85" i="8"/>
  <c r="K85" i="8" s="1"/>
  <c r="E85" i="8"/>
  <c r="J85" i="8" s="1"/>
  <c r="D85" i="8"/>
  <c r="I85" i="8" s="1"/>
  <c r="C85" i="8"/>
  <c r="H85" i="8" s="1"/>
  <c r="B85" i="8"/>
  <c r="F84" i="8"/>
  <c r="K84" i="8" s="1"/>
  <c r="E84" i="8"/>
  <c r="J84" i="8" s="1"/>
  <c r="D84" i="8"/>
  <c r="I84" i="8" s="1"/>
  <c r="C84" i="8"/>
  <c r="H84" i="8" s="1"/>
  <c r="B84" i="8"/>
  <c r="F83" i="8"/>
  <c r="K83" i="8" s="1"/>
  <c r="E83" i="8"/>
  <c r="J83" i="8" s="1"/>
  <c r="D83" i="8"/>
  <c r="I83" i="8" s="1"/>
  <c r="C83" i="8"/>
  <c r="H83" i="8" s="1"/>
  <c r="B83" i="8"/>
  <c r="F82" i="8"/>
  <c r="K82" i="8" s="1"/>
  <c r="E82" i="8"/>
  <c r="J82" i="8" s="1"/>
  <c r="D82" i="8"/>
  <c r="I82" i="8" s="1"/>
  <c r="C82" i="8"/>
  <c r="H82" i="8" s="1"/>
  <c r="B82" i="8"/>
  <c r="F81" i="8"/>
  <c r="K81" i="8" s="1"/>
  <c r="E81" i="8"/>
  <c r="J81" i="8" s="1"/>
  <c r="D81" i="8"/>
  <c r="I81" i="8" s="1"/>
  <c r="C81" i="8"/>
  <c r="H81" i="8" s="1"/>
  <c r="B81" i="8"/>
  <c r="F80" i="8"/>
  <c r="K80" i="8" s="1"/>
  <c r="E80" i="8"/>
  <c r="J80" i="8" s="1"/>
  <c r="D80" i="8"/>
  <c r="I80" i="8" s="1"/>
  <c r="C80" i="8"/>
  <c r="H80" i="8" s="1"/>
  <c r="B80" i="8"/>
  <c r="F79" i="8"/>
  <c r="K79" i="8" s="1"/>
  <c r="E79" i="8"/>
  <c r="J79" i="8" s="1"/>
  <c r="D79" i="8"/>
  <c r="I79" i="8" s="1"/>
  <c r="C79" i="8"/>
  <c r="H79" i="8" s="1"/>
  <c r="B79" i="8"/>
  <c r="F78" i="8"/>
  <c r="K78" i="8" s="1"/>
  <c r="E78" i="8"/>
  <c r="J78" i="8" s="1"/>
  <c r="D78" i="8"/>
  <c r="I78" i="8" s="1"/>
  <c r="C78" i="8"/>
  <c r="H78" i="8" s="1"/>
  <c r="B78" i="8"/>
  <c r="F77" i="8"/>
  <c r="K77" i="8" s="1"/>
  <c r="E77" i="8"/>
  <c r="J77" i="8" s="1"/>
  <c r="D77" i="8"/>
  <c r="I77" i="8" s="1"/>
  <c r="C77" i="8"/>
  <c r="H77" i="8" s="1"/>
  <c r="B77" i="8"/>
  <c r="F76" i="8"/>
  <c r="K76" i="8" s="1"/>
  <c r="E76" i="8"/>
  <c r="J76" i="8" s="1"/>
  <c r="D76" i="8"/>
  <c r="I76" i="8" s="1"/>
  <c r="C76" i="8"/>
  <c r="H76" i="8" s="1"/>
  <c r="B76" i="8"/>
  <c r="F75" i="8"/>
  <c r="K75" i="8" s="1"/>
  <c r="E75" i="8"/>
  <c r="J75" i="8" s="1"/>
  <c r="D75" i="8"/>
  <c r="I75" i="8" s="1"/>
  <c r="C75" i="8"/>
  <c r="H75" i="8" s="1"/>
  <c r="B75" i="8"/>
  <c r="F74" i="8"/>
  <c r="K74" i="8" s="1"/>
  <c r="E74" i="8"/>
  <c r="J74" i="8" s="1"/>
  <c r="D74" i="8"/>
  <c r="I74" i="8" s="1"/>
  <c r="C74" i="8"/>
  <c r="H74" i="8" s="1"/>
  <c r="B74" i="8"/>
  <c r="F73" i="8"/>
  <c r="K73" i="8" s="1"/>
  <c r="E73" i="8"/>
  <c r="J73" i="8" s="1"/>
  <c r="D73" i="8"/>
  <c r="I73" i="8" s="1"/>
  <c r="C73" i="8"/>
  <c r="H73" i="8" s="1"/>
  <c r="B73" i="8"/>
  <c r="F72" i="8"/>
  <c r="K72" i="8" s="1"/>
  <c r="E72" i="8"/>
  <c r="J72" i="8" s="1"/>
  <c r="D72" i="8"/>
  <c r="I72" i="8" s="1"/>
  <c r="C72" i="8"/>
  <c r="H72" i="8" s="1"/>
  <c r="B72" i="8"/>
  <c r="F71" i="8"/>
  <c r="K71" i="8" s="1"/>
  <c r="E71" i="8"/>
  <c r="J71" i="8" s="1"/>
  <c r="D71" i="8"/>
  <c r="I71" i="8" s="1"/>
  <c r="C71" i="8"/>
  <c r="H71" i="8" s="1"/>
  <c r="B71" i="8"/>
  <c r="F70" i="8"/>
  <c r="K70" i="8" s="1"/>
  <c r="E70" i="8"/>
  <c r="J70" i="8" s="1"/>
  <c r="D70" i="8"/>
  <c r="I70" i="8" s="1"/>
  <c r="C70" i="8"/>
  <c r="H70" i="8" s="1"/>
  <c r="B70" i="8"/>
  <c r="F69" i="8"/>
  <c r="K69" i="8" s="1"/>
  <c r="E69" i="8"/>
  <c r="J69" i="8" s="1"/>
  <c r="D69" i="8"/>
  <c r="I69" i="8" s="1"/>
  <c r="C69" i="8"/>
  <c r="H69" i="8" s="1"/>
  <c r="B69" i="8"/>
  <c r="F68" i="8"/>
  <c r="K68" i="8" s="1"/>
  <c r="E68" i="8"/>
  <c r="J68" i="8" s="1"/>
  <c r="D68" i="8"/>
  <c r="I68" i="8" s="1"/>
  <c r="C68" i="8"/>
  <c r="H68" i="8" s="1"/>
  <c r="B68" i="8"/>
  <c r="F67" i="8"/>
  <c r="K67" i="8" s="1"/>
  <c r="E67" i="8"/>
  <c r="J67" i="8" s="1"/>
  <c r="D67" i="8"/>
  <c r="I67" i="8" s="1"/>
  <c r="C67" i="8"/>
  <c r="H67" i="8" s="1"/>
  <c r="B67" i="8"/>
  <c r="J66" i="8"/>
  <c r="F66" i="8"/>
  <c r="K66" i="8" s="1"/>
  <c r="E66" i="8"/>
  <c r="D66" i="8"/>
  <c r="I66" i="8" s="1"/>
  <c r="C66" i="8"/>
  <c r="H66" i="8" s="1"/>
  <c r="B66" i="8"/>
  <c r="F65" i="8"/>
  <c r="K65" i="8" s="1"/>
  <c r="E65" i="8"/>
  <c r="J65" i="8" s="1"/>
  <c r="D65" i="8"/>
  <c r="I65" i="8" s="1"/>
  <c r="C65" i="8"/>
  <c r="H65" i="8" s="1"/>
  <c r="B65" i="8"/>
  <c r="F64" i="8"/>
  <c r="K64" i="8" s="1"/>
  <c r="E64" i="8"/>
  <c r="J64" i="8" s="1"/>
  <c r="D64" i="8"/>
  <c r="I64" i="8" s="1"/>
  <c r="C64" i="8"/>
  <c r="H64" i="8" s="1"/>
  <c r="B64" i="8"/>
  <c r="F63" i="8"/>
  <c r="K63" i="8" s="1"/>
  <c r="E63" i="8"/>
  <c r="J63" i="8" s="1"/>
  <c r="D63" i="8"/>
  <c r="I63" i="8" s="1"/>
  <c r="C63" i="8"/>
  <c r="H63" i="8" s="1"/>
  <c r="B63" i="8"/>
  <c r="F62" i="8"/>
  <c r="K62" i="8" s="1"/>
  <c r="E62" i="8"/>
  <c r="J62" i="8" s="1"/>
  <c r="D62" i="8"/>
  <c r="I62" i="8" s="1"/>
  <c r="C62" i="8"/>
  <c r="H62" i="8" s="1"/>
  <c r="B62" i="8"/>
  <c r="F61" i="8"/>
  <c r="K61" i="8" s="1"/>
  <c r="E61" i="8"/>
  <c r="J61" i="8" s="1"/>
  <c r="D61" i="8"/>
  <c r="I61" i="8" s="1"/>
  <c r="C61" i="8"/>
  <c r="H61" i="8" s="1"/>
  <c r="B61" i="8"/>
  <c r="F60" i="8"/>
  <c r="K60" i="8" s="1"/>
  <c r="E60" i="8"/>
  <c r="J60" i="8" s="1"/>
  <c r="D60" i="8"/>
  <c r="I60" i="8" s="1"/>
  <c r="C60" i="8"/>
  <c r="H60" i="8" s="1"/>
  <c r="B60" i="8"/>
  <c r="F59" i="8"/>
  <c r="K59" i="8" s="1"/>
  <c r="E59" i="8"/>
  <c r="J59" i="8" s="1"/>
  <c r="D59" i="8"/>
  <c r="I59" i="8" s="1"/>
  <c r="C59" i="8"/>
  <c r="H59" i="8" s="1"/>
  <c r="B59" i="8"/>
  <c r="F58" i="8"/>
  <c r="K58" i="8" s="1"/>
  <c r="E58" i="8"/>
  <c r="J58" i="8" s="1"/>
  <c r="D58" i="8"/>
  <c r="I58" i="8" s="1"/>
  <c r="C58" i="8"/>
  <c r="H58" i="8" s="1"/>
  <c r="B58" i="8"/>
  <c r="F57" i="8"/>
  <c r="K57" i="8" s="1"/>
  <c r="E57" i="8"/>
  <c r="J57" i="8" s="1"/>
  <c r="D57" i="8"/>
  <c r="I57" i="8" s="1"/>
  <c r="C57" i="8"/>
  <c r="H57" i="8" s="1"/>
  <c r="B57" i="8"/>
  <c r="F56" i="8"/>
  <c r="K56" i="8" s="1"/>
  <c r="E56" i="8"/>
  <c r="J56" i="8" s="1"/>
  <c r="D56" i="8"/>
  <c r="I56" i="8" s="1"/>
  <c r="C56" i="8"/>
  <c r="H56" i="8" s="1"/>
  <c r="B56" i="8"/>
  <c r="F55" i="8"/>
  <c r="K55" i="8" s="1"/>
  <c r="E55" i="8"/>
  <c r="J55" i="8" s="1"/>
  <c r="D55" i="8"/>
  <c r="I55" i="8" s="1"/>
  <c r="C55" i="8"/>
  <c r="H55" i="8" s="1"/>
  <c r="B55" i="8"/>
  <c r="F54" i="8"/>
  <c r="K54" i="8" s="1"/>
  <c r="E54" i="8"/>
  <c r="J54" i="8" s="1"/>
  <c r="D54" i="8"/>
  <c r="I54" i="8" s="1"/>
  <c r="C54" i="8"/>
  <c r="H54" i="8" s="1"/>
  <c r="B54" i="8"/>
  <c r="F53" i="8"/>
  <c r="K53" i="8" s="1"/>
  <c r="E53" i="8"/>
  <c r="J53" i="8" s="1"/>
  <c r="D53" i="8"/>
  <c r="I53" i="8" s="1"/>
  <c r="C53" i="8"/>
  <c r="H53" i="8" s="1"/>
  <c r="B53" i="8"/>
  <c r="F52" i="8"/>
  <c r="K52" i="8" s="1"/>
  <c r="E52" i="8"/>
  <c r="J52" i="8" s="1"/>
  <c r="D52" i="8"/>
  <c r="I52" i="8" s="1"/>
  <c r="C52" i="8"/>
  <c r="H52" i="8" s="1"/>
  <c r="B52" i="8"/>
  <c r="F51" i="8"/>
  <c r="E51" i="8"/>
  <c r="D51" i="8"/>
  <c r="C51" i="8"/>
  <c r="B51" i="8"/>
  <c r="F50" i="8"/>
  <c r="K50" i="8" s="1"/>
  <c r="E50" i="8"/>
  <c r="J50" i="8" s="1"/>
  <c r="D50" i="8"/>
  <c r="I50" i="8" s="1"/>
  <c r="C50" i="8"/>
  <c r="H50" i="8" s="1"/>
  <c r="B50" i="8"/>
  <c r="F49" i="8"/>
  <c r="K49" i="8" s="1"/>
  <c r="E49" i="8"/>
  <c r="J49" i="8" s="1"/>
  <c r="D49" i="8"/>
  <c r="I49" i="8" s="1"/>
  <c r="C49" i="8"/>
  <c r="H49" i="8" s="1"/>
  <c r="B49" i="8"/>
  <c r="F48" i="8"/>
  <c r="K48" i="8" s="1"/>
  <c r="E48" i="8"/>
  <c r="J48" i="8" s="1"/>
  <c r="D48" i="8"/>
  <c r="I48" i="8" s="1"/>
  <c r="C48" i="8"/>
  <c r="H48" i="8" s="1"/>
  <c r="B48" i="8"/>
  <c r="F47" i="8"/>
  <c r="K47" i="8" s="1"/>
  <c r="E47" i="8"/>
  <c r="J47" i="8" s="1"/>
  <c r="D47" i="8"/>
  <c r="I47" i="8" s="1"/>
  <c r="C47" i="8"/>
  <c r="H47" i="8" s="1"/>
  <c r="B47" i="8"/>
  <c r="F46" i="8"/>
  <c r="K46" i="8" s="1"/>
  <c r="E46" i="8"/>
  <c r="J46" i="8" s="1"/>
  <c r="D46" i="8"/>
  <c r="I46" i="8" s="1"/>
  <c r="C46" i="8"/>
  <c r="H46" i="8" s="1"/>
  <c r="B46" i="8"/>
  <c r="F45" i="8"/>
  <c r="K45" i="8" s="1"/>
  <c r="E45" i="8"/>
  <c r="J45" i="8" s="1"/>
  <c r="D45" i="8"/>
  <c r="I45" i="8" s="1"/>
  <c r="C45" i="8"/>
  <c r="H45" i="8" s="1"/>
  <c r="B45" i="8"/>
  <c r="F44" i="8"/>
  <c r="K44" i="8" s="1"/>
  <c r="E44" i="8"/>
  <c r="J44" i="8" s="1"/>
  <c r="D44" i="8"/>
  <c r="I44" i="8" s="1"/>
  <c r="C44" i="8"/>
  <c r="H44" i="8" s="1"/>
  <c r="B44" i="8"/>
  <c r="F43" i="8"/>
  <c r="K43" i="8" s="1"/>
  <c r="E43" i="8"/>
  <c r="J43" i="8" s="1"/>
  <c r="D43" i="8"/>
  <c r="I43" i="8" s="1"/>
  <c r="C43" i="8"/>
  <c r="H43" i="8" s="1"/>
  <c r="B43" i="8"/>
  <c r="F42" i="8"/>
  <c r="K42" i="8" s="1"/>
  <c r="E42" i="8"/>
  <c r="J42" i="8" s="1"/>
  <c r="D42" i="8"/>
  <c r="I42" i="8" s="1"/>
  <c r="C42" i="8"/>
  <c r="H42" i="8" s="1"/>
  <c r="B42" i="8"/>
  <c r="F41" i="8"/>
  <c r="K41" i="8" s="1"/>
  <c r="E41" i="8"/>
  <c r="J41" i="8" s="1"/>
  <c r="D41" i="8"/>
  <c r="I41" i="8" s="1"/>
  <c r="C41" i="8"/>
  <c r="H41" i="8" s="1"/>
  <c r="B41" i="8"/>
  <c r="F40" i="8"/>
  <c r="K40" i="8" s="1"/>
  <c r="E40" i="8"/>
  <c r="J40" i="8" s="1"/>
  <c r="D40" i="8"/>
  <c r="I40" i="8" s="1"/>
  <c r="C40" i="8"/>
  <c r="H40" i="8" s="1"/>
  <c r="B40" i="8"/>
  <c r="F39" i="8"/>
  <c r="K39" i="8" s="1"/>
  <c r="E39" i="8"/>
  <c r="J39" i="8" s="1"/>
  <c r="D39" i="8"/>
  <c r="I39" i="8" s="1"/>
  <c r="C39" i="8"/>
  <c r="H39" i="8" s="1"/>
  <c r="B39" i="8"/>
  <c r="F38" i="8"/>
  <c r="K38" i="8" s="1"/>
  <c r="E38" i="8"/>
  <c r="J38" i="8" s="1"/>
  <c r="D38" i="8"/>
  <c r="I38" i="8" s="1"/>
  <c r="C38" i="8"/>
  <c r="H38" i="8" s="1"/>
  <c r="B38" i="8"/>
  <c r="F37" i="8"/>
  <c r="K37" i="8" s="1"/>
  <c r="E37" i="8"/>
  <c r="J37" i="8" s="1"/>
  <c r="D37" i="8"/>
  <c r="I37" i="8" s="1"/>
  <c r="C37" i="8"/>
  <c r="H37" i="8" s="1"/>
  <c r="B37" i="8"/>
  <c r="F36" i="8"/>
  <c r="K36" i="8" s="1"/>
  <c r="E36" i="8"/>
  <c r="J36" i="8" s="1"/>
  <c r="D36" i="8"/>
  <c r="I36" i="8" s="1"/>
  <c r="C36" i="8"/>
  <c r="H36" i="8" s="1"/>
  <c r="B36" i="8"/>
  <c r="F35" i="8"/>
  <c r="K35" i="8" s="1"/>
  <c r="E35" i="8"/>
  <c r="J35" i="8" s="1"/>
  <c r="D35" i="8"/>
  <c r="I35" i="8" s="1"/>
  <c r="C35" i="8"/>
  <c r="H35" i="8" s="1"/>
  <c r="B35" i="8"/>
  <c r="F34" i="8"/>
  <c r="K34" i="8" s="1"/>
  <c r="E34" i="8"/>
  <c r="J34" i="8" s="1"/>
  <c r="D34" i="8"/>
  <c r="I34" i="8" s="1"/>
  <c r="C34" i="8"/>
  <c r="H34" i="8" s="1"/>
  <c r="B34" i="8"/>
  <c r="F33" i="8"/>
  <c r="K33" i="8" s="1"/>
  <c r="E33" i="8"/>
  <c r="J33" i="8" s="1"/>
  <c r="D33" i="8"/>
  <c r="I33" i="8" s="1"/>
  <c r="C33" i="8"/>
  <c r="H33" i="8" s="1"/>
  <c r="B33" i="8"/>
  <c r="F32" i="8"/>
  <c r="K32" i="8" s="1"/>
  <c r="E32" i="8"/>
  <c r="J32" i="8" s="1"/>
  <c r="D32" i="8"/>
  <c r="I32" i="8" s="1"/>
  <c r="C32" i="8"/>
  <c r="H32" i="8" s="1"/>
  <c r="B32" i="8"/>
  <c r="F31" i="8"/>
  <c r="K31" i="8" s="1"/>
  <c r="E31" i="8"/>
  <c r="J31" i="8" s="1"/>
  <c r="D31" i="8"/>
  <c r="I31" i="8" s="1"/>
  <c r="C31" i="8"/>
  <c r="H31" i="8" s="1"/>
  <c r="B31" i="8"/>
  <c r="F30" i="8"/>
  <c r="K30" i="8" s="1"/>
  <c r="E30" i="8"/>
  <c r="J30" i="8" s="1"/>
  <c r="D30" i="8"/>
  <c r="I30" i="8" s="1"/>
  <c r="C30" i="8"/>
  <c r="H30" i="8" s="1"/>
  <c r="B30" i="8"/>
  <c r="F29" i="8"/>
  <c r="K29" i="8" s="1"/>
  <c r="E29" i="8"/>
  <c r="J29" i="8" s="1"/>
  <c r="D29" i="8"/>
  <c r="I29" i="8" s="1"/>
  <c r="C29" i="8"/>
  <c r="H29" i="8" s="1"/>
  <c r="B29" i="8"/>
  <c r="F28" i="8"/>
  <c r="K28" i="8" s="1"/>
  <c r="E28" i="8"/>
  <c r="J28" i="8" s="1"/>
  <c r="D28" i="8"/>
  <c r="I28" i="8" s="1"/>
  <c r="C28" i="8"/>
  <c r="H28" i="8" s="1"/>
  <c r="B28" i="8"/>
  <c r="F27" i="8"/>
  <c r="K27" i="8" s="1"/>
  <c r="E27" i="8"/>
  <c r="J27" i="8" s="1"/>
  <c r="D27" i="8"/>
  <c r="I27" i="8" s="1"/>
  <c r="C27" i="8"/>
  <c r="H27" i="8" s="1"/>
  <c r="B27" i="8"/>
  <c r="F26" i="8"/>
  <c r="K26" i="8" s="1"/>
  <c r="E26" i="8"/>
  <c r="J26" i="8" s="1"/>
  <c r="D26" i="8"/>
  <c r="I26" i="8" s="1"/>
  <c r="C26" i="8"/>
  <c r="H26" i="8" s="1"/>
  <c r="B26" i="8"/>
  <c r="F25" i="8"/>
  <c r="K25" i="8" s="1"/>
  <c r="E25" i="8"/>
  <c r="J25" i="8" s="1"/>
  <c r="D25" i="8"/>
  <c r="I25" i="8" s="1"/>
  <c r="C25" i="8"/>
  <c r="H25" i="8" s="1"/>
  <c r="B25" i="8"/>
  <c r="F24" i="8"/>
  <c r="K24" i="8" s="1"/>
  <c r="E24" i="8"/>
  <c r="J24" i="8" s="1"/>
  <c r="D24" i="8"/>
  <c r="I24" i="8" s="1"/>
  <c r="C24" i="8"/>
  <c r="H24" i="8" s="1"/>
  <c r="B24" i="8"/>
  <c r="F23" i="8"/>
  <c r="K23" i="8" s="1"/>
  <c r="E23" i="8"/>
  <c r="J23" i="8" s="1"/>
  <c r="D23" i="8"/>
  <c r="I23" i="8" s="1"/>
  <c r="C23" i="8"/>
  <c r="H23" i="8" s="1"/>
  <c r="B23" i="8"/>
  <c r="F22" i="8"/>
  <c r="K22" i="8" s="1"/>
  <c r="E22" i="8"/>
  <c r="J22" i="8" s="1"/>
  <c r="D22" i="8"/>
  <c r="I22" i="8" s="1"/>
  <c r="C22" i="8"/>
  <c r="H22" i="8" s="1"/>
  <c r="B22" i="8"/>
  <c r="F21" i="8"/>
  <c r="K21" i="8" s="1"/>
  <c r="E21" i="8"/>
  <c r="J21" i="8" s="1"/>
  <c r="D21" i="8"/>
  <c r="I21" i="8" s="1"/>
  <c r="C21" i="8"/>
  <c r="H21" i="8" s="1"/>
  <c r="B21" i="8"/>
  <c r="F20" i="8"/>
  <c r="K20" i="8" s="1"/>
  <c r="E20" i="8"/>
  <c r="J20" i="8" s="1"/>
  <c r="D20" i="8"/>
  <c r="I20" i="8" s="1"/>
  <c r="C20" i="8"/>
  <c r="H20" i="8" s="1"/>
  <c r="B20" i="8"/>
  <c r="F19" i="8"/>
  <c r="K19" i="8" s="1"/>
  <c r="E19" i="8"/>
  <c r="J19" i="8" s="1"/>
  <c r="D19" i="8"/>
  <c r="I19" i="8" s="1"/>
  <c r="C19" i="8"/>
  <c r="H19" i="8" s="1"/>
  <c r="B19" i="8"/>
  <c r="F18" i="8"/>
  <c r="K18" i="8" s="1"/>
  <c r="E18" i="8"/>
  <c r="J18" i="8" s="1"/>
  <c r="D18" i="8"/>
  <c r="I18" i="8" s="1"/>
  <c r="C18" i="8"/>
  <c r="H18" i="8" s="1"/>
  <c r="B18" i="8"/>
  <c r="F17" i="8"/>
  <c r="K17" i="8" s="1"/>
  <c r="E17" i="8"/>
  <c r="J17" i="8" s="1"/>
  <c r="D17" i="8"/>
  <c r="I17" i="8" s="1"/>
  <c r="C17" i="8"/>
  <c r="H17" i="8" s="1"/>
  <c r="B17" i="8"/>
  <c r="F16" i="8"/>
  <c r="K16" i="8" s="1"/>
  <c r="E16" i="8"/>
  <c r="J16" i="8" s="1"/>
  <c r="D16" i="8"/>
  <c r="I16" i="8" s="1"/>
  <c r="C16" i="8"/>
  <c r="H16" i="8" s="1"/>
  <c r="B16" i="8"/>
  <c r="F15" i="8"/>
  <c r="K15" i="8" s="1"/>
  <c r="E15" i="8"/>
  <c r="J15" i="8" s="1"/>
  <c r="D15" i="8"/>
  <c r="I15" i="8" s="1"/>
  <c r="C15" i="8"/>
  <c r="H15" i="8" s="1"/>
  <c r="B15" i="8"/>
  <c r="F14" i="8"/>
  <c r="K14" i="8" s="1"/>
  <c r="E14" i="8"/>
  <c r="J14" i="8" s="1"/>
  <c r="D14" i="8"/>
  <c r="I14" i="8" s="1"/>
  <c r="C14" i="8"/>
  <c r="H14" i="8" s="1"/>
  <c r="B14" i="8"/>
  <c r="G9" i="8"/>
  <c r="F9" i="8"/>
  <c r="E9" i="8"/>
  <c r="G8" i="8"/>
  <c r="F8" i="8"/>
  <c r="E8" i="8"/>
  <c r="G7" i="8"/>
  <c r="F7" i="8"/>
  <c r="E7" i="8"/>
  <c r="G6" i="8"/>
  <c r="F6" i="8"/>
  <c r="E6" i="8"/>
  <c r="D40" i="7"/>
  <c r="C40" i="7"/>
  <c r="B40" i="7"/>
  <c r="B23" i="7"/>
  <c r="B22" i="7"/>
  <c r="B21" i="7"/>
  <c r="B20" i="7"/>
  <c r="D10" i="7"/>
  <c r="C10" i="7"/>
  <c r="B10" i="7"/>
  <c r="D7" i="7"/>
  <c r="C7" i="7"/>
  <c r="B7" i="7"/>
  <c r="D5" i="7"/>
  <c r="C5" i="7"/>
  <c r="B5" i="7"/>
  <c r="D12" i="6"/>
  <c r="D13" i="6" s="1"/>
  <c r="C12" i="6"/>
  <c r="C13" i="6" s="1"/>
  <c r="B12" i="6"/>
  <c r="B13" i="6" s="1"/>
  <c r="D10" i="6"/>
  <c r="C10" i="6"/>
  <c r="B10" i="6"/>
  <c r="F9" i="5"/>
  <c r="E9" i="5"/>
  <c r="G9" i="5" s="1"/>
  <c r="C9" i="5"/>
  <c r="B9" i="5"/>
  <c r="F8" i="5"/>
  <c r="C8" i="5"/>
  <c r="F7" i="5"/>
  <c r="E7" i="5"/>
  <c r="G7" i="5" s="1"/>
  <c r="C7" i="5"/>
  <c r="B7" i="5"/>
  <c r="F6" i="5"/>
  <c r="C6" i="5"/>
  <c r="F5" i="5"/>
  <c r="E5" i="5"/>
  <c r="G5" i="5" s="1"/>
  <c r="C5" i="5"/>
  <c r="B5" i="5"/>
  <c r="B30" i="4"/>
  <c r="B29" i="4"/>
  <c r="B28" i="4"/>
  <c r="B27" i="4"/>
  <c r="D26" i="4"/>
  <c r="B26" i="4"/>
  <c r="C26" i="4" s="1"/>
  <c r="E27" i="4" s="1"/>
  <c r="C12" i="4"/>
  <c r="D12" i="4" s="1"/>
  <c r="C9" i="4"/>
  <c r="D9" i="4" s="1"/>
  <c r="C8" i="4"/>
  <c r="D8" i="4" s="1"/>
  <c r="C6" i="4"/>
  <c r="B25" i="3"/>
  <c r="B18" i="3"/>
  <c r="E8" i="3"/>
  <c r="C8" i="3"/>
  <c r="E7" i="3"/>
  <c r="C7" i="3"/>
  <c r="E6" i="3"/>
  <c r="C6" i="3"/>
  <c r="E5" i="3"/>
  <c r="C5" i="3"/>
  <c r="E4" i="3"/>
  <c r="B40" i="2"/>
  <c r="B37" i="2"/>
  <c r="B36" i="2"/>
  <c r="B34" i="2"/>
  <c r="B30" i="2"/>
  <c r="B29" i="2"/>
  <c r="B28" i="2"/>
  <c r="B27" i="2"/>
  <c r="B26" i="2"/>
  <c r="B22" i="2"/>
  <c r="B21" i="2"/>
  <c r="B20" i="2"/>
  <c r="B19" i="2"/>
  <c r="K885" i="8" l="1"/>
  <c r="K51" i="8"/>
  <c r="K115" i="8"/>
  <c r="K821" i="8"/>
  <c r="K179" i="8"/>
  <c r="K436" i="8"/>
  <c r="K500" i="8"/>
  <c r="J885" i="8"/>
  <c r="J436" i="8"/>
  <c r="J51" i="8"/>
  <c r="J821" i="8"/>
  <c r="J115" i="8"/>
  <c r="J500" i="8"/>
  <c r="J757" i="8"/>
  <c r="I821" i="8"/>
  <c r="L821" i="8" s="1"/>
  <c r="I372" i="8"/>
  <c r="I436" i="8"/>
  <c r="I115" i="8"/>
  <c r="L115" i="8" s="1"/>
  <c r="I128" i="8"/>
  <c r="L128" i="8" s="1"/>
  <c r="I757" i="8"/>
  <c r="L757" i="8" s="1"/>
  <c r="I51" i="8"/>
  <c r="L51" i="8" s="1"/>
  <c r="I500" i="8"/>
  <c r="L500" i="8" s="1"/>
  <c r="H436" i="8"/>
  <c r="H757" i="8"/>
  <c r="H372" i="8"/>
  <c r="H821" i="8"/>
  <c r="H51" i="8"/>
  <c r="D23" i="7"/>
  <c r="E23" i="7"/>
  <c r="C23" i="7"/>
  <c r="E22" i="7"/>
  <c r="D22" i="7"/>
  <c r="C22" i="7"/>
  <c r="C21" i="7"/>
  <c r="D21" i="7"/>
  <c r="E21" i="7"/>
  <c r="D20" i="7"/>
  <c r="C20" i="7"/>
  <c r="B24" i="7"/>
  <c r="E20" i="7"/>
  <c r="D29" i="6"/>
  <c r="D30" i="6" s="1"/>
  <c r="D31" i="6" s="1"/>
  <c r="D16" i="6"/>
  <c r="D9" i="7" s="1"/>
  <c r="L818" i="8"/>
  <c r="L346" i="8"/>
  <c r="L199" i="8"/>
  <c r="L464" i="8"/>
  <c r="L819" i="8"/>
  <c r="L820" i="8"/>
  <c r="L565" i="8"/>
  <c r="L577" i="8"/>
  <c r="L198" i="8"/>
  <c r="L345" i="8"/>
  <c r="L631" i="8"/>
  <c r="L463" i="8"/>
  <c r="L633" i="8"/>
  <c r="L637" i="8"/>
  <c r="L197" i="8"/>
  <c r="L639" i="8"/>
  <c r="L344" i="8"/>
  <c r="L641" i="8"/>
  <c r="L645" i="8"/>
  <c r="L462" i="8"/>
  <c r="L196" i="8"/>
  <c r="L649" i="8"/>
  <c r="L654" i="8"/>
  <c r="L343" i="8"/>
  <c r="L655" i="8"/>
  <c r="L656" i="8"/>
  <c r="L195" i="8"/>
  <c r="L662" i="8"/>
  <c r="L461" i="8"/>
  <c r="L663" i="8"/>
  <c r="L342" i="8"/>
  <c r="L668" i="8"/>
  <c r="L194" i="8"/>
  <c r="L673" i="8"/>
  <c r="L675" i="8"/>
  <c r="L676" i="8"/>
  <c r="L460" i="8"/>
  <c r="L341" i="8"/>
  <c r="L193" i="8"/>
  <c r="L677" i="8"/>
  <c r="L678" i="8"/>
  <c r="L679" i="8"/>
  <c r="L681" i="8"/>
  <c r="L686" i="8"/>
  <c r="L192" i="8"/>
  <c r="L340" i="8"/>
  <c r="L459" i="8"/>
  <c r="L689" i="8"/>
  <c r="L692" i="8"/>
  <c r="L699" i="8"/>
  <c r="L191" i="8"/>
  <c r="L712" i="8"/>
  <c r="L339" i="8"/>
  <c r="L458" i="8"/>
  <c r="L758" i="8"/>
  <c r="L190" i="8"/>
  <c r="L765" i="8"/>
  <c r="L767" i="8"/>
  <c r="L338" i="8"/>
  <c r="L769" i="8"/>
  <c r="L770" i="8"/>
  <c r="L189" i="8"/>
  <c r="L457" i="8"/>
  <c r="L773" i="8"/>
  <c r="L776" i="8"/>
  <c r="L337" i="8"/>
  <c r="L777" i="8"/>
  <c r="L188" i="8"/>
  <c r="L779" i="8"/>
  <c r="L823" i="8"/>
  <c r="L456" i="8"/>
  <c r="L824" i="8"/>
  <c r="L336" i="8"/>
  <c r="L187" i="8"/>
  <c r="L825" i="8"/>
  <c r="L826" i="8"/>
  <c r="L827" i="8"/>
  <c r="L828" i="8"/>
  <c r="L455" i="8"/>
  <c r="L186" i="8"/>
  <c r="L335" i="8"/>
  <c r="L829" i="8"/>
  <c r="L922" i="8"/>
  <c r="L830" i="8"/>
  <c r="L831" i="8"/>
  <c r="L185" i="8"/>
  <c r="L832" i="8"/>
  <c r="L334" i="8"/>
  <c r="L454" i="8"/>
  <c r="L833" i="8"/>
  <c r="L834" i="8"/>
  <c r="L184" i="8"/>
  <c r="L835" i="8"/>
  <c r="L836" i="8"/>
  <c r="L333" i="8"/>
  <c r="L837" i="8"/>
  <c r="L453" i="8"/>
  <c r="L183" i="8"/>
  <c r="L838" i="8"/>
  <c r="L839" i="8"/>
  <c r="L840" i="8"/>
  <c r="L332" i="8"/>
  <c r="L841" i="8"/>
  <c r="L182" i="8"/>
  <c r="L842" i="8"/>
  <c r="L452" i="8"/>
  <c r="L843" i="8"/>
  <c r="L844" i="8"/>
  <c r="L331" i="8"/>
  <c r="L181" i="8"/>
  <c r="L845" i="8"/>
  <c r="L846" i="8"/>
  <c r="L847" i="8"/>
  <c r="L451" i="8"/>
  <c r="L848" i="8"/>
  <c r="L180" i="8"/>
  <c r="L330" i="8"/>
  <c r="L849" i="8"/>
  <c r="L850" i="8"/>
  <c r="L851" i="8"/>
  <c r="L852" i="8"/>
  <c r="L179" i="8"/>
  <c r="L132" i="8"/>
  <c r="L130" i="8"/>
  <c r="L127" i="8"/>
  <c r="L126" i="8"/>
  <c r="L125" i="8"/>
  <c r="L124" i="8"/>
  <c r="L972" i="8"/>
  <c r="L122" i="8"/>
  <c r="L121" i="8"/>
  <c r="L120" i="8"/>
  <c r="L118" i="8"/>
  <c r="L438" i="8"/>
  <c r="L314" i="8"/>
  <c r="L822" i="8"/>
  <c r="L437" i="8"/>
  <c r="L887" i="8"/>
  <c r="L313" i="8"/>
  <c r="L65" i="8"/>
  <c r="L888" i="8"/>
  <c r="L889" i="8"/>
  <c r="L63" i="8"/>
  <c r="L62" i="8"/>
  <c r="L890" i="8"/>
  <c r="L61" i="8"/>
  <c r="L436" i="8"/>
  <c r="L312" i="8"/>
  <c r="L372" i="8"/>
  <c r="L891" i="8"/>
  <c r="L311" i="8"/>
  <c r="L57" i="8"/>
  <c r="L55" i="8"/>
  <c r="L310" i="8"/>
  <c r="L53" i="8"/>
  <c r="L309" i="8"/>
  <c r="L450" i="8"/>
  <c r="L329" i="8"/>
  <c r="L853" i="8"/>
  <c r="L854" i="8"/>
  <c r="L178" i="8"/>
  <c r="L855" i="8"/>
  <c r="L856" i="8"/>
  <c r="L857" i="8"/>
  <c r="L328" i="8"/>
  <c r="L449" i="8"/>
  <c r="L177" i="8"/>
  <c r="L858" i="8"/>
  <c r="L859" i="8"/>
  <c r="L860" i="8"/>
  <c r="L861" i="8"/>
  <c r="L327" i="8"/>
  <c r="L176" i="8"/>
  <c r="L862" i="8"/>
  <c r="L448" i="8"/>
  <c r="L863" i="8"/>
  <c r="L864" i="8"/>
  <c r="L865" i="8"/>
  <c r="L175" i="8"/>
  <c r="L326" i="8"/>
  <c r="L866" i="8"/>
  <c r="L867" i="8"/>
  <c r="L447" i="8"/>
  <c r="L868" i="8"/>
  <c r="L174" i="8"/>
  <c r="L869" i="8"/>
  <c r="L325" i="8"/>
  <c r="L870" i="8"/>
  <c r="L871" i="8"/>
  <c r="L872" i="8"/>
  <c r="L173" i="8"/>
  <c r="L446" i="8"/>
  <c r="L873" i="8"/>
  <c r="L324" i="8"/>
  <c r="L874" i="8"/>
  <c r="L875" i="8"/>
  <c r="L172" i="8"/>
  <c r="L876" i="8"/>
  <c r="L877" i="8"/>
  <c r="L445" i="8"/>
  <c r="L323" i="8"/>
  <c r="L878" i="8"/>
  <c r="L171" i="8"/>
  <c r="L879" i="8"/>
  <c r="L880" i="8"/>
  <c r="L881" i="8"/>
  <c r="L882" i="8"/>
  <c r="L322" i="8"/>
  <c r="L170" i="8"/>
  <c r="L444" i="8"/>
  <c r="L883" i="8"/>
  <c r="L884" i="8"/>
  <c r="L567" i="8"/>
  <c r="L583" i="8"/>
  <c r="L169" i="8"/>
  <c r="L321" i="8"/>
  <c r="L584" i="8"/>
  <c r="L443" i="8"/>
  <c r="L585" i="8"/>
  <c r="L630" i="8"/>
  <c r="L168" i="8"/>
  <c r="L635" i="8"/>
  <c r="L320" i="8"/>
  <c r="L646" i="8"/>
  <c r="L648" i="8"/>
  <c r="L442" i="8"/>
  <c r="L167" i="8"/>
  <c r="L650" i="8"/>
  <c r="L653" i="8"/>
  <c r="L319" i="8"/>
  <c r="L659" i="8"/>
  <c r="L665" i="8"/>
  <c r="L166" i="8"/>
  <c r="L667" i="8"/>
  <c r="L441" i="8"/>
  <c r="L669" i="8"/>
  <c r="L318" i="8"/>
  <c r="L670" i="8"/>
  <c r="L165" i="8"/>
  <c r="L680" i="8"/>
  <c r="L682" i="8"/>
  <c r="L684" i="8"/>
  <c r="L440" i="8"/>
  <c r="L317" i="8"/>
  <c r="L164" i="8"/>
  <c r="L685" i="8"/>
  <c r="L698" i="8"/>
  <c r="L435" i="8"/>
  <c r="L759" i="8"/>
  <c r="L760" i="8"/>
  <c r="L163" i="8"/>
  <c r="L316" i="8"/>
  <c r="L439" i="8"/>
  <c r="L761" i="8"/>
  <c r="L768" i="8"/>
  <c r="L772" i="8"/>
  <c r="L162" i="8"/>
  <c r="L774" i="8"/>
  <c r="L315" i="8"/>
  <c r="L780" i="8"/>
  <c r="L1013" i="8"/>
  <c r="L892" i="8"/>
  <c r="L161" i="8"/>
  <c r="L893" i="8"/>
  <c r="L894" i="8"/>
  <c r="L308" i="8"/>
  <c r="L895" i="8"/>
  <c r="L896" i="8"/>
  <c r="L160" i="8"/>
  <c r="L434" i="8"/>
  <c r="L897" i="8"/>
  <c r="L60" i="8"/>
  <c r="L59" i="8"/>
  <c r="L58" i="8"/>
  <c r="L159" i="8"/>
  <c r="L307" i="8"/>
  <c r="L898" i="8"/>
  <c r="L899" i="8"/>
  <c r="L900" i="8"/>
  <c r="L901" i="8"/>
  <c r="L158" i="8"/>
  <c r="L433" i="8"/>
  <c r="L306" i="8"/>
  <c r="L902" i="8"/>
  <c r="L903" i="8"/>
  <c r="L904" i="8"/>
  <c r="L157" i="8"/>
  <c r="L905" i="8"/>
  <c r="L906" i="8"/>
  <c r="L305" i="8"/>
  <c r="L432" i="8"/>
  <c r="L907" i="8"/>
  <c r="L156" i="8"/>
  <c r="L908" i="8"/>
  <c r="L909" i="8"/>
  <c r="L910" i="8"/>
  <c r="L304" i="8"/>
  <c r="L911" i="8"/>
  <c r="L155" i="8"/>
  <c r="L431" i="8"/>
  <c r="L912" i="8"/>
  <c r="L913" i="8"/>
  <c r="L914" i="8"/>
  <c r="L303" i="8"/>
  <c r="L154" i="8"/>
  <c r="L915" i="8"/>
  <c r="L916" i="8"/>
  <c r="L430" i="8"/>
  <c r="L917" i="8"/>
  <c r="L918" i="8"/>
  <c r="L153" i="8"/>
  <c r="L302" i="8"/>
  <c r="L919" i="8"/>
  <c r="L920" i="8"/>
  <c r="L921" i="8"/>
  <c r="L429" i="8"/>
  <c r="L152" i="8"/>
  <c r="L923" i="8"/>
  <c r="L301" i="8"/>
  <c r="L924" i="8"/>
  <c r="L925" i="8"/>
  <c r="L926" i="8"/>
  <c r="L151" i="8"/>
  <c r="L927" i="8"/>
  <c r="L428" i="8"/>
  <c r="L300" i="8"/>
  <c r="L928" i="8"/>
  <c r="L929" i="8"/>
  <c r="L150" i="8"/>
  <c r="L930" i="8"/>
  <c r="L931" i="8"/>
  <c r="L932" i="8"/>
  <c r="L299" i="8"/>
  <c r="L427" i="8"/>
  <c r="L149" i="8"/>
  <c r="L123" i="8"/>
  <c r="L933" i="8"/>
  <c r="L934" i="8"/>
  <c r="L935" i="8"/>
  <c r="L936" i="8"/>
  <c r="L148" i="8"/>
  <c r="L298" i="8"/>
  <c r="L937" i="8"/>
  <c r="L426" i="8"/>
  <c r="L938" i="8"/>
  <c r="L939" i="8"/>
  <c r="L147" i="8"/>
  <c r="L940" i="8"/>
  <c r="L297" i="8"/>
  <c r="L941" i="8"/>
  <c r="L942" i="8"/>
  <c r="L425" i="8"/>
  <c r="L146" i="8"/>
  <c r="L943" i="8"/>
  <c r="L944" i="8"/>
  <c r="L296" i="8"/>
  <c r="L945" i="8"/>
  <c r="L946" i="8"/>
  <c r="L145" i="8"/>
  <c r="L947" i="8"/>
  <c r="L424" i="8"/>
  <c r="L948" i="8"/>
  <c r="L295" i="8"/>
  <c r="L566" i="8"/>
  <c r="L144" i="8"/>
  <c r="L570" i="8"/>
  <c r="L632" i="8"/>
  <c r="L638" i="8"/>
  <c r="L423" i="8"/>
  <c r="L294" i="8"/>
  <c r="L143" i="8"/>
  <c r="L643" i="8"/>
  <c r="L644" i="8"/>
  <c r="L647" i="8"/>
  <c r="L651" i="8"/>
  <c r="L652" i="8"/>
  <c r="L142" i="8"/>
  <c r="L293" i="8"/>
  <c r="L422" i="8"/>
  <c r="L657" i="8"/>
  <c r="L658" i="8"/>
  <c r="L660" i="8"/>
  <c r="L141" i="8"/>
  <c r="L661" i="8"/>
  <c r="L292" i="8"/>
  <c r="L664" i="8"/>
  <c r="L421" i="8"/>
  <c r="L666" i="8"/>
  <c r="L140" i="8"/>
  <c r="L671" i="8"/>
  <c r="L672" i="8"/>
  <c r="L291" i="8"/>
  <c r="L674" i="8"/>
  <c r="L695" i="8"/>
  <c r="L139" i="8"/>
  <c r="L420" i="8"/>
  <c r="L696" i="8"/>
  <c r="L697" i="8"/>
  <c r="L290" i="8"/>
  <c r="L700" i="8"/>
  <c r="L138" i="8"/>
  <c r="L702" i="8"/>
  <c r="L705" i="8"/>
  <c r="L419" i="8"/>
  <c r="L708" i="8"/>
  <c r="L289" i="8"/>
  <c r="L137" i="8"/>
  <c r="L713" i="8"/>
  <c r="L714" i="8"/>
  <c r="L418" i="8"/>
  <c r="L288" i="8"/>
  <c r="L136" i="8"/>
  <c r="L764" i="8"/>
  <c r="L771" i="8"/>
  <c r="L885" i="8"/>
  <c r="L287" i="8"/>
  <c r="L417" i="8"/>
  <c r="L135" i="8"/>
  <c r="L886" i="8"/>
  <c r="L949" i="8"/>
  <c r="L950" i="8"/>
  <c r="L951" i="8"/>
  <c r="L286" i="8"/>
  <c r="L134" i="8"/>
  <c r="L952" i="8"/>
  <c r="L416" i="8"/>
  <c r="L953" i="8"/>
  <c r="L954" i="8"/>
  <c r="L955" i="8"/>
  <c r="L133" i="8"/>
  <c r="L285" i="8"/>
  <c r="L956" i="8"/>
  <c r="L957" i="8"/>
  <c r="L415" i="8"/>
  <c r="L958" i="8"/>
  <c r="L959" i="8"/>
  <c r="L284" i="8"/>
  <c r="L960" i="8"/>
  <c r="L131" i="8"/>
  <c r="L961" i="8"/>
  <c r="L962" i="8"/>
  <c r="L414" i="8"/>
  <c r="L963" i="8"/>
  <c r="L283" i="8"/>
  <c r="L129" i="8"/>
  <c r="L964" i="8"/>
  <c r="L965" i="8"/>
  <c r="L966" i="8"/>
  <c r="L967" i="8"/>
  <c r="L413" i="8"/>
  <c r="L282" i="8"/>
  <c r="L968" i="8"/>
  <c r="L969" i="8"/>
  <c r="L970" i="8"/>
  <c r="L971" i="8"/>
  <c r="L281" i="8"/>
  <c r="L412" i="8"/>
  <c r="L117" i="8"/>
  <c r="L116" i="8"/>
  <c r="L973" i="8"/>
  <c r="L974" i="8"/>
  <c r="L975" i="8"/>
  <c r="L976" i="8"/>
  <c r="L64" i="8"/>
  <c r="L280" i="8"/>
  <c r="L977" i="8"/>
  <c r="L411" i="8"/>
  <c r="L978" i="8"/>
  <c r="L979" i="8"/>
  <c r="L980" i="8"/>
  <c r="L279" i="8"/>
  <c r="L981" i="8"/>
  <c r="L982" i="8"/>
  <c r="L56" i="8"/>
  <c r="L410" i="8"/>
  <c r="L983" i="8"/>
  <c r="L54" i="8"/>
  <c r="L984" i="8"/>
  <c r="L52" i="8"/>
  <c r="L278" i="8"/>
  <c r="L985" i="8"/>
  <c r="L986" i="8"/>
  <c r="L987" i="8"/>
  <c r="L114" i="8"/>
  <c r="L409" i="8"/>
  <c r="L988" i="8"/>
  <c r="L277" i="8"/>
  <c r="L989" i="8"/>
  <c r="L990" i="8"/>
  <c r="L113" i="8"/>
  <c r="L991" i="8"/>
  <c r="L992" i="8"/>
  <c r="L408" i="8"/>
  <c r="L276" i="8"/>
  <c r="L993" i="8"/>
  <c r="L112" i="8"/>
  <c r="L994" i="8"/>
  <c r="L995" i="8"/>
  <c r="L996" i="8"/>
  <c r="L997" i="8"/>
  <c r="L275" i="8"/>
  <c r="L111" i="8"/>
  <c r="L407" i="8"/>
  <c r="L998" i="8"/>
  <c r="L999" i="8"/>
  <c r="L1000" i="8"/>
  <c r="L1001" i="8"/>
  <c r="L110" i="8"/>
  <c r="L274" i="8"/>
  <c r="L1002" i="8"/>
  <c r="L406" i="8"/>
  <c r="L1003" i="8"/>
  <c r="L1004" i="8"/>
  <c r="L109" i="8"/>
  <c r="L1005" i="8"/>
  <c r="L273" i="8"/>
  <c r="L1006" i="8"/>
  <c r="L1007" i="8"/>
  <c r="L405" i="8"/>
  <c r="L108" i="8"/>
  <c r="L1008" i="8"/>
  <c r="L1009" i="8"/>
  <c r="L272" i="8"/>
  <c r="L1010" i="8"/>
  <c r="L1011" i="8"/>
  <c r="L107" i="8"/>
  <c r="L1012" i="8"/>
  <c r="L404" i="8"/>
  <c r="L508" i="8"/>
  <c r="L271" i="8"/>
  <c r="L509" i="8"/>
  <c r="L106" i="8"/>
  <c r="L510" i="8"/>
  <c r="L511" i="8"/>
  <c r="L512" i="8"/>
  <c r="L403" i="8"/>
  <c r="L270" i="8"/>
  <c r="L105" i="8"/>
  <c r="L513" i="8"/>
  <c r="L507" i="8"/>
  <c r="L514" i="8"/>
  <c r="L515" i="8"/>
  <c r="L516" i="8"/>
  <c r="L104" i="8"/>
  <c r="L269" i="8"/>
  <c r="L402" i="8"/>
  <c r="L517" i="8"/>
  <c r="L518" i="8"/>
  <c r="L506" i="8"/>
  <c r="L103" i="8"/>
  <c r="L519" i="8"/>
  <c r="L268" i="8"/>
  <c r="L520" i="8"/>
  <c r="L401" i="8"/>
  <c r="L521" i="8"/>
  <c r="L102" i="8"/>
  <c r="L522" i="8"/>
  <c r="L523" i="8"/>
  <c r="L267" i="8"/>
  <c r="L505" i="8"/>
  <c r="L524" i="8"/>
  <c r="L101" i="8"/>
  <c r="L400" i="8"/>
  <c r="L525" i="8"/>
  <c r="L526" i="8"/>
  <c r="L266" i="8"/>
  <c r="L527" i="8"/>
  <c r="L100" i="8"/>
  <c r="L528" i="8"/>
  <c r="L504" i="8"/>
  <c r="L399" i="8"/>
  <c r="L529" i="8"/>
  <c r="L265" i="8"/>
  <c r="L99" i="8"/>
  <c r="L530" i="8"/>
  <c r="L531" i="8"/>
  <c r="L532" i="8"/>
  <c r="L533" i="8"/>
  <c r="L398" i="8"/>
  <c r="L98" i="8"/>
  <c r="L264" i="8"/>
  <c r="L503" i="8"/>
  <c r="L534" i="8"/>
  <c r="L535" i="8"/>
  <c r="L536" i="8"/>
  <c r="L97" i="8"/>
  <c r="L537" i="8"/>
  <c r="L263" i="8"/>
  <c r="L397" i="8"/>
  <c r="L538" i="8"/>
  <c r="L502" i="8"/>
  <c r="L96" i="8"/>
  <c r="L539" i="8"/>
  <c r="L540" i="8"/>
  <c r="L262" i="8"/>
  <c r="L541" i="8"/>
  <c r="L396" i="8"/>
  <c r="L95" i="8"/>
  <c r="L542" i="8"/>
  <c r="L543" i="8"/>
  <c r="L501" i="8"/>
  <c r="L261" i="8"/>
  <c r="L544" i="8"/>
  <c r="L94" i="8"/>
  <c r="L545" i="8"/>
  <c r="L395" i="8"/>
  <c r="L546" i="8"/>
  <c r="L547" i="8"/>
  <c r="L260" i="8"/>
  <c r="L93" i="8"/>
  <c r="L548" i="8"/>
  <c r="L394" i="8"/>
  <c r="L259" i="8"/>
  <c r="L393" i="8"/>
  <c r="L92" i="8"/>
  <c r="L258" i="8"/>
  <c r="L257" i="8"/>
  <c r="L392" i="8"/>
  <c r="L256" i="8"/>
  <c r="L391" i="8"/>
  <c r="L91" i="8"/>
  <c r="C29" i="6"/>
  <c r="C30" i="6" s="1"/>
  <c r="C31" i="6" s="1"/>
  <c r="L255" i="8"/>
  <c r="C16" i="6"/>
  <c r="C9" i="7" s="1"/>
  <c r="L390" i="8"/>
  <c r="L254" i="8"/>
  <c r="L90" i="8"/>
  <c r="L549" i="8"/>
  <c r="L389" i="8"/>
  <c r="L550" i="8"/>
  <c r="L253" i="8"/>
  <c r="L499" i="8"/>
  <c r="L89" i="8"/>
  <c r="L551" i="8"/>
  <c r="L552" i="8"/>
  <c r="L553" i="8"/>
  <c r="L388" i="8"/>
  <c r="L252" i="8"/>
  <c r="L88" i="8"/>
  <c r="L554" i="8"/>
  <c r="L555" i="8"/>
  <c r="L498" i="8"/>
  <c r="L556" i="8"/>
  <c r="L557" i="8"/>
  <c r="L87" i="8"/>
  <c r="L251" i="8"/>
  <c r="L387" i="8"/>
  <c r="L558" i="8"/>
  <c r="L559" i="8"/>
  <c r="L560" i="8"/>
  <c r="L86" i="8"/>
  <c r="L497" i="8"/>
  <c r="L250" i="8"/>
  <c r="L561" i="8"/>
  <c r="L386" i="8"/>
  <c r="L562" i="8"/>
  <c r="L85" i="8"/>
  <c r="L563" i="8"/>
  <c r="L571" i="8"/>
  <c r="L249" i="8"/>
  <c r="L573" i="8"/>
  <c r="L496" i="8"/>
  <c r="L84" i="8"/>
  <c r="L385" i="8"/>
  <c r="L575" i="8"/>
  <c r="L582" i="8"/>
  <c r="L248" i="8"/>
  <c r="L586" i="8"/>
  <c r="L83" i="8"/>
  <c r="L587" i="8"/>
  <c r="L588" i="8"/>
  <c r="L384" i="8"/>
  <c r="L495" i="8"/>
  <c r="L247" i="8"/>
  <c r="L82" i="8"/>
  <c r="L589" i="8"/>
  <c r="L590" i="8"/>
  <c r="L591" i="8"/>
  <c r="L592" i="8"/>
  <c r="L383" i="8"/>
  <c r="L81" i="8"/>
  <c r="L246" i="8"/>
  <c r="L593" i="8"/>
  <c r="L494" i="8"/>
  <c r="L594" i="8"/>
  <c r="L595" i="8"/>
  <c r="L80" i="8"/>
  <c r="L596" i="8"/>
  <c r="L245" i="8"/>
  <c r="L382" i="8"/>
  <c r="L597" i="8"/>
  <c r="L598" i="8"/>
  <c r="L79" i="8"/>
  <c r="L493" i="8"/>
  <c r="L599" i="8"/>
  <c r="L244" i="8"/>
  <c r="L600" i="8"/>
  <c r="L381" i="8"/>
  <c r="L78" i="8"/>
  <c r="L601" i="8"/>
  <c r="L602" i="8"/>
  <c r="L603" i="8"/>
  <c r="L119" i="8"/>
  <c r="L243" i="8"/>
  <c r="L77" i="8"/>
  <c r="L492" i="8"/>
  <c r="L604" i="8"/>
  <c r="L380" i="8"/>
  <c r="L605" i="8"/>
  <c r="L606" i="8"/>
  <c r="L76" i="8"/>
  <c r="L242" i="8"/>
  <c r="L607" i="8"/>
  <c r="L608" i="8"/>
  <c r="L491" i="8"/>
  <c r="L379" i="8"/>
  <c r="L75" i="8"/>
  <c r="L609" i="8"/>
  <c r="L241" i="8"/>
  <c r="L610" i="8"/>
  <c r="L611" i="8"/>
  <c r="L612" i="8"/>
  <c r="L74" i="8"/>
  <c r="L613" i="8"/>
  <c r="L378" i="8"/>
  <c r="L240" i="8"/>
  <c r="L490" i="8"/>
  <c r="L614" i="8"/>
  <c r="L73" i="8"/>
  <c r="L615" i="8"/>
  <c r="L616" i="8"/>
  <c r="L617" i="8"/>
  <c r="L239" i="8"/>
  <c r="L377" i="8"/>
  <c r="L72" i="8"/>
  <c r="L618" i="8"/>
  <c r="L489" i="8"/>
  <c r="L619" i="8"/>
  <c r="L620" i="8"/>
  <c r="L238" i="8"/>
  <c r="L71" i="8"/>
  <c r="L621" i="8"/>
  <c r="L376" i="8"/>
  <c r="L622" i="8"/>
  <c r="L623" i="8"/>
  <c r="L488" i="8"/>
  <c r="L70" i="8"/>
  <c r="L237" i="8"/>
  <c r="L624" i="8"/>
  <c r="L625" i="8"/>
  <c r="L375" i="8"/>
  <c r="L626" i="8"/>
  <c r="L69" i="8"/>
  <c r="L627" i="8"/>
  <c r="L236" i="8"/>
  <c r="L628" i="8"/>
  <c r="L487" i="8"/>
  <c r="L569" i="8"/>
  <c r="L68" i="8"/>
  <c r="L374" i="8"/>
  <c r="L574" i="8"/>
  <c r="L235" i="8"/>
  <c r="L576" i="8"/>
  <c r="L578" i="8"/>
  <c r="L67" i="8"/>
  <c r="L580" i="8"/>
  <c r="L486" i="8"/>
  <c r="L373" i="8"/>
  <c r="L234" i="8"/>
  <c r="L581" i="8"/>
  <c r="L66" i="8"/>
  <c r="L634" i="8"/>
  <c r="L50" i="8"/>
  <c r="L636" i="8"/>
  <c r="L640" i="8"/>
  <c r="L642" i="8"/>
  <c r="L233" i="8"/>
  <c r="L485" i="8"/>
  <c r="L49" i="8"/>
  <c r="L232" i="8"/>
  <c r="L231" i="8"/>
  <c r="L230" i="8"/>
  <c r="L371" i="8"/>
  <c r="L781" i="8"/>
  <c r="L48" i="8"/>
  <c r="L229" i="8"/>
  <c r="L683" i="8"/>
  <c r="L687" i="8"/>
  <c r="L688" i="8"/>
  <c r="L703" i="8"/>
  <c r="L47" i="8"/>
  <c r="L706" i="8"/>
  <c r="L228" i="8"/>
  <c r="L370" i="8"/>
  <c r="L484" i="8"/>
  <c r="L711" i="8"/>
  <c r="L46" i="8"/>
  <c r="L715" i="8"/>
  <c r="L716" i="8"/>
  <c r="L227" i="8"/>
  <c r="L717" i="8"/>
  <c r="L369" i="8"/>
  <c r="L45" i="8"/>
  <c r="L718" i="8"/>
  <c r="L483" i="8"/>
  <c r="L719" i="8"/>
  <c r="L226" i="8"/>
  <c r="L720" i="8"/>
  <c r="L44" i="8"/>
  <c r="L721" i="8"/>
  <c r="L368" i="8"/>
  <c r="L722" i="8"/>
  <c r="L723" i="8"/>
  <c r="L225" i="8"/>
  <c r="L43" i="8"/>
  <c r="L482" i="8"/>
  <c r="L724" i="8"/>
  <c r="L725" i="8"/>
  <c r="L367" i="8"/>
  <c r="L726" i="8"/>
  <c r="L42" i="8"/>
  <c r="L224" i="8"/>
  <c r="L727" i="8"/>
  <c r="L728" i="8"/>
  <c r="L481" i="8"/>
  <c r="L729" i="8"/>
  <c r="L41" i="8"/>
  <c r="L366" i="8"/>
  <c r="L223" i="8"/>
  <c r="L730" i="8"/>
  <c r="L731" i="8"/>
  <c r="L732" i="8"/>
  <c r="L40" i="8"/>
  <c r="L733" i="8"/>
  <c r="L480" i="8"/>
  <c r="L222" i="8"/>
  <c r="L365" i="8"/>
  <c r="L734" i="8"/>
  <c r="L39" i="8"/>
  <c r="L735" i="8"/>
  <c r="L736" i="8"/>
  <c r="L737" i="8"/>
  <c r="L221" i="8"/>
  <c r="L738" i="8"/>
  <c r="L38" i="8"/>
  <c r="L364" i="8"/>
  <c r="L479" i="8"/>
  <c r="L739" i="8"/>
  <c r="L740" i="8"/>
  <c r="L220" i="8"/>
  <c r="L37" i="8"/>
  <c r="L741" i="8"/>
  <c r="L742" i="8"/>
  <c r="L363" i="8"/>
  <c r="L743" i="8"/>
  <c r="L478" i="8"/>
  <c r="L36" i="8"/>
  <c r="L219" i="8"/>
  <c r="L744" i="8"/>
  <c r="L745" i="8"/>
  <c r="L746" i="8"/>
  <c r="L362" i="8"/>
  <c r="L35" i="8"/>
  <c r="L747" i="8"/>
  <c r="L218" i="8"/>
  <c r="L748" i="8"/>
  <c r="L477" i="8"/>
  <c r="L749" i="8"/>
  <c r="L34" i="8"/>
  <c r="L750" i="8"/>
  <c r="L361" i="8"/>
  <c r="L217" i="8"/>
  <c r="L751" i="8"/>
  <c r="L752" i="8"/>
  <c r="L33" i="8"/>
  <c r="L753" i="8"/>
  <c r="L476" i="8"/>
  <c r="L754" i="8"/>
  <c r="L216" i="8"/>
  <c r="L360" i="8"/>
  <c r="L32" i="8"/>
  <c r="L755" i="8"/>
  <c r="L756" i="8"/>
  <c r="L564" i="8"/>
  <c r="L568" i="8"/>
  <c r="L215" i="8"/>
  <c r="L31" i="8"/>
  <c r="L475" i="8"/>
  <c r="L359" i="8"/>
  <c r="L572" i="8"/>
  <c r="L579" i="8"/>
  <c r="L629" i="8"/>
  <c r="L30" i="8"/>
  <c r="L214" i="8"/>
  <c r="L690" i="8"/>
  <c r="L691" i="8"/>
  <c r="L358" i="8"/>
  <c r="L474" i="8"/>
  <c r="L29" i="8"/>
  <c r="L693" i="8"/>
  <c r="L213" i="8"/>
  <c r="L694" i="8"/>
  <c r="L701" i="8"/>
  <c r="L704" i="8"/>
  <c r="L28" i="8"/>
  <c r="L357" i="8"/>
  <c r="L707" i="8"/>
  <c r="L212" i="8"/>
  <c r="L473" i="8"/>
  <c r="L709" i="8"/>
  <c r="L27" i="8"/>
  <c r="L710" i="8"/>
  <c r="L762" i="8"/>
  <c r="L356" i="8"/>
  <c r="L211" i="8"/>
  <c r="L763" i="8"/>
  <c r="L26" i="8"/>
  <c r="L766" i="8"/>
  <c r="L472" i="8"/>
  <c r="L775" i="8"/>
  <c r="L778" i="8"/>
  <c r="L210" i="8"/>
  <c r="L25" i="8"/>
  <c r="L355" i="8"/>
  <c r="L782" i="8"/>
  <c r="L783" i="8"/>
  <c r="L471" i="8"/>
  <c r="L209" i="8"/>
  <c r="L24" i="8"/>
  <c r="L784" i="8"/>
  <c r="L354" i="8"/>
  <c r="L785" i="8"/>
  <c r="L786" i="8"/>
  <c r="L787" i="8"/>
  <c r="L23" i="8"/>
  <c r="L208" i="8"/>
  <c r="L788" i="8"/>
  <c r="L470" i="8"/>
  <c r="L353" i="8"/>
  <c r="L789" i="8"/>
  <c r="L22" i="8"/>
  <c r="L790" i="8"/>
  <c r="L207" i="8"/>
  <c r="L791" i="8"/>
  <c r="L792" i="8"/>
  <c r="L793" i="8"/>
  <c r="L21" i="8"/>
  <c r="L352" i="8"/>
  <c r="L469" i="8"/>
  <c r="L206" i="8"/>
  <c r="L794" i="8"/>
  <c r="L795" i="8"/>
  <c r="L20" i="8"/>
  <c r="L796" i="8"/>
  <c r="L797" i="8"/>
  <c r="L351" i="8"/>
  <c r="L205" i="8"/>
  <c r="L798" i="8"/>
  <c r="L19" i="8"/>
  <c r="L468" i="8"/>
  <c r="L799" i="8"/>
  <c r="L800" i="8"/>
  <c r="L801" i="8"/>
  <c r="L204" i="8"/>
  <c r="L18" i="8"/>
  <c r="L350" i="8"/>
  <c r="L802" i="8"/>
  <c r="L803" i="8"/>
  <c r="L467" i="8"/>
  <c r="L804" i="8"/>
  <c r="L17" i="8"/>
  <c r="L203" i="8"/>
  <c r="L805" i="8"/>
  <c r="L349" i="8"/>
  <c r="L806" i="8"/>
  <c r="L807" i="8"/>
  <c r="L16" i="8"/>
  <c r="L808" i="8"/>
  <c r="L202" i="8"/>
  <c r="L466" i="8"/>
  <c r="L809" i="8"/>
  <c r="L348" i="8"/>
  <c r="L15" i="8"/>
  <c r="L810" i="8"/>
  <c r="L811" i="8"/>
  <c r="L201" i="8"/>
  <c r="L812" i="8"/>
  <c r="L813" i="8"/>
  <c r="L14" i="8"/>
  <c r="L465" i="8"/>
  <c r="L347" i="8"/>
  <c r="L814" i="8"/>
  <c r="L200" i="8"/>
  <c r="L815" i="8"/>
  <c r="L816" i="8"/>
  <c r="L817" i="8"/>
  <c r="B16" i="6"/>
  <c r="B9" i="7" s="1"/>
  <c r="B29" i="6"/>
  <c r="B30" i="6" s="1"/>
  <c r="B31" i="6" s="1"/>
  <c r="D9" i="5"/>
  <c r="H9" i="5" s="1"/>
  <c r="C40" i="2" s="1"/>
  <c r="I9" i="5"/>
  <c r="D7" i="5"/>
  <c r="H7" i="5" s="1"/>
  <c r="C36" i="2" s="1"/>
  <c r="I7" i="5"/>
  <c r="I5" i="5"/>
  <c r="D5" i="5"/>
  <c r="H5" i="5" s="1"/>
  <c r="F27" i="4"/>
  <c r="C27" i="4"/>
  <c r="D6" i="4"/>
  <c r="B8" i="5"/>
  <c r="E8" i="5"/>
  <c r="G8" i="5" s="1"/>
  <c r="C10" i="4"/>
  <c r="E6" i="5"/>
  <c r="G6" i="5" s="1"/>
  <c r="B6" i="5"/>
  <c r="C7" i="4"/>
  <c r="C30" i="2"/>
  <c r="E30" i="2"/>
  <c r="D30" i="2"/>
  <c r="D24" i="7" l="1"/>
  <c r="C24" i="7"/>
  <c r="E24" i="7"/>
  <c r="B11" i="5"/>
  <c r="C34" i="2"/>
  <c r="D27" i="4"/>
  <c r="D8" i="5"/>
  <c r="H8" i="5" s="1"/>
  <c r="C38" i="2" s="1"/>
  <c r="I8" i="5"/>
  <c r="D10" i="4"/>
  <c r="B38" i="2"/>
  <c r="I6" i="5"/>
  <c r="B12" i="5" s="1"/>
  <c r="D6" i="5"/>
  <c r="H6" i="5" s="1"/>
  <c r="C35" i="2" s="1"/>
  <c r="D7" i="4"/>
  <c r="B35" i="2"/>
  <c r="C15" i="4"/>
  <c r="B5" i="6" s="1"/>
  <c r="C16" i="4"/>
  <c r="E5" i="8" l="1"/>
  <c r="B4" i="7"/>
  <c r="D5" i="6"/>
  <c r="C17" i="4"/>
  <c r="C28" i="4"/>
  <c r="E28" i="4"/>
  <c r="F28" i="4" s="1"/>
  <c r="B6" i="7" l="1"/>
  <c r="B8" i="7" s="1"/>
  <c r="B7" i="2"/>
  <c r="D4" i="7"/>
  <c r="G5" i="8"/>
  <c r="D28" i="4"/>
  <c r="C29" i="4" s="1"/>
  <c r="E29" i="4"/>
  <c r="F29" i="4" s="1"/>
  <c r="F20" i="7" l="1"/>
  <c r="F21" i="7"/>
  <c r="C20" i="2" s="1"/>
  <c r="F22" i="7"/>
  <c r="C21" i="2" s="1"/>
  <c r="F23" i="7"/>
  <c r="B11" i="7"/>
  <c r="D6" i="7"/>
  <c r="D8" i="7" s="1"/>
  <c r="D7" i="2"/>
  <c r="D29" i="4"/>
  <c r="E30" i="4" s="1"/>
  <c r="F30" i="4" s="1"/>
  <c r="C32" i="4" s="1"/>
  <c r="C30" i="4"/>
  <c r="C19" i="2" l="1"/>
  <c r="B32" i="7"/>
  <c r="B31" i="7"/>
  <c r="B30" i="7"/>
  <c r="B9" i="2" s="1"/>
  <c r="F24" i="7"/>
  <c r="F25" i="7" s="1"/>
  <c r="B39" i="7"/>
  <c r="C22" i="2"/>
  <c r="B15" i="7"/>
  <c r="B12" i="7"/>
  <c r="B6" i="2" s="1"/>
  <c r="B13" i="7"/>
  <c r="B14" i="7"/>
  <c r="B12" i="2" s="1"/>
  <c r="B5" i="2"/>
  <c r="B8" i="2"/>
  <c r="C31" i="2"/>
  <c r="H20" i="7"/>
  <c r="H21" i="7"/>
  <c r="E20" i="2" s="1"/>
  <c r="H22" i="7"/>
  <c r="E21" i="2" s="1"/>
  <c r="H23" i="7"/>
  <c r="D11" i="7"/>
  <c r="D30" i="4"/>
  <c r="B10" i="2" l="1"/>
  <c r="B33" i="7"/>
  <c r="B34" i="7"/>
  <c r="B41" i="7"/>
  <c r="B43" i="7" s="1"/>
  <c r="B42" i="7"/>
  <c r="D32" i="7"/>
  <c r="E19" i="2"/>
  <c r="E23" i="2" s="1"/>
  <c r="H24" i="7"/>
  <c r="H25" i="7" s="1"/>
  <c r="D30" i="7"/>
  <c r="D9" i="2" s="1"/>
  <c r="D31" i="7"/>
  <c r="E22" i="2"/>
  <c r="D39" i="7"/>
  <c r="D15" i="7"/>
  <c r="D12" i="7"/>
  <c r="D6" i="2" s="1"/>
  <c r="D13" i="7"/>
  <c r="D14" i="7"/>
  <c r="D12" i="2" s="1"/>
  <c r="D5" i="2"/>
  <c r="D8" i="2"/>
  <c r="E31" i="2"/>
  <c r="C23" i="2"/>
  <c r="C11" i="4"/>
  <c r="C31" i="4"/>
  <c r="B35" i="7" l="1"/>
  <c r="B11" i="2"/>
  <c r="D33" i="7"/>
  <c r="D10" i="2"/>
  <c r="D34" i="7"/>
  <c r="D41" i="7"/>
  <c r="D43" i="7" s="1"/>
  <c r="D42" i="7"/>
  <c r="B39" i="2"/>
  <c r="D11" i="4"/>
  <c r="C14" i="4"/>
  <c r="D35" i="7" l="1"/>
  <c r="D11" i="2"/>
  <c r="D14" i="4"/>
  <c r="B41" i="2"/>
  <c r="C5" i="6"/>
  <c r="C4" i="7" l="1"/>
  <c r="F5" i="8"/>
  <c r="C6" i="7" l="1"/>
  <c r="C8" i="7" s="1"/>
  <c r="C7" i="2"/>
  <c r="G582" i="8"/>
  <c r="M582" i="8" s="1"/>
  <c r="G596" i="8"/>
  <c r="M596" i="8" s="1"/>
  <c r="G765" i="8"/>
  <c r="M765" i="8" s="1"/>
  <c r="G768" i="8"/>
  <c r="M768" i="8" s="1"/>
  <c r="G827" i="8"/>
  <c r="M827" i="8" s="1"/>
  <c r="G832" i="8"/>
  <c r="M832" i="8" s="1"/>
  <c r="G835" i="8"/>
  <c r="M835" i="8" s="1"/>
  <c r="G844" i="8"/>
  <c r="M844" i="8" s="1"/>
  <c r="G846" i="8"/>
  <c r="M846" i="8" s="1"/>
  <c r="G852" i="8"/>
  <c r="M852" i="8" s="1"/>
  <c r="G854" i="8"/>
  <c r="M854" i="8" s="1"/>
  <c r="G859" i="8"/>
  <c r="M859" i="8" s="1"/>
  <c r="G863" i="8"/>
  <c r="M863" i="8" s="1"/>
  <c r="G865" i="8"/>
  <c r="M865" i="8" s="1"/>
  <c r="G870" i="8"/>
  <c r="M870" i="8" s="1"/>
  <c r="G877" i="8"/>
  <c r="M877" i="8" s="1"/>
  <c r="G885" i="8"/>
  <c r="M885" i="8" s="1"/>
  <c r="G887" i="8"/>
  <c r="M887" i="8" s="1"/>
  <c r="G892" i="8"/>
  <c r="M892" i="8" s="1"/>
  <c r="G896" i="8"/>
  <c r="M896" i="8" s="1"/>
  <c r="G901" i="8"/>
  <c r="M901" i="8" s="1"/>
  <c r="G916" i="8"/>
  <c r="M916" i="8" s="1"/>
  <c r="G917" i="8"/>
  <c r="M917" i="8" s="1"/>
  <c r="G921" i="8"/>
  <c r="M921" i="8" s="1"/>
  <c r="G924" i="8"/>
  <c r="M924" i="8" s="1"/>
  <c r="G931" i="8"/>
  <c r="M931" i="8" s="1"/>
  <c r="G951" i="8"/>
  <c r="M951" i="8" s="1"/>
  <c r="G953" i="8"/>
  <c r="M953" i="8" s="1"/>
  <c r="G954" i="8"/>
  <c r="M954" i="8" s="1"/>
  <c r="G956" i="8"/>
  <c r="M956" i="8" s="1"/>
  <c r="G14" i="8"/>
  <c r="M14" i="8" s="1"/>
  <c r="G15" i="8"/>
  <c r="M15" i="8" s="1"/>
  <c r="G16" i="8"/>
  <c r="M16" i="8" s="1"/>
  <c r="G17" i="8"/>
  <c r="M17" i="8" s="1"/>
  <c r="G18" i="8"/>
  <c r="M18" i="8" s="1"/>
  <c r="G19" i="8"/>
  <c r="M19" i="8" s="1"/>
  <c r="G20" i="8"/>
  <c r="M20" i="8" s="1"/>
  <c r="G21" i="8"/>
  <c r="M21" i="8" s="1"/>
  <c r="G22" i="8"/>
  <c r="M22" i="8" s="1"/>
  <c r="G23" i="8"/>
  <c r="M23" i="8" s="1"/>
  <c r="G24" i="8"/>
  <c r="M24" i="8" s="1"/>
  <c r="G25" i="8"/>
  <c r="M25" i="8" s="1"/>
  <c r="G26" i="8"/>
  <c r="M26" i="8" s="1"/>
  <c r="G27" i="8"/>
  <c r="M27" i="8" s="1"/>
  <c r="G28" i="8"/>
  <c r="M28" i="8" s="1"/>
  <c r="G29" i="8"/>
  <c r="M29" i="8" s="1"/>
  <c r="G30" i="8"/>
  <c r="M30" i="8" s="1"/>
  <c r="G31" i="8"/>
  <c r="M31" i="8" s="1"/>
  <c r="G32" i="8"/>
  <c r="M32" i="8" s="1"/>
  <c r="G33" i="8"/>
  <c r="M33" i="8" s="1"/>
  <c r="G34" i="8"/>
  <c r="M34" i="8" s="1"/>
  <c r="G35" i="8"/>
  <c r="M35" i="8" s="1"/>
  <c r="G36" i="8"/>
  <c r="M36" i="8" s="1"/>
  <c r="G37" i="8"/>
  <c r="M37" i="8" s="1"/>
  <c r="G38" i="8"/>
  <c r="M38" i="8" s="1"/>
  <c r="G39" i="8"/>
  <c r="M39" i="8" s="1"/>
  <c r="G40" i="8"/>
  <c r="M40" i="8" s="1"/>
  <c r="G41" i="8"/>
  <c r="M41" i="8" s="1"/>
  <c r="G42" i="8"/>
  <c r="M42" i="8" s="1"/>
  <c r="G43" i="8"/>
  <c r="M43" i="8" s="1"/>
  <c r="G44" i="8"/>
  <c r="M44" i="8" s="1"/>
  <c r="G45" i="8"/>
  <c r="M45" i="8" s="1"/>
  <c r="G46" i="8"/>
  <c r="M46" i="8" s="1"/>
  <c r="G47" i="8"/>
  <c r="M47" i="8" s="1"/>
  <c r="G48" i="8"/>
  <c r="M48" i="8" s="1"/>
  <c r="G49" i="8"/>
  <c r="M49" i="8" s="1"/>
  <c r="G50" i="8"/>
  <c r="M50" i="8" s="1"/>
  <c r="G52" i="8"/>
  <c r="M52" i="8" s="1"/>
  <c r="G53" i="8"/>
  <c r="M53" i="8" s="1"/>
  <c r="G54" i="8"/>
  <c r="M54" i="8" s="1"/>
  <c r="G55" i="8"/>
  <c r="M55" i="8" s="1"/>
  <c r="G56" i="8"/>
  <c r="M56" i="8" s="1"/>
  <c r="G57" i="8"/>
  <c r="M57" i="8" s="1"/>
  <c r="G58" i="8"/>
  <c r="M58" i="8" s="1"/>
  <c r="G59" i="8"/>
  <c r="M59" i="8" s="1"/>
  <c r="G60" i="8"/>
  <c r="M60" i="8" s="1"/>
  <c r="G61" i="8"/>
  <c r="M61" i="8" s="1"/>
  <c r="G62" i="8"/>
  <c r="M62" i="8" s="1"/>
  <c r="G63" i="8"/>
  <c r="M63" i="8" s="1"/>
  <c r="G64" i="8"/>
  <c r="M64" i="8" s="1"/>
  <c r="G65" i="8"/>
  <c r="M65" i="8" s="1"/>
  <c r="G66" i="8"/>
  <c r="M66" i="8" s="1"/>
  <c r="G67" i="8"/>
  <c r="M67" i="8" s="1"/>
  <c r="G68" i="8"/>
  <c r="M68" i="8" s="1"/>
  <c r="G588" i="8"/>
  <c r="M588" i="8" s="1"/>
  <c r="G592" i="8"/>
  <c r="M592" i="8" s="1"/>
  <c r="G594" i="8"/>
  <c r="M594" i="8" s="1"/>
  <c r="G595" i="8"/>
  <c r="M595" i="8" s="1"/>
  <c r="G601" i="8"/>
  <c r="M601" i="8" s="1"/>
  <c r="G603" i="8"/>
  <c r="M603" i="8" s="1"/>
  <c r="G762" i="8"/>
  <c r="M762" i="8" s="1"/>
  <c r="G771" i="8"/>
  <c r="M771" i="8" s="1"/>
  <c r="G774" i="8"/>
  <c r="M774" i="8" s="1"/>
  <c r="G775" i="8"/>
  <c r="M775" i="8" s="1"/>
  <c r="G826" i="8"/>
  <c r="M826" i="8" s="1"/>
  <c r="G828" i="8"/>
  <c r="M828" i="8" s="1"/>
  <c r="G829" i="8"/>
  <c r="M829" i="8" s="1"/>
  <c r="G831" i="8"/>
  <c r="M831" i="8" s="1"/>
  <c r="G833" i="8"/>
  <c r="M833" i="8" s="1"/>
  <c r="G836" i="8"/>
  <c r="M836" i="8" s="1"/>
  <c r="G839" i="8"/>
  <c r="M839" i="8" s="1"/>
  <c r="G841" i="8"/>
  <c r="M841" i="8" s="1"/>
  <c r="G847" i="8"/>
  <c r="M847" i="8" s="1"/>
  <c r="G855" i="8"/>
  <c r="M855" i="8" s="1"/>
  <c r="G857" i="8"/>
  <c r="M857" i="8" s="1"/>
  <c r="G858" i="8"/>
  <c r="M858" i="8" s="1"/>
  <c r="G860" i="8"/>
  <c r="M860" i="8" s="1"/>
  <c r="G867" i="8"/>
  <c r="M867" i="8" s="1"/>
  <c r="G868" i="8"/>
  <c r="M868" i="8" s="1"/>
  <c r="G871" i="8"/>
  <c r="M871" i="8" s="1"/>
  <c r="G873" i="8"/>
  <c r="M873" i="8" s="1"/>
  <c r="G875" i="8"/>
  <c r="M875" i="8" s="1"/>
  <c r="G878" i="8"/>
  <c r="M878" i="8" s="1"/>
  <c r="G883" i="8"/>
  <c r="M883" i="8" s="1"/>
  <c r="G889" i="8"/>
  <c r="M889" i="8" s="1"/>
  <c r="G890" i="8"/>
  <c r="M890" i="8" s="1"/>
  <c r="G895" i="8"/>
  <c r="M895" i="8" s="1"/>
  <c r="G899" i="8"/>
  <c r="M899" i="8" s="1"/>
  <c r="G903" i="8"/>
  <c r="M903" i="8" s="1"/>
  <c r="G907" i="8"/>
  <c r="M907" i="8" s="1"/>
  <c r="G909" i="8"/>
  <c r="M909" i="8" s="1"/>
  <c r="G911" i="8"/>
  <c r="M911" i="8" s="1"/>
  <c r="G913" i="8"/>
  <c r="M913" i="8" s="1"/>
  <c r="G914" i="8"/>
  <c r="M914" i="8" s="1"/>
  <c r="G923" i="8"/>
  <c r="M923" i="8" s="1"/>
  <c r="G69" i="8"/>
  <c r="M69" i="8" s="1"/>
  <c r="G70" i="8"/>
  <c r="M70" i="8" s="1"/>
  <c r="G71" i="8"/>
  <c r="M71" i="8" s="1"/>
  <c r="G72" i="8"/>
  <c r="M72" i="8" s="1"/>
  <c r="G73" i="8"/>
  <c r="M73" i="8" s="1"/>
  <c r="G74" i="8"/>
  <c r="M74" i="8" s="1"/>
  <c r="G75" i="8"/>
  <c r="M75" i="8" s="1"/>
  <c r="G76" i="8"/>
  <c r="M76" i="8" s="1"/>
  <c r="G77" i="8"/>
  <c r="M77" i="8" s="1"/>
  <c r="G78" i="8"/>
  <c r="M78" i="8" s="1"/>
  <c r="G79" i="8"/>
  <c r="M79" i="8" s="1"/>
  <c r="G80" i="8"/>
  <c r="M80" i="8" s="1"/>
  <c r="G81" i="8"/>
  <c r="M81" i="8" s="1"/>
  <c r="G82" i="8"/>
  <c r="M82" i="8" s="1"/>
  <c r="G83" i="8"/>
  <c r="M83" i="8" s="1"/>
  <c r="G84" i="8"/>
  <c r="M84" i="8" s="1"/>
  <c r="G85" i="8"/>
  <c r="M85" i="8" s="1"/>
  <c r="G86" i="8"/>
  <c r="M86" i="8" s="1"/>
  <c r="G87" i="8"/>
  <c r="M87" i="8" s="1"/>
  <c r="G88" i="8"/>
  <c r="M88" i="8" s="1"/>
  <c r="G89" i="8"/>
  <c r="M89" i="8" s="1"/>
  <c r="G90" i="8"/>
  <c r="M90" i="8" s="1"/>
  <c r="G91" i="8"/>
  <c r="M91" i="8" s="1"/>
  <c r="G92" i="8"/>
  <c r="M92" i="8" s="1"/>
  <c r="G93" i="8"/>
  <c r="M93" i="8" s="1"/>
  <c r="G94" i="8"/>
  <c r="M94" i="8" s="1"/>
  <c r="G95" i="8"/>
  <c r="M95" i="8" s="1"/>
  <c r="G96" i="8"/>
  <c r="M96" i="8" s="1"/>
  <c r="G97" i="8"/>
  <c r="M97" i="8" s="1"/>
  <c r="G98" i="8"/>
  <c r="M98" i="8" s="1"/>
  <c r="G99" i="8"/>
  <c r="M99" i="8" s="1"/>
  <c r="G100" i="8"/>
  <c r="M100" i="8" s="1"/>
  <c r="G101" i="8"/>
  <c r="M101" i="8" s="1"/>
  <c r="G102" i="8"/>
  <c r="M102" i="8" s="1"/>
  <c r="G103" i="8"/>
  <c r="M103" i="8" s="1"/>
  <c r="G104" i="8"/>
  <c r="M104" i="8" s="1"/>
  <c r="G105" i="8"/>
  <c r="M105" i="8" s="1"/>
  <c r="G106" i="8"/>
  <c r="M106" i="8" s="1"/>
  <c r="G107" i="8"/>
  <c r="M107" i="8" s="1"/>
  <c r="G108" i="8"/>
  <c r="M108" i="8" s="1"/>
  <c r="G109" i="8"/>
  <c r="M109" i="8" s="1"/>
  <c r="G110" i="8"/>
  <c r="M110" i="8" s="1"/>
  <c r="G111" i="8"/>
  <c r="M111" i="8" s="1"/>
  <c r="G112" i="8"/>
  <c r="M112" i="8" s="1"/>
  <c r="G113" i="8"/>
  <c r="M113" i="8" s="1"/>
  <c r="G114" i="8"/>
  <c r="M114" i="8" s="1"/>
  <c r="G115" i="8"/>
  <c r="M115" i="8" s="1"/>
  <c r="G116" i="8"/>
  <c r="M116" i="8" s="1"/>
  <c r="G117" i="8"/>
  <c r="M117" i="8" s="1"/>
  <c r="G118" i="8"/>
  <c r="M118" i="8" s="1"/>
  <c r="G119" i="8"/>
  <c r="M119" i="8" s="1"/>
  <c r="G120" i="8"/>
  <c r="M120" i="8" s="1"/>
  <c r="G121" i="8"/>
  <c r="M121" i="8" s="1"/>
  <c r="G122" i="8"/>
  <c r="M122" i="8" s="1"/>
  <c r="G123" i="8"/>
  <c r="M123" i="8" s="1"/>
  <c r="G124" i="8"/>
  <c r="M124" i="8" s="1"/>
  <c r="G125" i="8"/>
  <c r="M125" i="8" s="1"/>
  <c r="G126" i="8"/>
  <c r="M126" i="8" s="1"/>
  <c r="G127" i="8"/>
  <c r="M127" i="8" s="1"/>
  <c r="G128" i="8"/>
  <c r="M128" i="8" s="1"/>
  <c r="G129" i="8"/>
  <c r="M129" i="8" s="1"/>
  <c r="G130" i="8"/>
  <c r="M130" i="8" s="1"/>
  <c r="G131" i="8"/>
  <c r="M131" i="8" s="1"/>
  <c r="G132" i="8"/>
  <c r="M132" i="8" s="1"/>
  <c r="G135" i="8"/>
  <c r="M135" i="8" s="1"/>
  <c r="G137" i="8"/>
  <c r="M137" i="8" s="1"/>
  <c r="G139" i="8"/>
  <c r="M139" i="8" s="1"/>
  <c r="G141" i="8"/>
  <c r="M141" i="8" s="1"/>
  <c r="G142" i="8"/>
  <c r="M142" i="8" s="1"/>
  <c r="G144" i="8"/>
  <c r="M144" i="8" s="1"/>
  <c r="G146" i="8"/>
  <c r="M146" i="8" s="1"/>
  <c r="G147" i="8"/>
  <c r="M147" i="8" s="1"/>
  <c r="G148" i="8"/>
  <c r="M148" i="8" s="1"/>
  <c r="G150" i="8"/>
  <c r="M150" i="8" s="1"/>
  <c r="G152" i="8"/>
  <c r="M152" i="8" s="1"/>
  <c r="G154" i="8"/>
  <c r="M154" i="8" s="1"/>
  <c r="G156" i="8"/>
  <c r="M156" i="8" s="1"/>
  <c r="G160" i="8"/>
  <c r="M160" i="8" s="1"/>
  <c r="G162" i="8"/>
  <c r="M162" i="8" s="1"/>
  <c r="G164" i="8"/>
  <c r="M164" i="8" s="1"/>
  <c r="G165" i="8"/>
  <c r="M165" i="8" s="1"/>
  <c r="G166" i="8"/>
  <c r="M166" i="8" s="1"/>
  <c r="G167" i="8"/>
  <c r="M167" i="8" s="1"/>
  <c r="G168" i="8"/>
  <c r="M168" i="8" s="1"/>
  <c r="G169" i="8"/>
  <c r="M169" i="8" s="1"/>
  <c r="G170" i="8"/>
  <c r="M170" i="8" s="1"/>
  <c r="G171" i="8"/>
  <c r="M171" i="8" s="1"/>
  <c r="G172" i="8"/>
  <c r="M172" i="8" s="1"/>
  <c r="G173" i="8"/>
  <c r="M173" i="8" s="1"/>
  <c r="G174" i="8"/>
  <c r="M174" i="8" s="1"/>
  <c r="G175" i="8"/>
  <c r="M175" i="8" s="1"/>
  <c r="G176" i="8"/>
  <c r="M176" i="8" s="1"/>
  <c r="G177" i="8"/>
  <c r="M177" i="8" s="1"/>
  <c r="G178" i="8"/>
  <c r="M178" i="8" s="1"/>
  <c r="G179" i="8"/>
  <c r="M179" i="8" s="1"/>
  <c r="G180" i="8"/>
  <c r="M180" i="8" s="1"/>
  <c r="G181" i="8"/>
  <c r="M181" i="8" s="1"/>
  <c r="G182" i="8"/>
  <c r="M182" i="8" s="1"/>
  <c r="G183" i="8"/>
  <c r="M183" i="8" s="1"/>
  <c r="G184" i="8"/>
  <c r="M184" i="8" s="1"/>
  <c r="G185" i="8"/>
  <c r="M185" i="8" s="1"/>
  <c r="G186" i="8"/>
  <c r="M186" i="8" s="1"/>
  <c r="G187" i="8"/>
  <c r="M187" i="8" s="1"/>
  <c r="G188" i="8"/>
  <c r="M188" i="8" s="1"/>
  <c r="G189" i="8"/>
  <c r="M189" i="8" s="1"/>
  <c r="G190" i="8"/>
  <c r="M190" i="8" s="1"/>
  <c r="G191" i="8"/>
  <c r="M191" i="8" s="1"/>
  <c r="G192" i="8"/>
  <c r="M192" i="8" s="1"/>
  <c r="G193" i="8"/>
  <c r="M193" i="8" s="1"/>
  <c r="G194" i="8"/>
  <c r="M194" i="8" s="1"/>
  <c r="G597" i="8"/>
  <c r="M597" i="8" s="1"/>
  <c r="G604" i="8"/>
  <c r="M604" i="8" s="1"/>
  <c r="G133" i="8"/>
  <c r="M133" i="8" s="1"/>
  <c r="G134" i="8"/>
  <c r="M134" i="8" s="1"/>
  <c r="G136" i="8"/>
  <c r="M136" i="8" s="1"/>
  <c r="G138" i="8"/>
  <c r="M138" i="8" s="1"/>
  <c r="G140" i="8"/>
  <c r="M140" i="8" s="1"/>
  <c r="G143" i="8"/>
  <c r="M143" i="8" s="1"/>
  <c r="G145" i="8"/>
  <c r="M145" i="8" s="1"/>
  <c r="G149" i="8"/>
  <c r="M149" i="8" s="1"/>
  <c r="G151" i="8"/>
  <c r="M151" i="8" s="1"/>
  <c r="G153" i="8"/>
  <c r="M153" i="8" s="1"/>
  <c r="G155" i="8"/>
  <c r="M155" i="8" s="1"/>
  <c r="G157" i="8"/>
  <c r="M157" i="8" s="1"/>
  <c r="G158" i="8"/>
  <c r="M158" i="8" s="1"/>
  <c r="G159" i="8"/>
  <c r="M159" i="8" s="1"/>
  <c r="G161" i="8"/>
  <c r="M161" i="8" s="1"/>
  <c r="G163" i="8"/>
  <c r="M163" i="8" s="1"/>
  <c r="G195" i="8"/>
  <c r="M195" i="8" s="1"/>
  <c r="G196" i="8"/>
  <c r="M196" i="8" s="1"/>
  <c r="G197" i="8"/>
  <c r="M197" i="8" s="1"/>
  <c r="G198" i="8"/>
  <c r="M198" i="8" s="1"/>
  <c r="G199" i="8"/>
  <c r="M199" i="8" s="1"/>
  <c r="G200" i="8"/>
  <c r="M200" i="8" s="1"/>
  <c r="G201" i="8"/>
  <c r="M201" i="8" s="1"/>
  <c r="G202" i="8"/>
  <c r="M202" i="8" s="1"/>
  <c r="G203" i="8"/>
  <c r="M203" i="8" s="1"/>
  <c r="G204" i="8"/>
  <c r="M204" i="8" s="1"/>
  <c r="G205" i="8"/>
  <c r="M205" i="8" s="1"/>
  <c r="G206" i="8"/>
  <c r="M206" i="8" s="1"/>
  <c r="G207" i="8"/>
  <c r="M207" i="8" s="1"/>
  <c r="G208" i="8"/>
  <c r="M208" i="8" s="1"/>
  <c r="G209" i="8"/>
  <c r="M209" i="8" s="1"/>
  <c r="G210" i="8"/>
  <c r="M210" i="8" s="1"/>
  <c r="G211" i="8"/>
  <c r="M211" i="8" s="1"/>
  <c r="G212" i="8"/>
  <c r="M212" i="8" s="1"/>
  <c r="G213" i="8"/>
  <c r="M213" i="8" s="1"/>
  <c r="G214" i="8"/>
  <c r="M214" i="8" s="1"/>
  <c r="G215" i="8"/>
  <c r="M215" i="8" s="1"/>
  <c r="G216" i="8"/>
  <c r="M216" i="8" s="1"/>
  <c r="G217" i="8"/>
  <c r="M217" i="8" s="1"/>
  <c r="G218" i="8"/>
  <c r="M218" i="8" s="1"/>
  <c r="G219" i="8"/>
  <c r="M219" i="8" s="1"/>
  <c r="G220" i="8"/>
  <c r="M220" i="8" s="1"/>
  <c r="G221" i="8"/>
  <c r="M221" i="8" s="1"/>
  <c r="G222" i="8"/>
  <c r="M222" i="8" s="1"/>
  <c r="G223" i="8"/>
  <c r="M223" i="8" s="1"/>
  <c r="G224" i="8"/>
  <c r="M224" i="8" s="1"/>
  <c r="G225" i="8"/>
  <c r="M225" i="8" s="1"/>
  <c r="G226" i="8"/>
  <c r="M226" i="8" s="1"/>
  <c r="G227" i="8"/>
  <c r="M227" i="8" s="1"/>
  <c r="G228" i="8"/>
  <c r="M228" i="8" s="1"/>
  <c r="G229" i="8"/>
  <c r="M229" i="8" s="1"/>
  <c r="G230" i="8"/>
  <c r="M230" i="8" s="1"/>
  <c r="G231" i="8"/>
  <c r="M231" i="8" s="1"/>
  <c r="G232" i="8"/>
  <c r="M232" i="8" s="1"/>
  <c r="G233" i="8"/>
  <c r="M233" i="8" s="1"/>
  <c r="G234" i="8"/>
  <c r="M234" i="8" s="1"/>
  <c r="G235" i="8"/>
  <c r="M235" i="8" s="1"/>
  <c r="G236" i="8"/>
  <c r="M236" i="8" s="1"/>
  <c r="G237" i="8"/>
  <c r="M237" i="8" s="1"/>
  <c r="G238" i="8"/>
  <c r="M238" i="8" s="1"/>
  <c r="G239" i="8"/>
  <c r="M239" i="8" s="1"/>
  <c r="G240" i="8"/>
  <c r="M240" i="8" s="1"/>
  <c r="G241" i="8"/>
  <c r="M241" i="8" s="1"/>
  <c r="G242" i="8"/>
  <c r="M242" i="8" s="1"/>
  <c r="G243" i="8"/>
  <c r="M243" i="8" s="1"/>
  <c r="G244" i="8"/>
  <c r="M244" i="8" s="1"/>
  <c r="G245" i="8"/>
  <c r="M245" i="8" s="1"/>
  <c r="G246" i="8"/>
  <c r="M246" i="8" s="1"/>
  <c r="G247" i="8"/>
  <c r="M247" i="8" s="1"/>
  <c r="G248" i="8"/>
  <c r="M248" i="8" s="1"/>
  <c r="G249" i="8"/>
  <c r="M249" i="8" s="1"/>
  <c r="G250" i="8"/>
  <c r="M250" i="8" s="1"/>
  <c r="G251" i="8"/>
  <c r="M251" i="8" s="1"/>
  <c r="G252" i="8"/>
  <c r="M252" i="8" s="1"/>
  <c r="G253" i="8"/>
  <c r="M253" i="8" s="1"/>
  <c r="G254" i="8"/>
  <c r="M254" i="8" s="1"/>
  <c r="G255" i="8"/>
  <c r="M255" i="8" s="1"/>
  <c r="G256" i="8"/>
  <c r="M256" i="8" s="1"/>
  <c r="G257" i="8"/>
  <c r="M257" i="8" s="1"/>
  <c r="G260" i="8"/>
  <c r="M260" i="8" s="1"/>
  <c r="G263" i="8"/>
  <c r="M263" i="8" s="1"/>
  <c r="G264" i="8"/>
  <c r="M264" i="8" s="1"/>
  <c r="G265" i="8"/>
  <c r="M265" i="8" s="1"/>
  <c r="G266" i="8"/>
  <c r="M266" i="8" s="1"/>
  <c r="G267" i="8"/>
  <c r="M267" i="8" s="1"/>
  <c r="G268" i="8"/>
  <c r="M268" i="8" s="1"/>
  <c r="G269" i="8"/>
  <c r="M269" i="8" s="1"/>
  <c r="G270" i="8"/>
  <c r="M270" i="8" s="1"/>
  <c r="G271" i="8"/>
  <c r="M271" i="8" s="1"/>
  <c r="G272" i="8"/>
  <c r="M272" i="8" s="1"/>
  <c r="G273" i="8"/>
  <c r="M273" i="8" s="1"/>
  <c r="G274" i="8"/>
  <c r="M274" i="8" s="1"/>
  <c r="G275" i="8"/>
  <c r="M275" i="8" s="1"/>
  <c r="G276" i="8"/>
  <c r="M276" i="8" s="1"/>
  <c r="G277" i="8"/>
  <c r="M277" i="8" s="1"/>
  <c r="G278" i="8"/>
  <c r="M278" i="8" s="1"/>
  <c r="G279" i="8"/>
  <c r="M279" i="8" s="1"/>
  <c r="G280" i="8"/>
  <c r="M280" i="8" s="1"/>
  <c r="G281" i="8"/>
  <c r="M281" i="8" s="1"/>
  <c r="G282" i="8"/>
  <c r="M282" i="8" s="1"/>
  <c r="G283" i="8"/>
  <c r="M283" i="8" s="1"/>
  <c r="G284" i="8"/>
  <c r="M284" i="8" s="1"/>
  <c r="G285" i="8"/>
  <c r="M285" i="8" s="1"/>
  <c r="G286" i="8"/>
  <c r="M286" i="8" s="1"/>
  <c r="G287" i="8"/>
  <c r="M287" i="8" s="1"/>
  <c r="G288" i="8"/>
  <c r="M288" i="8" s="1"/>
  <c r="G289" i="8"/>
  <c r="M289" i="8" s="1"/>
  <c r="G290" i="8"/>
  <c r="M290" i="8" s="1"/>
  <c r="G291" i="8"/>
  <c r="M291" i="8" s="1"/>
  <c r="G292" i="8"/>
  <c r="M292" i="8" s="1"/>
  <c r="G293" i="8"/>
  <c r="M293" i="8" s="1"/>
  <c r="G294" i="8"/>
  <c r="M294" i="8" s="1"/>
  <c r="G295" i="8"/>
  <c r="M295" i="8" s="1"/>
  <c r="G296" i="8"/>
  <c r="M296" i="8" s="1"/>
  <c r="G297" i="8"/>
  <c r="M297" i="8" s="1"/>
  <c r="G298" i="8"/>
  <c r="M298" i="8" s="1"/>
  <c r="G299" i="8"/>
  <c r="M299" i="8" s="1"/>
  <c r="G300" i="8"/>
  <c r="M300" i="8" s="1"/>
  <c r="G301" i="8"/>
  <c r="M301" i="8" s="1"/>
  <c r="G302" i="8"/>
  <c r="M302" i="8" s="1"/>
  <c r="G303" i="8"/>
  <c r="M303" i="8" s="1"/>
  <c r="G304" i="8"/>
  <c r="M304" i="8" s="1"/>
  <c r="G305" i="8"/>
  <c r="M305" i="8" s="1"/>
  <c r="G306" i="8"/>
  <c r="M306" i="8" s="1"/>
  <c r="G307" i="8"/>
  <c r="M307" i="8" s="1"/>
  <c r="G309" i="8"/>
  <c r="M309" i="8" s="1"/>
  <c r="G310" i="8"/>
  <c r="M310" i="8" s="1"/>
  <c r="G311" i="8"/>
  <c r="M311" i="8" s="1"/>
  <c r="G312" i="8"/>
  <c r="M312" i="8" s="1"/>
  <c r="G313" i="8"/>
  <c r="M313" i="8" s="1"/>
  <c r="G314" i="8"/>
  <c r="M314" i="8" s="1"/>
  <c r="G315" i="8"/>
  <c r="M315" i="8" s="1"/>
  <c r="G316" i="8"/>
  <c r="M316" i="8" s="1"/>
  <c r="G317" i="8"/>
  <c r="M317" i="8" s="1"/>
  <c r="G318" i="8"/>
  <c r="M318" i="8" s="1"/>
  <c r="G319" i="8"/>
  <c r="M319" i="8" s="1"/>
  <c r="G320" i="8"/>
  <c r="M320" i="8" s="1"/>
  <c r="G258" i="8"/>
  <c r="M258" i="8" s="1"/>
  <c r="G259" i="8"/>
  <c r="M259" i="8" s="1"/>
  <c r="G334" i="8"/>
  <c r="M334" i="8" s="1"/>
  <c r="G336" i="8"/>
  <c r="M336" i="8" s="1"/>
  <c r="G339" i="8"/>
  <c r="M339" i="8" s="1"/>
  <c r="G343" i="8"/>
  <c r="M343" i="8" s="1"/>
  <c r="G346" i="8"/>
  <c r="M346" i="8" s="1"/>
  <c r="G351" i="8"/>
  <c r="M351" i="8" s="1"/>
  <c r="G353" i="8"/>
  <c r="M353" i="8" s="1"/>
  <c r="G358" i="8"/>
  <c r="M358" i="8" s="1"/>
  <c r="G360" i="8"/>
  <c r="M360" i="8" s="1"/>
  <c r="G361" i="8"/>
  <c r="M361" i="8" s="1"/>
  <c r="G362" i="8"/>
  <c r="M362" i="8" s="1"/>
  <c r="G364" i="8"/>
  <c r="M364" i="8" s="1"/>
  <c r="G367" i="8"/>
  <c r="M367" i="8" s="1"/>
  <c r="G383" i="8"/>
  <c r="M383" i="8" s="1"/>
  <c r="G584" i="8"/>
  <c r="M584" i="8" s="1"/>
  <c r="G261" i="8"/>
  <c r="M261" i="8" s="1"/>
  <c r="G262" i="8"/>
  <c r="M262" i="8" s="1"/>
  <c r="G321" i="8"/>
  <c r="M321" i="8" s="1"/>
  <c r="G322" i="8"/>
  <c r="M322" i="8" s="1"/>
  <c r="G323" i="8"/>
  <c r="M323" i="8" s="1"/>
  <c r="G324" i="8"/>
  <c r="M324" i="8" s="1"/>
  <c r="G325" i="8"/>
  <c r="M325" i="8" s="1"/>
  <c r="G326" i="8"/>
  <c r="M326" i="8" s="1"/>
  <c r="G327" i="8"/>
  <c r="M327" i="8" s="1"/>
  <c r="G328" i="8"/>
  <c r="M328" i="8" s="1"/>
  <c r="G329" i="8"/>
  <c r="M329" i="8" s="1"/>
  <c r="G330" i="8"/>
  <c r="M330" i="8" s="1"/>
  <c r="G331" i="8"/>
  <c r="M331" i="8" s="1"/>
  <c r="G332" i="8"/>
  <c r="M332" i="8" s="1"/>
  <c r="G333" i="8"/>
  <c r="M333" i="8" s="1"/>
  <c r="G335" i="8"/>
  <c r="M335" i="8" s="1"/>
  <c r="G337" i="8"/>
  <c r="M337" i="8" s="1"/>
  <c r="G338" i="8"/>
  <c r="M338" i="8" s="1"/>
  <c r="G340" i="8"/>
  <c r="M340" i="8" s="1"/>
  <c r="G341" i="8"/>
  <c r="M341" i="8" s="1"/>
  <c r="G342" i="8"/>
  <c r="M342" i="8" s="1"/>
  <c r="G344" i="8"/>
  <c r="M344" i="8" s="1"/>
  <c r="G345" i="8"/>
  <c r="M345" i="8" s="1"/>
  <c r="G347" i="8"/>
  <c r="M347" i="8" s="1"/>
  <c r="G348" i="8"/>
  <c r="M348" i="8" s="1"/>
  <c r="G349" i="8"/>
  <c r="M349" i="8" s="1"/>
  <c r="G350" i="8"/>
  <c r="M350" i="8" s="1"/>
  <c r="G352" i="8"/>
  <c r="M352" i="8" s="1"/>
  <c r="G354" i="8"/>
  <c r="M354" i="8" s="1"/>
  <c r="G355" i="8"/>
  <c r="M355" i="8" s="1"/>
  <c r="G356" i="8"/>
  <c r="M356" i="8" s="1"/>
  <c r="G357" i="8"/>
  <c r="M357" i="8" s="1"/>
  <c r="G359" i="8"/>
  <c r="M359" i="8" s="1"/>
  <c r="G363" i="8"/>
  <c r="M363" i="8" s="1"/>
  <c r="G365" i="8"/>
  <c r="M365" i="8" s="1"/>
  <c r="G366" i="8"/>
  <c r="M366" i="8" s="1"/>
  <c r="G368" i="8"/>
  <c r="M368" i="8" s="1"/>
  <c r="G369" i="8"/>
  <c r="M369" i="8" s="1"/>
  <c r="G370" i="8"/>
  <c r="M370" i="8" s="1"/>
  <c r="G371" i="8"/>
  <c r="M371" i="8" s="1"/>
  <c r="G373" i="8"/>
  <c r="M373" i="8" s="1"/>
  <c r="G374" i="8"/>
  <c r="M374" i="8" s="1"/>
  <c r="G375" i="8"/>
  <c r="M375" i="8" s="1"/>
  <c r="G376" i="8"/>
  <c r="M376" i="8" s="1"/>
  <c r="G377" i="8"/>
  <c r="M377" i="8" s="1"/>
  <c r="G378" i="8"/>
  <c r="M378" i="8" s="1"/>
  <c r="G379" i="8"/>
  <c r="M379" i="8" s="1"/>
  <c r="G380" i="8"/>
  <c r="M380" i="8" s="1"/>
  <c r="G381" i="8"/>
  <c r="M381" i="8" s="1"/>
  <c r="G382" i="8"/>
  <c r="M382" i="8" s="1"/>
  <c r="G384" i="8"/>
  <c r="M384" i="8" s="1"/>
  <c r="G385" i="8"/>
  <c r="M385" i="8" s="1"/>
  <c r="G386" i="8"/>
  <c r="M386" i="8" s="1"/>
  <c r="G387" i="8"/>
  <c r="M387" i="8" s="1"/>
  <c r="G388" i="8"/>
  <c r="M388" i="8" s="1"/>
  <c r="G389" i="8"/>
  <c r="M389" i="8" s="1"/>
  <c r="G390" i="8"/>
  <c r="M390" i="8" s="1"/>
  <c r="G391" i="8"/>
  <c r="M391" i="8" s="1"/>
  <c r="G392" i="8"/>
  <c r="M392" i="8" s="1"/>
  <c r="G393" i="8"/>
  <c r="M393" i="8" s="1"/>
  <c r="G394" i="8"/>
  <c r="M394" i="8" s="1"/>
  <c r="G395" i="8"/>
  <c r="M395" i="8" s="1"/>
  <c r="G396" i="8"/>
  <c r="M396" i="8" s="1"/>
  <c r="G397" i="8"/>
  <c r="M397" i="8" s="1"/>
  <c r="G398" i="8"/>
  <c r="M398" i="8" s="1"/>
  <c r="G399" i="8"/>
  <c r="M399" i="8" s="1"/>
  <c r="G400" i="8"/>
  <c r="M400" i="8" s="1"/>
  <c r="G401" i="8"/>
  <c r="M401" i="8" s="1"/>
  <c r="G402" i="8"/>
  <c r="M402" i="8" s="1"/>
  <c r="G403" i="8"/>
  <c r="M403" i="8" s="1"/>
  <c r="G404" i="8"/>
  <c r="M404" i="8" s="1"/>
  <c r="G405" i="8"/>
  <c r="M405" i="8" s="1"/>
  <c r="G406" i="8"/>
  <c r="M406" i="8" s="1"/>
  <c r="G407" i="8"/>
  <c r="M407" i="8" s="1"/>
  <c r="G408" i="8"/>
  <c r="M408" i="8" s="1"/>
  <c r="G409" i="8"/>
  <c r="M409" i="8" s="1"/>
  <c r="G410" i="8"/>
  <c r="M410" i="8" s="1"/>
  <c r="G411" i="8"/>
  <c r="M411" i="8" s="1"/>
  <c r="G412" i="8"/>
  <c r="M412" i="8" s="1"/>
  <c r="G413" i="8"/>
  <c r="M413" i="8" s="1"/>
  <c r="G414" i="8"/>
  <c r="M414" i="8" s="1"/>
  <c r="G415" i="8"/>
  <c r="M415" i="8" s="1"/>
  <c r="G416" i="8"/>
  <c r="M416" i="8" s="1"/>
  <c r="G417" i="8"/>
  <c r="M417" i="8" s="1"/>
  <c r="G418" i="8"/>
  <c r="M418" i="8" s="1"/>
  <c r="G419" i="8"/>
  <c r="M419" i="8" s="1"/>
  <c r="G420" i="8"/>
  <c r="M420" i="8" s="1"/>
  <c r="G421" i="8"/>
  <c r="M421" i="8" s="1"/>
  <c r="G422" i="8"/>
  <c r="M422" i="8" s="1"/>
  <c r="G423" i="8"/>
  <c r="M423" i="8" s="1"/>
  <c r="G424" i="8"/>
  <c r="M424" i="8" s="1"/>
  <c r="G425" i="8"/>
  <c r="M425" i="8" s="1"/>
  <c r="G426" i="8"/>
  <c r="M426" i="8" s="1"/>
  <c r="G427" i="8"/>
  <c r="M427" i="8" s="1"/>
  <c r="G428" i="8"/>
  <c r="M428" i="8" s="1"/>
  <c r="G429" i="8"/>
  <c r="M429" i="8" s="1"/>
  <c r="G430" i="8"/>
  <c r="M430" i="8" s="1"/>
  <c r="G431" i="8"/>
  <c r="M431" i="8" s="1"/>
  <c r="G432" i="8"/>
  <c r="M432" i="8" s="1"/>
  <c r="G433" i="8"/>
  <c r="M433" i="8" s="1"/>
  <c r="G434" i="8"/>
  <c r="M434" i="8" s="1"/>
  <c r="G435" i="8"/>
  <c r="M435" i="8" s="1"/>
  <c r="G437" i="8"/>
  <c r="M437" i="8" s="1"/>
  <c r="G438" i="8"/>
  <c r="M438" i="8" s="1"/>
  <c r="G439" i="8"/>
  <c r="M439" i="8" s="1"/>
  <c r="G440" i="8"/>
  <c r="M440" i="8" s="1"/>
  <c r="G441" i="8"/>
  <c r="M441" i="8" s="1"/>
  <c r="G442" i="8"/>
  <c r="M442" i="8" s="1"/>
  <c r="G443" i="8"/>
  <c r="M443" i="8" s="1"/>
  <c r="G444" i="8"/>
  <c r="M444" i="8" s="1"/>
  <c r="G445" i="8"/>
  <c r="M445" i="8" s="1"/>
  <c r="G446" i="8"/>
  <c r="M446" i="8" s="1"/>
  <c r="G581" i="8"/>
  <c r="M581" i="8" s="1"/>
  <c r="G583" i="8"/>
  <c r="M583" i="8" s="1"/>
  <c r="G448" i="8"/>
  <c r="M448" i="8" s="1"/>
  <c r="G466" i="8"/>
  <c r="M466" i="8" s="1"/>
  <c r="G470" i="8"/>
  <c r="M470" i="8" s="1"/>
  <c r="G475" i="8"/>
  <c r="M475" i="8" s="1"/>
  <c r="G482" i="8"/>
  <c r="M482" i="8" s="1"/>
  <c r="G493" i="8"/>
  <c r="M493" i="8" s="1"/>
  <c r="G575" i="8"/>
  <c r="M575" i="8" s="1"/>
  <c r="G580" i="8"/>
  <c r="M580" i="8" s="1"/>
  <c r="G447" i="8"/>
  <c r="M447" i="8" s="1"/>
  <c r="G449" i="8"/>
  <c r="M449" i="8" s="1"/>
  <c r="G450" i="8"/>
  <c r="M450" i="8" s="1"/>
  <c r="G451" i="8"/>
  <c r="M451" i="8" s="1"/>
  <c r="G452" i="8"/>
  <c r="M452" i="8" s="1"/>
  <c r="G453" i="8"/>
  <c r="M453" i="8" s="1"/>
  <c r="G454" i="8"/>
  <c r="M454" i="8" s="1"/>
  <c r="G455" i="8"/>
  <c r="M455" i="8" s="1"/>
  <c r="G456" i="8"/>
  <c r="M456" i="8" s="1"/>
  <c r="G457" i="8"/>
  <c r="M457" i="8" s="1"/>
  <c r="G458" i="8"/>
  <c r="M458" i="8" s="1"/>
  <c r="G459" i="8"/>
  <c r="M459" i="8" s="1"/>
  <c r="G460" i="8"/>
  <c r="M460" i="8" s="1"/>
  <c r="G461" i="8"/>
  <c r="M461" i="8" s="1"/>
  <c r="G462" i="8"/>
  <c r="M462" i="8" s="1"/>
  <c r="G463" i="8"/>
  <c r="M463" i="8" s="1"/>
  <c r="G464" i="8"/>
  <c r="M464" i="8" s="1"/>
  <c r="G465" i="8"/>
  <c r="M465" i="8" s="1"/>
  <c r="G467" i="8"/>
  <c r="M467" i="8" s="1"/>
  <c r="G468" i="8"/>
  <c r="M468" i="8" s="1"/>
  <c r="G469" i="8"/>
  <c r="M469" i="8" s="1"/>
  <c r="G471" i="8"/>
  <c r="M471" i="8" s="1"/>
  <c r="G472" i="8"/>
  <c r="M472" i="8" s="1"/>
  <c r="G473" i="8"/>
  <c r="M473" i="8" s="1"/>
  <c r="G474" i="8"/>
  <c r="M474" i="8" s="1"/>
  <c r="G476" i="8"/>
  <c r="M476" i="8" s="1"/>
  <c r="G477" i="8"/>
  <c r="M477" i="8" s="1"/>
  <c r="G478" i="8"/>
  <c r="M478" i="8" s="1"/>
  <c r="G479" i="8"/>
  <c r="M479" i="8" s="1"/>
  <c r="G480" i="8"/>
  <c r="M480" i="8" s="1"/>
  <c r="G481" i="8"/>
  <c r="M481" i="8" s="1"/>
  <c r="G483" i="8"/>
  <c r="M483" i="8" s="1"/>
  <c r="G484" i="8"/>
  <c r="M484" i="8" s="1"/>
  <c r="G485" i="8"/>
  <c r="M485" i="8" s="1"/>
  <c r="G486" i="8"/>
  <c r="M486" i="8" s="1"/>
  <c r="G487" i="8"/>
  <c r="M487" i="8" s="1"/>
  <c r="G488" i="8"/>
  <c r="M488" i="8" s="1"/>
  <c r="G489" i="8"/>
  <c r="M489" i="8" s="1"/>
  <c r="G490" i="8"/>
  <c r="M490" i="8" s="1"/>
  <c r="G491" i="8"/>
  <c r="M491" i="8" s="1"/>
  <c r="G492" i="8"/>
  <c r="M492" i="8" s="1"/>
  <c r="G494" i="8"/>
  <c r="M494" i="8" s="1"/>
  <c r="G495" i="8"/>
  <c r="M495" i="8" s="1"/>
  <c r="G496" i="8"/>
  <c r="M496" i="8" s="1"/>
  <c r="G497" i="8"/>
  <c r="M497" i="8" s="1"/>
  <c r="G498" i="8"/>
  <c r="M498" i="8" s="1"/>
  <c r="G499" i="8"/>
  <c r="M499" i="8" s="1"/>
  <c r="G500" i="8"/>
  <c r="M500" i="8" s="1"/>
  <c r="G501" i="8"/>
  <c r="M501" i="8" s="1"/>
  <c r="G502" i="8"/>
  <c r="M502" i="8" s="1"/>
  <c r="G503" i="8"/>
  <c r="M503" i="8" s="1"/>
  <c r="G504" i="8"/>
  <c r="M504" i="8" s="1"/>
  <c r="G505" i="8"/>
  <c r="M505" i="8" s="1"/>
  <c r="G506" i="8"/>
  <c r="M506" i="8" s="1"/>
  <c r="G507" i="8"/>
  <c r="M507" i="8" s="1"/>
  <c r="G508" i="8"/>
  <c r="M508" i="8" s="1"/>
  <c r="G509" i="8"/>
  <c r="M509" i="8" s="1"/>
  <c r="G510" i="8"/>
  <c r="M510" i="8" s="1"/>
  <c r="G511" i="8"/>
  <c r="M511" i="8" s="1"/>
  <c r="G512" i="8"/>
  <c r="M512" i="8" s="1"/>
  <c r="G513" i="8"/>
  <c r="M513" i="8" s="1"/>
  <c r="G514" i="8"/>
  <c r="M514" i="8" s="1"/>
  <c r="G515" i="8"/>
  <c r="M515" i="8" s="1"/>
  <c r="G516" i="8"/>
  <c r="M516" i="8" s="1"/>
  <c r="G517" i="8"/>
  <c r="M517" i="8" s="1"/>
  <c r="G518" i="8"/>
  <c r="M518" i="8" s="1"/>
  <c r="G519" i="8"/>
  <c r="M519" i="8" s="1"/>
  <c r="G520" i="8"/>
  <c r="M520" i="8" s="1"/>
  <c r="G521" i="8"/>
  <c r="M521" i="8" s="1"/>
  <c r="G522" i="8"/>
  <c r="M522" i="8" s="1"/>
  <c r="G523" i="8"/>
  <c r="M523" i="8" s="1"/>
  <c r="G524" i="8"/>
  <c r="M524" i="8" s="1"/>
  <c r="G525" i="8"/>
  <c r="M525" i="8" s="1"/>
  <c r="G526" i="8"/>
  <c r="M526" i="8" s="1"/>
  <c r="G527" i="8"/>
  <c r="M527" i="8" s="1"/>
  <c r="G528" i="8"/>
  <c r="M528" i="8" s="1"/>
  <c r="G529" i="8"/>
  <c r="M529" i="8" s="1"/>
  <c r="G530" i="8"/>
  <c r="M530" i="8" s="1"/>
  <c r="G531" i="8"/>
  <c r="M531" i="8" s="1"/>
  <c r="G532" i="8"/>
  <c r="M532" i="8" s="1"/>
  <c r="G533" i="8"/>
  <c r="M533" i="8" s="1"/>
  <c r="G534" i="8"/>
  <c r="M534" i="8" s="1"/>
  <c r="G535" i="8"/>
  <c r="M535" i="8" s="1"/>
  <c r="G536" i="8"/>
  <c r="M536" i="8" s="1"/>
  <c r="G537" i="8"/>
  <c r="M537" i="8" s="1"/>
  <c r="G538" i="8"/>
  <c r="M538" i="8" s="1"/>
  <c r="G539" i="8"/>
  <c r="M539" i="8" s="1"/>
  <c r="G540" i="8"/>
  <c r="M540" i="8" s="1"/>
  <c r="G541" i="8"/>
  <c r="M541" i="8" s="1"/>
  <c r="G542" i="8"/>
  <c r="M542" i="8" s="1"/>
  <c r="G543" i="8"/>
  <c r="M543" i="8" s="1"/>
  <c r="G544" i="8"/>
  <c r="M544" i="8" s="1"/>
  <c r="G545" i="8"/>
  <c r="M545" i="8" s="1"/>
  <c r="G546" i="8"/>
  <c r="M546" i="8" s="1"/>
  <c r="G547" i="8"/>
  <c r="M547" i="8" s="1"/>
  <c r="G548" i="8"/>
  <c r="M548" i="8" s="1"/>
  <c r="G549" i="8"/>
  <c r="M549" i="8" s="1"/>
  <c r="G550" i="8"/>
  <c r="M550" i="8" s="1"/>
  <c r="G551" i="8"/>
  <c r="M551" i="8" s="1"/>
  <c r="G552" i="8"/>
  <c r="M552" i="8" s="1"/>
  <c r="G553" i="8"/>
  <c r="M553" i="8" s="1"/>
  <c r="G554" i="8"/>
  <c r="M554" i="8" s="1"/>
  <c r="G555" i="8"/>
  <c r="M555" i="8" s="1"/>
  <c r="G556" i="8"/>
  <c r="M556" i="8" s="1"/>
  <c r="G557" i="8"/>
  <c r="M557" i="8" s="1"/>
  <c r="G558" i="8"/>
  <c r="M558" i="8" s="1"/>
  <c r="G559" i="8"/>
  <c r="M559" i="8" s="1"/>
  <c r="G560" i="8"/>
  <c r="M560" i="8" s="1"/>
  <c r="G561" i="8"/>
  <c r="M561" i="8" s="1"/>
  <c r="G562" i="8"/>
  <c r="M562" i="8" s="1"/>
  <c r="G563" i="8"/>
  <c r="M563" i="8" s="1"/>
  <c r="G564" i="8"/>
  <c r="M564" i="8" s="1"/>
  <c r="G565" i="8"/>
  <c r="M565" i="8" s="1"/>
  <c r="G566" i="8"/>
  <c r="M566" i="8" s="1"/>
  <c r="G567" i="8"/>
  <c r="M567" i="8" s="1"/>
  <c r="G568" i="8"/>
  <c r="M568" i="8" s="1"/>
  <c r="G569" i="8"/>
  <c r="M569" i="8" s="1"/>
  <c r="G570" i="8"/>
  <c r="M570" i="8" s="1"/>
  <c r="G571" i="8"/>
  <c r="M571" i="8" s="1"/>
  <c r="G572" i="8"/>
  <c r="M572" i="8" s="1"/>
  <c r="G591" i="8"/>
  <c r="M591" i="8" s="1"/>
  <c r="G605" i="8"/>
  <c r="M605" i="8" s="1"/>
  <c r="G607" i="8"/>
  <c r="M607" i="8" s="1"/>
  <c r="G611" i="8"/>
  <c r="M611" i="8" s="1"/>
  <c r="G613" i="8"/>
  <c r="M613" i="8" s="1"/>
  <c r="G620" i="8"/>
  <c r="M620" i="8" s="1"/>
  <c r="G633" i="8"/>
  <c r="M633" i="8" s="1"/>
  <c r="G642" i="8"/>
  <c r="M642" i="8" s="1"/>
  <c r="G653" i="8"/>
  <c r="M653" i="8" s="1"/>
  <c r="G668" i="8"/>
  <c r="M668" i="8" s="1"/>
  <c r="G669" i="8"/>
  <c r="M669" i="8" s="1"/>
  <c r="G675" i="8"/>
  <c r="M675" i="8" s="1"/>
  <c r="G676" i="8"/>
  <c r="M676" i="8" s="1"/>
  <c r="G677" i="8"/>
  <c r="M677" i="8" s="1"/>
  <c r="G678" i="8"/>
  <c r="M678" i="8" s="1"/>
  <c r="G679" i="8"/>
  <c r="M679" i="8" s="1"/>
  <c r="G680" i="8"/>
  <c r="M680" i="8" s="1"/>
  <c r="G681" i="8"/>
  <c r="M681" i="8" s="1"/>
  <c r="G682" i="8"/>
  <c r="M682" i="8" s="1"/>
  <c r="G683" i="8"/>
  <c r="M683" i="8" s="1"/>
  <c r="G684" i="8"/>
  <c r="M684" i="8" s="1"/>
  <c r="G685" i="8"/>
  <c r="M685" i="8" s="1"/>
  <c r="G686" i="8"/>
  <c r="M686" i="8" s="1"/>
  <c r="G687" i="8"/>
  <c r="M687" i="8" s="1"/>
  <c r="G688" i="8"/>
  <c r="M688" i="8" s="1"/>
  <c r="G689" i="8"/>
  <c r="M689" i="8" s="1"/>
  <c r="G690" i="8"/>
  <c r="M690" i="8" s="1"/>
  <c r="G691" i="8"/>
  <c r="M691" i="8" s="1"/>
  <c r="G692" i="8"/>
  <c r="M692" i="8" s="1"/>
  <c r="G693" i="8"/>
  <c r="M693" i="8" s="1"/>
  <c r="G694" i="8"/>
  <c r="M694" i="8" s="1"/>
  <c r="G695" i="8"/>
  <c r="M695" i="8" s="1"/>
  <c r="G696" i="8"/>
  <c r="M696" i="8" s="1"/>
  <c r="G697" i="8"/>
  <c r="M697" i="8" s="1"/>
  <c r="G698" i="8"/>
  <c r="M698" i="8" s="1"/>
  <c r="G574" i="8"/>
  <c r="M574" i="8" s="1"/>
  <c r="G579" i="8"/>
  <c r="M579" i="8" s="1"/>
  <c r="G589" i="8"/>
  <c r="M589" i="8" s="1"/>
  <c r="G590" i="8"/>
  <c r="M590" i="8" s="1"/>
  <c r="G606" i="8"/>
  <c r="M606" i="8" s="1"/>
  <c r="G608" i="8"/>
  <c r="M608" i="8" s="1"/>
  <c r="G609" i="8"/>
  <c r="M609" i="8" s="1"/>
  <c r="G610" i="8"/>
  <c r="M610" i="8" s="1"/>
  <c r="G612" i="8"/>
  <c r="M612" i="8" s="1"/>
  <c r="G614" i="8"/>
  <c r="M614" i="8" s="1"/>
  <c r="G615" i="8"/>
  <c r="M615" i="8" s="1"/>
  <c r="G616" i="8"/>
  <c r="M616" i="8" s="1"/>
  <c r="G617" i="8"/>
  <c r="M617" i="8" s="1"/>
  <c r="G618" i="8"/>
  <c r="M618" i="8" s="1"/>
  <c r="G619" i="8"/>
  <c r="M619" i="8" s="1"/>
  <c r="G621" i="8"/>
  <c r="M621" i="8" s="1"/>
  <c r="G622" i="8"/>
  <c r="M622" i="8" s="1"/>
  <c r="G623" i="8"/>
  <c r="M623" i="8" s="1"/>
  <c r="G624" i="8"/>
  <c r="M624" i="8" s="1"/>
  <c r="G625" i="8"/>
  <c r="M625" i="8" s="1"/>
  <c r="G626" i="8"/>
  <c r="M626" i="8" s="1"/>
  <c r="G627" i="8"/>
  <c r="M627" i="8" s="1"/>
  <c r="G628" i="8"/>
  <c r="M628" i="8" s="1"/>
  <c r="G629" i="8"/>
  <c r="M629" i="8" s="1"/>
  <c r="G630" i="8"/>
  <c r="M630" i="8" s="1"/>
  <c r="G632" i="8"/>
  <c r="M632" i="8" s="1"/>
  <c r="G634" i="8"/>
  <c r="M634" i="8" s="1"/>
  <c r="G635" i="8"/>
  <c r="M635" i="8" s="1"/>
  <c r="G636" i="8"/>
  <c r="M636" i="8" s="1"/>
  <c r="G637" i="8"/>
  <c r="M637" i="8" s="1"/>
  <c r="G638" i="8"/>
  <c r="M638" i="8" s="1"/>
  <c r="G639" i="8"/>
  <c r="M639" i="8" s="1"/>
  <c r="G640" i="8"/>
  <c r="M640" i="8" s="1"/>
  <c r="G641" i="8"/>
  <c r="M641" i="8" s="1"/>
  <c r="G643" i="8"/>
  <c r="M643" i="8" s="1"/>
  <c r="G644" i="8"/>
  <c r="M644" i="8" s="1"/>
  <c r="G645" i="8"/>
  <c r="M645" i="8" s="1"/>
  <c r="G646" i="8"/>
  <c r="M646" i="8" s="1"/>
  <c r="G647" i="8"/>
  <c r="M647" i="8" s="1"/>
  <c r="G648" i="8"/>
  <c r="M648" i="8" s="1"/>
  <c r="G649" i="8"/>
  <c r="M649" i="8" s="1"/>
  <c r="G650" i="8"/>
  <c r="M650" i="8" s="1"/>
  <c r="G651" i="8"/>
  <c r="M651" i="8" s="1"/>
  <c r="G652" i="8"/>
  <c r="M652" i="8" s="1"/>
  <c r="G654" i="8"/>
  <c r="M654" i="8" s="1"/>
  <c r="G655" i="8"/>
  <c r="M655" i="8" s="1"/>
  <c r="G656" i="8"/>
  <c r="M656" i="8" s="1"/>
  <c r="G657" i="8"/>
  <c r="M657" i="8" s="1"/>
  <c r="G658" i="8"/>
  <c r="M658" i="8" s="1"/>
  <c r="G659" i="8"/>
  <c r="M659" i="8" s="1"/>
  <c r="G660" i="8"/>
  <c r="M660" i="8" s="1"/>
  <c r="G661" i="8"/>
  <c r="M661" i="8" s="1"/>
  <c r="G662" i="8"/>
  <c r="M662" i="8" s="1"/>
  <c r="G663" i="8"/>
  <c r="M663" i="8" s="1"/>
  <c r="G664" i="8"/>
  <c r="M664" i="8" s="1"/>
  <c r="G665" i="8"/>
  <c r="M665" i="8" s="1"/>
  <c r="G666" i="8"/>
  <c r="M666" i="8" s="1"/>
  <c r="G667" i="8"/>
  <c r="M667" i="8" s="1"/>
  <c r="G670" i="8"/>
  <c r="M670" i="8" s="1"/>
  <c r="G671" i="8"/>
  <c r="M671" i="8" s="1"/>
  <c r="G672" i="8"/>
  <c r="M672" i="8" s="1"/>
  <c r="G673" i="8"/>
  <c r="M673" i="8" s="1"/>
  <c r="G674" i="8"/>
  <c r="M674" i="8" s="1"/>
  <c r="G699" i="8"/>
  <c r="M699" i="8" s="1"/>
  <c r="G700" i="8"/>
  <c r="M700" i="8" s="1"/>
  <c r="G701" i="8"/>
  <c r="M701" i="8" s="1"/>
  <c r="G702" i="8"/>
  <c r="M702" i="8" s="1"/>
  <c r="G703" i="8"/>
  <c r="M703" i="8" s="1"/>
  <c r="G704" i="8"/>
  <c r="M704" i="8" s="1"/>
  <c r="G705" i="8"/>
  <c r="M705" i="8" s="1"/>
  <c r="G706" i="8"/>
  <c r="M706" i="8" s="1"/>
  <c r="G707" i="8"/>
  <c r="M707" i="8" s="1"/>
  <c r="G708" i="8"/>
  <c r="M708" i="8" s="1"/>
  <c r="G709" i="8"/>
  <c r="M709" i="8" s="1"/>
  <c r="G710" i="8"/>
  <c r="M710" i="8" s="1"/>
  <c r="G711" i="8"/>
  <c r="M711" i="8" s="1"/>
  <c r="G712" i="8"/>
  <c r="M712" i="8" s="1"/>
  <c r="G713" i="8"/>
  <c r="M713" i="8" s="1"/>
  <c r="G714" i="8"/>
  <c r="M714" i="8" s="1"/>
  <c r="G715" i="8"/>
  <c r="M715" i="8" s="1"/>
  <c r="G716" i="8"/>
  <c r="M716" i="8" s="1"/>
  <c r="G717" i="8"/>
  <c r="M717" i="8" s="1"/>
  <c r="G718" i="8"/>
  <c r="M718" i="8" s="1"/>
  <c r="G719" i="8"/>
  <c r="M719" i="8" s="1"/>
  <c r="G720" i="8"/>
  <c r="M720" i="8" s="1"/>
  <c r="G721" i="8"/>
  <c r="M721" i="8" s="1"/>
  <c r="G722" i="8"/>
  <c r="M722" i="8" s="1"/>
  <c r="G723" i="8"/>
  <c r="M723" i="8" s="1"/>
  <c r="G724" i="8"/>
  <c r="M724" i="8" s="1"/>
  <c r="G725" i="8"/>
  <c r="M725" i="8" s="1"/>
  <c r="G726" i="8"/>
  <c r="M726" i="8" s="1"/>
  <c r="G727" i="8"/>
  <c r="M727" i="8" s="1"/>
  <c r="G728" i="8"/>
  <c r="M728" i="8" s="1"/>
  <c r="G729" i="8"/>
  <c r="M729" i="8" s="1"/>
  <c r="G730" i="8"/>
  <c r="M730" i="8" s="1"/>
  <c r="G731" i="8"/>
  <c r="M731" i="8" s="1"/>
  <c r="G732" i="8"/>
  <c r="M732" i="8" s="1"/>
  <c r="G733" i="8"/>
  <c r="M733" i="8" s="1"/>
  <c r="G734" i="8"/>
  <c r="M734" i="8" s="1"/>
  <c r="G735" i="8"/>
  <c r="M735" i="8" s="1"/>
  <c r="G736" i="8"/>
  <c r="M736" i="8" s="1"/>
  <c r="G737" i="8"/>
  <c r="M737" i="8" s="1"/>
  <c r="G738" i="8"/>
  <c r="M738" i="8" s="1"/>
  <c r="G739" i="8"/>
  <c r="M739" i="8" s="1"/>
  <c r="G740" i="8"/>
  <c r="M740" i="8" s="1"/>
  <c r="G741" i="8"/>
  <c r="M741" i="8" s="1"/>
  <c r="G742" i="8"/>
  <c r="M742" i="8" s="1"/>
  <c r="G743" i="8"/>
  <c r="M743" i="8" s="1"/>
  <c r="G744" i="8"/>
  <c r="M744" i="8" s="1"/>
  <c r="G745" i="8"/>
  <c r="M745" i="8" s="1"/>
  <c r="G746" i="8"/>
  <c r="M746" i="8" s="1"/>
  <c r="G747" i="8"/>
  <c r="M747" i="8" s="1"/>
  <c r="G748" i="8"/>
  <c r="M748" i="8" s="1"/>
  <c r="G749" i="8"/>
  <c r="M749" i="8" s="1"/>
  <c r="G750" i="8"/>
  <c r="M750" i="8" s="1"/>
  <c r="G751" i="8"/>
  <c r="M751" i="8" s="1"/>
  <c r="G752" i="8"/>
  <c r="M752" i="8" s="1"/>
  <c r="G753" i="8"/>
  <c r="M753" i="8" s="1"/>
  <c r="G754" i="8"/>
  <c r="M754" i="8" s="1"/>
  <c r="G755" i="8"/>
  <c r="M755" i="8" s="1"/>
  <c r="G756" i="8"/>
  <c r="M756" i="8" s="1"/>
  <c r="G758" i="8"/>
  <c r="M758" i="8" s="1"/>
  <c r="G759" i="8"/>
  <c r="M759" i="8" s="1"/>
  <c r="G760" i="8"/>
  <c r="M760" i="8" s="1"/>
  <c r="G761" i="8"/>
  <c r="M761" i="8" s="1"/>
  <c r="G763" i="8"/>
  <c r="M763" i="8" s="1"/>
  <c r="G764" i="8"/>
  <c r="M764" i="8" s="1"/>
  <c r="G766" i="8"/>
  <c r="M766" i="8" s="1"/>
  <c r="G767" i="8"/>
  <c r="M767" i="8" s="1"/>
  <c r="G769" i="8"/>
  <c r="M769" i="8" s="1"/>
  <c r="G770" i="8"/>
  <c r="M770" i="8" s="1"/>
  <c r="G772" i="8"/>
  <c r="M772" i="8" s="1"/>
  <c r="G782" i="8"/>
  <c r="M782" i="8" s="1"/>
  <c r="G784" i="8"/>
  <c r="M784" i="8" s="1"/>
  <c r="G786" i="8"/>
  <c r="M786" i="8" s="1"/>
  <c r="G787" i="8"/>
  <c r="M787" i="8" s="1"/>
  <c r="G788" i="8"/>
  <c r="M788" i="8" s="1"/>
  <c r="G789" i="8"/>
  <c r="M789" i="8" s="1"/>
  <c r="G790" i="8"/>
  <c r="M790" i="8" s="1"/>
  <c r="G791" i="8"/>
  <c r="M791" i="8" s="1"/>
  <c r="G792" i="8"/>
  <c r="M792" i="8" s="1"/>
  <c r="G793" i="8"/>
  <c r="M793" i="8" s="1"/>
  <c r="G794" i="8"/>
  <c r="M794" i="8" s="1"/>
  <c r="G795" i="8"/>
  <c r="M795" i="8" s="1"/>
  <c r="G796" i="8"/>
  <c r="M796" i="8" s="1"/>
  <c r="G797" i="8"/>
  <c r="M797" i="8" s="1"/>
  <c r="G798" i="8"/>
  <c r="M798" i="8" s="1"/>
  <c r="G799" i="8"/>
  <c r="M799" i="8" s="1"/>
  <c r="G800" i="8"/>
  <c r="M800" i="8" s="1"/>
  <c r="G801" i="8"/>
  <c r="M801" i="8" s="1"/>
  <c r="G802" i="8"/>
  <c r="M802" i="8" s="1"/>
  <c r="G803" i="8"/>
  <c r="M803" i="8" s="1"/>
  <c r="G804" i="8"/>
  <c r="M804" i="8" s="1"/>
  <c r="G805" i="8"/>
  <c r="M805" i="8" s="1"/>
  <c r="G806" i="8"/>
  <c r="M806" i="8" s="1"/>
  <c r="G807" i="8"/>
  <c r="M807" i="8" s="1"/>
  <c r="G808" i="8"/>
  <c r="M808" i="8" s="1"/>
  <c r="G809" i="8"/>
  <c r="M809" i="8" s="1"/>
  <c r="G810" i="8"/>
  <c r="M810" i="8" s="1"/>
  <c r="G811" i="8"/>
  <c r="M811" i="8" s="1"/>
  <c r="G812" i="8"/>
  <c r="M812" i="8" s="1"/>
  <c r="G813" i="8"/>
  <c r="M813" i="8" s="1"/>
  <c r="G814" i="8"/>
  <c r="M814" i="8" s="1"/>
  <c r="G815" i="8"/>
  <c r="M815" i="8" s="1"/>
  <c r="G816" i="8"/>
  <c r="M816" i="8" s="1"/>
  <c r="G817" i="8"/>
  <c r="M817" i="8" s="1"/>
  <c r="G818" i="8"/>
  <c r="M818" i="8" s="1"/>
  <c r="G819" i="8"/>
  <c r="M819" i="8" s="1"/>
  <c r="G820" i="8"/>
  <c r="M820" i="8" s="1"/>
  <c r="G821" i="8"/>
  <c r="M821" i="8" s="1"/>
  <c r="G822" i="8"/>
  <c r="M822" i="8" s="1"/>
  <c r="G823" i="8"/>
  <c r="M823" i="8" s="1"/>
  <c r="G824" i="8"/>
  <c r="M824" i="8" s="1"/>
  <c r="G825" i="8"/>
  <c r="M825" i="8" s="1"/>
  <c r="G576" i="8"/>
  <c r="M576" i="8" s="1"/>
  <c r="G585" i="8"/>
  <c r="M585" i="8" s="1"/>
  <c r="G602" i="8"/>
  <c r="M602" i="8" s="1"/>
  <c r="G776" i="8"/>
  <c r="M776" i="8" s="1"/>
  <c r="G778" i="8"/>
  <c r="M778" i="8" s="1"/>
  <c r="G780" i="8"/>
  <c r="M780" i="8" s="1"/>
  <c r="G783" i="8"/>
  <c r="M783" i="8" s="1"/>
  <c r="G785" i="8"/>
  <c r="M785" i="8" s="1"/>
  <c r="G884" i="8"/>
  <c r="M884" i="8" s="1"/>
  <c r="G919" i="8"/>
  <c r="M919" i="8" s="1"/>
  <c r="G925" i="8"/>
  <c r="M925" i="8" s="1"/>
  <c r="G927" i="8"/>
  <c r="M927" i="8" s="1"/>
  <c r="G929" i="8"/>
  <c r="M929" i="8" s="1"/>
  <c r="G930" i="8"/>
  <c r="M930" i="8" s="1"/>
  <c r="G932" i="8"/>
  <c r="M932" i="8" s="1"/>
  <c r="G933" i="8"/>
  <c r="M933" i="8" s="1"/>
  <c r="G934" i="8"/>
  <c r="M934" i="8" s="1"/>
  <c r="G935" i="8"/>
  <c r="M935" i="8" s="1"/>
  <c r="G936" i="8"/>
  <c r="M936" i="8" s="1"/>
  <c r="G937" i="8"/>
  <c r="M937" i="8" s="1"/>
  <c r="G938" i="8"/>
  <c r="M938" i="8" s="1"/>
  <c r="G939" i="8"/>
  <c r="M939" i="8" s="1"/>
  <c r="G940" i="8"/>
  <c r="M940" i="8" s="1"/>
  <c r="G941" i="8"/>
  <c r="M941" i="8" s="1"/>
  <c r="G942" i="8"/>
  <c r="M942" i="8" s="1"/>
  <c r="G943" i="8"/>
  <c r="M943" i="8" s="1"/>
  <c r="G944" i="8"/>
  <c r="M944" i="8" s="1"/>
  <c r="G945" i="8"/>
  <c r="M945" i="8" s="1"/>
  <c r="G946" i="8"/>
  <c r="M946" i="8" s="1"/>
  <c r="G947" i="8"/>
  <c r="M947" i="8" s="1"/>
  <c r="G948" i="8"/>
  <c r="M948" i="8" s="1"/>
  <c r="G949" i="8"/>
  <c r="M949" i="8" s="1"/>
  <c r="G950" i="8"/>
  <c r="M950" i="8" s="1"/>
  <c r="G573" i="8"/>
  <c r="M573" i="8" s="1"/>
  <c r="G577" i="8"/>
  <c r="M577" i="8" s="1"/>
  <c r="G578" i="8"/>
  <c r="M578" i="8" s="1"/>
  <c r="G586" i="8"/>
  <c r="M586" i="8" s="1"/>
  <c r="G587" i="8"/>
  <c r="M587" i="8" s="1"/>
  <c r="G593" i="8"/>
  <c r="M593" i="8" s="1"/>
  <c r="G598" i="8"/>
  <c r="M598" i="8" s="1"/>
  <c r="G599" i="8"/>
  <c r="M599" i="8" s="1"/>
  <c r="G600" i="8"/>
  <c r="M600" i="8" s="1"/>
  <c r="G773" i="8"/>
  <c r="M773" i="8" s="1"/>
  <c r="G777" i="8"/>
  <c r="M777" i="8" s="1"/>
  <c r="G779" i="8"/>
  <c r="M779" i="8" s="1"/>
  <c r="G781" i="8"/>
  <c r="M781" i="8" s="1"/>
  <c r="G830" i="8"/>
  <c r="M830" i="8" s="1"/>
  <c r="G834" i="8"/>
  <c r="M834" i="8" s="1"/>
  <c r="G837" i="8"/>
  <c r="M837" i="8" s="1"/>
  <c r="G838" i="8"/>
  <c r="M838" i="8" s="1"/>
  <c r="G840" i="8"/>
  <c r="M840" i="8" s="1"/>
  <c r="G842" i="8"/>
  <c r="M842" i="8" s="1"/>
  <c r="G843" i="8"/>
  <c r="M843" i="8" s="1"/>
  <c r="G845" i="8"/>
  <c r="M845" i="8" s="1"/>
  <c r="G848" i="8"/>
  <c r="M848" i="8" s="1"/>
  <c r="G849" i="8"/>
  <c r="M849" i="8" s="1"/>
  <c r="G850" i="8"/>
  <c r="M850" i="8" s="1"/>
  <c r="G851" i="8"/>
  <c r="M851" i="8" s="1"/>
  <c r="G853" i="8"/>
  <c r="M853" i="8" s="1"/>
  <c r="G856" i="8"/>
  <c r="M856" i="8" s="1"/>
  <c r="G861" i="8"/>
  <c r="M861" i="8" s="1"/>
  <c r="G862" i="8"/>
  <c r="M862" i="8" s="1"/>
  <c r="G864" i="8"/>
  <c r="M864" i="8" s="1"/>
  <c r="G866" i="8"/>
  <c r="M866" i="8" s="1"/>
  <c r="G869" i="8"/>
  <c r="M869" i="8" s="1"/>
  <c r="G872" i="8"/>
  <c r="M872" i="8" s="1"/>
  <c r="G874" i="8"/>
  <c r="M874" i="8" s="1"/>
  <c r="G876" i="8"/>
  <c r="M876" i="8" s="1"/>
  <c r="G879" i="8"/>
  <c r="M879" i="8" s="1"/>
  <c r="G880" i="8"/>
  <c r="M880" i="8" s="1"/>
  <c r="G881" i="8"/>
  <c r="M881" i="8" s="1"/>
  <c r="G882" i="8"/>
  <c r="M882" i="8" s="1"/>
  <c r="G886" i="8"/>
  <c r="M886" i="8" s="1"/>
  <c r="G888" i="8"/>
  <c r="M888" i="8" s="1"/>
  <c r="G891" i="8"/>
  <c r="M891" i="8" s="1"/>
  <c r="G893" i="8"/>
  <c r="M893" i="8" s="1"/>
  <c r="G894" i="8"/>
  <c r="M894" i="8" s="1"/>
  <c r="G897" i="8"/>
  <c r="M897" i="8" s="1"/>
  <c r="G898" i="8"/>
  <c r="M898" i="8" s="1"/>
  <c r="G900" i="8"/>
  <c r="M900" i="8" s="1"/>
  <c r="G902" i="8"/>
  <c r="M902" i="8" s="1"/>
  <c r="G904" i="8"/>
  <c r="M904" i="8" s="1"/>
  <c r="G905" i="8"/>
  <c r="M905" i="8" s="1"/>
  <c r="G906" i="8"/>
  <c r="M906" i="8" s="1"/>
  <c r="G908" i="8"/>
  <c r="M908" i="8" s="1"/>
  <c r="G910" i="8"/>
  <c r="M910" i="8" s="1"/>
  <c r="G912" i="8"/>
  <c r="M912" i="8" s="1"/>
  <c r="G915" i="8"/>
  <c r="M915" i="8" s="1"/>
  <c r="G918" i="8"/>
  <c r="M918" i="8" s="1"/>
  <c r="G920" i="8"/>
  <c r="M920" i="8" s="1"/>
  <c r="G922" i="8"/>
  <c r="M922" i="8" s="1"/>
  <c r="G926" i="8"/>
  <c r="M926" i="8" s="1"/>
  <c r="G928" i="8"/>
  <c r="M928" i="8" s="1"/>
  <c r="G952" i="8"/>
  <c r="M952" i="8" s="1"/>
  <c r="G955" i="8"/>
  <c r="M955" i="8" s="1"/>
  <c r="G957" i="8"/>
  <c r="M957" i="8" s="1"/>
  <c r="G958" i="8"/>
  <c r="M958" i="8" s="1"/>
  <c r="G959" i="8"/>
  <c r="M959" i="8" s="1"/>
  <c r="G960" i="8"/>
  <c r="M960" i="8" s="1"/>
  <c r="G961" i="8"/>
  <c r="M961" i="8" s="1"/>
  <c r="G962" i="8"/>
  <c r="M962" i="8" s="1"/>
  <c r="G963" i="8"/>
  <c r="M963" i="8" s="1"/>
  <c r="G964" i="8"/>
  <c r="M964" i="8" s="1"/>
  <c r="G965" i="8"/>
  <c r="M965" i="8" s="1"/>
  <c r="G966" i="8"/>
  <c r="M966" i="8" s="1"/>
  <c r="G967" i="8"/>
  <c r="M967" i="8" s="1"/>
  <c r="G968" i="8"/>
  <c r="M968" i="8" s="1"/>
  <c r="G969" i="8"/>
  <c r="M969" i="8" s="1"/>
  <c r="G970" i="8"/>
  <c r="M970" i="8" s="1"/>
  <c r="G971" i="8"/>
  <c r="M971" i="8" s="1"/>
  <c r="G972" i="8"/>
  <c r="M972" i="8" s="1"/>
  <c r="G973" i="8"/>
  <c r="M973" i="8" s="1"/>
  <c r="G974" i="8"/>
  <c r="M974" i="8" s="1"/>
  <c r="G975" i="8"/>
  <c r="M975" i="8" s="1"/>
  <c r="G976" i="8"/>
  <c r="M976" i="8" s="1"/>
  <c r="G977" i="8"/>
  <c r="M977" i="8" s="1"/>
  <c r="G978" i="8"/>
  <c r="M978" i="8" s="1"/>
  <c r="G979" i="8"/>
  <c r="M979" i="8" s="1"/>
  <c r="G980" i="8"/>
  <c r="M980" i="8" s="1"/>
  <c r="G981" i="8"/>
  <c r="M981" i="8" s="1"/>
  <c r="G982" i="8"/>
  <c r="M982" i="8" s="1"/>
  <c r="G983" i="8"/>
  <c r="M983" i="8" s="1"/>
  <c r="G984" i="8"/>
  <c r="M984" i="8" s="1"/>
  <c r="G985" i="8"/>
  <c r="M985" i="8" s="1"/>
  <c r="G986" i="8"/>
  <c r="M986" i="8" s="1"/>
  <c r="G987" i="8"/>
  <c r="M987" i="8" s="1"/>
  <c r="G988" i="8"/>
  <c r="M988" i="8" s="1"/>
  <c r="G989" i="8"/>
  <c r="M989" i="8" s="1"/>
  <c r="G990" i="8"/>
  <c r="M990" i="8" s="1"/>
  <c r="G991" i="8"/>
  <c r="M991" i="8" s="1"/>
  <c r="G992" i="8"/>
  <c r="M992" i="8" s="1"/>
  <c r="G993" i="8"/>
  <c r="M993" i="8" s="1"/>
  <c r="G994" i="8"/>
  <c r="M994" i="8" s="1"/>
  <c r="G995" i="8"/>
  <c r="M995" i="8" s="1"/>
  <c r="G996" i="8"/>
  <c r="M996" i="8" s="1"/>
  <c r="G997" i="8"/>
  <c r="M997" i="8" s="1"/>
  <c r="G998" i="8"/>
  <c r="M998" i="8" s="1"/>
  <c r="G999" i="8"/>
  <c r="M999" i="8" s="1"/>
  <c r="G1000" i="8"/>
  <c r="M1000" i="8" s="1"/>
  <c r="G1001" i="8"/>
  <c r="M1001" i="8" s="1"/>
  <c r="G1002" i="8"/>
  <c r="M1002" i="8" s="1"/>
  <c r="G1003" i="8"/>
  <c r="M1003" i="8" s="1"/>
  <c r="G1004" i="8"/>
  <c r="M1004" i="8" s="1"/>
  <c r="G1005" i="8"/>
  <c r="M1005" i="8" s="1"/>
  <c r="G1006" i="8"/>
  <c r="M1006" i="8" s="1"/>
  <c r="G1007" i="8"/>
  <c r="M1007" i="8" s="1"/>
  <c r="G1008" i="8"/>
  <c r="M1008" i="8" s="1"/>
  <c r="G1009" i="8"/>
  <c r="M1009" i="8" s="1"/>
  <c r="G1010" i="8"/>
  <c r="M1010" i="8" s="1"/>
  <c r="G1011" i="8"/>
  <c r="M1011" i="8" s="1"/>
  <c r="G1012" i="8"/>
  <c r="M1012" i="8" s="1"/>
  <c r="G1013" i="8"/>
  <c r="M1013" i="8" s="1"/>
  <c r="G372" i="8"/>
  <c r="M372" i="8" s="1"/>
  <c r="G436" i="8"/>
  <c r="M436" i="8" s="1"/>
  <c r="G757" i="8"/>
  <c r="M757" i="8" s="1"/>
  <c r="G631" i="8"/>
  <c r="M631" i="8" s="1"/>
  <c r="G51" i="8"/>
  <c r="M51" i="8" s="1"/>
  <c r="G308" i="8"/>
  <c r="M308" i="8" s="1"/>
  <c r="G20" i="7" l="1"/>
  <c r="G21" i="7"/>
  <c r="D20" i="2" s="1"/>
  <c r="G22" i="7"/>
  <c r="D21" i="2" s="1"/>
  <c r="G23" i="7"/>
  <c r="C11" i="7"/>
  <c r="B12" i="8"/>
  <c r="B7" i="8"/>
  <c r="B11" i="8"/>
  <c r="B5" i="8"/>
  <c r="B16" i="2" s="1"/>
  <c r="B10" i="8"/>
  <c r="D15" i="2" s="1"/>
  <c r="B8" i="8"/>
  <c r="C15" i="2" s="1"/>
  <c r="B9" i="8"/>
  <c r="B6" i="8"/>
  <c r="B15" i="2" s="1"/>
  <c r="D19" i="2" l="1"/>
  <c r="C30" i="7"/>
  <c r="C9" i="2" s="1"/>
  <c r="G24" i="7"/>
  <c r="G25" i="7" s="1"/>
  <c r="C32" i="7"/>
  <c r="C31" i="7"/>
  <c r="C39" i="7"/>
  <c r="D22" i="2"/>
  <c r="C15" i="7"/>
  <c r="C12" i="7"/>
  <c r="C6" i="2" s="1"/>
  <c r="C13" i="7"/>
  <c r="C14" i="7"/>
  <c r="C12" i="2" s="1"/>
  <c r="C8" i="2"/>
  <c r="C5" i="2"/>
  <c r="D31" i="2"/>
  <c r="C34" i="7" l="1"/>
  <c r="C10" i="2"/>
  <c r="C33" i="7"/>
  <c r="C41" i="7"/>
  <c r="C43" i="7" s="1"/>
  <c r="C42" i="7"/>
  <c r="D23" i="2"/>
  <c r="C35" i="7" l="1"/>
  <c r="C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200-000001000000}">
      <text>
        <r>
          <rPr>
            <sz val="10"/>
            <rFont val="Arial"/>
            <family val="2"/>
          </rPr>
          <t>Source: WDPR Fall 2026 IE Case Study, Historical Festival Attendance table.</t>
        </r>
      </text>
    </comment>
  </commentList>
</comments>
</file>

<file path=xl/sharedStrings.xml><?xml version="1.0" encoding="utf-8"?>
<sst xmlns="http://schemas.openxmlformats.org/spreadsheetml/2006/main" count="333" uniqueCount="267">
  <si>
    <t>Autumn Harvest Festival 2026 Attendance Forecast Model</t>
  </si>
  <si>
    <t>WDPR 2026 IE Case Study, Part 1. Built in 2026.</t>
  </si>
  <si>
    <t>Purpose</t>
  </si>
  <si>
    <t>Produce low / expected / high 2026 attendance forecasts, allocate them by weekend, identify the peak weekend, and document the method and every assumption for festival leadership.</t>
  </si>
  <si>
    <t>Recommended method</t>
  </si>
  <si>
    <t>Combination trend baseline (equal-weight average of five extrapolation methods) followed by driver-based causal adjustments for the four structural changes in 2026 that history cannot capture: +20% marketing spend, expanded advertising reach (500k to 1.2M), 25th-anniversary halo, and the Weekend 4 concert. Uncertainty is quantified two ways: discrete Low/Expected/High scenarios and a 1,000-trial Monte Carlo simulation.</t>
  </si>
  <si>
    <t>Why not one model</t>
  </si>
  <si>
    <t>With five annual observations, ARIMA, Prophet, and machine-learning methods cannot be estimated reliably. The M-Competitions (Makridakis et al.) repeatedly show that simple methods match complex ones and that combining forecasts reduces error. Fildes et al. (2009) show judgmental adjustments to statistical forecasts improve accuracy when they are based on information the model cannot see, which is exactly the situation here.</t>
  </si>
  <si>
    <t>Sheet guide</t>
  </si>
  <si>
    <t>Data: historical inputs from the case. Trend_Models: five extrapolation methods plus Holt's, and the ensemble. Backtest: rolling-origin hold-out accuracy (MAPE, bias) for each method. Assumptions: every driver with Low/Expected/High values and its source. Forecast: scenario build-up, weekend allocation, peak weekend, concert capacity check. MonteCarlo: 1,000 random trials over the drivers. Summary: dashboard tables and charts.</t>
  </si>
  <si>
    <t>Color legend</t>
  </si>
  <si>
    <t>Blue text = hard-coded input you may change. Black text = formula. Green text = link to another sheet. Yellow fill = key assumption that most affects the answer. Change inputs only in blue cells; everything downstream recalculates.</t>
  </si>
  <si>
    <t>Monte Carlo note</t>
  </si>
  <si>
    <t>The MonteCarlo sheet uses RAND(), so its percentiles move slightly every time the workbook recalculates (press F9). This is expected. Report the percentiles to the nearest hundred.</t>
  </si>
  <si>
    <t>Attendance unit</t>
  </si>
  <si>
    <t>The case does not state whether attendance is unique guests or person-days (turnstile visits). This model treats it as person-days and converts to unique guests through a visits-per-guest assumption when it needs a population penetration rate. State this assumption on your slide.</t>
  </si>
  <si>
    <t>Summary dashboard: 2026 attendance forecast</t>
  </si>
  <si>
    <t>Method: ensemble trend baseline + driver-based adjustments (marketing, reach, anniversary, concert), with scenario and Monte Carlo uncertainty. See README.</t>
  </si>
  <si>
    <t>Headline</t>
  </si>
  <si>
    <t>Low</t>
  </si>
  <si>
    <t>Expected</t>
  </si>
  <si>
    <t>High</t>
  </si>
  <si>
    <t>2026 total attendance</t>
  </si>
  <si>
    <t>Growth vs 2025 (56,000)</t>
  </si>
  <si>
    <t>Trend-only baseline</t>
  </si>
  <si>
    <t>Uplift from 2026 drivers</t>
  </si>
  <si>
    <t>Peak weekend</t>
  </si>
  <si>
    <t>Peak weekend attendance</t>
  </si>
  <si>
    <t>Peak day attendance</t>
  </si>
  <si>
    <t>Average per festival day</t>
  </si>
  <si>
    <t>Monte Carlo band</t>
  </si>
  <si>
    <t>P10</t>
  </si>
  <si>
    <t>P50</t>
  </si>
  <si>
    <t>P90</t>
  </si>
  <si>
    <t>Simulation mean</t>
  </si>
  <si>
    <t>Weekend</t>
  </si>
  <si>
    <t>Base share</t>
  </si>
  <si>
    <t>Weekend 1</t>
  </si>
  <si>
    <t>Weekend 2</t>
  </si>
  <si>
    <t>Weekend 3</t>
  </si>
  <si>
    <t>Weekend 4</t>
  </si>
  <si>
    <t>Total</t>
  </si>
  <si>
    <t>Year</t>
  </si>
  <si>
    <t>Actual</t>
  </si>
  <si>
    <t>2021</t>
  </si>
  <si>
    <t>2022</t>
  </si>
  <si>
    <t>2023</t>
  </si>
  <si>
    <t>2024</t>
  </si>
  <si>
    <t>2025</t>
  </si>
  <si>
    <t>2026F</t>
  </si>
  <si>
    <t>Method comparison (trend only)</t>
  </si>
  <si>
    <t>2026</t>
  </si>
  <si>
    <t>Backtest MAPE</t>
  </si>
  <si>
    <t>Linear regression (OLS)</t>
  </si>
  <si>
    <t>Log-linear</t>
  </si>
  <si>
    <t>CAGR 2021-25</t>
  </si>
  <si>
    <t>CAGR 2022-25</t>
  </si>
  <si>
    <t>n/a</t>
  </si>
  <si>
    <t>Average YoY growth</t>
  </si>
  <si>
    <t>Holt's (excluded)</t>
  </si>
  <si>
    <t>Naive (excluded)</t>
  </si>
  <si>
    <t>ENSEMBLE (used)</t>
  </si>
  <si>
    <t>Historical inputs (from case study)</t>
  </si>
  <si>
    <t>Total attendance</t>
  </si>
  <si>
    <t>YoY growth</t>
  </si>
  <si>
    <t>t (period index)</t>
  </si>
  <si>
    <t>ln(attendance)</t>
  </si>
  <si>
    <t>-</t>
  </si>
  <si>
    <t>Source: WDPR 2026 IE Case Study, 'Historical Festival Attendance' table. 2021 may be COVID-affected; see Backtest and PDF for treatment.</t>
  </si>
  <si>
    <t>Typical attendance distribution by weekend (seasonal index)</t>
  </si>
  <si>
    <t>% of total</t>
  </si>
  <si>
    <t>Check (sum)</t>
  </si>
  <si>
    <t>Source: case study 'Typical Attendance Distribution by Weekend'.</t>
  </si>
  <si>
    <t>Operating parameters</t>
  </si>
  <si>
    <t>Weekends</t>
  </si>
  <si>
    <t>Days per weekend</t>
  </si>
  <si>
    <t>Operating hours per day</t>
  </si>
  <si>
    <t>Festival days</t>
  </si>
  <si>
    <t>Step 1: Statistical trend baseline (what history alone predicts for 2026)</t>
  </si>
  <si>
    <t>Forecast period index t (2026 = 6)</t>
  </si>
  <si>
    <t>Method</t>
  </si>
  <si>
    <t>How it works</t>
  </si>
  <si>
    <t>2026 forecast</t>
  </si>
  <si>
    <t>Implied growth vs 2025</t>
  </si>
  <si>
    <t>Include in ensemble (1/0)</t>
  </si>
  <si>
    <t>Fits attendance = a + b*t by least squares; extends the line one period.</t>
  </si>
  <si>
    <t>Log-linear (exponential trend)</t>
  </si>
  <si>
    <t>Fits ln(attendance) = a + b*t; implies constant % growth.</t>
  </si>
  <si>
    <t>CAGR 2021-2025</t>
  </si>
  <si>
    <t>Compound annual growth from first to last year, applied once more.</t>
  </si>
  <si>
    <t>CAGR 2022-2025 (recent 3 yrs)</t>
  </si>
  <si>
    <t>Same, but drops 2021 to reflect the more recent, faster trend.</t>
  </si>
  <si>
    <t>Arithmetic mean of the four annual growth rates, applied to 2025.</t>
  </si>
  <si>
    <t>Holt's linear exponential smoothing</t>
  </si>
  <si>
    <t>Level + trend smoothing with alpha, beta (block below). Unstable on 5 points; shown for completeness.</t>
  </si>
  <si>
    <t>Naive (last value)</t>
  </si>
  <si>
    <t>2026 = 2025. Benchmark only.</t>
  </si>
  <si>
    <t>ENSEMBLE BASELINE (equal-weight average of included methods)</t>
  </si>
  <si>
    <t>Low end of trend methods (min of rows 6-10)</t>
  </si>
  <si>
    <t>High end of trend methods (max of rows 6-10)</t>
  </si>
  <si>
    <t>Spread across methods</t>
  </si>
  <si>
    <t>Rationale: M-Competitions (Makridakis &amp; Hibon 2000; Makridakis, Spiliotis &amp; Assimakopoulos 2020) show equal-weight combinations of simple methods beat most single methods. Combining also averages out the OLS tendency to under-weight recent acceleration and the recent-CAGR tendency to over-weight it.</t>
  </si>
  <si>
    <t>Holt's linear method (double exponential smoothing)</t>
  </si>
  <si>
    <t>alpha (level smoothing)</t>
  </si>
  <si>
    <t>beta (trend smoothing)</t>
  </si>
  <si>
    <t>t</t>
  </si>
  <si>
    <t>Level L_t</t>
  </si>
  <si>
    <t>Trend T_t</t>
  </si>
  <si>
    <t>One-step fit</t>
  </si>
  <si>
    <t>Squared error</t>
  </si>
  <si>
    <t>Holt 2026 forecast = L_5 + T_5</t>
  </si>
  <si>
    <t>In-sample SSE</t>
  </si>
  <si>
    <t>Initialization: L_1 = y_1, T_1 = y_2 - y_1 (Hyndman &amp; Athanasopoulos, FPP3 ch. 8). With only five points the SSE-minimizing alpha and beta go to 1.0, which collapses Holt's to 'last value plus last change'. This is why Holt's is excluded from the ensemble by default.</t>
  </si>
  <si>
    <t>Rolling-origin hold-out test (fit on early years, forecast the next, compare to actual)</t>
  </si>
  <si>
    <t>Fold 1: train 2021-2023, test 2024.   Fold 2: train 2021-2024, test 2025.   Metric: MAPE (Hyndman &amp; Koehler 2006) and mean bias.</t>
  </si>
  <si>
    <t>Fold 1 forecast (2024)</t>
  </si>
  <si>
    <t>Fold 1 actual</t>
  </si>
  <si>
    <t>Fold 1 APE</t>
  </si>
  <si>
    <t>Fold 2 forecast (2025)</t>
  </si>
  <si>
    <t>Fold 2 actual</t>
  </si>
  <si>
    <t>Fold 2 APE</t>
  </si>
  <si>
    <t>MAPE</t>
  </si>
  <si>
    <t>Mean bias (fc - actual)/actual</t>
  </si>
  <si>
    <t>CAGR (full window)</t>
  </si>
  <si>
    <t>Best single method by MAPE</t>
  </si>
  <si>
    <t>Average bias across methods</t>
  </si>
  <si>
    <t>Reading the result: every method has negative bias (forecasts below actual) because growth accelerated in 2024-2025. Growth-rate methods (CAGR, average YoY) compound and therefore lag less than the straight line. Two folds is a thin test; treat the ranking as directional and use it to justify (a) combining methods and (b) not relying on the straight line alone. Recent-window CAGR and Holt's cannot be backtested on this little data without leaking the answer, so they are omitted here.</t>
  </si>
  <si>
    <t>Step 2: Driver assumptions (Low / Expected / High) with sources</t>
  </si>
  <si>
    <t>Blue = editable. Yellow fill = the assumptions the answer is most sensitive to. Every number below is either from the case, from a cited source, or an explicit team judgment labeled as such.</t>
  </si>
  <si>
    <t>Parameter</t>
  </si>
  <si>
    <t>Unit</t>
  </si>
  <si>
    <t>Source / rationale</t>
  </si>
  <si>
    <t>Baseline trend forecast 2026 (from Trend_Models)</t>
  </si>
  <si>
    <t>visits</t>
  </si>
  <si>
    <t>Low = lowest trend method, Expected = ensemble average, High = highest trend method (recent-window CAGR).</t>
  </si>
  <si>
    <t>Marketing spend increase vs 2025</t>
  </si>
  <si>
    <t>%</t>
  </si>
  <si>
    <t>Case study: 'Marketing spend has increased 20% compared to 2025'.</t>
  </si>
  <si>
    <t>Advertising elasticity of attendance</t>
  </si>
  <si>
    <t>elasticity</t>
  </si>
  <si>
    <t>Expected 0.12 = mean short-term ad elasticity, meta-analysis of 751 estimates (Sethuraman, Tellis &amp; Briesch 2011, J. Marketing Research). High 0.24 = their long-term mean. Low 0.05 reflects Henningsen et al. 2011 (0.09) and lower elasticity in mature markets.</t>
  </si>
  <si>
    <t>Local metro population (historical ad reach)</t>
  </si>
  <si>
    <t>residents</t>
  </si>
  <si>
    <t>Case study.</t>
  </si>
  <si>
    <t>Total 2026 advertising reach</t>
  </si>
  <si>
    <t>Incremental (new-market) population reached</t>
  </si>
  <si>
    <t>Formula: total reach minus local metro.</t>
  </si>
  <si>
    <t>Visits per unique local guest</t>
  </si>
  <si>
    <t>visits/guest</t>
  </si>
  <si>
    <t>Team assumption. Converts person-day attendance to unique guests. A higher value means fewer unique locals and a lower penetration rate (conservative for Low).</t>
  </si>
  <si>
    <t>Unique local guests 2025 (implied)</t>
  </si>
  <si>
    <t>guests</t>
  </si>
  <si>
    <t>Formula: 2025 attendance / visits per guest.</t>
  </si>
  <si>
    <t>Local market penetration (unique guests / population)</t>
  </si>
  <si>
    <t>Formula.</t>
  </si>
  <si>
    <t>New-market relative conversion (distance-decay factor)</t>
  </si>
  <si>
    <t>x local rate</t>
  </si>
  <si>
    <t>Gravity / distance-decay assumption: residents 30-80 miles away convert at a small fraction of the local rate in year one. Supported by Popp, Jensen &amp; Jackson (2017, IJEFM): market population and distance traveled are among 7 variables explaining 77.5% of event attendance variance. Bass diffusion cross-check below brackets the low end.</t>
  </si>
  <si>
    <t>Visits per new-market guest</t>
  </si>
  <si>
    <t>Team assumption: out-of-area guests attend fewer days than locals.</t>
  </si>
  <si>
    <t>Incremental visits from expanded reach</t>
  </si>
  <si>
    <t>Formula: new population x local penetration x distance-decay x visits per new guest.</t>
  </si>
  <si>
    <t>25th-anniversary halo (earned media, lapsed-guest reactivation)</t>
  </si>
  <si>
    <t>% uplift</t>
  </si>
  <si>
    <t>Team judgment. Applied to all four weekends. Kept deliberately small so it does not double count the marketing and concert effects.</t>
  </si>
  <si>
    <t>Concert-driven incremental visits (Weekend 4 only)</t>
  </si>
  <si>
    <t>Team judgment: guests who attend only because of the free anniversary concert. Capped by concert capacity (row 19 x row 20).</t>
  </si>
  <si>
    <t>Concert venue capacity per performance</t>
  </si>
  <si>
    <t>Concert performances during Weekend 4</t>
  </si>
  <si>
    <t>performances</t>
  </si>
  <si>
    <t>Team assumption: one performance per day (Sat and Sun). Change to 1 if the concert is a single event.</t>
  </si>
  <si>
    <t>Share of total attendance shifted into Weekend 4 by the concert</t>
  </si>
  <si>
    <t>pct points</t>
  </si>
  <si>
    <t>Team judgment: existing guests choosing Weekend 4 over another weekend. Redistributes share; does not add visits.</t>
  </si>
  <si>
    <t>Saturday share of a weekend's attendance</t>
  </si>
  <si>
    <t>Team assumption for peak-day sizing (used in Part 2). Set 0.50 for even split.</t>
  </si>
  <si>
    <t>Cross-check on reach expansion: Bass diffusion (new-market adoption in year 1)</t>
  </si>
  <si>
    <t>Coefficient of innovation p (external influence)</t>
  </si>
  <si>
    <t>per year</t>
  </si>
  <si>
    <t>Sultan, Farley &amp; Lehmann (1990, JMR) meta-analysis of 213 applications: mean p = 0.03, q = 0.38. Expected and High raised above 0.03 because a paid advertising campaign is pure external influence.</t>
  </si>
  <si>
    <t>Long-run new-market penetration relative to local</t>
  </si>
  <si>
    <t>Team judgment: eventual ceiling for a market 30-80 miles away.</t>
  </si>
  <si>
    <t>Market potential m (unique guests)</t>
  </si>
  <si>
    <t>Year-1 adopters = p x m</t>
  </si>
  <si>
    <t>Bass model, first period (no prior adopters, so imitation term is zero).</t>
  </si>
  <si>
    <t>Year-1 visits (x visits per new guest)</t>
  </si>
  <si>
    <t>Compare to row 16. Bass brackets the low end of the gravity estimate; the gravity estimate is used in the forecast.</t>
  </si>
  <si>
    <t>Step 3: 2026 forecast build-up, weekend allocation, peak weekend</t>
  </si>
  <si>
    <t>Build-up step</t>
  </si>
  <si>
    <t>Logic</t>
  </si>
  <si>
    <t>Baseline trend forecast</t>
  </si>
  <si>
    <t>History-only forecast (Trend_Models).</t>
  </si>
  <si>
    <t>Marketing uplift %</t>
  </si>
  <si>
    <t>Spend increase x advertising elasticity.</t>
  </si>
  <si>
    <t>After marketing uplift</t>
  </si>
  <si>
    <t>Baseline x (1 + uplift).</t>
  </si>
  <si>
    <t>Anniversary halo %</t>
  </si>
  <si>
    <t>Assumptions row 17.</t>
  </si>
  <si>
    <t>After anniversary halo</t>
  </si>
  <si>
    <t>Multiplicative.</t>
  </si>
  <si>
    <t>+ Incremental visits from expanded reach</t>
  </si>
  <si>
    <t>Additive: new guests from new markets (Assumptions row 16).</t>
  </si>
  <si>
    <t>+ Concert-driven incremental visits (W4)</t>
  </si>
  <si>
    <t>Additive, capped at concert capacity x performances.</t>
  </si>
  <si>
    <t>TOTAL 2026 ATTENDANCE FORECAST</t>
  </si>
  <si>
    <t>Sum of the above.</t>
  </si>
  <si>
    <t>Growth vs 2025</t>
  </si>
  <si>
    <t>For context: 2025 grew 4.7%.</t>
  </si>
  <si>
    <t>Increment vs 2025 (visits)</t>
  </si>
  <si>
    <t>Average attendance per festival day</t>
  </si>
  <si>
    <t>Total / 8 days.</t>
  </si>
  <si>
    <t>Share of forecast that is driver uplift (not trend)</t>
  </si>
  <si>
    <t>How much of the answer rests on the judgmental drivers.</t>
  </si>
  <si>
    <t>Weekend allocation (seasonal index adjusted for the Weekend 4 concert)</t>
  </si>
  <si>
    <t>Low share</t>
  </si>
  <si>
    <t>Expected share</t>
  </si>
  <si>
    <t>High share</t>
  </si>
  <si>
    <t>Low attendance</t>
  </si>
  <si>
    <t>Expected attendance</t>
  </si>
  <si>
    <t>High attendance</t>
  </si>
  <si>
    <t>Check: totals match row 11</t>
  </si>
  <si>
    <t>Logic: Weekend 4 share = base share + concert shift. Weekends 1-3 are scaled down proportionally so shares still sum to 100%. Concert-driven incremental visits (row 10) are added to Weekend 4 only.</t>
  </si>
  <si>
    <t>Peak weekend and peak day</t>
  </si>
  <si>
    <t>Metric</t>
  </si>
  <si>
    <t>Peak weekend (number)</t>
  </si>
  <si>
    <t>Second-highest weekend attendance</t>
  </si>
  <si>
    <t>Gap between top two weekends</t>
  </si>
  <si>
    <t>Peak day attendance (peak weekend x Saturday share)</t>
  </si>
  <si>
    <t>Peak-day average guests per operating hour</t>
  </si>
  <si>
    <t>Concert capacity check (Weekend 4)</t>
  </si>
  <si>
    <t>Weekend 4 attendance</t>
  </si>
  <si>
    <t>Concert seats available (capacity x performances)</t>
  </si>
  <si>
    <t>Seats as % of Weekend 4 guests</t>
  </si>
  <si>
    <t>Guests who cannot be seated if all want to attend</t>
  </si>
  <si>
    <t>Flag</t>
  </si>
  <si>
    <t>Step 4: Monte Carlo simulation (1,000 trials, triangular distributions on each driver)</t>
  </si>
  <si>
    <t>Each driver is sampled from a triangular distribution with min = Low, mode = Expected, max = High from the Assumptions sheet. Press F9 to resample. Percentiles below are the forecast band.</t>
  </si>
  <si>
    <t>Statistic</t>
  </si>
  <si>
    <t>Value</t>
  </si>
  <si>
    <t>Driver</t>
  </si>
  <si>
    <t>Min (Low)</t>
  </si>
  <si>
    <t>Mode (Expected)</t>
  </si>
  <si>
    <t>Max (High)</t>
  </si>
  <si>
    <t>Mean</t>
  </si>
  <si>
    <t>Baseline</t>
  </si>
  <si>
    <t>Ad elasticity</t>
  </si>
  <si>
    <t>P25</t>
  </si>
  <si>
    <t>Distance-decay factor</t>
  </si>
  <si>
    <t>P50 (median)</t>
  </si>
  <si>
    <t>Anniversary halo</t>
  </si>
  <si>
    <t>P75</t>
  </si>
  <si>
    <t>Concert incremental</t>
  </si>
  <si>
    <t>Std deviation</t>
  </si>
  <si>
    <t>Fixed at Expected: spend increase, new-market population, local penetration, visits per new guest.</t>
  </si>
  <si>
    <t>Prob. attendance &gt; 65,000</t>
  </si>
  <si>
    <t>Trial</t>
  </si>
  <si>
    <t>U1</t>
  </si>
  <si>
    <t>U2</t>
  </si>
  <si>
    <t>U3</t>
  </si>
  <si>
    <t>U4</t>
  </si>
  <si>
    <t>U5</t>
  </si>
  <si>
    <t>Elasticity</t>
  </si>
  <si>
    <t>Decay</t>
  </si>
  <si>
    <t>Halo</t>
  </si>
  <si>
    <t>Concert</t>
  </si>
  <si>
    <t>Reach visits</t>
  </si>
  <si>
    <t>Total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</si>
</sst>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
  </numFmts>
  <fonts count="10" x14ac:knownFonts="1">
    <font>
      <sz val="11"/>
      <color theme="1"/>
      <name val="Calibri"/>
      <family val="2"/>
      <charset val="1"/>
    </font>
    <font>
      <b/>
      <sz val="14"/>
      <name val="Arial"/>
      <charset val="1"/>
    </font>
    <font>
      <sz val="10"/>
      <color rgb="FF000000"/>
      <name val="Arial"/>
      <charset val="1"/>
    </font>
    <font>
      <b/>
      <sz val="10"/>
      <color rgb="FF000000"/>
      <name val="Arial"/>
      <charset val="1"/>
    </font>
    <font>
      <b/>
      <sz val="11"/>
      <color rgb="FFFFFFFF"/>
      <name val="Arial"/>
      <charset val="1"/>
    </font>
    <font>
      <b/>
      <sz val="10"/>
      <color rgb="FF008000"/>
      <name val="Arial"/>
      <charset val="1"/>
    </font>
    <font>
      <sz val="10"/>
      <color rgb="FF008000"/>
      <name val="Arial"/>
      <charset val="1"/>
    </font>
    <font>
      <sz val="10"/>
      <color rgb="FF0000FF"/>
      <name val="Arial"/>
      <charset val="1"/>
    </font>
    <font>
      <b/>
      <sz val="10"/>
      <name val="Arial"/>
      <charset val="1"/>
    </font>
    <font>
      <sz val="10"/>
      <name val="Arial"/>
      <family val="2"/>
    </font>
  </fonts>
  <fills count="5">
    <fill>
      <patternFill patternType="none"/>
    </fill>
    <fill>
      <patternFill patternType="gray125"/>
    </fill>
    <fill>
      <patternFill patternType="solid">
        <fgColor rgb="FF1F3864"/>
        <bgColor rgb="FF333333"/>
      </patternFill>
    </fill>
    <fill>
      <patternFill patternType="solid">
        <fgColor rgb="FFE2EFDA"/>
        <bgColor rgb="FFD9D9D9"/>
      </patternFill>
    </fill>
    <fill>
      <patternFill patternType="solid">
        <fgColor rgb="FFFFFF00"/>
        <bgColor rgb="FFFFFF00"/>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2">
    <xf numFmtId="0" fontId="0" fillId="0" borderId="0" xfId="0"/>
    <xf numFmtId="0" fontId="2" fillId="0" borderId="1" xfId="0" applyFont="1" applyBorder="1" applyAlignment="1">
      <alignment vertical="top" wrapText="1"/>
    </xf>
    <xf numFmtId="0" fontId="1" fillId="0" borderId="0" xfId="0" applyFont="1"/>
    <xf numFmtId="0" fontId="2" fillId="0" borderId="0" xfId="0" applyFont="1"/>
    <xf numFmtId="0" fontId="3" fillId="0" borderId="1" xfId="0" applyFont="1" applyBorder="1"/>
    <xf numFmtId="0" fontId="2" fillId="0" borderId="1" xfId="0" applyFont="1" applyBorder="1" applyAlignment="1">
      <alignment vertical="top" wrapText="1"/>
    </xf>
    <xf numFmtId="0" fontId="4" fillId="2" borderId="1" xfId="0" applyFont="1" applyFill="1" applyBorder="1" applyAlignment="1">
      <alignment vertical="center" wrapText="1"/>
    </xf>
    <xf numFmtId="0" fontId="3" fillId="3" borderId="1" xfId="0" applyFont="1" applyFill="1" applyBorder="1"/>
    <xf numFmtId="164" fontId="5" fillId="3" borderId="1" xfId="0" applyNumberFormat="1" applyFont="1" applyFill="1" applyBorder="1"/>
    <xf numFmtId="0" fontId="2" fillId="0" borderId="1" xfId="0" applyFont="1" applyBorder="1"/>
    <xf numFmtId="165" fontId="6" fillId="0" borderId="1" xfId="0" applyNumberFormat="1" applyFont="1" applyBorder="1"/>
    <xf numFmtId="164" fontId="6" fillId="0" borderId="1" xfId="0" applyNumberFormat="1" applyFont="1" applyBorder="1"/>
    <xf numFmtId="0" fontId="5" fillId="3" borderId="1" xfId="0" applyFont="1" applyFill="1" applyBorder="1"/>
    <xf numFmtId="164" fontId="3" fillId="0" borderId="1" xfId="0" applyNumberFormat="1" applyFont="1" applyBorder="1"/>
    <xf numFmtId="164" fontId="2" fillId="0" borderId="1" xfId="0" applyNumberFormat="1" applyFont="1" applyBorder="1"/>
    <xf numFmtId="10" fontId="6" fillId="0" borderId="1" xfId="0" applyNumberFormat="1" applyFont="1" applyBorder="1"/>
    <xf numFmtId="10" fontId="2" fillId="0" borderId="1" xfId="0" applyNumberFormat="1" applyFont="1" applyBorder="1"/>
    <xf numFmtId="164" fontId="6" fillId="3" borderId="1" xfId="0" applyNumberFormat="1" applyFont="1" applyFill="1" applyBorder="1"/>
    <xf numFmtId="0" fontId="7" fillId="0" borderId="1" xfId="0" applyFont="1" applyBorder="1"/>
    <xf numFmtId="164" fontId="7" fillId="0" borderId="1" xfId="0" applyNumberFormat="1" applyFont="1" applyBorder="1"/>
    <xf numFmtId="165" fontId="2" fillId="0" borderId="1" xfId="0" applyNumberFormat="1" applyFont="1" applyBorder="1"/>
    <xf numFmtId="166" fontId="2" fillId="0" borderId="1" xfId="0" applyNumberFormat="1" applyFont="1" applyBorder="1"/>
    <xf numFmtId="0" fontId="8" fillId="0" borderId="0" xfId="0" applyFont="1"/>
    <xf numFmtId="165" fontId="7" fillId="0" borderId="1" xfId="0" applyNumberFormat="1" applyFont="1" applyBorder="1"/>
    <xf numFmtId="164" fontId="3" fillId="3" borderId="1" xfId="0" applyNumberFormat="1" applyFont="1" applyFill="1" applyBorder="1"/>
    <xf numFmtId="165" fontId="2" fillId="3" borderId="1" xfId="0" applyNumberFormat="1" applyFont="1" applyFill="1" applyBorder="1"/>
    <xf numFmtId="166" fontId="7" fillId="0" borderId="1" xfId="0" applyNumberFormat="1" applyFont="1" applyBorder="1"/>
    <xf numFmtId="10" fontId="2" fillId="3" borderId="1" xfId="0" applyNumberFormat="1" applyFont="1" applyFill="1" applyBorder="1"/>
    <xf numFmtId="0" fontId="2" fillId="4" borderId="1" xfId="0" applyFont="1" applyFill="1" applyBorder="1" applyAlignment="1">
      <alignment vertical="top" wrapText="1"/>
    </xf>
    <xf numFmtId="164" fontId="6" fillId="4" borderId="1" xfId="0" applyNumberFormat="1" applyFont="1" applyFill="1" applyBorder="1"/>
    <xf numFmtId="166" fontId="7" fillId="4" borderId="1" xfId="0" applyNumberFormat="1" applyFont="1" applyFill="1" applyBorder="1"/>
    <xf numFmtId="0" fontId="2" fillId="3" borderId="1" xfId="0" applyFont="1" applyFill="1" applyBorder="1" applyAlignment="1">
      <alignment vertical="top" wrapText="1"/>
    </xf>
    <xf numFmtId="164" fontId="2" fillId="3" borderId="1" xfId="0" applyNumberFormat="1" applyFont="1" applyFill="1" applyBorder="1"/>
    <xf numFmtId="165" fontId="3" fillId="0" borderId="1" xfId="0" applyNumberFormat="1" applyFont="1" applyBorder="1"/>
    <xf numFmtId="166" fontId="6" fillId="0" borderId="1" xfId="0" applyNumberFormat="1" applyFont="1" applyBorder="1"/>
    <xf numFmtId="165" fontId="4" fillId="2" borderId="1" xfId="0" applyNumberFormat="1" applyFont="1" applyFill="1" applyBorder="1" applyAlignment="1">
      <alignment vertical="center" wrapText="1"/>
    </xf>
    <xf numFmtId="164" fontId="2" fillId="0" borderId="0" xfId="0" applyNumberFormat="1" applyFont="1"/>
    <xf numFmtId="166" fontId="2" fillId="0" borderId="0" xfId="0" applyNumberFormat="1" applyFont="1"/>
    <xf numFmtId="165" fontId="2" fillId="0" borderId="0" xfId="0" applyNumberFormat="1" applyFont="1"/>
    <xf numFmtId="164" fontId="3" fillId="3" borderId="3" xfId="0" applyNumberFormat="1" applyFont="1" applyFill="1" applyBorder="1"/>
    <xf numFmtId="0" fontId="2" fillId="0" borderId="4" xfId="0" applyFont="1" applyBorder="1"/>
    <xf numFmtId="0" fontId="3" fillId="3" borderId="2" xfId="0" applyFont="1" applyFill="1" applyBorder="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A7EBB"/>
      <rgbColor rgb="FF33CCCC"/>
      <rgbColor rgb="FF98B855"/>
      <rgbColor rgb="FFFFCC00"/>
      <rgbColor rgb="FFFF9900"/>
      <rgbColor rgb="FFFF6600"/>
      <rgbColor rgb="FF7D5FA0"/>
      <rgbColor rgb="FF9BBB59"/>
      <rgbColor rgb="FF1F3864"/>
      <rgbColor rgb="FF4F81BD"/>
      <rgbColor rgb="FF003300"/>
      <rgbColor rgb="FF333300"/>
      <rgbColor rgb="FF993300"/>
      <rgbColor rgb="FFC0504D"/>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Attendance: history and 2026 forecast</a:t>
            </a:r>
          </a:p>
        </c:rich>
      </c:tx>
      <c:overlay val="0"/>
      <c:spPr>
        <a:noFill/>
        <a:ln w="0">
          <a:noFill/>
        </a:ln>
      </c:spPr>
    </c:title>
    <c:autoTitleDeleted val="0"/>
    <c:plotArea>
      <c:layout/>
      <c:lineChart>
        <c:grouping val="standard"/>
        <c:varyColors val="0"/>
        <c:ser>
          <c:idx val="0"/>
          <c:order val="0"/>
          <c:tx>
            <c:strRef>
              <c:f>Summary!$B$25</c:f>
              <c:strCache>
                <c:ptCount val="1"/>
                <c:pt idx="0">
                  <c:v>Actual</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Summary!$A$26:$A$31</c:f>
              <c:strCache>
                <c:ptCount val="6"/>
                <c:pt idx="0">
                  <c:v>2021</c:v>
                </c:pt>
                <c:pt idx="1">
                  <c:v>2022</c:v>
                </c:pt>
                <c:pt idx="2">
                  <c:v>2023</c:v>
                </c:pt>
                <c:pt idx="3">
                  <c:v>2024</c:v>
                </c:pt>
                <c:pt idx="4">
                  <c:v>2025</c:v>
                </c:pt>
                <c:pt idx="5">
                  <c:v>2026F</c:v>
                </c:pt>
              </c:strCache>
            </c:strRef>
          </c:cat>
          <c:val>
            <c:numRef>
              <c:f>Summary!$B$26:$B$31</c:f>
              <c:numCache>
                <c:formatCode>#,##0;\(#,##0\);\-</c:formatCode>
                <c:ptCount val="6"/>
                <c:pt idx="0">
                  <c:v>49000</c:v>
                </c:pt>
                <c:pt idx="1">
                  <c:v>48500</c:v>
                </c:pt>
                <c:pt idx="2">
                  <c:v>50000</c:v>
                </c:pt>
                <c:pt idx="3">
                  <c:v>53500</c:v>
                </c:pt>
                <c:pt idx="4">
                  <c:v>56000</c:v>
                </c:pt>
              </c:numCache>
            </c:numRef>
          </c:val>
          <c:smooth val="1"/>
          <c:extLst>
            <c:ext xmlns:c16="http://schemas.microsoft.com/office/drawing/2014/chart" uri="{C3380CC4-5D6E-409C-BE32-E72D297353CC}">
              <c16:uniqueId val="{00000000-3413-47FA-AB54-4405494319C6}"/>
            </c:ext>
          </c:extLst>
        </c:ser>
        <c:ser>
          <c:idx val="1"/>
          <c:order val="1"/>
          <c:tx>
            <c:strRef>
              <c:f>Summary!$C$25</c:f>
              <c:strCache>
                <c:ptCount val="1"/>
                <c:pt idx="0">
                  <c:v>Low</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Summary!$A$26:$A$31</c:f>
              <c:strCache>
                <c:ptCount val="6"/>
                <c:pt idx="0">
                  <c:v>2021</c:v>
                </c:pt>
                <c:pt idx="1">
                  <c:v>2022</c:v>
                </c:pt>
                <c:pt idx="2">
                  <c:v>2023</c:v>
                </c:pt>
                <c:pt idx="3">
                  <c:v>2024</c:v>
                </c:pt>
                <c:pt idx="4">
                  <c:v>2025</c:v>
                </c:pt>
                <c:pt idx="5">
                  <c:v>2026F</c:v>
                </c:pt>
              </c:strCache>
            </c:strRef>
          </c:cat>
          <c:val>
            <c:numRef>
              <c:f>Summary!$C$26:$C$31</c:f>
              <c:numCache>
                <c:formatCode>General</c:formatCode>
                <c:ptCount val="6"/>
                <c:pt idx="4" formatCode="#,##0;\(#,##0\);\-">
                  <c:v>56000</c:v>
                </c:pt>
                <c:pt idx="5" formatCode="#,##0;\(#,##0\);\-">
                  <c:v>60711.71</c:v>
                </c:pt>
              </c:numCache>
            </c:numRef>
          </c:val>
          <c:smooth val="1"/>
          <c:extLst>
            <c:ext xmlns:c16="http://schemas.microsoft.com/office/drawing/2014/chart" uri="{C3380CC4-5D6E-409C-BE32-E72D297353CC}">
              <c16:uniqueId val="{00000001-3413-47FA-AB54-4405494319C6}"/>
            </c:ext>
          </c:extLst>
        </c:ser>
        <c:ser>
          <c:idx val="2"/>
          <c:order val="2"/>
          <c:tx>
            <c:strRef>
              <c:f>Summary!$D$25</c:f>
              <c:strCache>
                <c:ptCount val="1"/>
                <c:pt idx="0">
                  <c:v>Expected</c:v>
                </c:pt>
              </c:strCache>
            </c:strRef>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Summary!$A$26:$A$31</c:f>
              <c:strCache>
                <c:ptCount val="6"/>
                <c:pt idx="0">
                  <c:v>2021</c:v>
                </c:pt>
                <c:pt idx="1">
                  <c:v>2022</c:v>
                </c:pt>
                <c:pt idx="2">
                  <c:v>2023</c:v>
                </c:pt>
                <c:pt idx="3">
                  <c:v>2024</c:v>
                </c:pt>
                <c:pt idx="4">
                  <c:v>2025</c:v>
                </c:pt>
                <c:pt idx="5">
                  <c:v>2026F</c:v>
                </c:pt>
              </c:strCache>
            </c:strRef>
          </c:cat>
          <c:val>
            <c:numRef>
              <c:f>Summary!$D$26:$D$31</c:f>
              <c:numCache>
                <c:formatCode>General</c:formatCode>
                <c:ptCount val="6"/>
                <c:pt idx="4" formatCode="#,##0;\(#,##0\);\-">
                  <c:v>56000</c:v>
                </c:pt>
                <c:pt idx="5" formatCode="#,##0;\(#,##0\);\-">
                  <c:v>67997.839206226083</c:v>
                </c:pt>
              </c:numCache>
            </c:numRef>
          </c:val>
          <c:smooth val="1"/>
          <c:extLst>
            <c:ext xmlns:c16="http://schemas.microsoft.com/office/drawing/2014/chart" uri="{C3380CC4-5D6E-409C-BE32-E72D297353CC}">
              <c16:uniqueId val="{00000002-3413-47FA-AB54-4405494319C6}"/>
            </c:ext>
          </c:extLst>
        </c:ser>
        <c:ser>
          <c:idx val="3"/>
          <c:order val="3"/>
          <c:tx>
            <c:strRef>
              <c:f>Summary!$E$25</c:f>
              <c:strCache>
                <c:ptCount val="1"/>
                <c:pt idx="0">
                  <c:v>High</c:v>
                </c:pt>
              </c:strCache>
            </c:strRef>
          </c:tx>
          <c:spPr>
            <a:ln w="28440">
              <a:solidFill>
                <a:srgbClr val="7D5FA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Summary!$A$26:$A$31</c:f>
              <c:strCache>
                <c:ptCount val="6"/>
                <c:pt idx="0">
                  <c:v>2021</c:v>
                </c:pt>
                <c:pt idx="1">
                  <c:v>2022</c:v>
                </c:pt>
                <c:pt idx="2">
                  <c:v>2023</c:v>
                </c:pt>
                <c:pt idx="3">
                  <c:v>2024</c:v>
                </c:pt>
                <c:pt idx="4">
                  <c:v>2025</c:v>
                </c:pt>
                <c:pt idx="5">
                  <c:v>2026F</c:v>
                </c:pt>
              </c:strCache>
            </c:strRef>
          </c:cat>
          <c:val>
            <c:numRef>
              <c:f>Summary!$E$26:$E$31</c:f>
              <c:numCache>
                <c:formatCode>General</c:formatCode>
                <c:ptCount val="6"/>
                <c:pt idx="4" formatCode="#,##0;\(#,##0\);\-">
                  <c:v>56000</c:v>
                </c:pt>
                <c:pt idx="5" formatCode="#,##0;\(#,##0\);\-">
                  <c:v>77055.842871256638</c:v>
                </c:pt>
              </c:numCache>
            </c:numRef>
          </c:val>
          <c:smooth val="1"/>
          <c:extLst>
            <c:ext xmlns:c16="http://schemas.microsoft.com/office/drawing/2014/chart" uri="{C3380CC4-5D6E-409C-BE32-E72D297353CC}">
              <c16:uniqueId val="{00000003-3413-47FA-AB54-4405494319C6}"/>
            </c:ext>
          </c:extLst>
        </c:ser>
        <c:dLbls>
          <c:showLegendKey val="0"/>
          <c:showVal val="0"/>
          <c:showCatName val="0"/>
          <c:showSerName val="0"/>
          <c:showPercent val="0"/>
          <c:showBubbleSize val="0"/>
        </c:dLbls>
        <c:hiLowLines>
          <c:spPr>
            <a:ln w="0">
              <a:noFill/>
            </a:ln>
          </c:spPr>
        </c:hiLowLines>
        <c:smooth val="0"/>
        <c:axId val="53985856"/>
        <c:axId val="39773010"/>
      </c:lineChart>
      <c:catAx>
        <c:axId val="5398585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9773010"/>
        <c:crosses val="autoZero"/>
        <c:auto val="1"/>
        <c:lblAlgn val="ctr"/>
        <c:lblOffset val="100"/>
        <c:noMultiLvlLbl val="0"/>
      </c:catAx>
      <c:valAx>
        <c:axId val="39773010"/>
        <c:scaling>
          <c:orientation val="minMax"/>
          <c:min val="4000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Visits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398585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2026 attendance by weekend</a:t>
            </a:r>
          </a:p>
        </c:rich>
      </c:tx>
      <c:overlay val="0"/>
      <c:spPr>
        <a:noFill/>
        <a:ln w="0">
          <a:noFill/>
        </a:ln>
      </c:spPr>
    </c:title>
    <c:autoTitleDeleted val="0"/>
    <c:plotArea>
      <c:layout/>
      <c:barChart>
        <c:barDir val="col"/>
        <c:grouping val="clustered"/>
        <c:varyColors val="0"/>
        <c:ser>
          <c:idx val="0"/>
          <c:order val="0"/>
          <c:tx>
            <c:strRef>
              <c:f>Summary!$C$18</c:f>
              <c:strCache>
                <c:ptCount val="1"/>
                <c:pt idx="0">
                  <c:v>Low</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Summary!$A$19:$A$22</c:f>
              <c:strCache>
                <c:ptCount val="4"/>
                <c:pt idx="0">
                  <c:v>Weekend 1</c:v>
                </c:pt>
                <c:pt idx="1">
                  <c:v>Weekend 2</c:v>
                </c:pt>
                <c:pt idx="2">
                  <c:v>Weekend 3</c:v>
                </c:pt>
                <c:pt idx="3">
                  <c:v>Weekend 4</c:v>
                </c:pt>
              </c:strCache>
            </c:strRef>
          </c:cat>
          <c:val>
            <c:numRef>
              <c:f>Summary!$C$19:$C$22</c:f>
              <c:numCache>
                <c:formatCode>#,##0;\(#,##0\);\-</c:formatCode>
                <c:ptCount val="4"/>
                <c:pt idx="0">
                  <c:v>11818.546213333333</c:v>
                </c:pt>
                <c:pt idx="1">
                  <c:v>14773.182766666665</c:v>
                </c:pt>
                <c:pt idx="2">
                  <c:v>17727.819319999999</c:v>
                </c:pt>
                <c:pt idx="3">
                  <c:v>16392.161700000001</c:v>
                </c:pt>
              </c:numCache>
            </c:numRef>
          </c:val>
          <c:extLst>
            <c:ext xmlns:c16="http://schemas.microsoft.com/office/drawing/2014/chart" uri="{C3380CC4-5D6E-409C-BE32-E72D297353CC}">
              <c16:uniqueId val="{00000000-C96A-4E4D-9FBA-CC77903DCF5C}"/>
            </c:ext>
          </c:extLst>
        </c:ser>
        <c:ser>
          <c:idx val="1"/>
          <c:order val="1"/>
          <c:tx>
            <c:strRef>
              <c:f>Summary!$D$18</c:f>
              <c:strCache>
                <c:ptCount val="1"/>
                <c:pt idx="0">
                  <c:v>Expected</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Summary!$A$19:$A$22</c:f>
              <c:strCache>
                <c:ptCount val="4"/>
                <c:pt idx="0">
                  <c:v>Weekend 1</c:v>
                </c:pt>
                <c:pt idx="1">
                  <c:v>Weekend 2</c:v>
                </c:pt>
                <c:pt idx="2">
                  <c:v>Weekend 3</c:v>
                </c:pt>
                <c:pt idx="3">
                  <c:v>Weekend 4</c:v>
                </c:pt>
              </c:strCache>
            </c:strRef>
          </c:cat>
          <c:val>
            <c:numRef>
              <c:f>Summary!$D$19:$D$22</c:f>
              <c:numCache>
                <c:formatCode>#,##0;\(#,##0\);\-</c:formatCode>
                <c:ptCount val="4"/>
                <c:pt idx="0">
                  <c:v>12590.257556378805</c:v>
                </c:pt>
                <c:pt idx="1">
                  <c:v>15737.821945473506</c:v>
                </c:pt>
                <c:pt idx="2">
                  <c:v>18885.386334568208</c:v>
                </c:pt>
                <c:pt idx="3">
                  <c:v>20784.373369805562</c:v>
                </c:pt>
              </c:numCache>
            </c:numRef>
          </c:val>
          <c:extLst>
            <c:ext xmlns:c16="http://schemas.microsoft.com/office/drawing/2014/chart" uri="{C3380CC4-5D6E-409C-BE32-E72D297353CC}">
              <c16:uniqueId val="{00000001-C96A-4E4D-9FBA-CC77903DCF5C}"/>
            </c:ext>
          </c:extLst>
        </c:ser>
        <c:ser>
          <c:idx val="2"/>
          <c:order val="2"/>
          <c:tx>
            <c:strRef>
              <c:f>Summary!$E$18</c:f>
              <c:strCache>
                <c:ptCount val="1"/>
                <c:pt idx="0">
                  <c:v>High</c:v>
                </c:pt>
              </c:strCache>
            </c:strRef>
          </c:tx>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Summary!$A$19:$A$22</c:f>
              <c:strCache>
                <c:ptCount val="4"/>
                <c:pt idx="0">
                  <c:v>Weekend 1</c:v>
                </c:pt>
                <c:pt idx="1">
                  <c:v>Weekend 2</c:v>
                </c:pt>
                <c:pt idx="2">
                  <c:v>Weekend 3</c:v>
                </c:pt>
                <c:pt idx="3">
                  <c:v>Weekend 4</c:v>
                </c:pt>
              </c:strCache>
            </c:strRef>
          </c:cat>
          <c:val>
            <c:numRef>
              <c:f>Summary!$E$19:$E$22</c:f>
              <c:numCache>
                <c:formatCode>#,##0;\(#,##0\);\-</c:formatCode>
                <c:ptCount val="4"/>
                <c:pt idx="0">
                  <c:v>13626.275088311218</c:v>
                </c:pt>
                <c:pt idx="1">
                  <c:v>17032.843860389024</c:v>
                </c:pt>
                <c:pt idx="2">
                  <c:v>20439.412632466829</c:v>
                </c:pt>
                <c:pt idx="3">
                  <c:v>25957.311290089558</c:v>
                </c:pt>
              </c:numCache>
            </c:numRef>
          </c:val>
          <c:extLst>
            <c:ext xmlns:c16="http://schemas.microsoft.com/office/drawing/2014/chart" uri="{C3380CC4-5D6E-409C-BE32-E72D297353CC}">
              <c16:uniqueId val="{00000002-C96A-4E4D-9FBA-CC77903DCF5C}"/>
            </c:ext>
          </c:extLst>
        </c:ser>
        <c:dLbls>
          <c:showLegendKey val="0"/>
          <c:showVal val="0"/>
          <c:showCatName val="0"/>
          <c:showSerName val="0"/>
          <c:showPercent val="0"/>
          <c:showBubbleSize val="0"/>
        </c:dLbls>
        <c:gapWidth val="150"/>
        <c:axId val="89635122"/>
        <c:axId val="39672453"/>
      </c:barChart>
      <c:catAx>
        <c:axId val="8963512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9672453"/>
        <c:crosses val="autoZero"/>
        <c:auto val="1"/>
        <c:lblAlgn val="ctr"/>
        <c:lblOffset val="100"/>
        <c:noMultiLvlLbl val="0"/>
      </c:catAx>
      <c:valAx>
        <c:axId val="3967245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Visits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3512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xdr:row>
      <xdr:rowOff>160920</xdr:rowOff>
    </xdr:from>
    <xdr:to>
      <xdr:col>15</xdr:col>
      <xdr:colOff>255960</xdr:colOff>
      <xdr:row>17</xdr:row>
      <xdr:rowOff>182880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20</xdr:row>
      <xdr:rowOff>160920</xdr:rowOff>
    </xdr:from>
    <xdr:to>
      <xdr:col>15</xdr:col>
      <xdr:colOff>255960</xdr:colOff>
      <xdr:row>35</xdr:row>
      <xdr:rowOff>182880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zoomScaleNormal="100" workbookViewId="0"/>
  </sheetViews>
  <sheetFormatPr defaultColWidth="8.7109375" defaultRowHeight="15" x14ac:dyDescent="0.25"/>
  <cols>
    <col min="1" max="1" width="22" customWidth="1"/>
    <col min="2" max="2" width="110" customWidth="1"/>
  </cols>
  <sheetData>
    <row r="1" spans="1:2" ht="18" x14ac:dyDescent="0.25">
      <c r="A1" s="2" t="s">
        <v>0</v>
      </c>
    </row>
    <row r="2" spans="1:2" x14ac:dyDescent="0.25">
      <c r="A2" s="3" t="s">
        <v>1</v>
      </c>
    </row>
    <row r="4" spans="1:2" ht="61.5" customHeight="1" x14ac:dyDescent="0.25">
      <c r="A4" s="4" t="s">
        <v>2</v>
      </c>
      <c r="B4" s="5" t="s">
        <v>3</v>
      </c>
    </row>
    <row r="5" spans="1:2" ht="61.5" customHeight="1" x14ac:dyDescent="0.25">
      <c r="A5" s="4" t="s">
        <v>4</v>
      </c>
      <c r="B5" s="5" t="s">
        <v>5</v>
      </c>
    </row>
    <row r="6" spans="1:2" ht="61.5" customHeight="1" x14ac:dyDescent="0.25">
      <c r="A6" s="4" t="s">
        <v>6</v>
      </c>
      <c r="B6" s="5" t="s">
        <v>7</v>
      </c>
    </row>
    <row r="7" spans="1:2" ht="61.5" customHeight="1" x14ac:dyDescent="0.25">
      <c r="A7" s="4" t="s">
        <v>8</v>
      </c>
      <c r="B7" s="5" t="s">
        <v>9</v>
      </c>
    </row>
    <row r="8" spans="1:2" ht="61.5" customHeight="1" x14ac:dyDescent="0.25">
      <c r="A8" s="4" t="s">
        <v>10</v>
      </c>
      <c r="B8" s="5" t="s">
        <v>11</v>
      </c>
    </row>
    <row r="9" spans="1:2" ht="61.5" customHeight="1" x14ac:dyDescent="0.25">
      <c r="A9" s="4" t="s">
        <v>12</v>
      </c>
      <c r="B9" s="5" t="s">
        <v>13</v>
      </c>
    </row>
    <row r="10" spans="1:2" ht="61.5" customHeight="1" x14ac:dyDescent="0.25">
      <c r="A10" s="4" t="s">
        <v>14</v>
      </c>
      <c r="B10" s="5"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
  <sheetViews>
    <sheetView showGridLines="0" topLeftCell="A17" zoomScaleNormal="100" workbookViewId="0">
      <selection activeCell="A35" sqref="A35"/>
    </sheetView>
  </sheetViews>
  <sheetFormatPr defaultColWidth="8.7109375" defaultRowHeight="15" x14ac:dyDescent="0.25"/>
  <cols>
    <col min="1" max="1" width="34" customWidth="1"/>
    <col min="2" max="5" width="16" customWidth="1"/>
  </cols>
  <sheetData>
    <row r="1" spans="1:6" ht="18" x14ac:dyDescent="0.25">
      <c r="A1" s="2" t="s">
        <v>16</v>
      </c>
    </row>
    <row r="2" spans="1:6" ht="30" customHeight="1" x14ac:dyDescent="0.25">
      <c r="A2" s="1" t="s">
        <v>17</v>
      </c>
      <c r="B2" s="1"/>
      <c r="C2" s="1"/>
      <c r="D2" s="1"/>
      <c r="E2" s="1"/>
      <c r="F2" s="1"/>
    </row>
    <row r="4" spans="1:6" x14ac:dyDescent="0.25">
      <c r="A4" s="6" t="s">
        <v>18</v>
      </c>
      <c r="B4" s="6" t="s">
        <v>19</v>
      </c>
      <c r="C4" s="6" t="s">
        <v>20</v>
      </c>
      <c r="D4" s="6" t="s">
        <v>21</v>
      </c>
    </row>
    <row r="5" spans="1:6" x14ac:dyDescent="0.25">
      <c r="A5" s="7" t="s">
        <v>22</v>
      </c>
      <c r="B5" s="8">
        <f>Forecast!B11</f>
        <v>60711.71</v>
      </c>
      <c r="C5" s="8">
        <f>Forecast!C11</f>
        <v>67997.839206226083</v>
      </c>
      <c r="D5" s="8">
        <f>Forecast!D11</f>
        <v>77055.842871256638</v>
      </c>
    </row>
    <row r="6" spans="1:6" x14ac:dyDescent="0.25">
      <c r="A6" s="9" t="s">
        <v>23</v>
      </c>
      <c r="B6" s="10">
        <f>Forecast!B12</f>
        <v>8.4137678571428509E-2</v>
      </c>
      <c r="C6" s="10">
        <f>Forecast!C12</f>
        <v>0.21424712868260865</v>
      </c>
      <c r="D6" s="10">
        <f>Forecast!D12</f>
        <v>0.37599719412958277</v>
      </c>
    </row>
    <row r="7" spans="1:6" x14ac:dyDescent="0.25">
      <c r="A7" s="9" t="s">
        <v>24</v>
      </c>
      <c r="B7" s="11">
        <f>Forecast!B4</f>
        <v>57100</v>
      </c>
      <c r="C7" s="11">
        <f>Forecast!C4</f>
        <v>57787.404727243622</v>
      </c>
      <c r="D7" s="11">
        <f>Forecast!D4</f>
        <v>58749.402827386977</v>
      </c>
    </row>
    <row r="8" spans="1:6" x14ac:dyDescent="0.25">
      <c r="A8" s="9" t="s">
        <v>25</v>
      </c>
      <c r="B8" s="11">
        <f>Forecast!B11-Forecast!B4</f>
        <v>3611.7099999999991</v>
      </c>
      <c r="C8" s="11">
        <f>Forecast!C11-Forecast!C4</f>
        <v>10210.434478982461</v>
      </c>
      <c r="D8" s="11">
        <f>Forecast!D11-Forecast!D4</f>
        <v>18306.440043869661</v>
      </c>
    </row>
    <row r="9" spans="1:6" x14ac:dyDescent="0.25">
      <c r="A9" s="7" t="s">
        <v>26</v>
      </c>
      <c r="B9" s="12">
        <f>Forecast!B30</f>
        <v>3</v>
      </c>
      <c r="C9" s="12">
        <f>Forecast!C30</f>
        <v>4</v>
      </c>
      <c r="D9" s="12">
        <f>Forecast!D30</f>
        <v>4</v>
      </c>
    </row>
    <row r="10" spans="1:6" x14ac:dyDescent="0.25">
      <c r="A10" s="9" t="s">
        <v>27</v>
      </c>
      <c r="B10" s="11">
        <f>Forecast!B31</f>
        <v>17727.819319999999</v>
      </c>
      <c r="C10" s="11">
        <f>Forecast!C31</f>
        <v>20784.373369805562</v>
      </c>
      <c r="D10" s="11">
        <f>Forecast!D31</f>
        <v>25957.311290089558</v>
      </c>
    </row>
    <row r="11" spans="1:6" x14ac:dyDescent="0.25">
      <c r="A11" s="9" t="s">
        <v>28</v>
      </c>
      <c r="B11" s="11">
        <f>Forecast!B34</f>
        <v>9218.466046399999</v>
      </c>
      <c r="C11" s="11">
        <f>Forecast!C34</f>
        <v>10807.874152298893</v>
      </c>
      <c r="D11" s="11">
        <f>Forecast!D34</f>
        <v>13497.80187084657</v>
      </c>
    </row>
    <row r="12" spans="1:6" x14ac:dyDescent="0.25">
      <c r="A12" s="9" t="s">
        <v>29</v>
      </c>
      <c r="B12" s="11">
        <f>Forecast!B14</f>
        <v>7588.9637499999999</v>
      </c>
      <c r="C12" s="11">
        <f>Forecast!C14</f>
        <v>8499.7299007782603</v>
      </c>
      <c r="D12" s="11">
        <f>Forecast!D14</f>
        <v>9631.9803589070798</v>
      </c>
    </row>
    <row r="14" spans="1:6" x14ac:dyDescent="0.25">
      <c r="A14" s="6" t="s">
        <v>30</v>
      </c>
      <c r="B14" s="6" t="s">
        <v>31</v>
      </c>
      <c r="C14" s="6" t="s">
        <v>32</v>
      </c>
      <c r="D14" s="6" t="s">
        <v>33</v>
      </c>
    </row>
    <row r="15" spans="1:6" x14ac:dyDescent="0.25">
      <c r="A15" s="9" t="s">
        <v>22</v>
      </c>
      <c r="B15" s="11">
        <f ca="1">MonteCarlo!B6</f>
        <v>66359.406550172105</v>
      </c>
      <c r="C15" s="11">
        <f ca="1">MonteCarlo!B8</f>
        <v>68311.760103349676</v>
      </c>
      <c r="D15" s="11">
        <f ca="1">MonteCarlo!B10</f>
        <v>70257.365930334039</v>
      </c>
    </row>
    <row r="16" spans="1:6" x14ac:dyDescent="0.25">
      <c r="A16" s="9" t="s">
        <v>34</v>
      </c>
      <c r="B16" s="11">
        <f ca="1">MonteCarlo!B5</f>
        <v>68305.498296869147</v>
      </c>
    </row>
    <row r="18" spans="1:5" x14ac:dyDescent="0.25">
      <c r="A18" s="6" t="s">
        <v>35</v>
      </c>
      <c r="B18" s="6" t="s">
        <v>36</v>
      </c>
      <c r="C18" s="6" t="s">
        <v>19</v>
      </c>
      <c r="D18" s="6" t="s">
        <v>20</v>
      </c>
      <c r="E18" s="6" t="s">
        <v>21</v>
      </c>
    </row>
    <row r="19" spans="1:5" x14ac:dyDescent="0.25">
      <c r="A19" s="9" t="s">
        <v>37</v>
      </c>
      <c r="B19" s="10">
        <f>Forecast!B20</f>
        <v>0.2</v>
      </c>
      <c r="C19" s="11">
        <f>Forecast!F20</f>
        <v>11818.546213333333</v>
      </c>
      <c r="D19" s="11">
        <f>Forecast!G20</f>
        <v>12590.257556378805</v>
      </c>
      <c r="E19" s="11">
        <f>Forecast!H20</f>
        <v>13626.275088311218</v>
      </c>
    </row>
    <row r="20" spans="1:5" x14ac:dyDescent="0.25">
      <c r="A20" s="9" t="s">
        <v>38</v>
      </c>
      <c r="B20" s="10">
        <f>Forecast!B21</f>
        <v>0.25</v>
      </c>
      <c r="C20" s="11">
        <f>Forecast!F21</f>
        <v>14773.182766666665</v>
      </c>
      <c r="D20" s="11">
        <f>Forecast!G21</f>
        <v>15737.821945473506</v>
      </c>
      <c r="E20" s="11">
        <f>Forecast!H21</f>
        <v>17032.843860389024</v>
      </c>
    </row>
    <row r="21" spans="1:5" x14ac:dyDescent="0.25">
      <c r="A21" s="9" t="s">
        <v>39</v>
      </c>
      <c r="B21" s="10">
        <f>Forecast!B22</f>
        <v>0.3</v>
      </c>
      <c r="C21" s="11">
        <f>Forecast!F22</f>
        <v>17727.819319999999</v>
      </c>
      <c r="D21" s="11">
        <f>Forecast!G22</f>
        <v>18885.386334568208</v>
      </c>
      <c r="E21" s="11">
        <f>Forecast!H22</f>
        <v>20439.412632466829</v>
      </c>
    </row>
    <row r="22" spans="1:5" x14ac:dyDescent="0.25">
      <c r="A22" s="9" t="s">
        <v>40</v>
      </c>
      <c r="B22" s="10">
        <f>Forecast!B23</f>
        <v>0.25</v>
      </c>
      <c r="C22" s="11">
        <f>Forecast!F23</f>
        <v>16392.161700000001</v>
      </c>
      <c r="D22" s="11">
        <f>Forecast!G23</f>
        <v>20784.373369805562</v>
      </c>
      <c r="E22" s="11">
        <f>Forecast!H23</f>
        <v>25957.311290089558</v>
      </c>
    </row>
    <row r="23" spans="1:5" x14ac:dyDescent="0.25">
      <c r="A23" s="4" t="s">
        <v>41</v>
      </c>
      <c r="C23" s="13">
        <f>SUM(C19:C22)</f>
        <v>60711.709999999992</v>
      </c>
      <c r="D23" s="13">
        <f>SUM(D19:D22)</f>
        <v>67997.839206226083</v>
      </c>
      <c r="E23" s="13">
        <f>SUM(E19:E22)</f>
        <v>77055.842871256638</v>
      </c>
    </row>
    <row r="25" spans="1:5" x14ac:dyDescent="0.25">
      <c r="A25" s="6" t="s">
        <v>42</v>
      </c>
      <c r="B25" s="6" t="s">
        <v>43</v>
      </c>
      <c r="C25" s="6" t="s">
        <v>19</v>
      </c>
      <c r="D25" s="6" t="s">
        <v>20</v>
      </c>
      <c r="E25" s="6" t="s">
        <v>21</v>
      </c>
    </row>
    <row r="26" spans="1:5" x14ac:dyDescent="0.25">
      <c r="A26" s="9" t="s">
        <v>44</v>
      </c>
      <c r="B26" s="11">
        <f>Data!B4</f>
        <v>49000</v>
      </c>
      <c r="C26" s="9"/>
      <c r="D26" s="9"/>
      <c r="E26" s="9"/>
    </row>
    <row r="27" spans="1:5" x14ac:dyDescent="0.25">
      <c r="A27" s="9" t="s">
        <v>45</v>
      </c>
      <c r="B27" s="11">
        <f>Data!B5</f>
        <v>48500</v>
      </c>
      <c r="C27" s="9"/>
      <c r="D27" s="9"/>
      <c r="E27" s="9"/>
    </row>
    <row r="28" spans="1:5" x14ac:dyDescent="0.25">
      <c r="A28" s="9" t="s">
        <v>46</v>
      </c>
      <c r="B28" s="11">
        <f>Data!B6</f>
        <v>50000</v>
      </c>
      <c r="C28" s="9"/>
      <c r="D28" s="9"/>
      <c r="E28" s="9"/>
    </row>
    <row r="29" spans="1:5" x14ac:dyDescent="0.25">
      <c r="A29" s="9" t="s">
        <v>47</v>
      </c>
      <c r="B29" s="11">
        <f>Data!B7</f>
        <v>53500</v>
      </c>
      <c r="C29" s="9"/>
      <c r="D29" s="9"/>
      <c r="E29" s="9"/>
    </row>
    <row r="30" spans="1:5" x14ac:dyDescent="0.25">
      <c r="A30" s="9" t="s">
        <v>48</v>
      </c>
      <c r="B30" s="11">
        <f>Data!B8</f>
        <v>56000</v>
      </c>
      <c r="C30" s="14">
        <f>B30</f>
        <v>56000</v>
      </c>
      <c r="D30" s="14">
        <f>B30</f>
        <v>56000</v>
      </c>
      <c r="E30" s="14">
        <f>B30</f>
        <v>56000</v>
      </c>
    </row>
    <row r="31" spans="1:5" x14ac:dyDescent="0.25">
      <c r="A31" s="9" t="s">
        <v>49</v>
      </c>
      <c r="B31" s="9"/>
      <c r="C31" s="11">
        <f>Forecast!B11</f>
        <v>60711.71</v>
      </c>
      <c r="D31" s="11">
        <f>Forecast!C11</f>
        <v>67997.839206226083</v>
      </c>
      <c r="E31" s="11">
        <f>Forecast!D11</f>
        <v>77055.842871256638</v>
      </c>
    </row>
    <row r="33" spans="1:3" ht="30" x14ac:dyDescent="0.25">
      <c r="A33" s="6" t="s">
        <v>50</v>
      </c>
      <c r="B33" s="6" t="s">
        <v>51</v>
      </c>
      <c r="C33" s="6" t="s">
        <v>52</v>
      </c>
    </row>
    <row r="34" spans="1:3" x14ac:dyDescent="0.25">
      <c r="A34" s="9" t="s">
        <v>53</v>
      </c>
      <c r="B34" s="11">
        <f>Trend_Models!C6</f>
        <v>57100</v>
      </c>
      <c r="C34" s="15">
        <f>Backtest!H5</f>
        <v>4.9009790832220762E-2</v>
      </c>
    </row>
    <row r="35" spans="1:3" x14ac:dyDescent="0.25">
      <c r="A35" s="9" t="s">
        <v>54</v>
      </c>
      <c r="B35" s="11">
        <f>Trend_Models!C7</f>
        <v>57262.289410286881</v>
      </c>
      <c r="C35" s="15">
        <f>Backtest!H6</f>
        <v>4.8630231477137277E-2</v>
      </c>
    </row>
    <row r="36" spans="1:3" x14ac:dyDescent="0.25">
      <c r="A36" s="9" t="s">
        <v>55</v>
      </c>
      <c r="B36" s="11">
        <f>Trend_Models!C8</f>
        <v>57900.993243203106</v>
      </c>
      <c r="C36" s="15">
        <f>Backtest!H7</f>
        <v>3.6090824727478404E-2</v>
      </c>
    </row>
    <row r="37" spans="1:3" x14ac:dyDescent="0.25">
      <c r="A37" s="9" t="s">
        <v>56</v>
      </c>
      <c r="B37" s="11">
        <f>Trend_Models!C9</f>
        <v>58749.402827386977</v>
      </c>
      <c r="C37" s="16" t="s">
        <v>57</v>
      </c>
    </row>
    <row r="38" spans="1:3" x14ac:dyDescent="0.25">
      <c r="A38" s="9" t="s">
        <v>58</v>
      </c>
      <c r="B38" s="11">
        <f>Trend_Models!C10</f>
        <v>57924.338155341138</v>
      </c>
      <c r="C38" s="15">
        <f>Backtest!H8</f>
        <v>3.5744112840310469E-2</v>
      </c>
    </row>
    <row r="39" spans="1:3" x14ac:dyDescent="0.25">
      <c r="A39" s="9" t="s">
        <v>59</v>
      </c>
      <c r="B39" s="11">
        <f>Trend_Models!C11</f>
        <v>58506.918000000005</v>
      </c>
      <c r="C39" s="16" t="s">
        <v>57</v>
      </c>
    </row>
    <row r="40" spans="1:3" x14ac:dyDescent="0.25">
      <c r="A40" s="9" t="s">
        <v>60</v>
      </c>
      <c r="B40" s="11">
        <f>Trend_Models!C12</f>
        <v>56000</v>
      </c>
      <c r="C40" s="15">
        <f>Backtest!H9</f>
        <v>5.5031708945260341E-2</v>
      </c>
    </row>
    <row r="41" spans="1:3" x14ac:dyDescent="0.25">
      <c r="A41" s="7" t="s">
        <v>61</v>
      </c>
      <c r="B41" s="17">
        <f>Trend_Models!C14</f>
        <v>57787.404727243622</v>
      </c>
      <c r="C41" s="16"/>
    </row>
  </sheetData>
  <mergeCells count="1">
    <mergeCell ref="A2:F2"/>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
  <sheetViews>
    <sheetView showGridLines="0" zoomScaleNormal="100" workbookViewId="0">
      <selection activeCell="C8" sqref="C8"/>
    </sheetView>
  </sheetViews>
  <sheetFormatPr defaultColWidth="8.7109375" defaultRowHeight="15" x14ac:dyDescent="0.25"/>
  <cols>
    <col min="1" max="1" width="26" customWidth="1"/>
    <col min="2" max="2" width="18" customWidth="1"/>
    <col min="3" max="3" width="14" customWidth="1"/>
    <col min="4" max="5" width="16" customWidth="1"/>
  </cols>
  <sheetData>
    <row r="1" spans="1:5" ht="18" x14ac:dyDescent="0.25">
      <c r="A1" s="2" t="s">
        <v>62</v>
      </c>
    </row>
    <row r="3" spans="1:5" ht="30" x14ac:dyDescent="0.25">
      <c r="A3" s="6" t="s">
        <v>42</v>
      </c>
      <c r="B3" s="6" t="s">
        <v>63</v>
      </c>
      <c r="C3" s="6" t="s">
        <v>64</v>
      </c>
      <c r="D3" s="6" t="s">
        <v>65</v>
      </c>
      <c r="E3" s="6" t="s">
        <v>66</v>
      </c>
    </row>
    <row r="4" spans="1:5" x14ac:dyDescent="0.25">
      <c r="A4" s="18" t="s">
        <v>44</v>
      </c>
      <c r="B4" s="19">
        <v>49000</v>
      </c>
      <c r="C4" s="20" t="s">
        <v>67</v>
      </c>
      <c r="D4" s="18">
        <v>1</v>
      </c>
      <c r="E4" s="21">
        <f>LN(B4)</f>
        <v>10.799575577092764</v>
      </c>
    </row>
    <row r="5" spans="1:5" x14ac:dyDescent="0.25">
      <c r="A5" s="18" t="s">
        <v>45</v>
      </c>
      <c r="B5" s="19">
        <v>48500</v>
      </c>
      <c r="C5" s="20">
        <f>B5/B4-1</f>
        <v>-1.0204081632653073E-2</v>
      </c>
      <c r="D5" s="18">
        <v>2</v>
      </c>
      <c r="E5" s="21">
        <f>LN(B5)</f>
        <v>10.789319076925574</v>
      </c>
    </row>
    <row r="6" spans="1:5" x14ac:dyDescent="0.25">
      <c r="A6" s="18" t="s">
        <v>46</v>
      </c>
      <c r="B6" s="19">
        <v>50000</v>
      </c>
      <c r="C6" s="20">
        <f>B6/B5-1</f>
        <v>3.0927835051546282E-2</v>
      </c>
      <c r="D6" s="18">
        <v>3</v>
      </c>
      <c r="E6" s="21">
        <f>LN(B6)</f>
        <v>10.819778284410283</v>
      </c>
    </row>
    <row r="7" spans="1:5" x14ac:dyDescent="0.25">
      <c r="A7" s="18" t="s">
        <v>47</v>
      </c>
      <c r="B7" s="19">
        <v>53500</v>
      </c>
      <c r="C7" s="20">
        <f>B7/B6-1</f>
        <v>7.0000000000000062E-2</v>
      </c>
      <c r="D7" s="18">
        <v>4</v>
      </c>
      <c r="E7" s="21">
        <f>LN(B7)</f>
        <v>10.887436932884098</v>
      </c>
    </row>
    <row r="8" spans="1:5" x14ac:dyDescent="0.25">
      <c r="A8" s="18" t="s">
        <v>48</v>
      </c>
      <c r="B8" s="19">
        <v>56000</v>
      </c>
      <c r="C8" s="20">
        <f>B8/B7-1</f>
        <v>4.6728971962616717E-2</v>
      </c>
      <c r="D8" s="18">
        <v>5</v>
      </c>
      <c r="E8" s="21">
        <f>LN(B8)</f>
        <v>10.933106969717286</v>
      </c>
    </row>
    <row r="10" spans="1:5" ht="30" customHeight="1" x14ac:dyDescent="0.25">
      <c r="A10" s="1" t="s">
        <v>68</v>
      </c>
      <c r="B10" s="1"/>
      <c r="C10" s="1"/>
      <c r="D10" s="1"/>
      <c r="E10" s="1"/>
    </row>
    <row r="12" spans="1:5" x14ac:dyDescent="0.25">
      <c r="A12" s="22" t="s">
        <v>69</v>
      </c>
    </row>
    <row r="13" spans="1:5" x14ac:dyDescent="0.25">
      <c r="A13" s="6" t="s">
        <v>35</v>
      </c>
      <c r="B13" s="6" t="s">
        <v>70</v>
      </c>
    </row>
    <row r="14" spans="1:5" x14ac:dyDescent="0.25">
      <c r="A14" s="18">
        <v>1</v>
      </c>
      <c r="B14" s="23">
        <v>0.2</v>
      </c>
    </row>
    <row r="15" spans="1:5" x14ac:dyDescent="0.25">
      <c r="A15" s="18">
        <v>2</v>
      </c>
      <c r="B15" s="23">
        <v>0.25</v>
      </c>
    </row>
    <row r="16" spans="1:5" x14ac:dyDescent="0.25">
      <c r="A16" s="18">
        <v>3</v>
      </c>
      <c r="B16" s="23">
        <v>0.3</v>
      </c>
    </row>
    <row r="17" spans="1:5" x14ac:dyDescent="0.25">
      <c r="A17" s="18">
        <v>4</v>
      </c>
      <c r="B17" s="23">
        <v>0.25</v>
      </c>
    </row>
    <row r="18" spans="1:5" x14ac:dyDescent="0.25">
      <c r="A18" s="4" t="s">
        <v>71</v>
      </c>
      <c r="B18" s="20">
        <f>SUM(B14:B17)</f>
        <v>1</v>
      </c>
    </row>
    <row r="19" spans="1:5" ht="15" customHeight="1" x14ac:dyDescent="0.25">
      <c r="A19" s="1" t="s">
        <v>72</v>
      </c>
      <c r="B19" s="1"/>
      <c r="C19" s="1"/>
      <c r="D19" s="1"/>
      <c r="E19" s="1"/>
    </row>
    <row r="21" spans="1:5" x14ac:dyDescent="0.25">
      <c r="A21" s="22" t="s">
        <v>73</v>
      </c>
    </row>
    <row r="22" spans="1:5" x14ac:dyDescent="0.25">
      <c r="A22" s="9" t="s">
        <v>74</v>
      </c>
      <c r="B22" s="18">
        <v>4</v>
      </c>
    </row>
    <row r="23" spans="1:5" x14ac:dyDescent="0.25">
      <c r="A23" s="9" t="s">
        <v>75</v>
      </c>
      <c r="B23" s="18">
        <v>2</v>
      </c>
    </row>
    <row r="24" spans="1:5" x14ac:dyDescent="0.25">
      <c r="A24" s="9" t="s">
        <v>76</v>
      </c>
      <c r="B24" s="18">
        <v>10</v>
      </c>
    </row>
    <row r="25" spans="1:5" x14ac:dyDescent="0.25">
      <c r="A25" s="9" t="s">
        <v>77</v>
      </c>
      <c r="B25" s="9">
        <f>B22*B23</f>
        <v>8</v>
      </c>
    </row>
  </sheetData>
  <mergeCells count="2">
    <mergeCell ref="A10:E10"/>
    <mergeCell ref="A19:E19"/>
  </mergeCell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3"/>
  <sheetViews>
    <sheetView showGridLines="0" tabSelected="1" zoomScaleNormal="100" workbookViewId="0">
      <selection activeCell="D10" sqref="D10"/>
    </sheetView>
  </sheetViews>
  <sheetFormatPr defaultColWidth="8.7109375" defaultRowHeight="15" x14ac:dyDescent="0.25"/>
  <cols>
    <col min="1" max="1" width="40" customWidth="1"/>
    <col min="2" max="2" width="48" customWidth="1"/>
    <col min="3" max="3" width="16" customWidth="1"/>
    <col min="4" max="4" width="18" customWidth="1"/>
    <col min="5" max="6" width="16" customWidth="1"/>
  </cols>
  <sheetData>
    <row r="1" spans="1:5" ht="18" x14ac:dyDescent="0.25">
      <c r="A1" s="2" t="s">
        <v>78</v>
      </c>
    </row>
    <row r="3" spans="1:5" x14ac:dyDescent="0.25">
      <c r="A3" s="4" t="s">
        <v>79</v>
      </c>
      <c r="B3" s="18">
        <v>6</v>
      </c>
    </row>
    <row r="5" spans="1:5" ht="30" x14ac:dyDescent="0.25">
      <c r="A5" s="6" t="s">
        <v>80</v>
      </c>
      <c r="B5" s="6" t="s">
        <v>81</v>
      </c>
      <c r="C5" s="6" t="s">
        <v>82</v>
      </c>
      <c r="D5" s="6" t="s">
        <v>83</v>
      </c>
      <c r="E5" s="6" t="s">
        <v>84</v>
      </c>
    </row>
    <row r="6" spans="1:5" ht="30" customHeight="1" x14ac:dyDescent="0.25">
      <c r="A6" s="9" t="s">
        <v>53</v>
      </c>
      <c r="B6" s="5" t="s">
        <v>85</v>
      </c>
      <c r="C6" s="11">
        <f>INTERCEPT(Data!$B$4:$B$8,Data!$D$4:$D$8)+SLOPE(Data!$B$4:$B$8,Data!$D$4:$D$8)*$B$3</f>
        <v>57100</v>
      </c>
      <c r="D6" s="20">
        <f>C6/Data!$B$8-1</f>
        <v>1.9642857142857073E-2</v>
      </c>
      <c r="E6" s="18">
        <v>1</v>
      </c>
    </row>
    <row r="7" spans="1:5" ht="30" customHeight="1" x14ac:dyDescent="0.25">
      <c r="A7" s="9" t="s">
        <v>86</v>
      </c>
      <c r="B7" s="5" t="s">
        <v>87</v>
      </c>
      <c r="C7" s="11">
        <f>EXP(INTERCEPT(Data!$E$4:$E$8,Data!$D$4:$D$8)+SLOPE(Data!$E$4:$E$8,Data!$D$4:$D$8)*$B$3)</f>
        <v>57262.289410286881</v>
      </c>
      <c r="D7" s="20">
        <f>C7/Data!$B$8-1</f>
        <v>2.2540882326551381E-2</v>
      </c>
      <c r="E7" s="18">
        <v>1</v>
      </c>
    </row>
    <row r="8" spans="1:5" ht="30" customHeight="1" x14ac:dyDescent="0.25">
      <c r="A8" s="9" t="s">
        <v>88</v>
      </c>
      <c r="B8" s="5" t="s">
        <v>89</v>
      </c>
      <c r="C8" s="11">
        <f>Data!$B$8*(Data!$B$8/Data!$B$4)^(1/4)</f>
        <v>57900.993243203106</v>
      </c>
      <c r="D8" s="20">
        <f>C8/Data!$B$8-1</f>
        <v>3.3946307914341167E-2</v>
      </c>
      <c r="E8" s="18">
        <v>1</v>
      </c>
    </row>
    <row r="9" spans="1:5" ht="30" customHeight="1" x14ac:dyDescent="0.25">
      <c r="A9" s="9" t="s">
        <v>90</v>
      </c>
      <c r="B9" s="5" t="s">
        <v>91</v>
      </c>
      <c r="C9" s="11">
        <f>Data!$B$8*(Data!$B$8/Data!$B$5)^(1/3)</f>
        <v>58749.402827386977</v>
      </c>
      <c r="D9" s="20">
        <f>C9/Data!$B$8-1</f>
        <v>4.9096479060481757E-2</v>
      </c>
      <c r="E9" s="18">
        <v>1</v>
      </c>
    </row>
    <row r="10" spans="1:5" ht="30" customHeight="1" x14ac:dyDescent="0.25">
      <c r="A10" s="9" t="s">
        <v>58</v>
      </c>
      <c r="B10" s="5" t="s">
        <v>92</v>
      </c>
      <c r="C10" s="11">
        <f>Data!$B$8*(1+AVERAGE(Data!$C$5:$C$8))</f>
        <v>57924.338155341138</v>
      </c>
      <c r="D10" s="20">
        <f>C10/Data!$B$8-1</f>
        <v>3.4363181345377525E-2</v>
      </c>
      <c r="E10" s="18">
        <v>1</v>
      </c>
    </row>
    <row r="11" spans="1:5" ht="30" customHeight="1" x14ac:dyDescent="0.25">
      <c r="A11" s="9" t="s">
        <v>93</v>
      </c>
      <c r="B11" s="5" t="s">
        <v>94</v>
      </c>
      <c r="C11" s="11">
        <f>C30+D30</f>
        <v>58506.918000000005</v>
      </c>
      <c r="D11" s="20">
        <f>C11/Data!$B$8-1</f>
        <v>4.47663928571429E-2</v>
      </c>
      <c r="E11" s="18">
        <v>0</v>
      </c>
    </row>
    <row r="12" spans="1:5" ht="30" customHeight="1" x14ac:dyDescent="0.25">
      <c r="A12" s="9" t="s">
        <v>95</v>
      </c>
      <c r="B12" s="5" t="s">
        <v>96</v>
      </c>
      <c r="C12" s="11">
        <f>Data!$B$8</f>
        <v>56000</v>
      </c>
      <c r="D12" s="20">
        <f>C12/Data!$B$8-1</f>
        <v>0</v>
      </c>
      <c r="E12" s="18">
        <v>0</v>
      </c>
    </row>
    <row r="14" spans="1:5" x14ac:dyDescent="0.25">
      <c r="A14" s="41" t="s">
        <v>97</v>
      </c>
      <c r="B14" s="41"/>
      <c r="C14" s="39">
        <f>SUMPRODUCT(C6:C12,E6:E12)/SUM(E6:E12)</f>
        <v>57787.404727243622</v>
      </c>
      <c r="D14" s="25">
        <f>C14/Data!$B$8-1</f>
        <v>3.1917941557921825E-2</v>
      </c>
    </row>
    <row r="15" spans="1:5" x14ac:dyDescent="0.25">
      <c r="A15" s="40" t="s">
        <v>98</v>
      </c>
      <c r="C15" s="14">
        <f>MIN(C6:C10)</f>
        <v>57100</v>
      </c>
    </row>
    <row r="16" spans="1:5" x14ac:dyDescent="0.25">
      <c r="A16" s="9" t="s">
        <v>99</v>
      </c>
      <c r="C16" s="14">
        <f>MAX(C6:C10)</f>
        <v>58749.402827386977</v>
      </c>
    </row>
    <row r="17" spans="1:6" x14ac:dyDescent="0.25">
      <c r="A17" s="9" t="s">
        <v>100</v>
      </c>
      <c r="C17" s="14">
        <f>C16-C15</f>
        <v>1649.4028273869772</v>
      </c>
    </row>
    <row r="18" spans="1:6" ht="45" customHeight="1" x14ac:dyDescent="0.25">
      <c r="A18" s="1" t="s">
        <v>101</v>
      </c>
      <c r="B18" s="1"/>
      <c r="C18" s="1"/>
      <c r="D18" s="1"/>
      <c r="E18" s="1"/>
    </row>
    <row r="21" spans="1:6" x14ac:dyDescent="0.25">
      <c r="A21" s="22" t="s">
        <v>102</v>
      </c>
    </row>
    <row r="22" spans="1:6" x14ac:dyDescent="0.25">
      <c r="A22" s="9" t="s">
        <v>103</v>
      </c>
      <c r="B22" s="26">
        <v>0.7</v>
      </c>
    </row>
    <row r="23" spans="1:6" x14ac:dyDescent="0.25">
      <c r="A23" s="9" t="s">
        <v>104</v>
      </c>
      <c r="B23" s="26">
        <v>0.7</v>
      </c>
    </row>
    <row r="25" spans="1:6" x14ac:dyDescent="0.25">
      <c r="A25" s="6" t="s">
        <v>105</v>
      </c>
      <c r="B25" s="6" t="s">
        <v>43</v>
      </c>
      <c r="C25" s="6" t="s">
        <v>106</v>
      </c>
      <c r="D25" s="6" t="s">
        <v>107</v>
      </c>
      <c r="E25" s="6" t="s">
        <v>108</v>
      </c>
      <c r="F25" s="6" t="s">
        <v>109</v>
      </c>
    </row>
    <row r="26" spans="1:6" x14ac:dyDescent="0.25">
      <c r="A26" s="9">
        <v>1</v>
      </c>
      <c r="B26" s="11">
        <f>Data!B4</f>
        <v>49000</v>
      </c>
      <c r="C26" s="14">
        <f>B26</f>
        <v>49000</v>
      </c>
      <c r="D26" s="11">
        <f>Data!B5-Data!B4</f>
        <v>-500</v>
      </c>
      <c r="E26" s="9" t="s">
        <v>67</v>
      </c>
      <c r="F26" s="9" t="s">
        <v>67</v>
      </c>
    </row>
    <row r="27" spans="1:6" x14ac:dyDescent="0.25">
      <c r="A27" s="9">
        <v>2</v>
      </c>
      <c r="B27" s="11">
        <f>Data!B5</f>
        <v>48500</v>
      </c>
      <c r="C27" s="14">
        <f>$B$22*B27+(1-$B$22)*(C26+D26)</f>
        <v>48500</v>
      </c>
      <c r="D27" s="14">
        <f>$B$23*(C27-C26)+(1-$B$23)*D26</f>
        <v>-500</v>
      </c>
      <c r="E27" s="14">
        <f>C26+D26</f>
        <v>48500</v>
      </c>
      <c r="F27" s="14">
        <f>(B27-E27)^2</f>
        <v>0</v>
      </c>
    </row>
    <row r="28" spans="1:6" x14ac:dyDescent="0.25">
      <c r="A28" s="9">
        <v>3</v>
      </c>
      <c r="B28" s="11">
        <f>Data!B6</f>
        <v>50000</v>
      </c>
      <c r="C28" s="14">
        <f>$B$22*B28+(1-$B$22)*(C27+D27)</f>
        <v>49400</v>
      </c>
      <c r="D28" s="14">
        <f>$B$23*(C28-C27)+(1-$B$23)*D27</f>
        <v>480</v>
      </c>
      <c r="E28" s="14">
        <f>C27+D27</f>
        <v>48000</v>
      </c>
      <c r="F28" s="14">
        <f>(B28-E28)^2</f>
        <v>4000000</v>
      </c>
    </row>
    <row r="29" spans="1:6" x14ac:dyDescent="0.25">
      <c r="A29" s="9">
        <v>4</v>
      </c>
      <c r="B29" s="11">
        <f>Data!B7</f>
        <v>53500</v>
      </c>
      <c r="C29" s="14">
        <f>$B$22*B29+(1-$B$22)*(C28+D28)</f>
        <v>52414</v>
      </c>
      <c r="D29" s="14">
        <f>$B$23*(C29-C28)+(1-$B$23)*D28</f>
        <v>2253.7999999999997</v>
      </c>
      <c r="E29" s="14">
        <f>C28+D28</f>
        <v>49880</v>
      </c>
      <c r="F29" s="14">
        <f>(B29-E29)^2</f>
        <v>13104400</v>
      </c>
    </row>
    <row r="30" spans="1:6" x14ac:dyDescent="0.25">
      <c r="A30" s="9">
        <v>5</v>
      </c>
      <c r="B30" s="11">
        <f>Data!B8</f>
        <v>56000</v>
      </c>
      <c r="C30" s="14">
        <f>$B$22*B30+(1-$B$22)*(C29+D29)</f>
        <v>55600.340000000004</v>
      </c>
      <c r="D30" s="14">
        <f>$B$23*(C30-C29)+(1-$B$23)*D29</f>
        <v>2906.5780000000022</v>
      </c>
      <c r="E30" s="14">
        <f>C29+D29</f>
        <v>54667.8</v>
      </c>
      <c r="F30" s="14">
        <f>(B30-E30)^2</f>
        <v>1774756.8399999922</v>
      </c>
    </row>
    <row r="31" spans="1:6" x14ac:dyDescent="0.25">
      <c r="A31" s="4" t="s">
        <v>110</v>
      </c>
      <c r="C31" s="14">
        <f>C30+D30</f>
        <v>58506.918000000005</v>
      </c>
    </row>
    <row r="32" spans="1:6" x14ac:dyDescent="0.25">
      <c r="A32" s="9" t="s">
        <v>111</v>
      </c>
      <c r="C32" s="14">
        <f>SUM(F27:F30)</f>
        <v>18879156.839999992</v>
      </c>
    </row>
    <row r="33" spans="1:6" ht="45" customHeight="1" x14ac:dyDescent="0.25">
      <c r="A33" s="1" t="s">
        <v>112</v>
      </c>
      <c r="B33" s="1"/>
      <c r="C33" s="1"/>
      <c r="D33" s="1"/>
      <c r="E33" s="1"/>
      <c r="F33" s="1"/>
    </row>
  </sheetData>
  <mergeCells count="3">
    <mergeCell ref="A18:E18"/>
    <mergeCell ref="A33:F33"/>
    <mergeCell ref="A14:B14"/>
  </mergeCells>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
  <sheetViews>
    <sheetView showGridLines="0" zoomScaleNormal="100" workbookViewId="0">
      <selection activeCell="E32" sqref="E32"/>
    </sheetView>
  </sheetViews>
  <sheetFormatPr defaultColWidth="8.7109375" defaultRowHeight="15" x14ac:dyDescent="0.25"/>
  <cols>
    <col min="1" max="1" width="32" customWidth="1"/>
    <col min="2" max="2" width="18" customWidth="1"/>
    <col min="3" max="3" width="14" customWidth="1"/>
    <col min="4" max="4" width="12" customWidth="1"/>
    <col min="5" max="5" width="18" customWidth="1"/>
    <col min="6" max="6" width="14" customWidth="1"/>
    <col min="7" max="8" width="12" customWidth="1"/>
    <col min="9" max="9" width="22" customWidth="1"/>
  </cols>
  <sheetData>
    <row r="1" spans="1:9" ht="18" x14ac:dyDescent="0.25">
      <c r="A1" s="2" t="s">
        <v>113</v>
      </c>
    </row>
    <row r="2" spans="1:9" ht="30" customHeight="1" x14ac:dyDescent="0.25">
      <c r="A2" s="1" t="s">
        <v>114</v>
      </c>
      <c r="B2" s="1"/>
      <c r="C2" s="1"/>
      <c r="D2" s="1"/>
      <c r="E2" s="1"/>
      <c r="F2" s="1"/>
      <c r="G2" s="1"/>
      <c r="H2" s="1"/>
      <c r="I2" s="1"/>
    </row>
    <row r="4" spans="1:9" ht="30" x14ac:dyDescent="0.25">
      <c r="A4" s="6" t="s">
        <v>80</v>
      </c>
      <c r="B4" s="6" t="s">
        <v>115</v>
      </c>
      <c r="C4" s="6" t="s">
        <v>116</v>
      </c>
      <c r="D4" s="6" t="s">
        <v>117</v>
      </c>
      <c r="E4" s="6" t="s">
        <v>118</v>
      </c>
      <c r="F4" s="6" t="s">
        <v>119</v>
      </c>
      <c r="G4" s="6" t="s">
        <v>120</v>
      </c>
      <c r="H4" s="6" t="s">
        <v>121</v>
      </c>
      <c r="I4" s="6" t="s">
        <v>122</v>
      </c>
    </row>
    <row r="5" spans="1:9" x14ac:dyDescent="0.25">
      <c r="A5" s="9" t="s">
        <v>53</v>
      </c>
      <c r="B5" s="11">
        <f>INTERCEPT(Data!$B$4:$B$6,Data!$D$4:$D$6)+SLOPE(Data!$B$4:$B$6,Data!$D$4:$D$6)*4</f>
        <v>50166.666666666664</v>
      </c>
      <c r="C5" s="11">
        <f>Data!$B$7</f>
        <v>53500</v>
      </c>
      <c r="D5" s="16">
        <f>ABS(B5-C5)/C5</f>
        <v>6.2305295950155812E-2</v>
      </c>
      <c r="E5" s="11">
        <f>INTERCEPT(Data!$B$4:$B$7,Data!$D$4:$D$7)+SLOPE(Data!$B$4:$B$7,Data!$D$4:$D$7)*5</f>
        <v>54000</v>
      </c>
      <c r="F5" s="11">
        <f>Data!$B$8</f>
        <v>56000</v>
      </c>
      <c r="G5" s="16">
        <f>ABS(E5-F5)/F5</f>
        <v>3.5714285714285712E-2</v>
      </c>
      <c r="H5" s="27">
        <f>AVERAGE(D5,G5)</f>
        <v>4.9009790832220762E-2</v>
      </c>
      <c r="I5" s="16">
        <f>AVERAGE((B5-C5)/C5,(E5-F5)/F5)</f>
        <v>-4.9009790832220762E-2</v>
      </c>
    </row>
    <row r="6" spans="1:9" x14ac:dyDescent="0.25">
      <c r="A6" s="9" t="s">
        <v>86</v>
      </c>
      <c r="B6" s="11">
        <f>EXP(INTERCEPT(Data!$E$4:$E$6,Data!$D$4:$D$6)+SLOPE(Data!$E$4:$E$6,Data!$D$4:$D$6)*4)</f>
        <v>50166.045220436114</v>
      </c>
      <c r="C6" s="11">
        <f>Data!$B$7</f>
        <v>53500</v>
      </c>
      <c r="D6" s="16">
        <f>ABS(B6-C6)/C6</f>
        <v>6.2316911767549277E-2</v>
      </c>
      <c r="E6" s="11">
        <f>EXP(INTERCEPT(Data!$E$4:$E$7,Data!$D$4:$D$7)+SLOPE(Data!$E$4:$E$7,Data!$D$4:$D$7)*5)</f>
        <v>54043.161133543384</v>
      </c>
      <c r="F6" s="11">
        <f>Data!$B$8</f>
        <v>56000</v>
      </c>
      <c r="G6" s="16">
        <f>ABS(E6-F6)/F6</f>
        <v>3.4943551186725277E-2</v>
      </c>
      <c r="H6" s="27">
        <f>AVERAGE(D6,G6)</f>
        <v>4.8630231477137277E-2</v>
      </c>
      <c r="I6" s="16">
        <f>AVERAGE((B6-C6)/C6,(E6-F6)/F6)</f>
        <v>-4.8630231477137277E-2</v>
      </c>
    </row>
    <row r="7" spans="1:9" x14ac:dyDescent="0.25">
      <c r="A7" s="9" t="s">
        <v>123</v>
      </c>
      <c r="B7" s="11">
        <f>Data!$B$6*(Data!$B$6/Data!$B$4)^(1/2)</f>
        <v>50507.627227610537</v>
      </c>
      <c r="C7" s="11">
        <f>Data!$B$7</f>
        <v>53500</v>
      </c>
      <c r="D7" s="16">
        <f>ABS(B7-C7)/C7</f>
        <v>5.5932201353074071E-2</v>
      </c>
      <c r="E7" s="11">
        <f>Data!$B$7*(Data!$B$7/Data!$B$4)^(1/3)</f>
        <v>55090.030906294567</v>
      </c>
      <c r="F7" s="11">
        <f>Data!$B$8</f>
        <v>56000</v>
      </c>
      <c r="G7" s="16">
        <f>ABS(E7-F7)/F7</f>
        <v>1.6249448101882731E-2</v>
      </c>
      <c r="H7" s="27">
        <f>AVERAGE(D7,G7)</f>
        <v>3.6090824727478404E-2</v>
      </c>
      <c r="I7" s="16">
        <f>AVERAGE((B7-C7)/C7,(E7-F7)/F7)</f>
        <v>-3.6090824727478404E-2</v>
      </c>
    </row>
    <row r="8" spans="1:9" x14ac:dyDescent="0.25">
      <c r="A8" s="9" t="s">
        <v>58</v>
      </c>
      <c r="B8" s="11">
        <f>Data!$B$6*(1+AVERAGE(Data!$C$5:$C$6))</f>
        <v>50518.093835472333</v>
      </c>
      <c r="C8" s="11">
        <f>Data!$B$7</f>
        <v>53500</v>
      </c>
      <c r="D8" s="16">
        <f>ABS(B8-C8)/C8</f>
        <v>5.5736563822947047E-2</v>
      </c>
      <c r="E8" s="11">
        <f>Data!$B$7*(1+AVERAGE(Data!$C$5:$C$7))</f>
        <v>55117.906935970263</v>
      </c>
      <c r="F8" s="11">
        <f>Data!$B$8</f>
        <v>56000</v>
      </c>
      <c r="G8" s="16">
        <f>ABS(E8-F8)/F8</f>
        <v>1.5751661857673883E-2</v>
      </c>
      <c r="H8" s="27">
        <f>AVERAGE(D8,G8)</f>
        <v>3.5744112840310469E-2</v>
      </c>
      <c r="I8" s="16">
        <f>AVERAGE((B8-C8)/C8,(E8-F8)/F8)</f>
        <v>-3.5744112840310469E-2</v>
      </c>
    </row>
    <row r="9" spans="1:9" x14ac:dyDescent="0.25">
      <c r="A9" s="9" t="s">
        <v>95</v>
      </c>
      <c r="B9" s="11">
        <f>Data!$B$6</f>
        <v>50000</v>
      </c>
      <c r="C9" s="11">
        <f>Data!$B$7</f>
        <v>53500</v>
      </c>
      <c r="D9" s="16">
        <f>ABS(B9-C9)/C9</f>
        <v>6.5420560747663545E-2</v>
      </c>
      <c r="E9" s="11">
        <f>Data!$B$7</f>
        <v>53500</v>
      </c>
      <c r="F9" s="11">
        <f>Data!$B$8</f>
        <v>56000</v>
      </c>
      <c r="G9" s="16">
        <f>ABS(E9-F9)/F9</f>
        <v>4.4642857142857144E-2</v>
      </c>
      <c r="H9" s="27">
        <f>AVERAGE(D9,G9)</f>
        <v>5.5031708945260341E-2</v>
      </c>
      <c r="I9" s="16">
        <f>AVERAGE((B9-C9)/C9,(E9-F9)/F9)</f>
        <v>-5.5031708945260341E-2</v>
      </c>
    </row>
    <row r="11" spans="1:9" x14ac:dyDescent="0.25">
      <c r="A11" s="4" t="s">
        <v>124</v>
      </c>
      <c r="B11" s="9" t="str">
        <f>INDEX(A5:A9,MATCH(MIN(H5:H9),H5:H9,0))</f>
        <v>Average YoY growth</v>
      </c>
    </row>
    <row r="12" spans="1:9" x14ac:dyDescent="0.25">
      <c r="A12" s="4" t="s">
        <v>125</v>
      </c>
      <c r="B12" s="16">
        <f>AVERAGE(I5:I9)</f>
        <v>-4.4901333764481445E-2</v>
      </c>
    </row>
    <row r="14" spans="1:9" ht="60" customHeight="1" x14ac:dyDescent="0.25">
      <c r="A14" s="1" t="s">
        <v>126</v>
      </c>
      <c r="B14" s="1"/>
      <c r="C14" s="1"/>
      <c r="D14" s="1"/>
      <c r="E14" s="1"/>
      <c r="F14" s="1"/>
      <c r="G14" s="1"/>
      <c r="H14" s="1"/>
      <c r="I14" s="1"/>
    </row>
  </sheetData>
  <mergeCells count="2">
    <mergeCell ref="A2:I2"/>
    <mergeCell ref="A14:I1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1"/>
  <sheetViews>
    <sheetView showGridLines="0" topLeftCell="A19" zoomScaleNormal="100" workbookViewId="0">
      <selection activeCell="F18" sqref="F18"/>
    </sheetView>
  </sheetViews>
  <sheetFormatPr defaultColWidth="8.7109375" defaultRowHeight="15" x14ac:dyDescent="0.25"/>
  <cols>
    <col min="1" max="1" width="46" customWidth="1"/>
    <col min="2" max="5" width="13" customWidth="1"/>
    <col min="6" max="6" width="70" customWidth="1"/>
  </cols>
  <sheetData>
    <row r="1" spans="1:6" ht="18" x14ac:dyDescent="0.25">
      <c r="A1" s="2" t="s">
        <v>127</v>
      </c>
    </row>
    <row r="2" spans="1:6" ht="30" customHeight="1" x14ac:dyDescent="0.25">
      <c r="A2" s="1" t="s">
        <v>128</v>
      </c>
      <c r="B2" s="1"/>
      <c r="C2" s="1"/>
      <c r="D2" s="1"/>
      <c r="E2" s="1"/>
      <c r="F2" s="1"/>
    </row>
    <row r="4" spans="1:6" x14ac:dyDescent="0.25">
      <c r="A4" s="6" t="s">
        <v>129</v>
      </c>
      <c r="B4" s="6" t="s">
        <v>19</v>
      </c>
      <c r="C4" s="6" t="s">
        <v>20</v>
      </c>
      <c r="D4" s="6" t="s">
        <v>21</v>
      </c>
      <c r="E4" s="6" t="s">
        <v>130</v>
      </c>
      <c r="F4" s="6" t="s">
        <v>131</v>
      </c>
    </row>
    <row r="5" spans="1:6" ht="42" customHeight="1" x14ac:dyDescent="0.25">
      <c r="A5" s="28" t="s">
        <v>132</v>
      </c>
      <c r="B5" s="29">
        <f>Trend_Models!C15</f>
        <v>57100</v>
      </c>
      <c r="C5" s="29">
        <f>Trend_Models!C14</f>
        <v>57787.404727243622</v>
      </c>
      <c r="D5" s="29">
        <f>Trend_Models!C16</f>
        <v>58749.402827386977</v>
      </c>
      <c r="E5" s="9" t="s">
        <v>133</v>
      </c>
      <c r="F5" s="5" t="s">
        <v>134</v>
      </c>
    </row>
    <row r="6" spans="1:6" ht="42" customHeight="1" x14ac:dyDescent="0.25">
      <c r="A6" s="5" t="s">
        <v>135</v>
      </c>
      <c r="B6" s="23">
        <v>0.2</v>
      </c>
      <c r="C6" s="23">
        <v>0.2</v>
      </c>
      <c r="D6" s="23">
        <v>0.2</v>
      </c>
      <c r="E6" s="9" t="s">
        <v>136</v>
      </c>
      <c r="F6" s="5" t="s">
        <v>137</v>
      </c>
    </row>
    <row r="7" spans="1:6" ht="42" customHeight="1" x14ac:dyDescent="0.25">
      <c r="A7" s="28" t="s">
        <v>138</v>
      </c>
      <c r="B7" s="30">
        <v>0.05</v>
      </c>
      <c r="C7" s="30">
        <v>0.12</v>
      </c>
      <c r="D7" s="30">
        <v>0.24</v>
      </c>
      <c r="E7" s="9" t="s">
        <v>139</v>
      </c>
      <c r="F7" s="5" t="s">
        <v>140</v>
      </c>
    </row>
    <row r="8" spans="1:6" ht="42" customHeight="1" x14ac:dyDescent="0.25">
      <c r="A8" s="5" t="s">
        <v>141</v>
      </c>
      <c r="B8" s="19">
        <v>500000</v>
      </c>
      <c r="C8" s="19">
        <v>500000</v>
      </c>
      <c r="D8" s="19">
        <v>500000</v>
      </c>
      <c r="E8" s="9" t="s">
        <v>142</v>
      </c>
      <c r="F8" s="5" t="s">
        <v>143</v>
      </c>
    </row>
    <row r="9" spans="1:6" ht="42" customHeight="1" x14ac:dyDescent="0.25">
      <c r="A9" s="5" t="s">
        <v>144</v>
      </c>
      <c r="B9" s="19">
        <v>1200000</v>
      </c>
      <c r="C9" s="19">
        <v>1200000</v>
      </c>
      <c r="D9" s="19">
        <v>1200000</v>
      </c>
      <c r="E9" s="9" t="s">
        <v>142</v>
      </c>
      <c r="F9" s="5" t="s">
        <v>143</v>
      </c>
    </row>
    <row r="10" spans="1:6" ht="42" customHeight="1" x14ac:dyDescent="0.25">
      <c r="A10" s="5" t="s">
        <v>145</v>
      </c>
      <c r="B10" s="14">
        <f>B9-B8</f>
        <v>700000</v>
      </c>
      <c r="C10" s="14">
        <f>C9-C8</f>
        <v>700000</v>
      </c>
      <c r="D10" s="14">
        <f>D9-D8</f>
        <v>700000</v>
      </c>
      <c r="E10" s="9" t="s">
        <v>142</v>
      </c>
      <c r="F10" s="5" t="s">
        <v>146</v>
      </c>
    </row>
    <row r="11" spans="1:6" ht="42" customHeight="1" x14ac:dyDescent="0.25">
      <c r="A11" s="5" t="s">
        <v>147</v>
      </c>
      <c r="B11" s="26">
        <v>1.4</v>
      </c>
      <c r="C11" s="26">
        <v>1.3</v>
      </c>
      <c r="D11" s="26">
        <v>1.2</v>
      </c>
      <c r="E11" s="9" t="s">
        <v>148</v>
      </c>
      <c r="F11" s="5" t="s">
        <v>149</v>
      </c>
    </row>
    <row r="12" spans="1:6" ht="42" customHeight="1" x14ac:dyDescent="0.25">
      <c r="A12" s="5" t="s">
        <v>150</v>
      </c>
      <c r="B12" s="11">
        <f>Data!$B$8/B11</f>
        <v>40000</v>
      </c>
      <c r="C12" s="11">
        <f>Data!$B$8/C11</f>
        <v>43076.923076923078</v>
      </c>
      <c r="D12" s="11">
        <f>Data!$B$8/D11</f>
        <v>46666.666666666672</v>
      </c>
      <c r="E12" s="9" t="s">
        <v>151</v>
      </c>
      <c r="F12" s="5" t="s">
        <v>152</v>
      </c>
    </row>
    <row r="13" spans="1:6" ht="42" customHeight="1" x14ac:dyDescent="0.25">
      <c r="A13" s="5" t="s">
        <v>153</v>
      </c>
      <c r="B13" s="16">
        <f>B12/B8</f>
        <v>0.08</v>
      </c>
      <c r="C13" s="16">
        <f>C12/C8</f>
        <v>8.615384615384615E-2</v>
      </c>
      <c r="D13" s="16">
        <f>D12/D8</f>
        <v>9.3333333333333338E-2</v>
      </c>
      <c r="E13" s="9" t="s">
        <v>136</v>
      </c>
      <c r="F13" s="5" t="s">
        <v>154</v>
      </c>
    </row>
    <row r="14" spans="1:6" ht="42" customHeight="1" x14ac:dyDescent="0.25">
      <c r="A14" s="28" t="s">
        <v>155</v>
      </c>
      <c r="B14" s="30">
        <v>0.04</v>
      </c>
      <c r="C14" s="30">
        <v>0.08</v>
      </c>
      <c r="D14" s="30">
        <v>0.12</v>
      </c>
      <c r="E14" s="9" t="s">
        <v>156</v>
      </c>
      <c r="F14" s="5" t="s">
        <v>157</v>
      </c>
    </row>
    <row r="15" spans="1:6" ht="42" customHeight="1" x14ac:dyDescent="0.25">
      <c r="A15" s="5" t="s">
        <v>158</v>
      </c>
      <c r="B15" s="26">
        <v>1.1000000000000001</v>
      </c>
      <c r="C15" s="26">
        <v>1.1499999999999999</v>
      </c>
      <c r="D15" s="26">
        <v>1.2</v>
      </c>
      <c r="E15" s="9" t="s">
        <v>148</v>
      </c>
      <c r="F15" s="5" t="s">
        <v>159</v>
      </c>
    </row>
    <row r="16" spans="1:6" ht="42" customHeight="1" x14ac:dyDescent="0.25">
      <c r="A16" s="31" t="s">
        <v>160</v>
      </c>
      <c r="B16" s="32">
        <f>B10*B13*B14*B15</f>
        <v>2464</v>
      </c>
      <c r="C16" s="32">
        <f>C10*C13*C14*C15</f>
        <v>5548.3076923076924</v>
      </c>
      <c r="D16" s="32">
        <f>D10*D13*D14*D15</f>
        <v>9408</v>
      </c>
      <c r="E16" s="9" t="s">
        <v>133</v>
      </c>
      <c r="F16" s="5" t="s">
        <v>161</v>
      </c>
    </row>
    <row r="17" spans="1:6" ht="42" customHeight="1" x14ac:dyDescent="0.25">
      <c r="A17" s="5" t="s">
        <v>162</v>
      </c>
      <c r="B17" s="23">
        <v>0.01</v>
      </c>
      <c r="C17" s="23">
        <v>0.03</v>
      </c>
      <c r="D17" s="23">
        <v>0.05</v>
      </c>
      <c r="E17" s="9" t="s">
        <v>163</v>
      </c>
      <c r="F17" s="5" t="s">
        <v>164</v>
      </c>
    </row>
    <row r="18" spans="1:6" ht="42" customHeight="1" x14ac:dyDescent="0.25">
      <c r="A18" s="5" t="s">
        <v>165</v>
      </c>
      <c r="B18" s="19">
        <v>0</v>
      </c>
      <c r="C18" s="19">
        <v>1500</v>
      </c>
      <c r="D18" s="19">
        <v>3000</v>
      </c>
      <c r="E18" s="9" t="s">
        <v>133</v>
      </c>
      <c r="F18" s="5" t="s">
        <v>166</v>
      </c>
    </row>
    <row r="19" spans="1:6" ht="42" customHeight="1" x14ac:dyDescent="0.25">
      <c r="A19" s="5" t="s">
        <v>167</v>
      </c>
      <c r="B19" s="19">
        <v>8000</v>
      </c>
      <c r="C19" s="19">
        <v>8000</v>
      </c>
      <c r="D19" s="19">
        <v>8000</v>
      </c>
      <c r="E19" s="9" t="s">
        <v>151</v>
      </c>
      <c r="F19" s="5" t="s">
        <v>143</v>
      </c>
    </row>
    <row r="20" spans="1:6" ht="42" customHeight="1" x14ac:dyDescent="0.25">
      <c r="A20" s="5" t="s">
        <v>168</v>
      </c>
      <c r="B20" s="19">
        <v>2</v>
      </c>
      <c r="C20" s="19">
        <v>2</v>
      </c>
      <c r="D20" s="19">
        <v>2</v>
      </c>
      <c r="E20" s="9" t="s">
        <v>169</v>
      </c>
      <c r="F20" s="5" t="s">
        <v>170</v>
      </c>
    </row>
    <row r="21" spans="1:6" ht="42" customHeight="1" x14ac:dyDescent="0.25">
      <c r="A21" s="5" t="s">
        <v>171</v>
      </c>
      <c r="B21" s="23">
        <v>0.02</v>
      </c>
      <c r="C21" s="23">
        <v>0.04</v>
      </c>
      <c r="D21" s="23">
        <v>0.06</v>
      </c>
      <c r="E21" s="9" t="s">
        <v>172</v>
      </c>
      <c r="F21" s="5" t="s">
        <v>173</v>
      </c>
    </row>
    <row r="22" spans="1:6" ht="42" customHeight="1" x14ac:dyDescent="0.25">
      <c r="A22" s="5" t="s">
        <v>174</v>
      </c>
      <c r="B22" s="23">
        <v>0.52</v>
      </c>
      <c r="C22" s="23">
        <v>0.52</v>
      </c>
      <c r="D22" s="23">
        <v>0.52</v>
      </c>
      <c r="E22" s="9" t="s">
        <v>136</v>
      </c>
      <c r="F22" s="5" t="s">
        <v>175</v>
      </c>
    </row>
    <row r="25" spans="1:6" x14ac:dyDescent="0.25">
      <c r="A25" s="22" t="s">
        <v>176</v>
      </c>
    </row>
    <row r="26" spans="1:6" x14ac:dyDescent="0.25">
      <c r="A26" s="6" t="s">
        <v>129</v>
      </c>
      <c r="B26" s="6" t="s">
        <v>19</v>
      </c>
      <c r="C26" s="6" t="s">
        <v>20</v>
      </c>
      <c r="D26" s="6" t="s">
        <v>21</v>
      </c>
      <c r="E26" s="6" t="s">
        <v>130</v>
      </c>
      <c r="F26" s="6" t="s">
        <v>131</v>
      </c>
    </row>
    <row r="27" spans="1:6" ht="42" customHeight="1" x14ac:dyDescent="0.25">
      <c r="A27" s="5" t="s">
        <v>177</v>
      </c>
      <c r="B27" s="26">
        <v>0.03</v>
      </c>
      <c r="C27" s="26">
        <v>0.06</v>
      </c>
      <c r="D27" s="26">
        <v>0.1</v>
      </c>
      <c r="E27" s="9" t="s">
        <v>178</v>
      </c>
      <c r="F27" s="5" t="s">
        <v>179</v>
      </c>
    </row>
    <row r="28" spans="1:6" ht="42" customHeight="1" x14ac:dyDescent="0.25">
      <c r="A28" s="5" t="s">
        <v>180</v>
      </c>
      <c r="B28" s="26">
        <v>0.2</v>
      </c>
      <c r="C28" s="26">
        <v>0.3</v>
      </c>
      <c r="D28" s="26">
        <v>0.4</v>
      </c>
      <c r="E28" s="9" t="s">
        <v>156</v>
      </c>
      <c r="F28" s="5" t="s">
        <v>181</v>
      </c>
    </row>
    <row r="29" spans="1:6" ht="42" customHeight="1" x14ac:dyDescent="0.25">
      <c r="A29" s="5" t="s">
        <v>182</v>
      </c>
      <c r="B29" s="14">
        <f>B10*B13*B28</f>
        <v>11200</v>
      </c>
      <c r="C29" s="14">
        <f>C10*C13*C28</f>
        <v>18092.307692307691</v>
      </c>
      <c r="D29" s="14">
        <f>D10*D13*D28</f>
        <v>26133.333333333336</v>
      </c>
      <c r="E29" s="9" t="s">
        <v>151</v>
      </c>
      <c r="F29" s="5" t="s">
        <v>154</v>
      </c>
    </row>
    <row r="30" spans="1:6" ht="42" customHeight="1" x14ac:dyDescent="0.25">
      <c r="A30" s="5" t="s">
        <v>183</v>
      </c>
      <c r="B30" s="14">
        <f>B27*B29</f>
        <v>336</v>
      </c>
      <c r="C30" s="14">
        <f>C27*C29</f>
        <v>1085.5384615384614</v>
      </c>
      <c r="D30" s="14">
        <f>D27*D29</f>
        <v>2613.3333333333339</v>
      </c>
      <c r="E30" s="9" t="s">
        <v>151</v>
      </c>
      <c r="F30" s="5" t="s">
        <v>184</v>
      </c>
    </row>
    <row r="31" spans="1:6" ht="42" customHeight="1" x14ac:dyDescent="0.25">
      <c r="A31" s="31" t="s">
        <v>185</v>
      </c>
      <c r="B31" s="32">
        <f>B30*B15</f>
        <v>369.6</v>
      </c>
      <c r="C31" s="32">
        <f>C30*C15</f>
        <v>1248.3692307692306</v>
      </c>
      <c r="D31" s="32">
        <f>D30*D15</f>
        <v>3136.0000000000005</v>
      </c>
      <c r="E31" s="9" t="s">
        <v>133</v>
      </c>
      <c r="F31" s="5" t="s">
        <v>186</v>
      </c>
    </row>
  </sheetData>
  <mergeCells count="1">
    <mergeCell ref="A2:F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3"/>
  <sheetViews>
    <sheetView showGridLines="0" topLeftCell="A9" zoomScaleNormal="100" workbookViewId="0"/>
  </sheetViews>
  <sheetFormatPr defaultColWidth="8.7109375" defaultRowHeight="15" x14ac:dyDescent="0.25"/>
  <cols>
    <col min="1" max="1" width="46" customWidth="1"/>
    <col min="2" max="4" width="15" customWidth="1"/>
    <col min="5" max="5" width="50" customWidth="1"/>
    <col min="6" max="6" width="16" customWidth="1"/>
    <col min="7" max="7" width="18" customWidth="1"/>
    <col min="8" max="8" width="16" customWidth="1"/>
  </cols>
  <sheetData>
    <row r="1" spans="1:5" ht="18" x14ac:dyDescent="0.25">
      <c r="A1" s="2" t="s">
        <v>187</v>
      </c>
    </row>
    <row r="3" spans="1:5" x14ac:dyDescent="0.25">
      <c r="A3" s="6" t="s">
        <v>188</v>
      </c>
      <c r="B3" s="6" t="s">
        <v>19</v>
      </c>
      <c r="C3" s="6" t="s">
        <v>20</v>
      </c>
      <c r="D3" s="6" t="s">
        <v>21</v>
      </c>
      <c r="E3" s="6" t="s">
        <v>189</v>
      </c>
    </row>
    <row r="4" spans="1:5" ht="30" customHeight="1" x14ac:dyDescent="0.25">
      <c r="A4" s="9" t="s">
        <v>190</v>
      </c>
      <c r="B4" s="11">
        <f>Assumptions!B5</f>
        <v>57100</v>
      </c>
      <c r="C4" s="11">
        <f>Assumptions!C5</f>
        <v>57787.404727243622</v>
      </c>
      <c r="D4" s="11">
        <f>Assumptions!D5</f>
        <v>58749.402827386977</v>
      </c>
      <c r="E4" s="5" t="s">
        <v>191</v>
      </c>
    </row>
    <row r="5" spans="1:5" ht="30" customHeight="1" x14ac:dyDescent="0.25">
      <c r="A5" s="9" t="s">
        <v>192</v>
      </c>
      <c r="B5" s="15">
        <f>Assumptions!B6*Assumptions!B7</f>
        <v>1.0000000000000002E-2</v>
      </c>
      <c r="C5" s="15">
        <f>Assumptions!C6*Assumptions!C7</f>
        <v>2.4E-2</v>
      </c>
      <c r="D5" s="15">
        <f>Assumptions!D6*Assumptions!D7</f>
        <v>4.8000000000000001E-2</v>
      </c>
      <c r="E5" s="5" t="s">
        <v>193</v>
      </c>
    </row>
    <row r="6" spans="1:5" ht="30" customHeight="1" x14ac:dyDescent="0.25">
      <c r="A6" s="9" t="s">
        <v>194</v>
      </c>
      <c r="B6" s="14">
        <f>B4*(1+B5)</f>
        <v>57671</v>
      </c>
      <c r="C6" s="14">
        <f>C4*(1+C5)</f>
        <v>59174.302440697473</v>
      </c>
      <c r="D6" s="14">
        <f>D4*(1+D5)</f>
        <v>61569.374163101551</v>
      </c>
      <c r="E6" s="5" t="s">
        <v>195</v>
      </c>
    </row>
    <row r="7" spans="1:5" ht="30" customHeight="1" x14ac:dyDescent="0.25">
      <c r="A7" s="9" t="s">
        <v>196</v>
      </c>
      <c r="B7" s="10">
        <f>Assumptions!B17</f>
        <v>0.01</v>
      </c>
      <c r="C7" s="10">
        <f>Assumptions!C17</f>
        <v>0.03</v>
      </c>
      <c r="D7" s="10">
        <f>Assumptions!D17</f>
        <v>0.05</v>
      </c>
      <c r="E7" s="5" t="s">
        <v>197</v>
      </c>
    </row>
    <row r="8" spans="1:5" ht="30" customHeight="1" x14ac:dyDescent="0.25">
      <c r="A8" s="9" t="s">
        <v>198</v>
      </c>
      <c r="B8" s="14">
        <f>B6*(1+B7)</f>
        <v>58247.71</v>
      </c>
      <c r="C8" s="14">
        <f>C6*(1+C7)</f>
        <v>60949.531513918395</v>
      </c>
      <c r="D8" s="14">
        <f>D6*(1+D7)</f>
        <v>64647.842871256631</v>
      </c>
      <c r="E8" s="5" t="s">
        <v>199</v>
      </c>
    </row>
    <row r="9" spans="1:5" ht="30" customHeight="1" x14ac:dyDescent="0.25">
      <c r="A9" s="9" t="s">
        <v>200</v>
      </c>
      <c r="B9" s="11">
        <f>Assumptions!B16</f>
        <v>2464</v>
      </c>
      <c r="C9" s="11">
        <f>Assumptions!C16</f>
        <v>5548.3076923076924</v>
      </c>
      <c r="D9" s="11">
        <f>Assumptions!D16</f>
        <v>9408</v>
      </c>
      <c r="E9" s="5" t="s">
        <v>201</v>
      </c>
    </row>
    <row r="10" spans="1:5" ht="30" customHeight="1" x14ac:dyDescent="0.25">
      <c r="A10" s="9" t="s">
        <v>202</v>
      </c>
      <c r="B10" s="11">
        <f>MIN(Assumptions!B18,Assumptions!B19*Assumptions!B20)</f>
        <v>0</v>
      </c>
      <c r="C10" s="11">
        <f>MIN(Assumptions!C18,Assumptions!C19*Assumptions!C20)</f>
        <v>1500</v>
      </c>
      <c r="D10" s="11">
        <f>MIN(Assumptions!D18,Assumptions!D19*Assumptions!D20)</f>
        <v>3000</v>
      </c>
      <c r="E10" s="5" t="s">
        <v>203</v>
      </c>
    </row>
    <row r="11" spans="1:5" ht="30" customHeight="1" x14ac:dyDescent="0.25">
      <c r="A11" s="7" t="s">
        <v>204</v>
      </c>
      <c r="B11" s="24">
        <f>B8+B9+B10</f>
        <v>60711.71</v>
      </c>
      <c r="C11" s="24">
        <f>C8+C9+C10</f>
        <v>67997.839206226083</v>
      </c>
      <c r="D11" s="24">
        <f>D8+D9+D10</f>
        <v>77055.842871256638</v>
      </c>
      <c r="E11" s="5" t="s">
        <v>205</v>
      </c>
    </row>
    <row r="12" spans="1:5" ht="30" customHeight="1" x14ac:dyDescent="0.25">
      <c r="A12" s="9" t="s">
        <v>206</v>
      </c>
      <c r="B12" s="10">
        <f>B11/Data!$B$8-1</f>
        <v>8.4137678571428509E-2</v>
      </c>
      <c r="C12" s="10">
        <f>C11/Data!$B$8-1</f>
        <v>0.21424712868260865</v>
      </c>
      <c r="D12" s="10">
        <f>D11/Data!$B$8-1</f>
        <v>0.37599719412958277</v>
      </c>
      <c r="E12" s="5" t="s">
        <v>207</v>
      </c>
    </row>
    <row r="13" spans="1:5" ht="30" customHeight="1" x14ac:dyDescent="0.25">
      <c r="A13" s="9" t="s">
        <v>208</v>
      </c>
      <c r="B13" s="11">
        <f>B11-Data!$B$8</f>
        <v>4711.7099999999991</v>
      </c>
      <c r="C13" s="11">
        <f>C11-Data!$B$8</f>
        <v>11997.839206226083</v>
      </c>
      <c r="D13" s="11">
        <f>D11-Data!$B$8</f>
        <v>21055.842871256638</v>
      </c>
      <c r="E13" s="5"/>
    </row>
    <row r="14" spans="1:5" ht="30" customHeight="1" x14ac:dyDescent="0.25">
      <c r="A14" s="9" t="s">
        <v>209</v>
      </c>
      <c r="B14" s="11">
        <f>B11/Data!$B$25</f>
        <v>7588.9637499999999</v>
      </c>
      <c r="C14" s="11">
        <f>C11/Data!$B$25</f>
        <v>8499.7299007782603</v>
      </c>
      <c r="D14" s="11">
        <f>D11/Data!$B$25</f>
        <v>9631.9803589070798</v>
      </c>
      <c r="E14" s="5" t="s">
        <v>210</v>
      </c>
    </row>
    <row r="15" spans="1:5" ht="30" customHeight="1" x14ac:dyDescent="0.25">
      <c r="A15" s="9" t="s">
        <v>211</v>
      </c>
      <c r="B15" s="20">
        <f>1-B4/B11</f>
        <v>5.9489511990355681E-2</v>
      </c>
      <c r="C15" s="20">
        <f>1-C4/C11</f>
        <v>0.1501582197048339</v>
      </c>
      <c r="D15" s="20">
        <f>1-D4/D11</f>
        <v>0.23757367853928602</v>
      </c>
      <c r="E15" s="5" t="s">
        <v>212</v>
      </c>
    </row>
    <row r="18" spans="1:8" x14ac:dyDescent="0.25">
      <c r="A18" s="22" t="s">
        <v>213</v>
      </c>
    </row>
    <row r="19" spans="1:8" ht="30" x14ac:dyDescent="0.25">
      <c r="A19" s="6" t="s">
        <v>35</v>
      </c>
      <c r="B19" s="6" t="s">
        <v>36</v>
      </c>
      <c r="C19" s="6" t="s">
        <v>214</v>
      </c>
      <c r="D19" s="6" t="s">
        <v>215</v>
      </c>
      <c r="E19" s="6" t="s">
        <v>216</v>
      </c>
      <c r="F19" s="6" t="s">
        <v>217</v>
      </c>
      <c r="G19" s="6" t="s">
        <v>218</v>
      </c>
      <c r="H19" s="6" t="s">
        <v>219</v>
      </c>
    </row>
    <row r="20" spans="1:8" x14ac:dyDescent="0.25">
      <c r="A20" s="9">
        <v>1</v>
      </c>
      <c r="B20" s="10">
        <f>Data!B14</f>
        <v>0.2</v>
      </c>
      <c r="C20" s="10">
        <f>B20*(1-($B$23+Assumptions!B$21))/(1-$B$23)</f>
        <v>0.19466666666666665</v>
      </c>
      <c r="D20" s="10">
        <f>B20*(1-($B$23+Assumptions!C$21))/(1-$B$23)</f>
        <v>0.18933333333333333</v>
      </c>
      <c r="E20" s="10">
        <f>B20*(1-($B$23+Assumptions!D$21))/(1-$B$23)</f>
        <v>0.18399999999999997</v>
      </c>
      <c r="F20" s="14">
        <f t="shared" ref="F20:H22" si="0">C20*(B$8+B$9)</f>
        <v>11818.546213333333</v>
      </c>
      <c r="G20" s="14">
        <f t="shared" si="0"/>
        <v>12590.257556378805</v>
      </c>
      <c r="H20" s="14">
        <f t="shared" si="0"/>
        <v>13626.275088311218</v>
      </c>
    </row>
    <row r="21" spans="1:8" x14ac:dyDescent="0.25">
      <c r="A21" s="9">
        <v>2</v>
      </c>
      <c r="B21" s="10">
        <f>Data!B15</f>
        <v>0.25</v>
      </c>
      <c r="C21" s="10">
        <f>B21*(1-($B$23+Assumptions!B$21))/(1-$B$23)</f>
        <v>0.24333333333333332</v>
      </c>
      <c r="D21" s="10">
        <f>B21*(1-($B$23+Assumptions!C$21))/(1-$B$23)</f>
        <v>0.23666666666666666</v>
      </c>
      <c r="E21" s="10">
        <f>B21*(1-($B$23+Assumptions!D$21))/(1-$B$23)</f>
        <v>0.22999999999999998</v>
      </c>
      <c r="F21" s="14">
        <f t="shared" si="0"/>
        <v>14773.182766666665</v>
      </c>
      <c r="G21" s="14">
        <f t="shared" si="0"/>
        <v>15737.821945473506</v>
      </c>
      <c r="H21" s="14">
        <f t="shared" si="0"/>
        <v>17032.843860389024</v>
      </c>
    </row>
    <row r="22" spans="1:8" x14ac:dyDescent="0.25">
      <c r="A22" s="9">
        <v>3</v>
      </c>
      <c r="B22" s="10">
        <f>Data!B16</f>
        <v>0.3</v>
      </c>
      <c r="C22" s="10">
        <f>B22*(1-($B$23+Assumptions!B$21))/(1-$B$23)</f>
        <v>0.29199999999999998</v>
      </c>
      <c r="D22" s="10">
        <f>B22*(1-($B$23+Assumptions!C$21))/(1-$B$23)</f>
        <v>0.28399999999999997</v>
      </c>
      <c r="E22" s="10">
        <f>B22*(1-($B$23+Assumptions!D$21))/(1-$B$23)</f>
        <v>0.27599999999999997</v>
      </c>
      <c r="F22" s="14">
        <f t="shared" si="0"/>
        <v>17727.819319999999</v>
      </c>
      <c r="G22" s="14">
        <f t="shared" si="0"/>
        <v>18885.386334568208</v>
      </c>
      <c r="H22" s="14">
        <f t="shared" si="0"/>
        <v>20439.412632466829</v>
      </c>
    </row>
    <row r="23" spans="1:8" x14ac:dyDescent="0.25">
      <c r="A23" s="9">
        <v>4</v>
      </c>
      <c r="B23" s="10">
        <f>Data!B17</f>
        <v>0.25</v>
      </c>
      <c r="C23" s="10">
        <f>B23+Assumptions!B$21</f>
        <v>0.27</v>
      </c>
      <c r="D23" s="10">
        <f>B23+Assumptions!C$21</f>
        <v>0.28999999999999998</v>
      </c>
      <c r="E23" s="10">
        <f>B23+Assumptions!D$21</f>
        <v>0.31</v>
      </c>
      <c r="F23" s="14">
        <f>C23*(B$8+B$9)+B$10</f>
        <v>16392.161700000001</v>
      </c>
      <c r="G23" s="14">
        <f>D23*(C$8+C$9)+C$10</f>
        <v>20784.373369805562</v>
      </c>
      <c r="H23" s="14">
        <f>E23*(D$8+D$9)+D$10</f>
        <v>25957.311290089558</v>
      </c>
    </row>
    <row r="24" spans="1:8" x14ac:dyDescent="0.25">
      <c r="A24" s="4" t="s">
        <v>41</v>
      </c>
      <c r="B24" s="33">
        <f t="shared" ref="B24:H24" si="1">SUM(B20:B23)</f>
        <v>1</v>
      </c>
      <c r="C24" s="33">
        <f t="shared" si="1"/>
        <v>1</v>
      </c>
      <c r="D24" s="33">
        <f t="shared" si="1"/>
        <v>1</v>
      </c>
      <c r="E24" s="33">
        <f t="shared" si="1"/>
        <v>1</v>
      </c>
      <c r="F24" s="13">
        <f t="shared" si="1"/>
        <v>60711.709999999992</v>
      </c>
      <c r="G24" s="13">
        <f t="shared" si="1"/>
        <v>67997.839206226083</v>
      </c>
      <c r="H24" s="13">
        <f t="shared" si="1"/>
        <v>77055.842871256638</v>
      </c>
    </row>
    <row r="25" spans="1:8" x14ac:dyDescent="0.25">
      <c r="A25" s="9" t="s">
        <v>220</v>
      </c>
      <c r="F25" s="9" t="str">
        <f>IF(ABS(F24-B11)&lt;1,"OK","ERROR")</f>
        <v>OK</v>
      </c>
      <c r="G25" s="9" t="str">
        <f>IF(ABS(G24-C11)&lt;1,"OK","ERROR")</f>
        <v>OK</v>
      </c>
      <c r="H25" s="9" t="str">
        <f>IF(ABS(H24-D11)&lt;1,"OK","ERROR")</f>
        <v>OK</v>
      </c>
    </row>
    <row r="26" spans="1:8" ht="30" customHeight="1" x14ac:dyDescent="0.25">
      <c r="A26" s="1" t="s">
        <v>221</v>
      </c>
      <c r="B26" s="1"/>
      <c r="C26" s="1"/>
      <c r="D26" s="1"/>
      <c r="E26" s="1"/>
      <c r="F26" s="1"/>
      <c r="G26" s="1"/>
      <c r="H26" s="1"/>
    </row>
    <row r="28" spans="1:8" x14ac:dyDescent="0.25">
      <c r="A28" s="22" t="s">
        <v>222</v>
      </c>
    </row>
    <row r="29" spans="1:8" x14ac:dyDescent="0.25">
      <c r="A29" s="6" t="s">
        <v>223</v>
      </c>
      <c r="B29" s="6" t="s">
        <v>19</v>
      </c>
      <c r="C29" s="6" t="s">
        <v>20</v>
      </c>
      <c r="D29" s="6" t="s">
        <v>21</v>
      </c>
    </row>
    <row r="30" spans="1:8" x14ac:dyDescent="0.25">
      <c r="A30" s="4" t="s">
        <v>224</v>
      </c>
      <c r="B30" s="7">
        <f>INDEX($A$20:$A$23,MATCH(MAX(F20:F23),F20:F23,0))</f>
        <v>3</v>
      </c>
      <c r="C30" s="7">
        <f>INDEX($A$20:$A$23,MATCH(MAX(G20:G23),G20:G23,0))</f>
        <v>4</v>
      </c>
      <c r="D30" s="7">
        <f>INDEX($A$20:$A$23,MATCH(MAX(H20:H23),H20:H23,0))</f>
        <v>4</v>
      </c>
    </row>
    <row r="31" spans="1:8" x14ac:dyDescent="0.25">
      <c r="A31" s="9" t="s">
        <v>27</v>
      </c>
      <c r="B31" s="14">
        <f>MAX(F20:F23)</f>
        <v>17727.819319999999</v>
      </c>
      <c r="C31" s="14">
        <f>MAX(G20:G23)</f>
        <v>20784.373369805562</v>
      </c>
      <c r="D31" s="14">
        <f>MAX(H20:H23)</f>
        <v>25957.311290089558</v>
      </c>
    </row>
    <row r="32" spans="1:8" x14ac:dyDescent="0.25">
      <c r="A32" s="9" t="s">
        <v>225</v>
      </c>
      <c r="B32" s="14">
        <f>LARGE(F20:F23,2)</f>
        <v>16392.161700000001</v>
      </c>
      <c r="C32" s="14">
        <f>LARGE(G20:G23,2)</f>
        <v>18885.386334568208</v>
      </c>
      <c r="D32" s="14">
        <f>LARGE(H20:H23,2)</f>
        <v>20439.412632466829</v>
      </c>
    </row>
    <row r="33" spans="1:4" x14ac:dyDescent="0.25">
      <c r="A33" s="9" t="s">
        <v>226</v>
      </c>
      <c r="B33" s="14">
        <f>B31-B32</f>
        <v>1335.6576199999981</v>
      </c>
      <c r="C33" s="14">
        <f>C31-C32</f>
        <v>1898.9870352373546</v>
      </c>
      <c r="D33" s="14">
        <f>D31-D32</f>
        <v>5517.8986576227289</v>
      </c>
    </row>
    <row r="34" spans="1:4" x14ac:dyDescent="0.25">
      <c r="A34" s="9" t="s">
        <v>227</v>
      </c>
      <c r="B34" s="32">
        <f>B31*Assumptions!B22</f>
        <v>9218.466046399999</v>
      </c>
      <c r="C34" s="32">
        <f>C31*Assumptions!C22</f>
        <v>10807.874152298893</v>
      </c>
      <c r="D34" s="32">
        <f>D31*Assumptions!D22</f>
        <v>13497.80187084657</v>
      </c>
    </row>
    <row r="35" spans="1:4" x14ac:dyDescent="0.25">
      <c r="A35" s="9" t="s">
        <v>228</v>
      </c>
      <c r="B35" s="14">
        <f>B34/Data!$B$24</f>
        <v>921.8466046399999</v>
      </c>
      <c r="C35" s="14">
        <f>C34/Data!$B$24</f>
        <v>1080.7874152298893</v>
      </c>
      <c r="D35" s="14">
        <f>D34/Data!$B$24</f>
        <v>1349.780187084657</v>
      </c>
    </row>
    <row r="37" spans="1:4" x14ac:dyDescent="0.25">
      <c r="A37" s="22" t="s">
        <v>229</v>
      </c>
    </row>
    <row r="38" spans="1:4" x14ac:dyDescent="0.25">
      <c r="A38" s="6" t="s">
        <v>223</v>
      </c>
      <c r="B38" s="6" t="s">
        <v>19</v>
      </c>
      <c r="C38" s="6" t="s">
        <v>20</v>
      </c>
      <c r="D38" s="6" t="s">
        <v>21</v>
      </c>
    </row>
    <row r="39" spans="1:4" x14ac:dyDescent="0.25">
      <c r="A39" s="9" t="s">
        <v>230</v>
      </c>
      <c r="B39" s="14">
        <f>F23</f>
        <v>16392.161700000001</v>
      </c>
      <c r="C39" s="14">
        <f>G23</f>
        <v>20784.373369805562</v>
      </c>
      <c r="D39" s="14">
        <f>H23</f>
        <v>25957.311290089558</v>
      </c>
    </row>
    <row r="40" spans="1:4" x14ac:dyDescent="0.25">
      <c r="A40" s="9" t="s">
        <v>231</v>
      </c>
      <c r="B40" s="11">
        <f>Assumptions!B19*Assumptions!B20</f>
        <v>16000</v>
      </c>
      <c r="C40" s="11">
        <f>Assumptions!C19*Assumptions!C20</f>
        <v>16000</v>
      </c>
      <c r="D40" s="11">
        <f>Assumptions!D19*Assumptions!D20</f>
        <v>16000</v>
      </c>
    </row>
    <row r="41" spans="1:4" x14ac:dyDescent="0.25">
      <c r="A41" s="9" t="s">
        <v>232</v>
      </c>
      <c r="B41" s="20">
        <f>B40/B39</f>
        <v>0.97607626698802019</v>
      </c>
      <c r="C41" s="20">
        <f>C40/C39</f>
        <v>0.76980911164942567</v>
      </c>
      <c r="D41" s="20">
        <f>D40/D39</f>
        <v>0.61639666070147892</v>
      </c>
    </row>
    <row r="42" spans="1:4" x14ac:dyDescent="0.25">
      <c r="A42" s="9" t="s">
        <v>233</v>
      </c>
      <c r="B42" s="14">
        <f>MAX(0,B39-B40)</f>
        <v>392.16170000000056</v>
      </c>
      <c r="C42" s="14">
        <f>MAX(0,C39-C40)</f>
        <v>4784.3733698055621</v>
      </c>
      <c r="D42" s="14">
        <f>MAX(0,D39-D40)</f>
        <v>9957.3112900895576</v>
      </c>
    </row>
    <row r="43" spans="1:4" ht="30" customHeight="1" x14ac:dyDescent="0.25">
      <c r="A43" s="9" t="s">
        <v>234</v>
      </c>
      <c r="B43" s="5" t="str">
        <f>IF(B41&lt;1,"Demand exceeds seats: reservation system / overflow viewing needed","Capacity sufficient")</f>
        <v>Demand exceeds seats: reservation system / overflow viewing needed</v>
      </c>
      <c r="C43" s="5" t="str">
        <f>IF(C41&lt;1,"Demand exceeds seats: reservation system / overflow viewing needed","Capacity sufficient")</f>
        <v>Demand exceeds seats: reservation system / overflow viewing needed</v>
      </c>
      <c r="D43" s="5" t="str">
        <f>IF(D41&lt;1,"Demand exceeds seats: reservation system / overflow viewing needed","Capacity sufficient")</f>
        <v>Demand exceeds seats: reservation system / overflow viewing needed</v>
      </c>
    </row>
  </sheetData>
  <mergeCells count="1">
    <mergeCell ref="A26:H2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13"/>
  <sheetViews>
    <sheetView showGridLines="0" zoomScaleNormal="100" workbookViewId="0"/>
  </sheetViews>
  <sheetFormatPr defaultColWidth="8.7109375" defaultRowHeight="15" x14ac:dyDescent="0.25"/>
  <cols>
    <col min="1" max="1" width="26" customWidth="1"/>
    <col min="2" max="2" width="14" customWidth="1"/>
    <col min="3" max="3" width="10" customWidth="1"/>
    <col min="4" max="4" width="24" customWidth="1"/>
    <col min="5" max="5" width="14" customWidth="1"/>
    <col min="6" max="6" width="16" customWidth="1"/>
    <col min="7" max="7" width="14" customWidth="1"/>
    <col min="8" max="8" width="12" customWidth="1"/>
    <col min="9" max="10" width="10" customWidth="1"/>
    <col min="11" max="11" width="12" customWidth="1"/>
    <col min="12" max="13" width="14" customWidth="1"/>
  </cols>
  <sheetData>
    <row r="1" spans="1:13" ht="18" x14ac:dyDescent="0.25">
      <c r="A1" s="2" t="s">
        <v>235</v>
      </c>
    </row>
    <row r="2" spans="1:13" ht="30" customHeight="1" x14ac:dyDescent="0.25">
      <c r="A2" s="1" t="s">
        <v>236</v>
      </c>
      <c r="B2" s="1"/>
      <c r="C2" s="1"/>
      <c r="D2" s="1"/>
      <c r="E2" s="1"/>
      <c r="F2" s="1"/>
      <c r="G2" s="1"/>
      <c r="H2" s="1"/>
      <c r="I2" s="1"/>
      <c r="J2" s="1"/>
      <c r="K2" s="1"/>
      <c r="L2" s="1"/>
      <c r="M2" s="1"/>
    </row>
    <row r="4" spans="1:13" ht="30" x14ac:dyDescent="0.25">
      <c r="A4" s="6" t="s">
        <v>237</v>
      </c>
      <c r="B4" s="6" t="s">
        <v>238</v>
      </c>
      <c r="C4" s="6"/>
      <c r="D4" s="6" t="s">
        <v>239</v>
      </c>
      <c r="E4" s="6" t="s">
        <v>240</v>
      </c>
      <c r="F4" s="6" t="s">
        <v>241</v>
      </c>
      <c r="G4" s="6" t="s">
        <v>242</v>
      </c>
    </row>
    <row r="5" spans="1:13" x14ac:dyDescent="0.25">
      <c r="A5" s="9" t="s">
        <v>243</v>
      </c>
      <c r="B5" s="14">
        <f ca="1">AVERAGE($M$14:$M$1013)</f>
        <v>68305.498296869147</v>
      </c>
      <c r="D5" s="9" t="s">
        <v>244</v>
      </c>
      <c r="E5" s="11">
        <f>Assumptions!B5</f>
        <v>57100</v>
      </c>
      <c r="F5" s="11">
        <f>Assumptions!C5</f>
        <v>57787.404727243622</v>
      </c>
      <c r="G5" s="11">
        <f>Assumptions!D5</f>
        <v>58749.402827386977</v>
      </c>
    </row>
    <row r="6" spans="1:13" x14ac:dyDescent="0.25">
      <c r="A6" s="9" t="s">
        <v>31</v>
      </c>
      <c r="B6" s="32">
        <f ca="1">PERCENTILE($M$14:$M$1013,0.1)</f>
        <v>66359.406550172105</v>
      </c>
      <c r="D6" s="9" t="s">
        <v>245</v>
      </c>
      <c r="E6" s="34">
        <f>Assumptions!B7</f>
        <v>0.05</v>
      </c>
      <c r="F6" s="34">
        <f>Assumptions!C7</f>
        <v>0.12</v>
      </c>
      <c r="G6" s="34">
        <f>Assumptions!D7</f>
        <v>0.24</v>
      </c>
    </row>
    <row r="7" spans="1:13" x14ac:dyDescent="0.25">
      <c r="A7" s="9" t="s">
        <v>246</v>
      </c>
      <c r="B7" s="32">
        <f ca="1">PERCENTILE($M$14:$M$1013,0.25)</f>
        <v>67228.592306649385</v>
      </c>
      <c r="D7" s="9" t="s">
        <v>247</v>
      </c>
      <c r="E7" s="34">
        <f>Assumptions!B14</f>
        <v>0.04</v>
      </c>
      <c r="F7" s="34">
        <f>Assumptions!C14</f>
        <v>0.08</v>
      </c>
      <c r="G7" s="34">
        <f>Assumptions!D14</f>
        <v>0.12</v>
      </c>
    </row>
    <row r="8" spans="1:13" x14ac:dyDescent="0.25">
      <c r="A8" s="4" t="s">
        <v>248</v>
      </c>
      <c r="B8" s="32">
        <f ca="1">PERCENTILE($M$14:$M$1013,0.5)</f>
        <v>68311.760103349676</v>
      </c>
      <c r="D8" s="9" t="s">
        <v>249</v>
      </c>
      <c r="E8" s="10">
        <f>Assumptions!B17</f>
        <v>0.01</v>
      </c>
      <c r="F8" s="10">
        <f>Assumptions!C17</f>
        <v>0.03</v>
      </c>
      <c r="G8" s="10">
        <f>Assumptions!D17</f>
        <v>0.05</v>
      </c>
    </row>
    <row r="9" spans="1:13" x14ac:dyDescent="0.25">
      <c r="A9" s="9" t="s">
        <v>250</v>
      </c>
      <c r="B9" s="32">
        <f ca="1">PERCENTILE($M$14:$M$1013,0.75)</f>
        <v>69343.431633838176</v>
      </c>
      <c r="D9" s="9" t="s">
        <v>251</v>
      </c>
      <c r="E9" s="11">
        <f>Assumptions!B18</f>
        <v>0</v>
      </c>
      <c r="F9" s="11">
        <f>Assumptions!C18</f>
        <v>1500</v>
      </c>
      <c r="G9" s="11">
        <f>Assumptions!D18</f>
        <v>3000</v>
      </c>
    </row>
    <row r="10" spans="1:13" x14ac:dyDescent="0.25">
      <c r="A10" s="9" t="s">
        <v>33</v>
      </c>
      <c r="B10" s="32">
        <f ca="1">PERCENTILE($M$14:$M$1013,0.9)</f>
        <v>70257.365930334039</v>
      </c>
    </row>
    <row r="11" spans="1:13" ht="30" customHeight="1" x14ac:dyDescent="0.25">
      <c r="A11" s="9" t="s">
        <v>252</v>
      </c>
      <c r="B11" s="14">
        <f ca="1">STDEV($M$14:$M$1013)</f>
        <v>1489.1949761038722</v>
      </c>
      <c r="D11" s="1" t="s">
        <v>253</v>
      </c>
      <c r="E11" s="1"/>
      <c r="F11" s="1"/>
      <c r="G11" s="1"/>
    </row>
    <row r="12" spans="1:13" x14ac:dyDescent="0.25">
      <c r="A12" s="9" t="s">
        <v>254</v>
      </c>
      <c r="B12" s="25">
        <f ca="1">COUNTIF($M$14:$M$1013,"&gt;65000")/COUNT($M$14:$M$1013)</f>
        <v>0.98899999999999999</v>
      </c>
    </row>
    <row r="13" spans="1:13" x14ac:dyDescent="0.25">
      <c r="A13" s="6" t="s">
        <v>255</v>
      </c>
      <c r="B13" s="35" t="s">
        <v>256</v>
      </c>
      <c r="C13" s="6" t="s">
        <v>257</v>
      </c>
      <c r="D13" s="6" t="s">
        <v>258</v>
      </c>
      <c r="E13" s="6" t="s">
        <v>259</v>
      </c>
      <c r="F13" s="6" t="s">
        <v>260</v>
      </c>
      <c r="G13" s="6" t="s">
        <v>244</v>
      </c>
      <c r="H13" s="6" t="s">
        <v>261</v>
      </c>
      <c r="I13" s="6" t="s">
        <v>262</v>
      </c>
      <c r="J13" s="6" t="s">
        <v>263</v>
      </c>
      <c r="K13" s="6" t="s">
        <v>264</v>
      </c>
      <c r="L13" s="6" t="s">
        <v>265</v>
      </c>
      <c r="M13" s="6" t="s">
        <v>266</v>
      </c>
    </row>
    <row r="14" spans="1:13" x14ac:dyDescent="0.25">
      <c r="A14" s="3">
        <v>1</v>
      </c>
      <c r="B14" s="3">
        <f t="shared" ref="B14:F23" ca="1" si="0">RAND()</f>
        <v>0.52025788838971232</v>
      </c>
      <c r="C14" s="3">
        <f t="shared" ca="1" si="0"/>
        <v>0.80135756452948448</v>
      </c>
      <c r="D14" s="3">
        <f t="shared" ca="1" si="0"/>
        <v>0.8182265378636463</v>
      </c>
      <c r="E14" s="3">
        <f t="shared" ca="1" si="0"/>
        <v>0.89379337056181551</v>
      </c>
      <c r="F14" s="3">
        <f t="shared" ca="1" si="0"/>
        <v>0.23250798557332575</v>
      </c>
      <c r="G14" s="36">
        <f t="shared" ref="G14:G77" ca="1" si="1">IF(B14&lt;($F$5-$E$5)/($G$5-$E$5),$E$5+SQRT(B14*($G$5-$E$5)*($F$5-$E$5)),$G$5-SQRT((1-B14)*($G$5-$E$5)*($G$5-$F$5)))</f>
        <v>57876.925006378784</v>
      </c>
      <c r="H14" s="37">
        <f t="shared" ref="H14:H77" ca="1" si="2">IF(C14&lt;($F$6-$E$6)/($G$6-$E$6),$E$6+SQRT(C14*($G$6-$E$6)*($F$6-$E$6)),$G$6-SQRT((1-C14)*($G$6-$E$6)*($G$6-$F$6)))</f>
        <v>0.17270180144515193</v>
      </c>
      <c r="I14" s="37">
        <f t="shared" ref="I14:I77" ca="1" si="3">IF(D14&lt;($F$7-$E$7)/($G$7-$E$7),$E$7+SQRT(D14*($G$7-$E$7)*($F$7-$E$7)),$G$7-SQRT((1-D14)*($G$7-$E$7)*($G$7-$F$7)))</f>
        <v>9.5882058984309376E-2</v>
      </c>
      <c r="J14" s="38">
        <f t="shared" ref="J14:J77" ca="1" si="4">IF(E14&lt;($F$8-$E$8)/($G$8-$E$8),$E$8+SQRT(E14*($G$8-$E$8)*($F$8-$E$8)),$G$8-SQRT((1-E14)*($G$8-$E$8)*($G$8-$F$8)))</f>
        <v>4.0782337413934729E-2</v>
      </c>
      <c r="K14" s="36">
        <f t="shared" ref="K14:K77" ca="1" si="5">IF(F14&lt;($F$9-$E$9)/($G$9-$E$9),$E$9+SQRT(F14*($G$9-$E$9)*($F$9-$E$9)),$G$9-SQRT((1-F14)*($G$9-$E$9)*($G$9-$F$9)))</f>
        <v>1022.8811930424598</v>
      </c>
      <c r="L14" s="36">
        <f ca="1">Assumptions!$C$10*Assumptions!$C$13*I14*Assumptions!$C$15</f>
        <v>6649.789567711794</v>
      </c>
      <c r="M14" s="36">
        <f ca="1">G14*(1+H14*Assumptions!$C$6)*(1+J14)+L14+K14</f>
        <v>69990.569449828676</v>
      </c>
    </row>
    <row r="15" spans="1:13" x14ac:dyDescent="0.25">
      <c r="A15" s="3">
        <v>2</v>
      </c>
      <c r="B15" s="3">
        <f t="shared" ca="1" si="0"/>
        <v>0.38179061421289295</v>
      </c>
      <c r="C15" s="3">
        <f t="shared" ca="1" si="0"/>
        <v>0.45508591507527563</v>
      </c>
      <c r="D15" s="3">
        <f t="shared" ca="1" si="0"/>
        <v>0.34696276153446992</v>
      </c>
      <c r="E15" s="3">
        <f t="shared" ca="1" si="0"/>
        <v>0.1490823930860089</v>
      </c>
      <c r="F15" s="3">
        <f t="shared" ca="1" si="0"/>
        <v>0.47856491476268137</v>
      </c>
      <c r="G15" s="36">
        <f t="shared" ca="1" si="1"/>
        <v>57757.933876406816</v>
      </c>
      <c r="H15" s="37">
        <f t="shared" ca="1" si="2"/>
        <v>0.12853681712653403</v>
      </c>
      <c r="I15" s="37">
        <f t="shared" ca="1" si="3"/>
        <v>7.3320876892877584E-2</v>
      </c>
      <c r="J15" s="38">
        <f t="shared" ca="1" si="4"/>
        <v>2.0920893483081279E-2</v>
      </c>
      <c r="K15" s="36">
        <f t="shared" ca="1" si="5"/>
        <v>1467.4951844663974</v>
      </c>
      <c r="L15" s="36">
        <f ca="1">Assumptions!$C$10*Assumptions!$C$13*I15*Assumptions!$C$15</f>
        <v>5085.0848158937251</v>
      </c>
      <c r="M15" s="36">
        <f ca="1">G15*(1+H15*Assumptions!$C$6)*(1+J15)+L15+K15</f>
        <v>67034.729086499399</v>
      </c>
    </row>
    <row r="16" spans="1:13" x14ac:dyDescent="0.25">
      <c r="A16" s="3">
        <v>3</v>
      </c>
      <c r="B16" s="3">
        <f t="shared" ca="1" si="0"/>
        <v>0.19236433493824889</v>
      </c>
      <c r="C16" s="3">
        <f t="shared" ca="1" si="0"/>
        <v>0.56879421790147444</v>
      </c>
      <c r="D16" s="3">
        <f t="shared" ca="1" si="0"/>
        <v>0.9628899213035188</v>
      </c>
      <c r="E16" s="3">
        <f t="shared" ca="1" si="0"/>
        <v>0.95121192418938683</v>
      </c>
      <c r="F16" s="3">
        <f t="shared" ca="1" si="0"/>
        <v>0.49283811003012301</v>
      </c>
      <c r="G16" s="36">
        <f t="shared" ca="1" si="1"/>
        <v>57567.016153192199</v>
      </c>
      <c r="H16" s="37">
        <f t="shared" ca="1" si="2"/>
        <v>0.14084612043976097</v>
      </c>
      <c r="I16" s="37">
        <f t="shared" ca="1" si="3"/>
        <v>0.10910264932064954</v>
      </c>
      <c r="J16" s="38">
        <f t="shared" ca="1" si="4"/>
        <v>4.3752563673914675E-2</v>
      </c>
      <c r="K16" s="36">
        <f t="shared" ca="1" si="5"/>
        <v>1489.2184175383925</v>
      </c>
      <c r="L16" s="36">
        <f ca="1">Assumptions!$C$10*Assumptions!$C$13*I16*Assumptions!$C$15</f>
        <v>7566.6883559613543</v>
      </c>
      <c r="M16" s="36">
        <f ca="1">G16*(1+H16*Assumptions!$C$6)*(1+J16)+L16+K16</f>
        <v>70834.19559713763</v>
      </c>
    </row>
    <row r="17" spans="1:13" x14ac:dyDescent="0.25">
      <c r="A17" s="3">
        <v>4</v>
      </c>
      <c r="B17" s="3">
        <f t="shared" ca="1" si="0"/>
        <v>3.7083691568320365E-3</v>
      </c>
      <c r="C17" s="3">
        <f t="shared" ca="1" si="0"/>
        <v>9.697405092785194E-2</v>
      </c>
      <c r="D17" s="3">
        <f t="shared" ca="1" si="0"/>
        <v>7.4877319193128122E-2</v>
      </c>
      <c r="E17" s="3">
        <f t="shared" ca="1" si="0"/>
        <v>0.6418419384687748</v>
      </c>
      <c r="F17" s="3">
        <f t="shared" ca="1" si="0"/>
        <v>0.31889446837961122</v>
      </c>
      <c r="G17" s="36">
        <f t="shared" ca="1" si="1"/>
        <v>57164.842702161564</v>
      </c>
      <c r="H17" s="37">
        <f t="shared" ca="1" si="2"/>
        <v>8.591315744042051E-2</v>
      </c>
      <c r="I17" s="37">
        <f t="shared" ca="1" si="3"/>
        <v>5.5479257779945716E-2</v>
      </c>
      <c r="J17" s="38">
        <f t="shared" ca="1" si="4"/>
        <v>3.3072907833151609E-2</v>
      </c>
      <c r="K17" s="36">
        <f t="shared" ca="1" si="5"/>
        <v>1197.9253347801985</v>
      </c>
      <c r="L17" s="36">
        <f ca="1">Assumptions!$C$10*Assumptions!$C$13*I17*Assumptions!$C$15</f>
        <v>3847.699908799927</v>
      </c>
      <c r="M17" s="36">
        <f ca="1">G17*(1+H17*Assumptions!$C$6)*(1+J17)+L17+K17</f>
        <v>65115.803559184795</v>
      </c>
    </row>
    <row r="18" spans="1:13" x14ac:dyDescent="0.25">
      <c r="A18" s="3">
        <v>5</v>
      </c>
      <c r="B18" s="3">
        <f t="shared" ca="1" si="0"/>
        <v>0.80108305064979257</v>
      </c>
      <c r="C18" s="3">
        <f t="shared" ca="1" si="0"/>
        <v>0.78965640482209132</v>
      </c>
      <c r="D18" s="3">
        <f t="shared" ca="1" si="0"/>
        <v>0.58496509578229294</v>
      </c>
      <c r="E18" s="3">
        <f t="shared" ca="1" si="0"/>
        <v>0.15785137224897061</v>
      </c>
      <c r="F18" s="3">
        <f t="shared" ca="1" si="0"/>
        <v>0.30257280899556627</v>
      </c>
      <c r="G18" s="36">
        <f t="shared" ca="1" si="1"/>
        <v>58187.596831911731</v>
      </c>
      <c r="H18" s="37">
        <f t="shared" ca="1" si="2"/>
        <v>0.17074803995512966</v>
      </c>
      <c r="I18" s="37">
        <f t="shared" ca="1" si="3"/>
        <v>8.3556733221393786E-2</v>
      </c>
      <c r="J18" s="38">
        <f t="shared" ca="1" si="4"/>
        <v>2.1237486275817046E-2</v>
      </c>
      <c r="K18" s="36">
        <f t="shared" ca="1" si="5"/>
        <v>1166.8665906949466</v>
      </c>
      <c r="L18" s="36">
        <f ca="1">Assumptions!$C$10*Assumptions!$C$13*I18*Assumptions!$C$15</f>
        <v>5794.9808209545099</v>
      </c>
      <c r="M18" s="36">
        <f ca="1">G18*(1+H18*Assumptions!$C$6)*(1+J18)+L18+K18</f>
        <v>68414.486815597149</v>
      </c>
    </row>
    <row r="19" spans="1:13" x14ac:dyDescent="0.25">
      <c r="A19" s="3">
        <v>6</v>
      </c>
      <c r="B19" s="3">
        <f t="shared" ca="1" si="0"/>
        <v>0.35193415997563104</v>
      </c>
      <c r="C19" s="3">
        <f t="shared" ca="1" si="0"/>
        <v>0.80965403017642434</v>
      </c>
      <c r="D19" s="3">
        <f t="shared" ca="1" si="0"/>
        <v>0.43261404545181104</v>
      </c>
      <c r="E19" s="3">
        <f t="shared" ca="1" si="0"/>
        <v>0.76748181668395821</v>
      </c>
      <c r="F19" s="3">
        <f t="shared" ca="1" si="0"/>
        <v>0.27726838081136862</v>
      </c>
      <c r="G19" s="36">
        <f t="shared" ca="1" si="1"/>
        <v>57731.684668119487</v>
      </c>
      <c r="H19" s="37">
        <f t="shared" ca="1" si="2"/>
        <v>0.17412217283503101</v>
      </c>
      <c r="I19" s="37">
        <f t="shared" ca="1" si="3"/>
        <v>7.7207055049355822E-2</v>
      </c>
      <c r="J19" s="38">
        <f t="shared" ca="1" si="4"/>
        <v>3.6361285007273106E-2</v>
      </c>
      <c r="K19" s="36">
        <f t="shared" ca="1" si="5"/>
        <v>1117.0083767148565</v>
      </c>
      <c r="L19" s="36">
        <f ca="1">Assumptions!$C$10*Assumptions!$C$13*I19*Assumptions!$C$15</f>
        <v>5354.6062178845532</v>
      </c>
      <c r="M19" s="36">
        <f ca="1">G19*(1+H19*Assumptions!$C$6)*(1+J19)+L19+K19</f>
        <v>68386.074169812258</v>
      </c>
    </row>
    <row r="20" spans="1:13" x14ac:dyDescent="0.25">
      <c r="A20" s="3">
        <v>7</v>
      </c>
      <c r="B20" s="3">
        <f t="shared" ca="1" si="0"/>
        <v>0.29532623005224556</v>
      </c>
      <c r="C20" s="3">
        <f t="shared" ca="1" si="0"/>
        <v>9.6950600483811988E-2</v>
      </c>
      <c r="D20" s="3">
        <f t="shared" ca="1" si="0"/>
        <v>6.0249485233063282E-2</v>
      </c>
      <c r="E20" s="3">
        <f t="shared" ca="1" si="0"/>
        <v>3.6207736532993806E-3</v>
      </c>
      <c r="F20" s="3">
        <f t="shared" ca="1" si="0"/>
        <v>0.95586941544697623</v>
      </c>
      <c r="G20" s="36">
        <f t="shared" ca="1" si="1"/>
        <v>57678.656232761736</v>
      </c>
      <c r="H20" s="37">
        <f t="shared" ca="1" si="2"/>
        <v>8.5908814884853829E-2</v>
      </c>
      <c r="I20" s="37">
        <f t="shared" ca="1" si="3"/>
        <v>5.3885184649323264E-2</v>
      </c>
      <c r="J20" s="38">
        <f t="shared" ca="1" si="4"/>
        <v>1.1701945628579099E-2</v>
      </c>
      <c r="K20" s="36">
        <f t="shared" ca="1" si="5"/>
        <v>2554.3682793060989</v>
      </c>
      <c r="L20" s="36">
        <f ca="1">Assumptions!$C$10*Assumptions!$C$13*I20*Assumptions!$C$15</f>
        <v>3737.1448061407577</v>
      </c>
      <c r="M20" s="36">
        <f ca="1">G20*(1+H20*Assumptions!$C$6)*(1+J20)+L20+K20</f>
        <v>65647.739691456751</v>
      </c>
    </row>
    <row r="21" spans="1:13" x14ac:dyDescent="0.25">
      <c r="A21" s="3">
        <v>8</v>
      </c>
      <c r="B21" s="3">
        <f t="shared" ca="1" si="0"/>
        <v>0.37005052013677298</v>
      </c>
      <c r="C21" s="3">
        <f t="shared" ca="1" si="0"/>
        <v>0.94217613920767951</v>
      </c>
      <c r="D21" s="3">
        <f t="shared" ca="1" si="0"/>
        <v>0.4026344160294375</v>
      </c>
      <c r="E21" s="3">
        <f t="shared" ca="1" si="0"/>
        <v>0.76799420185233314</v>
      </c>
      <c r="F21" s="3">
        <f t="shared" ca="1" si="0"/>
        <v>0.98527626312319805</v>
      </c>
      <c r="G21" s="36">
        <f t="shared" ca="1" si="1"/>
        <v>57747.739130630209</v>
      </c>
      <c r="H21" s="37">
        <f t="shared" ca="1" si="2"/>
        <v>0.20369044167075412</v>
      </c>
      <c r="I21" s="37">
        <f t="shared" ca="1" si="3"/>
        <v>7.5894708959597379E-2</v>
      </c>
      <c r="J21" s="38">
        <f t="shared" ca="1" si="4"/>
        <v>3.637632066884524E-2</v>
      </c>
      <c r="K21" s="36">
        <f t="shared" ca="1" si="5"/>
        <v>2742.5960063526427</v>
      </c>
      <c r="L21" s="36">
        <f ca="1">Assumptions!$C$10*Assumptions!$C$13*I21*Assumptions!$C$15</f>
        <v>5263.5899690748456</v>
      </c>
      <c r="M21" s="36">
        <f ca="1">G21*(1+H21*Assumptions!$C$6)*(1+J21)+L21+K21</f>
        <v>70292.684356899321</v>
      </c>
    </row>
    <row r="22" spans="1:13" x14ac:dyDescent="0.25">
      <c r="A22" s="3">
        <v>9</v>
      </c>
      <c r="B22" s="3">
        <f t="shared" ca="1" si="0"/>
        <v>0.69478316666852613</v>
      </c>
      <c r="C22" s="3">
        <f t="shared" ca="1" si="0"/>
        <v>0.77916681709330371</v>
      </c>
      <c r="D22" s="3">
        <f t="shared" ca="1" si="0"/>
        <v>8.5368677192933173E-2</v>
      </c>
      <c r="E22" s="3">
        <f t="shared" ca="1" si="0"/>
        <v>0.8154520156152395</v>
      </c>
      <c r="F22" s="3">
        <f t="shared" ca="1" si="0"/>
        <v>0.13403317551233973</v>
      </c>
      <c r="G22" s="36">
        <f t="shared" ca="1" si="1"/>
        <v>58053.490202032372</v>
      </c>
      <c r="H22" s="37">
        <f t="shared" ca="1" si="2"/>
        <v>0.16904229026897305</v>
      </c>
      <c r="I22" s="37">
        <f t="shared" ca="1" si="3"/>
        <v>5.6528150744030205E-2</v>
      </c>
      <c r="J22" s="38">
        <f t="shared" ca="1" si="4"/>
        <v>3.7849346210684448E-2</v>
      </c>
      <c r="K22" s="36">
        <f t="shared" ca="1" si="5"/>
        <v>776.62686652312561</v>
      </c>
      <c r="L22" s="36">
        <f ca="1">Assumptions!$C$10*Assumptions!$C$13*I22*Assumptions!$C$15</f>
        <v>3920.4446700628941</v>
      </c>
      <c r="M22" s="36">
        <f ca="1">G22*(1+H22*Assumptions!$C$6)*(1+J22)+L22+K22</f>
        <v>66984.834249903724</v>
      </c>
    </row>
    <row r="23" spans="1:13" x14ac:dyDescent="0.25">
      <c r="A23" s="3">
        <v>10</v>
      </c>
      <c r="B23" s="3">
        <f t="shared" ca="1" si="0"/>
        <v>5.3352194503244132E-2</v>
      </c>
      <c r="C23" s="3">
        <f t="shared" ca="1" si="0"/>
        <v>0.94974855726062579</v>
      </c>
      <c r="D23" s="3">
        <f t="shared" ca="1" si="0"/>
        <v>0.42053749031433407</v>
      </c>
      <c r="E23" s="3">
        <f t="shared" ca="1" si="0"/>
        <v>0.37096964366429408</v>
      </c>
      <c r="F23" s="3">
        <f t="shared" ca="1" si="0"/>
        <v>0.12060117072664267</v>
      </c>
      <c r="G23" s="36">
        <f t="shared" ca="1" si="1"/>
        <v>57345.949400557918</v>
      </c>
      <c r="H23" s="37">
        <f t="shared" ca="1" si="2"/>
        <v>0.20615132359371002</v>
      </c>
      <c r="I23" s="37">
        <f t="shared" ca="1" si="3"/>
        <v>7.6684056059899766E-2</v>
      </c>
      <c r="J23" s="38">
        <f t="shared" ca="1" si="4"/>
        <v>2.7227179540813849E-2</v>
      </c>
      <c r="K23" s="36">
        <f t="shared" ca="1" si="5"/>
        <v>736.68532513542857</v>
      </c>
      <c r="L23" s="36">
        <f ca="1">Assumptions!$C$10*Assumptions!$C$13*I23*Assumptions!$C$15</f>
        <v>5318.3342264312023</v>
      </c>
      <c r="M23" s="36">
        <f ca="1">G23*(1+H23*Assumptions!$C$6)*(1+J23)+L23+K23</f>
        <v>67391.101721664876</v>
      </c>
    </row>
    <row r="24" spans="1:13" x14ac:dyDescent="0.25">
      <c r="A24" s="3">
        <v>11</v>
      </c>
      <c r="B24" s="3">
        <f t="shared" ref="B24:F33" ca="1" si="6">RAND()</f>
        <v>0.20171421026270986</v>
      </c>
      <c r="C24" s="3">
        <f t="shared" ca="1" si="6"/>
        <v>0.82697034372536393</v>
      </c>
      <c r="D24" s="3">
        <f t="shared" ca="1" si="6"/>
        <v>0.41406348976509066</v>
      </c>
      <c r="E24" s="3">
        <f t="shared" ca="1" si="6"/>
        <v>0.53664194497315787</v>
      </c>
      <c r="F24" s="3">
        <f t="shared" ca="1" si="6"/>
        <v>0.3136294612348518</v>
      </c>
      <c r="G24" s="36">
        <f t="shared" ca="1" si="1"/>
        <v>57578.231161935015</v>
      </c>
      <c r="H24" s="37">
        <f t="shared" ca="1" si="2"/>
        <v>0.17719015870851365</v>
      </c>
      <c r="I24" s="37">
        <f t="shared" ca="1" si="3"/>
        <v>7.6400592951877719E-2</v>
      </c>
      <c r="J24" s="38">
        <f t="shared" ca="1" si="4"/>
        <v>3.0746780943918139E-2</v>
      </c>
      <c r="K24" s="36">
        <f t="shared" ca="1" si="5"/>
        <v>1187.9951917229434</v>
      </c>
      <c r="L24" s="36">
        <f ca="1">Assumptions!$C$10*Assumptions!$C$13*I24*Assumptions!$C$15</f>
        <v>5298.6749696471497</v>
      </c>
      <c r="M24" s="36">
        <f ca="1">G24*(1+H24*Assumptions!$C$6)*(1+J24)+L24+K24</f>
        <v>67938.443319068712</v>
      </c>
    </row>
    <row r="25" spans="1:13" x14ac:dyDescent="0.25">
      <c r="A25" s="3">
        <v>12</v>
      </c>
      <c r="B25" s="3">
        <f t="shared" ca="1" si="6"/>
        <v>0.42248136360036059</v>
      </c>
      <c r="C25" s="3">
        <f t="shared" ca="1" si="6"/>
        <v>0.71334083142579785</v>
      </c>
      <c r="D25" s="3">
        <f t="shared" ca="1" si="6"/>
        <v>0.76311317561694791</v>
      </c>
      <c r="E25" s="3">
        <f t="shared" ca="1" si="6"/>
        <v>0.25974345442959013</v>
      </c>
      <c r="F25" s="3">
        <f t="shared" ca="1" si="6"/>
        <v>2.9699523769552094E-2</v>
      </c>
      <c r="G25" s="36">
        <f t="shared" ca="1" si="1"/>
        <v>57792.134970990046</v>
      </c>
      <c r="H25" s="37">
        <f t="shared" ca="1" si="2"/>
        <v>0.15915552558466467</v>
      </c>
      <c r="I25" s="37">
        <f t="shared" ca="1" si="3"/>
        <v>9.2467513043210811E-2</v>
      </c>
      <c r="J25" s="38">
        <f t="shared" ca="1" si="4"/>
        <v>2.4415088051887579E-2</v>
      </c>
      <c r="K25" s="36">
        <f t="shared" ca="1" si="5"/>
        <v>365.57879720107462</v>
      </c>
      <c r="L25" s="36">
        <f ca="1">Assumptions!$C$10*Assumptions!$C$13*I25*Assumptions!$C$15</f>
        <v>6412.9776738276041</v>
      </c>
      <c r="M25" s="36">
        <f ca="1">G25*(1+H25*Assumptions!$C$6)*(1+J25)+L25+K25</f>
        <v>67866.192720593492</v>
      </c>
    </row>
    <row r="26" spans="1:13" x14ac:dyDescent="0.25">
      <c r="A26" s="3">
        <v>13</v>
      </c>
      <c r="B26" s="3">
        <f t="shared" ca="1" si="6"/>
        <v>0.81292923856648314</v>
      </c>
      <c r="C26" s="3">
        <f t="shared" ca="1" si="6"/>
        <v>0.25482159944748972</v>
      </c>
      <c r="D26" s="3">
        <f t="shared" ca="1" si="6"/>
        <v>0.41226636873075551</v>
      </c>
      <c r="E26" s="3">
        <f t="shared" ca="1" si="6"/>
        <v>0.78248597856338242</v>
      </c>
      <c r="F26" s="3">
        <f t="shared" ca="1" si="6"/>
        <v>0.37776431132693788</v>
      </c>
      <c r="G26" s="36">
        <f t="shared" ca="1" si="1"/>
        <v>58204.58233860926</v>
      </c>
      <c r="H26" s="37">
        <f t="shared" ca="1" si="2"/>
        <v>0.10821621142475361</v>
      </c>
      <c r="I26" s="37">
        <f t="shared" ca="1" si="3"/>
        <v>7.6321514009446478E-2</v>
      </c>
      <c r="J26" s="38">
        <f t="shared" ca="1" si="4"/>
        <v>3.6808668863632675E-2</v>
      </c>
      <c r="K26" s="36">
        <f t="shared" ca="1" si="5"/>
        <v>1303.8172421667157</v>
      </c>
      <c r="L26" s="36">
        <f ca="1">Assumptions!$C$10*Assumptions!$C$13*I26*Assumptions!$C$15</f>
        <v>5293.1905408397643</v>
      </c>
      <c r="M26" s="36">
        <f ca="1">G26*(1+H26*Assumptions!$C$6)*(1+J26)+L26+K26</f>
        <v>68250.128397688532</v>
      </c>
    </row>
    <row r="27" spans="1:13" x14ac:dyDescent="0.25">
      <c r="A27" s="3">
        <v>14</v>
      </c>
      <c r="B27" s="3">
        <f t="shared" ca="1" si="6"/>
        <v>0.39247132724878619</v>
      </c>
      <c r="C27" s="3">
        <f t="shared" ca="1" si="6"/>
        <v>0.23175094409186447</v>
      </c>
      <c r="D27" s="3">
        <f t="shared" ca="1" si="6"/>
        <v>0.46810579333067637</v>
      </c>
      <c r="E27" s="3">
        <f t="shared" ca="1" si="6"/>
        <v>0.96495182948648761</v>
      </c>
      <c r="F27" s="3">
        <f t="shared" ca="1" si="6"/>
        <v>0.94308455420884918</v>
      </c>
      <c r="G27" s="36">
        <f t="shared" ca="1" si="1"/>
        <v>57767.073351394138</v>
      </c>
      <c r="H27" s="37">
        <f t="shared" ca="1" si="2"/>
        <v>0.10551835332952336</v>
      </c>
      <c r="I27" s="37">
        <f t="shared" ca="1" si="3"/>
        <v>7.8703210960567135E-2</v>
      </c>
      <c r="J27" s="38">
        <f t="shared" ca="1" si="4"/>
        <v>4.4704857281355877E-2</v>
      </c>
      <c r="K27" s="36">
        <f t="shared" ca="1" si="5"/>
        <v>2493.9174908572923</v>
      </c>
      <c r="L27" s="36">
        <f ca="1">Assumptions!$C$10*Assumptions!$C$13*I27*Assumptions!$C$15</f>
        <v>5458.3703847728711</v>
      </c>
      <c r="M27" s="36">
        <f ca="1">G27*(1+H27*Assumptions!$C$6)*(1+J27)+L27+K27</f>
        <v>69575.426858522464</v>
      </c>
    </row>
    <row r="28" spans="1:13" x14ac:dyDescent="0.25">
      <c r="A28" s="3">
        <v>15</v>
      </c>
      <c r="B28" s="3">
        <f t="shared" ca="1" si="6"/>
        <v>0.26244528069668915</v>
      </c>
      <c r="C28" s="3">
        <f t="shared" ca="1" si="6"/>
        <v>0.79649037339589412</v>
      </c>
      <c r="D28" s="3">
        <f t="shared" ca="1" si="6"/>
        <v>0.79136576660052915</v>
      </c>
      <c r="E28" s="3">
        <f t="shared" ca="1" si="6"/>
        <v>0.57134499714463871</v>
      </c>
      <c r="F28" s="3">
        <f t="shared" ca="1" si="6"/>
        <v>0.19918221384345935</v>
      </c>
      <c r="G28" s="36">
        <f t="shared" ca="1" si="1"/>
        <v>57645.492782061832</v>
      </c>
      <c r="H28" s="37">
        <f t="shared" ca="1" si="2"/>
        <v>0.17188231150006911</v>
      </c>
      <c r="I28" s="37">
        <f t="shared" ca="1" si="3"/>
        <v>9.4161471658039286E-2</v>
      </c>
      <c r="J28" s="38">
        <f t="shared" ca="1" si="4"/>
        <v>3.148179268167977E-2</v>
      </c>
      <c r="K28" s="36">
        <f t="shared" ca="1" si="5"/>
        <v>946.74176114480508</v>
      </c>
      <c r="L28" s="36">
        <f ca="1">Assumptions!$C$10*Assumptions!$C$13*I28*Assumptions!$C$15</f>
        <v>6530.4602189914003</v>
      </c>
      <c r="M28" s="36">
        <f ca="1">G28*(1+H28*Assumptions!$C$6)*(1+J28)+L28+K28</f>
        <v>68981.512159332255</v>
      </c>
    </row>
    <row r="29" spans="1:13" x14ac:dyDescent="0.25">
      <c r="A29" s="3">
        <v>16</v>
      </c>
      <c r="B29" s="3">
        <f t="shared" ca="1" si="6"/>
        <v>0.21050499674088874</v>
      </c>
      <c r="C29" s="3">
        <f t="shared" ca="1" si="6"/>
        <v>0.76967693522309033</v>
      </c>
      <c r="D29" s="3">
        <f t="shared" ca="1" si="6"/>
        <v>0.14029733547885082</v>
      </c>
      <c r="E29" s="3">
        <f t="shared" ca="1" si="6"/>
        <v>0.54811538750475908</v>
      </c>
      <c r="F29" s="3">
        <f t="shared" ca="1" si="6"/>
        <v>0.21685187207160384</v>
      </c>
      <c r="G29" s="36">
        <f t="shared" ca="1" si="1"/>
        <v>57588.540788607606</v>
      </c>
      <c r="H29" s="37">
        <f t="shared" ca="1" si="2"/>
        <v>0.16753369143585728</v>
      </c>
      <c r="I29" s="37">
        <f t="shared" ca="1" si="3"/>
        <v>6.1188475016676458E-2</v>
      </c>
      <c r="J29" s="38">
        <f t="shared" ca="1" si="4"/>
        <v>3.0986644430921913E-2</v>
      </c>
      <c r="K29" s="36">
        <f t="shared" ca="1" si="5"/>
        <v>987.84281357016368</v>
      </c>
      <c r="L29" s="36">
        <f ca="1">Assumptions!$C$10*Assumptions!$C$13*I29*Assumptions!$C$15</f>
        <v>4243.6560826950372</v>
      </c>
      <c r="M29" s="36">
        <f ca="1">G29*(1+H29*Assumptions!$C$6)*(1+J29)+L29+K29</f>
        <v>66593.91144426816</v>
      </c>
    </row>
    <row r="30" spans="1:13" x14ac:dyDescent="0.25">
      <c r="A30" s="3">
        <v>17</v>
      </c>
      <c r="B30" s="3">
        <f t="shared" ca="1" si="6"/>
        <v>0.64489046828819496</v>
      </c>
      <c r="C30" s="3">
        <f t="shared" ca="1" si="6"/>
        <v>0.69297510719324729</v>
      </c>
      <c r="D30" s="3">
        <f t="shared" ca="1" si="6"/>
        <v>0.28434070088134711</v>
      </c>
      <c r="E30" s="3">
        <f t="shared" ca="1" si="6"/>
        <v>5.1992833309976505E-2</v>
      </c>
      <c r="F30" s="3">
        <f t="shared" ca="1" si="6"/>
        <v>1.511714037766998E-2</v>
      </c>
      <c r="G30" s="36">
        <f t="shared" ca="1" si="1"/>
        <v>57998.762937984749</v>
      </c>
      <c r="H30" s="37">
        <f t="shared" ca="1" si="2"/>
        <v>0.15633299601399628</v>
      </c>
      <c r="I30" s="37">
        <f t="shared" ca="1" si="3"/>
        <v>7.0164386995599806E-2</v>
      </c>
      <c r="J30" s="38">
        <f t="shared" ca="1" si="4"/>
        <v>1.6449361724076361E-2</v>
      </c>
      <c r="K30" s="36">
        <f t="shared" ca="1" si="5"/>
        <v>260.8201136789778</v>
      </c>
      <c r="L30" s="36">
        <f ca="1">Assumptions!$C$10*Assumptions!$C$13*I30*Assumptions!$C$15</f>
        <v>4866.1701011717523</v>
      </c>
      <c r="M30" s="36">
        <f ca="1">G30*(1+H30*Assumptions!$C$6)*(1+J30)+L30+K30</f>
        <v>65923.049527560957</v>
      </c>
    </row>
    <row r="31" spans="1:13" x14ac:dyDescent="0.25">
      <c r="A31" s="3">
        <v>18</v>
      </c>
      <c r="B31" s="3">
        <f t="shared" ca="1" si="6"/>
        <v>8.4998249488236088E-2</v>
      </c>
      <c r="C31" s="3">
        <f t="shared" ca="1" si="6"/>
        <v>0.68811157926789668</v>
      </c>
      <c r="D31" s="3">
        <f t="shared" ca="1" si="6"/>
        <v>0.55192174501504321</v>
      </c>
      <c r="E31" s="3">
        <f t="shared" ca="1" si="6"/>
        <v>0.17510253838070589</v>
      </c>
      <c r="F31" s="3">
        <f t="shared" ca="1" si="6"/>
        <v>0.69832023059385551</v>
      </c>
      <c r="G31" s="36">
        <f t="shared" ca="1" si="1"/>
        <v>57410.437813119373</v>
      </c>
      <c r="H31" s="37">
        <f t="shared" ca="1" si="2"/>
        <v>0.15567292254149942</v>
      </c>
      <c r="I31" s="37">
        <f t="shared" ca="1" si="3"/>
        <v>8.21337826558836E-2</v>
      </c>
      <c r="J31" s="38">
        <f t="shared" ca="1" si="4"/>
        <v>2.1835625488522553E-2</v>
      </c>
      <c r="K31" s="36">
        <f t="shared" ca="1" si="5"/>
        <v>1834.85667734495</v>
      </c>
      <c r="L31" s="36">
        <f ca="1">Assumptions!$C$10*Assumptions!$C$13*I31*Assumptions!$C$15</f>
        <v>5696.2937263495878</v>
      </c>
      <c r="M31" s="36">
        <f ca="1">G31*(1+H31*Assumptions!$C$6)*(1+J31)+L31+K31</f>
        <v>68021.661255353363</v>
      </c>
    </row>
    <row r="32" spans="1:13" x14ac:dyDescent="0.25">
      <c r="A32" s="3">
        <v>19</v>
      </c>
      <c r="B32" s="3">
        <f t="shared" ca="1" si="6"/>
        <v>0.43493012638565376</v>
      </c>
      <c r="C32" s="3">
        <f t="shared" ca="1" si="6"/>
        <v>0.21189727452335372</v>
      </c>
      <c r="D32" s="3">
        <f t="shared" ca="1" si="6"/>
        <v>0.80959413377244349</v>
      </c>
      <c r="E32" s="3">
        <f t="shared" ca="1" si="6"/>
        <v>7.4292496641385375E-2</v>
      </c>
      <c r="F32" s="3">
        <f t="shared" ca="1" si="6"/>
        <v>0.89510810236009852</v>
      </c>
      <c r="G32" s="36">
        <f t="shared" ca="1" si="1"/>
        <v>57802.508420234102</v>
      </c>
      <c r="H32" s="37">
        <f t="shared" ca="1" si="2"/>
        <v>0.10308703938967217</v>
      </c>
      <c r="I32" s="37">
        <f t="shared" ca="1" si="3"/>
        <v>9.5316021959007888E-2</v>
      </c>
      <c r="J32" s="38">
        <f t="shared" ca="1" si="4"/>
        <v>1.770934480439864E-2</v>
      </c>
      <c r="K32" s="36">
        <f t="shared" ca="1" si="5"/>
        <v>2312.9675849135233</v>
      </c>
      <c r="L32" s="36">
        <f ca="1">Assumptions!$C$10*Assumptions!$C$13*I32*Assumptions!$C$15</f>
        <v>6610.5327229416534</v>
      </c>
      <c r="M32" s="36">
        <f ca="1">G32*(1+H32*Assumptions!$C$6)*(1+J32)+L32+K32</f>
        <v>68962.496069984234</v>
      </c>
    </row>
    <row r="33" spans="1:13" x14ac:dyDescent="0.25">
      <c r="A33" s="3">
        <v>20</v>
      </c>
      <c r="B33" s="3">
        <f t="shared" ca="1" si="6"/>
        <v>0.57604197167358329</v>
      </c>
      <c r="C33" s="3">
        <f t="shared" ca="1" si="6"/>
        <v>0.15187321836007983</v>
      </c>
      <c r="D33" s="3">
        <f t="shared" ca="1" si="6"/>
        <v>0.20833830058802594</v>
      </c>
      <c r="E33" s="3">
        <f t="shared" ca="1" si="6"/>
        <v>0.49871648811613811</v>
      </c>
      <c r="F33" s="3">
        <f t="shared" ca="1" si="6"/>
        <v>0.41283710537646756</v>
      </c>
      <c r="G33" s="36">
        <f t="shared" ca="1" si="1"/>
        <v>57929.217668776742</v>
      </c>
      <c r="H33" s="37">
        <f t="shared" ca="1" si="2"/>
        <v>9.4943451182447736E-2</v>
      </c>
      <c r="I33" s="37">
        <f t="shared" ca="1" si="3"/>
        <v>6.5820196782396589E-2</v>
      </c>
      <c r="J33" s="38">
        <f t="shared" ca="1" si="4"/>
        <v>2.9974313267116609E-2</v>
      </c>
      <c r="K33" s="36">
        <f t="shared" ca="1" si="5"/>
        <v>1362.9992568575026</v>
      </c>
      <c r="L33" s="36">
        <f ca="1">Assumptions!$C$10*Assumptions!$C$13*I33*Assumptions!$C$15</f>
        <v>4564.8838014622115</v>
      </c>
      <c r="M33" s="36">
        <f ca="1">G33*(1+H33*Assumptions!$C$6)*(1+J33)+L33+K33</f>
        <v>66726.460958467171</v>
      </c>
    </row>
    <row r="34" spans="1:13" x14ac:dyDescent="0.25">
      <c r="A34" s="3">
        <v>21</v>
      </c>
      <c r="B34" s="3">
        <f t="shared" ref="B34:F43" ca="1" si="7">RAND()</f>
        <v>0.45482407810002912</v>
      </c>
      <c r="C34" s="3">
        <f t="shared" ca="1" si="7"/>
        <v>0.18903965482302387</v>
      </c>
      <c r="D34" s="3">
        <f t="shared" ca="1" si="7"/>
        <v>0.51905081770649375</v>
      </c>
      <c r="E34" s="3">
        <f t="shared" ca="1" si="7"/>
        <v>0.4283753174602879</v>
      </c>
      <c r="F34" s="3">
        <f t="shared" ca="1" si="7"/>
        <v>0.60958916543574682</v>
      </c>
      <c r="G34" s="36">
        <f t="shared" ca="1" si="1"/>
        <v>57819.326034987615</v>
      </c>
      <c r="H34" s="37">
        <f t="shared" ca="1" si="2"/>
        <v>0.10014207224623067</v>
      </c>
      <c r="I34" s="37">
        <f t="shared" ca="1" si="3"/>
        <v>8.0769433048460543E-2</v>
      </c>
      <c r="J34" s="38">
        <f t="shared" ca="1" si="4"/>
        <v>2.8512165026496235E-2</v>
      </c>
      <c r="K34" s="36">
        <f t="shared" ca="1" si="5"/>
        <v>1674.538285902177</v>
      </c>
      <c r="L34" s="36">
        <f ca="1">Assumptions!$C$10*Assumptions!$C$13*I34*Assumptions!$C$15</f>
        <v>5601.6708335763096</v>
      </c>
      <c r="M34" s="36">
        <f ca="1">G34*(1+H34*Assumptions!$C$6)*(1+J34)+L34+K34</f>
        <v>67935.136671172557</v>
      </c>
    </row>
    <row r="35" spans="1:13" x14ac:dyDescent="0.25">
      <c r="A35" s="3">
        <v>22</v>
      </c>
      <c r="B35" s="3">
        <f t="shared" ca="1" si="7"/>
        <v>0.88332723792837164</v>
      </c>
      <c r="C35" s="3">
        <f t="shared" ca="1" si="7"/>
        <v>0.63491365405771472</v>
      </c>
      <c r="D35" s="3">
        <f t="shared" ca="1" si="7"/>
        <v>0.25956156899360705</v>
      </c>
      <c r="E35" s="3">
        <f t="shared" ca="1" si="7"/>
        <v>0.93180619281976074</v>
      </c>
      <c r="F35" s="3">
        <f t="shared" ca="1" si="7"/>
        <v>0.9805254143468114</v>
      </c>
      <c r="G35" s="36">
        <f t="shared" ca="1" si="1"/>
        <v>58319.138625468513</v>
      </c>
      <c r="H35" s="37">
        <f t="shared" ca="1" si="2"/>
        <v>0.14876421377834187</v>
      </c>
      <c r="I35" s="37">
        <f t="shared" ca="1" si="3"/>
        <v>6.8820080166084596E-2</v>
      </c>
      <c r="J35" s="38">
        <f t="shared" ca="1" si="4"/>
        <v>4.2613861242557692E-2</v>
      </c>
      <c r="K35" s="36">
        <f t="shared" ca="1" si="5"/>
        <v>2703.9668338862202</v>
      </c>
      <c r="L35" s="36">
        <f ca="1">Assumptions!$C$10*Assumptions!$C$13*I35*Assumptions!$C$15</f>
        <v>4772.9372521339892</v>
      </c>
      <c r="M35" s="36">
        <f ca="1">G35*(1+H35*Assumptions!$C$6)*(1+J35)+L35+K35</f>
        <v>70090.348428171215</v>
      </c>
    </row>
    <row r="36" spans="1:13" x14ac:dyDescent="0.25">
      <c r="A36" s="3">
        <v>23</v>
      </c>
      <c r="B36" s="3">
        <f t="shared" ca="1" si="7"/>
        <v>0.12005481666312512</v>
      </c>
      <c r="C36" s="3">
        <f t="shared" ca="1" si="7"/>
        <v>0.49883341839353434</v>
      </c>
      <c r="D36" s="3">
        <f t="shared" ca="1" si="7"/>
        <v>0.10928218995467476</v>
      </c>
      <c r="E36" s="3">
        <f t="shared" ca="1" si="7"/>
        <v>0.67578910660170166</v>
      </c>
      <c r="F36" s="3">
        <f t="shared" ca="1" si="7"/>
        <v>0.86852958734578467</v>
      </c>
      <c r="G36" s="36">
        <f t="shared" ca="1" si="1"/>
        <v>57468.943122464458</v>
      </c>
      <c r="H36" s="37">
        <f t="shared" ca="1" si="2"/>
        <v>0.13310473321691263</v>
      </c>
      <c r="I36" s="37">
        <f t="shared" ca="1" si="3"/>
        <v>5.870034780037417E-2</v>
      </c>
      <c r="J36" s="38">
        <f t="shared" ca="1" si="4"/>
        <v>3.3895071725753054E-2</v>
      </c>
      <c r="K36" s="36">
        <f t="shared" ca="1" si="5"/>
        <v>2230.8336610693568</v>
      </c>
      <c r="L36" s="36">
        <f ca="1">Assumptions!$C$10*Assumptions!$C$13*I36*Assumptions!$C$15</f>
        <v>4071.0948905244113</v>
      </c>
      <c r="M36" s="36">
        <f ca="1">G36*(1+H36*Assumptions!$C$6)*(1+J36)+L36+K36</f>
        <v>67300.51860501802</v>
      </c>
    </row>
    <row r="37" spans="1:13" x14ac:dyDescent="0.25">
      <c r="A37" s="3">
        <v>24</v>
      </c>
      <c r="B37" s="3">
        <f t="shared" ca="1" si="7"/>
        <v>0.47200876055155017</v>
      </c>
      <c r="C37" s="3">
        <f t="shared" ca="1" si="7"/>
        <v>5.9466421038632755E-2</v>
      </c>
      <c r="D37" s="3">
        <f t="shared" ca="1" si="7"/>
        <v>0.446140039143755</v>
      </c>
      <c r="E37" s="3">
        <f t="shared" ca="1" si="7"/>
        <v>0.34151159534748676</v>
      </c>
      <c r="F37" s="3">
        <f t="shared" ca="1" si="7"/>
        <v>0.78941381248573128</v>
      </c>
      <c r="G37" s="36">
        <f t="shared" ca="1" si="1"/>
        <v>57834.10204654371</v>
      </c>
      <c r="H37" s="37">
        <f t="shared" ca="1" si="2"/>
        <v>7.8123004814809813E-2</v>
      </c>
      <c r="I37" s="37">
        <f t="shared" ca="1" si="3"/>
        <v>7.7784231172011636E-2</v>
      </c>
      <c r="J37" s="38">
        <f t="shared" ca="1" si="4"/>
        <v>2.6529043416906782E-2</v>
      </c>
      <c r="K37" s="36">
        <f t="shared" ca="1" si="5"/>
        <v>2026.5330802671263</v>
      </c>
      <c r="L37" s="36">
        <f ca="1">Assumptions!$C$10*Assumptions!$C$13*I37*Assumptions!$C$15</f>
        <v>5394.635601898899</v>
      </c>
      <c r="M37" s="36">
        <f ca="1">G37*(1+H37*Assumptions!$C$6)*(1+J37)+L37+K37</f>
        <v>67717.161465363024</v>
      </c>
    </row>
    <row r="38" spans="1:13" x14ac:dyDescent="0.25">
      <c r="A38" s="3">
        <v>25</v>
      </c>
      <c r="B38" s="3">
        <f t="shared" ca="1" si="7"/>
        <v>0.61948701209037982</v>
      </c>
      <c r="C38" s="3">
        <f t="shared" ca="1" si="7"/>
        <v>0.11423396061148616</v>
      </c>
      <c r="D38" s="3">
        <f t="shared" ca="1" si="7"/>
        <v>0.89933130043774978</v>
      </c>
      <c r="E38" s="3">
        <f t="shared" ca="1" si="7"/>
        <v>0.9852897808765313</v>
      </c>
      <c r="F38" s="3">
        <f t="shared" ca="1" si="7"/>
        <v>0.92996430674382935</v>
      </c>
      <c r="G38" s="36">
        <f t="shared" ca="1" si="1"/>
        <v>57972.377424841667</v>
      </c>
      <c r="H38" s="37">
        <f t="shared" ca="1" si="2"/>
        <v>8.8978348812292773E-2</v>
      </c>
      <c r="I38" s="37">
        <f t="shared" ca="1" si="3"/>
        <v>0.10205174552779014</v>
      </c>
      <c r="J38" s="38">
        <f t="shared" ca="1" si="4"/>
        <v>4.6569522584424296E-2</v>
      </c>
      <c r="K38" s="36">
        <f t="shared" ca="1" si="5"/>
        <v>2438.6083188603807</v>
      </c>
      <c r="L38" s="36">
        <f ca="1">Assumptions!$C$10*Assumptions!$C$13*I38*Assumptions!$C$15</f>
        <v>7077.6810590658142</v>
      </c>
      <c r="M38" s="36">
        <f ca="1">G38*(1+H38*Assumptions!$C$6)*(1+J38)+L38+K38</f>
        <v>71268.11381371037</v>
      </c>
    </row>
    <row r="39" spans="1:13" x14ac:dyDescent="0.25">
      <c r="A39" s="3">
        <v>26</v>
      </c>
      <c r="B39" s="3">
        <f t="shared" ca="1" si="7"/>
        <v>6.4262064899567317E-3</v>
      </c>
      <c r="C39" s="3">
        <f t="shared" ca="1" si="7"/>
        <v>2.5739224377252734E-2</v>
      </c>
      <c r="D39" s="3">
        <f t="shared" ca="1" si="7"/>
        <v>0.62650280618026344</v>
      </c>
      <c r="E39" s="3">
        <f t="shared" ca="1" si="7"/>
        <v>3.1774870789815557E-2</v>
      </c>
      <c r="F39" s="3">
        <f t="shared" ca="1" si="7"/>
        <v>0.39949043636146675</v>
      </c>
      <c r="G39" s="36">
        <f t="shared" ca="1" si="1"/>
        <v>57185.358536971748</v>
      </c>
      <c r="H39" s="37">
        <f t="shared" ca="1" si="2"/>
        <v>6.8502207549842847E-2</v>
      </c>
      <c r="I39" s="37">
        <f t="shared" ca="1" si="3"/>
        <v>8.5428465174031437E-2</v>
      </c>
      <c r="J39" s="38">
        <f t="shared" ca="1" si="4"/>
        <v>1.5041814815307326E-2</v>
      </c>
      <c r="K39" s="36">
        <f t="shared" ca="1" si="5"/>
        <v>1340.7859499661386</v>
      </c>
      <c r="L39" s="36">
        <f ca="1">Assumptions!$C$10*Assumptions!$C$13*I39*Assumptions!$C$15</f>
        <v>5924.7926308389797</v>
      </c>
      <c r="M39" s="36">
        <f ca="1">G39*(1+H39*Assumptions!$C$6)*(1+J39)+L39+K39</f>
        <v>66106.358081227299</v>
      </c>
    </row>
    <row r="40" spans="1:13" x14ac:dyDescent="0.25">
      <c r="A40" s="3">
        <v>27</v>
      </c>
      <c r="B40" s="3">
        <f t="shared" ca="1" si="7"/>
        <v>0.43065178234595114</v>
      </c>
      <c r="C40" s="3">
        <f t="shared" ca="1" si="7"/>
        <v>0.23084665155411799</v>
      </c>
      <c r="D40" s="3">
        <f t="shared" ca="1" si="7"/>
        <v>0.76294366648469547</v>
      </c>
      <c r="E40" s="3">
        <f t="shared" ca="1" si="7"/>
        <v>2.9891995430103457E-2</v>
      </c>
      <c r="F40" s="3">
        <f t="shared" ca="1" si="7"/>
        <v>0.80991754766345903</v>
      </c>
      <c r="G40" s="36">
        <f t="shared" ca="1" si="1"/>
        <v>57798.930543434646</v>
      </c>
      <c r="H40" s="37">
        <f t="shared" ca="1" si="2"/>
        <v>0.10540993111049471</v>
      </c>
      <c r="I40" s="37">
        <f t="shared" ca="1" si="3"/>
        <v>9.2457664092365471E-2</v>
      </c>
      <c r="J40" s="38">
        <f t="shared" ca="1" si="4"/>
        <v>1.4890152998023964E-2</v>
      </c>
      <c r="K40" s="36">
        <f t="shared" ca="1" si="5"/>
        <v>2075.1372882884539</v>
      </c>
      <c r="L40" s="36">
        <f ca="1">Assumptions!$C$10*Assumptions!$C$13*I40*Assumptions!$C$15</f>
        <v>6412.2946112058999</v>
      </c>
      <c r="M40" s="36">
        <f ca="1">G40*(1+H40*Assumptions!$C$6)*(1+J40)+L40+K40</f>
        <v>68383.657512714461</v>
      </c>
    </row>
    <row r="41" spans="1:13" x14ac:dyDescent="0.25">
      <c r="A41" s="3">
        <v>28</v>
      </c>
      <c r="B41" s="3">
        <f t="shared" ca="1" si="7"/>
        <v>0.26809164687988352</v>
      </c>
      <c r="C41" s="3">
        <f t="shared" ca="1" si="7"/>
        <v>0.92970450504277136</v>
      </c>
      <c r="D41" s="3">
        <f t="shared" ca="1" si="7"/>
        <v>0.75963501509322395</v>
      </c>
      <c r="E41" s="3">
        <f t="shared" ca="1" si="7"/>
        <v>0.89796021423030437</v>
      </c>
      <c r="F41" s="3">
        <f t="shared" ca="1" si="7"/>
        <v>0.56695557739187585</v>
      </c>
      <c r="G41" s="36">
        <f t="shared" ca="1" si="1"/>
        <v>57651.329544358312</v>
      </c>
      <c r="H41" s="37">
        <f t="shared" ca="1" si="2"/>
        <v>0.19996579855892196</v>
      </c>
      <c r="I41" s="37">
        <f t="shared" ca="1" si="3"/>
        <v>9.2266122670970008E-2</v>
      </c>
      <c r="J41" s="38">
        <f t="shared" ca="1" si="4"/>
        <v>4.0964966595758684E-2</v>
      </c>
      <c r="K41" s="36">
        <f t="shared" ca="1" si="5"/>
        <v>1604.0415830919035</v>
      </c>
      <c r="L41" s="36">
        <f ca="1">Assumptions!$C$10*Assumptions!$C$13*I41*Assumptions!$C$15</f>
        <v>6399.0104769343507</v>
      </c>
      <c r="M41" s="36">
        <f ca="1">G41*(1+H41*Assumptions!$C$6)*(1+J41)+L41+K41</f>
        <v>70416.176460389324</v>
      </c>
    </row>
    <row r="42" spans="1:13" x14ac:dyDescent="0.25">
      <c r="A42" s="3">
        <v>29</v>
      </c>
      <c r="B42" s="3">
        <f t="shared" ca="1" si="7"/>
        <v>0.20492610171839087</v>
      </c>
      <c r="C42" s="3">
        <f t="shared" ca="1" si="7"/>
        <v>1.7927940185733404E-2</v>
      </c>
      <c r="D42" s="3">
        <f t="shared" ca="1" si="7"/>
        <v>0.57747088371258093</v>
      </c>
      <c r="E42" s="3">
        <f t="shared" ca="1" si="7"/>
        <v>0.28674668722196306</v>
      </c>
      <c r="F42" s="3">
        <f t="shared" ca="1" si="7"/>
        <v>0.57619960489423538</v>
      </c>
      <c r="G42" s="36">
        <f t="shared" ca="1" si="1"/>
        <v>57582.023557751214</v>
      </c>
      <c r="H42" s="37">
        <f t="shared" ca="1" si="2"/>
        <v>6.5441554470656582E-2</v>
      </c>
      <c r="I42" s="37">
        <f t="shared" ca="1" si="3"/>
        <v>8.3229180426325267E-2</v>
      </c>
      <c r="J42" s="38">
        <f t="shared" ca="1" si="4"/>
        <v>2.5145869066434269E-2</v>
      </c>
      <c r="K42" s="36">
        <f t="shared" ca="1" si="5"/>
        <v>1619.0214418840744</v>
      </c>
      <c r="L42" s="36">
        <f ca="1">Assumptions!$C$10*Assumptions!$C$13*I42*Assumptions!$C$15</f>
        <v>5772.2637747980662</v>
      </c>
      <c r="M42" s="36">
        <f ca="1">G42*(1+H42*Assumptions!$C$6)*(1+J42)+L42+K42</f>
        <v>67193.861445719842</v>
      </c>
    </row>
    <row r="43" spans="1:13" x14ac:dyDescent="0.25">
      <c r="A43" s="3">
        <v>30</v>
      </c>
      <c r="B43" s="3">
        <f t="shared" ca="1" si="7"/>
        <v>4.2831909629112985E-2</v>
      </c>
      <c r="C43" s="3">
        <f t="shared" ca="1" si="7"/>
        <v>0.11815548068014958</v>
      </c>
      <c r="D43" s="3">
        <f t="shared" ca="1" si="7"/>
        <v>0.98644979888822237</v>
      </c>
      <c r="E43" s="3">
        <f t="shared" ca="1" si="7"/>
        <v>0.27194533554510369</v>
      </c>
      <c r="F43" s="3">
        <f t="shared" ca="1" si="7"/>
        <v>1.4061725165604111E-2</v>
      </c>
      <c r="G43" s="36">
        <f t="shared" ca="1" si="1"/>
        <v>57320.370442299623</v>
      </c>
      <c r="H43" s="37">
        <f t="shared" ca="1" si="2"/>
        <v>8.9641744323957162E-2</v>
      </c>
      <c r="I43" s="37">
        <f t="shared" ca="1" si="3"/>
        <v>0.11341512008023773</v>
      </c>
      <c r="J43" s="38">
        <f t="shared" ca="1" si="4"/>
        <v>2.4749788759032547E-2</v>
      </c>
      <c r="K43" s="36">
        <f t="shared" ca="1" si="5"/>
        <v>251.55071704373754</v>
      </c>
      <c r="L43" s="36">
        <f ca="1">Assumptions!$C$10*Assumptions!$C$13*I43*Assumptions!$C$15</f>
        <v>7865.7747895647935</v>
      </c>
      <c r="M43" s="36">
        <f ca="1">G43*(1+H43*Assumptions!$C$6)*(1+J43)+L43+K43</f>
        <v>67909.456965268502</v>
      </c>
    </row>
    <row r="44" spans="1:13" x14ac:dyDescent="0.25">
      <c r="A44" s="3">
        <v>31</v>
      </c>
      <c r="B44" s="3">
        <f t="shared" ref="B44:F53" ca="1" si="8">RAND()</f>
        <v>0.90501880497410303</v>
      </c>
      <c r="C44" s="3">
        <f t="shared" ca="1" si="8"/>
        <v>0.23456810048024757</v>
      </c>
      <c r="D44" s="3">
        <f t="shared" ca="1" si="8"/>
        <v>0.306106075566974</v>
      </c>
      <c r="E44" s="3">
        <f t="shared" ca="1" si="8"/>
        <v>2.1172685787048451E-2</v>
      </c>
      <c r="F44" s="3">
        <f t="shared" ca="1" si="8"/>
        <v>0.55088801421824873</v>
      </c>
      <c r="G44" s="36">
        <f t="shared" ca="1" si="1"/>
        <v>58361.190529247462</v>
      </c>
      <c r="H44" s="37">
        <f t="shared" ca="1" si="2"/>
        <v>0.10585477362220075</v>
      </c>
      <c r="I44" s="37">
        <f t="shared" ca="1" si="3"/>
        <v>7.1297594824751578E-2</v>
      </c>
      <c r="J44" s="38">
        <f t="shared" ca="1" si="4"/>
        <v>1.4115598210423214E-2</v>
      </c>
      <c r="K44" s="36">
        <f t="shared" ca="1" si="5"/>
        <v>1578.3798200581562</v>
      </c>
      <c r="L44" s="36">
        <f ca="1">Assumptions!$C$10*Assumptions!$C$13*I44*Assumptions!$C$15</f>
        <v>4944.7624226150783</v>
      </c>
      <c r="M44" s="36">
        <f ca="1">G44*(1+H44*Assumptions!$C$6)*(1+J44)+L44+K44</f>
        <v>66961.138709355873</v>
      </c>
    </row>
    <row r="45" spans="1:13" x14ac:dyDescent="0.25">
      <c r="A45" s="3">
        <v>32</v>
      </c>
      <c r="B45" s="3">
        <f t="shared" ca="1" si="8"/>
        <v>0.55685137099649984</v>
      </c>
      <c r="C45" s="3">
        <f t="shared" ca="1" si="8"/>
        <v>0.20550279014742645</v>
      </c>
      <c r="D45" s="3">
        <f t="shared" ca="1" si="8"/>
        <v>0.40691398003453105</v>
      </c>
      <c r="E45" s="3">
        <f t="shared" ca="1" si="8"/>
        <v>0.42202835018731744</v>
      </c>
      <c r="F45" s="3">
        <f t="shared" ca="1" si="8"/>
        <v>0.86045294722004428</v>
      </c>
      <c r="G45" s="36">
        <f t="shared" ca="1" si="1"/>
        <v>57910.860133121685</v>
      </c>
      <c r="H45" s="37">
        <f t="shared" ca="1" si="2"/>
        <v>0.10227989201366786</v>
      </c>
      <c r="I45" s="37">
        <f t="shared" ca="1" si="3"/>
        <v>7.6084965513500219E-2</v>
      </c>
      <c r="J45" s="38">
        <f t="shared" ca="1" si="4"/>
        <v>2.8374511698269801E-2</v>
      </c>
      <c r="K45" s="36">
        <f t="shared" ca="1" si="5"/>
        <v>2207.5596315748417</v>
      </c>
      <c r="L45" s="36">
        <f ca="1">Assumptions!$C$10*Assumptions!$C$13*I45*Assumptions!$C$15</f>
        <v>5276.7849928439846</v>
      </c>
      <c r="M45" s="36">
        <f ca="1">G45*(1+H45*Assumptions!$C$6)*(1+J45)+L45+K45</f>
        <v>68256.633547813632</v>
      </c>
    </row>
    <row r="46" spans="1:13" x14ac:dyDescent="0.25">
      <c r="A46" s="3">
        <v>33</v>
      </c>
      <c r="B46" s="3">
        <f t="shared" ca="1" si="8"/>
        <v>0.31250508133234756</v>
      </c>
      <c r="C46" s="3">
        <f t="shared" ca="1" si="8"/>
        <v>0.75285002644835197</v>
      </c>
      <c r="D46" s="3">
        <f t="shared" ca="1" si="8"/>
        <v>0.63054620931358119</v>
      </c>
      <c r="E46" s="3">
        <f t="shared" ca="1" si="8"/>
        <v>0.18982115790733345</v>
      </c>
      <c r="F46" s="3">
        <f t="shared" ca="1" si="8"/>
        <v>0.93244468633252098</v>
      </c>
      <c r="G46" s="36">
        <f t="shared" ca="1" si="1"/>
        <v>57695.248303410088</v>
      </c>
      <c r="H46" s="37">
        <f t="shared" ca="1" si="2"/>
        <v>0.1649332337383741</v>
      </c>
      <c r="I46" s="37">
        <f t="shared" ca="1" si="3"/>
        <v>8.5616106529414968E-2</v>
      </c>
      <c r="J46" s="38">
        <f t="shared" ca="1" si="4"/>
        <v>2.2323024236195706E-2</v>
      </c>
      <c r="K46" s="36">
        <f t="shared" ca="1" si="5"/>
        <v>2448.6390370150825</v>
      </c>
      <c r="L46" s="36">
        <f ca="1">Assumptions!$C$10*Assumptions!$C$13*I46*Assumptions!$C$15</f>
        <v>5937.8062805323489</v>
      </c>
      <c r="M46" s="36">
        <f ca="1">G46*(1+H46*Assumptions!$C$6)*(1+J46)+L46+K46</f>
        <v>69315.283393929451</v>
      </c>
    </row>
    <row r="47" spans="1:13" x14ac:dyDescent="0.25">
      <c r="A47" s="3">
        <v>34</v>
      </c>
      <c r="B47" s="3">
        <f t="shared" ca="1" si="8"/>
        <v>0.70601477810045876</v>
      </c>
      <c r="C47" s="3">
        <f t="shared" ca="1" si="8"/>
        <v>0.30672691350386772</v>
      </c>
      <c r="D47" s="3">
        <f t="shared" ca="1" si="8"/>
        <v>0.17844327902554769</v>
      </c>
      <c r="E47" s="3">
        <f t="shared" ca="1" si="8"/>
        <v>0.85230069084201576</v>
      </c>
      <c r="F47" s="3">
        <f t="shared" ca="1" si="8"/>
        <v>0.71592619154385029</v>
      </c>
      <c r="G47" s="36">
        <f t="shared" ca="1" si="1"/>
        <v>58066.414589688495</v>
      </c>
      <c r="H47" s="37">
        <f t="shared" ca="1" si="2"/>
        <v>0.11387071276885394</v>
      </c>
      <c r="I47" s="37">
        <f t="shared" ca="1" si="3"/>
        <v>6.3895993239071538E-2</v>
      </c>
      <c r="J47" s="38">
        <f t="shared" ca="1" si="4"/>
        <v>3.9129882828304596E-2</v>
      </c>
      <c r="K47" s="36">
        <f t="shared" ca="1" si="5"/>
        <v>1869.3664881790062</v>
      </c>
      <c r="L47" s="36">
        <f ca="1">Assumptions!$C$10*Assumptions!$C$13*I47*Assumptions!$C$15</f>
        <v>4431.4328849497606</v>
      </c>
      <c r="M47" s="36">
        <f ca="1">G47*(1+H47*Assumptions!$C$6)*(1+J47)+L47+K47</f>
        <v>68013.504623473171</v>
      </c>
    </row>
    <row r="48" spans="1:13" x14ac:dyDescent="0.25">
      <c r="A48" s="3">
        <v>35</v>
      </c>
      <c r="B48" s="3">
        <f t="shared" ca="1" si="8"/>
        <v>0.51240436247496435</v>
      </c>
      <c r="C48" s="3">
        <f t="shared" ca="1" si="8"/>
        <v>0.21880052714906695</v>
      </c>
      <c r="D48" s="3">
        <f t="shared" ca="1" si="8"/>
        <v>0.7352807273843488</v>
      </c>
      <c r="E48" s="3">
        <f t="shared" ca="1" si="8"/>
        <v>0.5968443527649272</v>
      </c>
      <c r="F48" s="3">
        <f t="shared" ca="1" si="8"/>
        <v>0.6924295477901099</v>
      </c>
      <c r="G48" s="36">
        <f t="shared" ca="1" si="1"/>
        <v>57869.812631027526</v>
      </c>
      <c r="H48" s="37">
        <f t="shared" ca="1" si="2"/>
        <v>0.10394485157160589</v>
      </c>
      <c r="I48" s="37">
        <f t="shared" ca="1" si="3"/>
        <v>9.089498887871568E-2</v>
      </c>
      <c r="J48" s="38">
        <f t="shared" ca="1" si="4"/>
        <v>3.2041032385238338E-2</v>
      </c>
      <c r="K48" s="36">
        <f t="shared" ca="1" si="5"/>
        <v>1823.5362160506149</v>
      </c>
      <c r="L48" s="36">
        <f ca="1">Assumptions!$C$10*Assumptions!$C$13*I48*Assumptions!$C$15</f>
        <v>6303.9170748500037</v>
      </c>
      <c r="M48" s="36">
        <f ca="1">G48*(1+H48*Assumptions!$C$6)*(1+J48)+L48+K48</f>
        <v>69093.075365756231</v>
      </c>
    </row>
    <row r="49" spans="1:13" x14ac:dyDescent="0.25">
      <c r="A49" s="3">
        <v>36</v>
      </c>
      <c r="B49" s="3">
        <f t="shared" ca="1" si="8"/>
        <v>0.41589119402626828</v>
      </c>
      <c r="C49" s="3">
        <f t="shared" ca="1" si="8"/>
        <v>0.78388918347122583</v>
      </c>
      <c r="D49" s="3">
        <f t="shared" ca="1" si="8"/>
        <v>0.8090257375565133</v>
      </c>
      <c r="E49" s="3">
        <f t="shared" ca="1" si="8"/>
        <v>0.60295948325860327</v>
      </c>
      <c r="F49" s="3">
        <f t="shared" ca="1" si="8"/>
        <v>0.34807630724549177</v>
      </c>
      <c r="G49" s="36">
        <f t="shared" ca="1" si="1"/>
        <v>57786.688045675284</v>
      </c>
      <c r="H49" s="37">
        <f t="shared" ca="1" si="2"/>
        <v>0.16980508126042132</v>
      </c>
      <c r="I49" s="37">
        <f t="shared" ca="1" si="3"/>
        <v>9.5279206327078467E-2</v>
      </c>
      <c r="J49" s="38">
        <f t="shared" ca="1" si="4"/>
        <v>3.2177755096702398E-2</v>
      </c>
      <c r="K49" s="36">
        <f t="shared" ca="1" si="5"/>
        <v>1251.536408821059</v>
      </c>
      <c r="L49" s="36">
        <f ca="1">Assumptions!$C$10*Assumptions!$C$13*I49*Assumptions!$C$15</f>
        <v>6607.9794172687643</v>
      </c>
      <c r="M49" s="36">
        <f ca="1">G49*(1+H49*Assumptions!$C$6)*(1+J49)+L49+K49</f>
        <v>69531.293091708256</v>
      </c>
    </row>
    <row r="50" spans="1:13" x14ac:dyDescent="0.25">
      <c r="A50" s="3">
        <v>37</v>
      </c>
      <c r="B50" s="3">
        <f t="shared" ca="1" si="8"/>
        <v>9.1160451408943022E-2</v>
      </c>
      <c r="C50" s="3">
        <f t="shared" ca="1" si="8"/>
        <v>0.59336527272048489</v>
      </c>
      <c r="D50" s="3">
        <f t="shared" ca="1" si="8"/>
        <v>0.40882468694357321</v>
      </c>
      <c r="E50" s="3">
        <f t="shared" ca="1" si="8"/>
        <v>0.34391633064467475</v>
      </c>
      <c r="F50" s="3">
        <f t="shared" ca="1" si="8"/>
        <v>3.2851828430282004E-2</v>
      </c>
      <c r="G50" s="36">
        <f t="shared" ca="1" si="1"/>
        <v>57421.493989586539</v>
      </c>
      <c r="H50" s="37">
        <f t="shared" ca="1" si="2"/>
        <v>0.14371255646776707</v>
      </c>
      <c r="I50" s="37">
        <f t="shared" ca="1" si="3"/>
        <v>7.6169586647063497E-2</v>
      </c>
      <c r="J50" s="38">
        <f t="shared" ca="1" si="4"/>
        <v>2.6587135512671854E-2</v>
      </c>
      <c r="K50" s="36">
        <f t="shared" ca="1" si="5"/>
        <v>384.49086846929021</v>
      </c>
      <c r="L50" s="36">
        <f ca="1">Assumptions!$C$10*Assumptions!$C$13*I50*Assumptions!$C$15</f>
        <v>5282.6537939224954</v>
      </c>
      <c r="M50" s="36">
        <f ca="1">G50*(1+H50*Assumptions!$C$6)*(1+J50)+L50+K50</f>
        <v>66309.630050660373</v>
      </c>
    </row>
    <row r="51" spans="1:13" x14ac:dyDescent="0.25">
      <c r="A51" s="3">
        <v>38</v>
      </c>
      <c r="B51" s="3">
        <f t="shared" ca="1" si="8"/>
        <v>0.89389039808314597</v>
      </c>
      <c r="C51" s="3">
        <f t="shared" ca="1" si="8"/>
        <v>0.86032098263076373</v>
      </c>
      <c r="D51" s="3">
        <f t="shared" ca="1" si="8"/>
        <v>0.48129641608480378</v>
      </c>
      <c r="E51" s="3">
        <f t="shared" ca="1" si="8"/>
        <v>0.10229850482160197</v>
      </c>
      <c r="F51" s="3">
        <f t="shared" ca="1" si="8"/>
        <v>0.63854304492043912</v>
      </c>
      <c r="G51" s="36">
        <f t="shared" ca="1" si="1"/>
        <v>58339.077979535068</v>
      </c>
      <c r="H51" s="37">
        <f t="shared" ca="1" si="2"/>
        <v>0.18356701677193923</v>
      </c>
      <c r="I51" s="37">
        <f t="shared" ca="1" si="3"/>
        <v>7.9244726161248363E-2</v>
      </c>
      <c r="J51" s="38">
        <f t="shared" ca="1" si="4"/>
        <v>1.9046480191614944E-2</v>
      </c>
      <c r="K51" s="36">
        <f t="shared" ca="1" si="5"/>
        <v>1724.6348374453598</v>
      </c>
      <c r="L51" s="36">
        <f ca="1">Assumptions!$C$10*Assumptions!$C$13*I51*Assumptions!$C$15</f>
        <v>5495.9265466908855</v>
      </c>
      <c r="M51" s="36">
        <f ca="1">G51*(1+H51*Assumptions!$C$6)*(1+J51)+L51+K51</f>
        <v>68853.413806401499</v>
      </c>
    </row>
    <row r="52" spans="1:13" x14ac:dyDescent="0.25">
      <c r="A52" s="3">
        <v>39</v>
      </c>
      <c r="B52" s="3">
        <f t="shared" ca="1" si="8"/>
        <v>0.18939659076364601</v>
      </c>
      <c r="C52" s="3">
        <f t="shared" ca="1" si="8"/>
        <v>0.38526331819378445</v>
      </c>
      <c r="D52" s="3">
        <f t="shared" ca="1" si="8"/>
        <v>0.31461569064685979</v>
      </c>
      <c r="E52" s="3">
        <f t="shared" ca="1" si="8"/>
        <v>0.61953394028726483</v>
      </c>
      <c r="F52" s="3">
        <f t="shared" ca="1" si="8"/>
        <v>0.59855787550329298</v>
      </c>
      <c r="G52" s="36">
        <f t="shared" ca="1" si="1"/>
        <v>57563.399651845728</v>
      </c>
      <c r="H52" s="37">
        <f t="shared" ca="1" si="2"/>
        <v>0.12161082674001936</v>
      </c>
      <c r="I52" s="37">
        <f t="shared" ca="1" si="3"/>
        <v>7.1729642451026004E-2</v>
      </c>
      <c r="J52" s="38">
        <f t="shared" ca="1" si="4"/>
        <v>3.2553715359131957E-2</v>
      </c>
      <c r="K52" s="36">
        <f t="shared" ca="1" si="5"/>
        <v>1655.9428731504074</v>
      </c>
      <c r="L52" s="36">
        <f ca="1">Assumptions!$C$10*Assumptions!$C$13*I52*Assumptions!$C$15</f>
        <v>4974.7265872188491</v>
      </c>
      <c r="M52" s="36">
        <f ca="1">G52*(1+H52*Assumptions!$C$6)*(1+J52)+L52+K52</f>
        <v>67513.615531027288</v>
      </c>
    </row>
    <row r="53" spans="1:13" x14ac:dyDescent="0.25">
      <c r="A53" s="3">
        <v>40</v>
      </c>
      <c r="B53" s="3">
        <f t="shared" ca="1" si="8"/>
        <v>0.67326722654064985</v>
      </c>
      <c r="C53" s="3">
        <f t="shared" ca="1" si="8"/>
        <v>7.5783451112006905E-2</v>
      </c>
      <c r="D53" s="3">
        <f t="shared" ca="1" si="8"/>
        <v>0.28438534881111877</v>
      </c>
      <c r="E53" s="3">
        <f t="shared" ca="1" si="8"/>
        <v>0.86087990396942826</v>
      </c>
      <c r="F53" s="3">
        <f t="shared" ca="1" si="8"/>
        <v>9.3105053544931593E-2</v>
      </c>
      <c r="G53" s="36">
        <f t="shared" ca="1" si="1"/>
        <v>58029.379073618045</v>
      </c>
      <c r="H53" s="37">
        <f t="shared" ca="1" si="2"/>
        <v>8.1747754247973065E-2</v>
      </c>
      <c r="I53" s="37">
        <f t="shared" ca="1" si="3"/>
        <v>7.0166755148599921E-2</v>
      </c>
      <c r="J53" s="38">
        <f t="shared" ca="1" si="4"/>
        <v>3.945030442029452E-2</v>
      </c>
      <c r="K53" s="36">
        <f t="shared" ca="1" si="5"/>
        <v>647.28103707137302</v>
      </c>
      <c r="L53" s="36">
        <f ca="1">Assumptions!$C$10*Assumptions!$C$13*I53*Assumptions!$C$15</f>
        <v>4866.3343416905909</v>
      </c>
      <c r="M53" s="36">
        <f ca="1">G53*(1+H53*Assumptions!$C$6)*(1+J53)+L53+K53</f>
        <v>66818.454051410692</v>
      </c>
    </row>
    <row r="54" spans="1:13" x14ac:dyDescent="0.25">
      <c r="A54" s="3">
        <v>41</v>
      </c>
      <c r="B54" s="3">
        <f t="shared" ref="B54:F63" ca="1" si="9">RAND()</f>
        <v>0.92771022579217788</v>
      </c>
      <c r="C54" s="3">
        <f t="shared" ca="1" si="9"/>
        <v>0.98433228351430901</v>
      </c>
      <c r="D54" s="3">
        <f t="shared" ca="1" si="9"/>
        <v>0.54766441446354297</v>
      </c>
      <c r="E54" s="3">
        <f t="shared" ca="1" si="9"/>
        <v>0.55013230611362574</v>
      </c>
      <c r="F54" s="3">
        <f t="shared" ca="1" si="9"/>
        <v>0.59161883617877142</v>
      </c>
      <c r="G54" s="36">
        <f t="shared" ca="1" si="1"/>
        <v>58410.723328395114</v>
      </c>
      <c r="H54" s="37">
        <f t="shared" ca="1" si="2"/>
        <v>0.22109963132968685</v>
      </c>
      <c r="I54" s="37">
        <f t="shared" ca="1" si="3"/>
        <v>8.1954318593082581E-2</v>
      </c>
      <c r="J54" s="38">
        <f t="shared" ca="1" si="4"/>
        <v>3.1029123501822607E-2</v>
      </c>
      <c r="K54" s="36">
        <f t="shared" ca="1" si="5"/>
        <v>1644.3764397165678</v>
      </c>
      <c r="L54" s="36">
        <f ca="1">Assumptions!$C$10*Assumptions!$C$13*I54*Assumptions!$C$15</f>
        <v>5683.847203347942</v>
      </c>
      <c r="M54" s="36">
        <f ca="1">G54*(1+H54*Assumptions!$C$6)*(1+J54)+L54+K54</f>
        <v>70214.444076022803</v>
      </c>
    </row>
    <row r="55" spans="1:13" x14ac:dyDescent="0.25">
      <c r="A55" s="3">
        <v>42</v>
      </c>
      <c r="B55" s="3">
        <f t="shared" ca="1" si="9"/>
        <v>0.37475682880745953</v>
      </c>
      <c r="C55" s="3">
        <f t="shared" ca="1" si="9"/>
        <v>0.19547870883157359</v>
      </c>
      <c r="D55" s="3">
        <f t="shared" ca="1" si="9"/>
        <v>0.57064795929301582</v>
      </c>
      <c r="E55" s="3">
        <f t="shared" ca="1" si="9"/>
        <v>0.36590527001784512</v>
      </c>
      <c r="F55" s="3">
        <f t="shared" ca="1" si="9"/>
        <v>0.99956832845353583</v>
      </c>
      <c r="G55" s="36">
        <f t="shared" ca="1" si="1"/>
        <v>57751.845095463359</v>
      </c>
      <c r="H55" s="37">
        <f t="shared" ca="1" si="2"/>
        <v>0.1009888892550125</v>
      </c>
      <c r="I55" s="37">
        <f t="shared" ca="1" si="3"/>
        <v>8.2933485053726053E-2</v>
      </c>
      <c r="J55" s="38">
        <f t="shared" ca="1" si="4"/>
        <v>2.7109185135893409E-2</v>
      </c>
      <c r="K55" s="36">
        <f t="shared" ca="1" si="5"/>
        <v>2955.9259491413736</v>
      </c>
      <c r="L55" s="36">
        <f ca="1">Assumptions!$C$10*Assumptions!$C$13*I55*Assumptions!$C$15</f>
        <v>5751.7561634184158</v>
      </c>
      <c r="M55" s="36">
        <f ca="1">G55*(1+H55*Assumptions!$C$6)*(1+J55)+L55+K55</f>
        <v>69223.21335767534</v>
      </c>
    </row>
    <row r="56" spans="1:13" x14ac:dyDescent="0.25">
      <c r="A56" s="3">
        <v>43</v>
      </c>
      <c r="B56" s="3">
        <f t="shared" ca="1" si="9"/>
        <v>0.72777047473912293</v>
      </c>
      <c r="C56" s="3">
        <f t="shared" ca="1" si="9"/>
        <v>3.2509072313183673E-2</v>
      </c>
      <c r="D56" s="3">
        <f t="shared" ca="1" si="9"/>
        <v>0.42729213016400958</v>
      </c>
      <c r="E56" s="3">
        <f t="shared" ca="1" si="9"/>
        <v>0.35243397530298493</v>
      </c>
      <c r="F56" s="3">
        <f t="shared" ca="1" si="9"/>
        <v>0.22903883764663846</v>
      </c>
      <c r="G56" s="36">
        <f t="shared" ca="1" si="1"/>
        <v>58092.17175542828</v>
      </c>
      <c r="H56" s="37">
        <f t="shared" ca="1" si="2"/>
        <v>7.0793524515226913E-2</v>
      </c>
      <c r="I56" s="37">
        <f t="shared" ca="1" si="3"/>
        <v>7.6977490673717036E-2</v>
      </c>
      <c r="J56" s="38">
        <f t="shared" ca="1" si="4"/>
        <v>2.6791282864700595E-2</v>
      </c>
      <c r="K56" s="36">
        <f t="shared" ca="1" si="5"/>
        <v>1015.2215371089569</v>
      </c>
      <c r="L56" s="36">
        <f ca="1">Assumptions!$C$10*Assumptions!$C$13*I56*Assumptions!$C$15</f>
        <v>5338.6850454940977</v>
      </c>
      <c r="M56" s="36">
        <f ca="1">G56*(1+H56*Assumptions!$C$6)*(1+J56)+L56+K56</f>
        <v>66846.988156664956</v>
      </c>
    </row>
    <row r="57" spans="1:13" x14ac:dyDescent="0.25">
      <c r="A57" s="3">
        <v>44</v>
      </c>
      <c r="B57" s="3">
        <f t="shared" ca="1" si="9"/>
        <v>0.17699511584177863</v>
      </c>
      <c r="C57" s="3">
        <f t="shared" ca="1" si="9"/>
        <v>0.85453525233344907</v>
      </c>
      <c r="D57" s="3">
        <f t="shared" ca="1" si="9"/>
        <v>0.98799830723378046</v>
      </c>
      <c r="E57" s="3">
        <f t="shared" ca="1" si="9"/>
        <v>0.26037537271194278</v>
      </c>
      <c r="F57" s="3">
        <f t="shared" ca="1" si="9"/>
        <v>0.1071344405804725</v>
      </c>
      <c r="G57" s="36">
        <f t="shared" ca="1" si="1"/>
        <v>57547.971376903915</v>
      </c>
      <c r="H57" s="37">
        <f t="shared" ca="1" si="2"/>
        <v>0.18241010291034232</v>
      </c>
      <c r="I57" s="37">
        <f t="shared" ca="1" si="3"/>
        <v>0.11380278959112226</v>
      </c>
      <c r="J57" s="38">
        <f t="shared" ca="1" si="4"/>
        <v>2.4432612312729605E-2</v>
      </c>
      <c r="K57" s="36">
        <f t="shared" ca="1" si="5"/>
        <v>694.33780151459871</v>
      </c>
      <c r="L57" s="36">
        <f ca="1">Assumptions!$C$10*Assumptions!$C$13*I57*Assumptions!$C$15</f>
        <v>7892.6611611812177</v>
      </c>
      <c r="M57" s="36">
        <f ca="1">G57*(1+H57*Assumptions!$C$6)*(1+J57)+L57+K57</f>
        <v>69691.779335454921</v>
      </c>
    </row>
    <row r="58" spans="1:13" x14ac:dyDescent="0.25">
      <c r="A58" s="3">
        <v>45</v>
      </c>
      <c r="B58" s="3">
        <f t="shared" ca="1" si="9"/>
        <v>0.85561362754775783</v>
      </c>
      <c r="C58" s="3">
        <f t="shared" ca="1" si="9"/>
        <v>0.72507294781495524</v>
      </c>
      <c r="D58" s="3">
        <f t="shared" ca="1" si="9"/>
        <v>6.3101336441877987E-2</v>
      </c>
      <c r="E58" s="3">
        <f t="shared" ca="1" si="9"/>
        <v>0.29429087474312576</v>
      </c>
      <c r="F58" s="3">
        <f t="shared" ca="1" si="9"/>
        <v>0.43734641270416252</v>
      </c>
      <c r="G58" s="36">
        <f t="shared" ca="1" si="1"/>
        <v>58270.757771579309</v>
      </c>
      <c r="H58" s="37">
        <f t="shared" ca="1" si="2"/>
        <v>0.16082717139182773</v>
      </c>
      <c r="I58" s="37">
        <f t="shared" ca="1" si="3"/>
        <v>5.4210006214425441E-2</v>
      </c>
      <c r="J58" s="38">
        <f t="shared" ca="1" si="4"/>
        <v>2.53438163373556E-2</v>
      </c>
      <c r="K58" s="36">
        <f t="shared" ca="1" si="5"/>
        <v>1402.8752108326426</v>
      </c>
      <c r="L58" s="36">
        <f ca="1">Assumptions!$C$10*Assumptions!$C$13*I58*Assumptions!$C$15</f>
        <v>3759.6724309943052</v>
      </c>
      <c r="M58" s="36">
        <f ca="1">G58*(1+H58*Assumptions!$C$6)*(1+J58)+L58+K58</f>
        <v>66831.915047811548</v>
      </c>
    </row>
    <row r="59" spans="1:13" x14ac:dyDescent="0.25">
      <c r="A59" s="3">
        <v>46</v>
      </c>
      <c r="B59" s="3">
        <f t="shared" ca="1" si="9"/>
        <v>0.84178737146878679</v>
      </c>
      <c r="C59" s="3">
        <f t="shared" ca="1" si="9"/>
        <v>0.841345998811315</v>
      </c>
      <c r="D59" s="3">
        <f t="shared" ca="1" si="9"/>
        <v>0.35148817763641382</v>
      </c>
      <c r="E59" s="3">
        <f t="shared" ca="1" si="9"/>
        <v>0.54731136143103121</v>
      </c>
      <c r="F59" s="3">
        <f t="shared" ca="1" si="9"/>
        <v>0.43912847679238043</v>
      </c>
      <c r="G59" s="36">
        <f t="shared" ca="1" si="1"/>
        <v>58248.36438625837</v>
      </c>
      <c r="H59" s="37">
        <f t="shared" ca="1" si="2"/>
        <v>0.17985591278353275</v>
      </c>
      <c r="I59" s="37">
        <f t="shared" ca="1" si="3"/>
        <v>7.3537474091477498E-2</v>
      </c>
      <c r="J59" s="38">
        <f t="shared" ca="1" si="4"/>
        <v>3.0969736973568258E-2</v>
      </c>
      <c r="K59" s="36">
        <f t="shared" ca="1" si="5"/>
        <v>1405.7304668981576</v>
      </c>
      <c r="L59" s="36">
        <f ca="1">Assumptions!$C$10*Assumptions!$C$13*I59*Assumptions!$C$15</f>
        <v>5100.1066646827776</v>
      </c>
      <c r="M59" s="36">
        <f ca="1">G59*(1+H59*Assumptions!$C$6)*(1+J59)+L59+K59</f>
        <v>68718.290321022039</v>
      </c>
    </row>
    <row r="60" spans="1:13" x14ac:dyDescent="0.25">
      <c r="A60" s="3">
        <v>47</v>
      </c>
      <c r="B60" s="3">
        <f t="shared" ca="1" si="9"/>
        <v>6.0112714149590518E-2</v>
      </c>
      <c r="C60" s="3">
        <f t="shared" ca="1" si="9"/>
        <v>0.36340696577233567</v>
      </c>
      <c r="D60" s="3">
        <f t="shared" ca="1" si="9"/>
        <v>0.87370389125188008</v>
      </c>
      <c r="E60" s="3">
        <f t="shared" ca="1" si="9"/>
        <v>4.5431872189662936E-2</v>
      </c>
      <c r="F60" s="3">
        <f t="shared" ca="1" si="9"/>
        <v>0.93526647367345128</v>
      </c>
      <c r="G60" s="36">
        <f t="shared" ca="1" si="1"/>
        <v>57361.067489676869</v>
      </c>
      <c r="H60" s="37">
        <f t="shared" ca="1" si="2"/>
        <v>0.11952202992413315</v>
      </c>
      <c r="I60" s="37">
        <f t="shared" ca="1" si="3"/>
        <v>9.9896578699286434E-2</v>
      </c>
      <c r="J60" s="38">
        <f t="shared" ca="1" si="4"/>
        <v>1.6028722729710693E-2</v>
      </c>
      <c r="K60" s="36">
        <f t="shared" ca="1" si="5"/>
        <v>2460.2770447076859</v>
      </c>
      <c r="L60" s="36">
        <f ca="1">Assumptions!$C$10*Assumptions!$C$13*I60*Assumptions!$C$15</f>
        <v>6928.2119504058955</v>
      </c>
      <c r="M60" s="36">
        <f ca="1">G60*(1+H60*Assumptions!$C$6)*(1+J60)+L60+K60</f>
        <v>69062.141676075931</v>
      </c>
    </row>
    <row r="61" spans="1:13" x14ac:dyDescent="0.25">
      <c r="A61" s="3">
        <v>48</v>
      </c>
      <c r="B61" s="3">
        <f t="shared" ca="1" si="9"/>
        <v>1.7032378582191976E-2</v>
      </c>
      <c r="C61" s="3">
        <f t="shared" ca="1" si="9"/>
        <v>6.0287816109226733E-2</v>
      </c>
      <c r="D61" s="3">
        <f t="shared" ca="1" si="9"/>
        <v>0.84136301281940806</v>
      </c>
      <c r="E61" s="3">
        <f t="shared" ca="1" si="9"/>
        <v>3.4276901938010695E-2</v>
      </c>
      <c r="F61" s="3">
        <f t="shared" ca="1" si="9"/>
        <v>0.65926078296999002</v>
      </c>
      <c r="G61" s="36">
        <f t="shared" ca="1" si="1"/>
        <v>57238.96558992911</v>
      </c>
      <c r="H61" s="37">
        <f t="shared" ca="1" si="2"/>
        <v>7.8316566780821356E-2</v>
      </c>
      <c r="I61" s="37">
        <f t="shared" ca="1" si="3"/>
        <v>9.7469168702023129E-2</v>
      </c>
      <c r="J61" s="38">
        <f t="shared" ca="1" si="4"/>
        <v>1.523655626823665E-2</v>
      </c>
      <c r="K61" s="36">
        <f t="shared" ca="1" si="5"/>
        <v>1761.7243939110142</v>
      </c>
      <c r="L61" s="36">
        <f ca="1">Assumptions!$C$10*Assumptions!$C$13*I61*Assumptions!$C$15</f>
        <v>6759.861730903388</v>
      </c>
      <c r="M61" s="36">
        <f ca="1">G61*(1+H61*Assumptions!$C$6)*(1+J61)+L61+K61</f>
        <v>67542.888651682078</v>
      </c>
    </row>
    <row r="62" spans="1:13" x14ac:dyDescent="0.25">
      <c r="A62" s="3">
        <v>49</v>
      </c>
      <c r="B62" s="3">
        <f t="shared" ca="1" si="9"/>
        <v>0.62334229441191846</v>
      </c>
      <c r="C62" s="3">
        <f t="shared" ca="1" si="9"/>
        <v>0.62130477827525177</v>
      </c>
      <c r="D62" s="3">
        <f t="shared" ca="1" si="9"/>
        <v>0.2810172694324925</v>
      </c>
      <c r="E62" s="3">
        <f t="shared" ca="1" si="9"/>
        <v>0.93533712556057191</v>
      </c>
      <c r="F62" s="3">
        <f t="shared" ca="1" si="9"/>
        <v>0.30531233504630828</v>
      </c>
      <c r="G62" s="36">
        <f t="shared" ca="1" si="1"/>
        <v>57976.323780047351</v>
      </c>
      <c r="H62" s="37">
        <f t="shared" ca="1" si="2"/>
        <v>0.14707932923550185</v>
      </c>
      <c r="I62" s="37">
        <f t="shared" ca="1" si="3"/>
        <v>6.9987585134251407E-2</v>
      </c>
      <c r="J62" s="38">
        <f t="shared" ca="1" si="4"/>
        <v>4.2807622121193684E-2</v>
      </c>
      <c r="K62" s="36">
        <f t="shared" ca="1" si="5"/>
        <v>1172.1371539663724</v>
      </c>
      <c r="L62" s="36">
        <f ca="1">Assumptions!$C$10*Assumptions!$C$13*I62*Assumptions!$C$15</f>
        <v>4853.9082120800822</v>
      </c>
      <c r="M62" s="36">
        <f ca="1">G62*(1+H62*Assumptions!$C$6)*(1+J62)+L62+K62</f>
        <v>68262.6266050548</v>
      </c>
    </row>
    <row r="63" spans="1:13" x14ac:dyDescent="0.25">
      <c r="A63" s="3">
        <v>50</v>
      </c>
      <c r="B63" s="3">
        <f t="shared" ca="1" si="9"/>
        <v>0.48338102256839077</v>
      </c>
      <c r="C63" s="3">
        <f t="shared" ca="1" si="9"/>
        <v>0.65537191202550438</v>
      </c>
      <c r="D63" s="3">
        <f t="shared" ca="1" si="9"/>
        <v>0.81432685434458263</v>
      </c>
      <c r="E63" s="3">
        <f t="shared" ca="1" si="9"/>
        <v>0.84554423116447286</v>
      </c>
      <c r="F63" s="3">
        <f t="shared" ca="1" si="9"/>
        <v>0.93289393163490519</v>
      </c>
      <c r="G63" s="36">
        <f t="shared" ca="1" si="1"/>
        <v>57844.012913213468</v>
      </c>
      <c r="H63" s="37">
        <f t="shared" ca="1" si="2"/>
        <v>0.15135734432104089</v>
      </c>
      <c r="I63" s="37">
        <f t="shared" ca="1" si="3"/>
        <v>9.5624724286742194E-2</v>
      </c>
      <c r="J63" s="38">
        <f t="shared" ca="1" si="4"/>
        <v>3.8884037825342256E-2</v>
      </c>
      <c r="K63" s="36">
        <f t="shared" ca="1" si="5"/>
        <v>2450.4753803122862</v>
      </c>
      <c r="L63" s="36">
        <f ca="1">Assumptions!$C$10*Assumptions!$C$13*I63*Assumptions!$C$15</f>
        <v>6631.9424166866738</v>
      </c>
      <c r="M63" s="36">
        <f ca="1">G63*(1+H63*Assumptions!$C$6)*(1+J63)+L63+K63</f>
        <v>70994.749585919737</v>
      </c>
    </row>
    <row r="64" spans="1:13" x14ac:dyDescent="0.25">
      <c r="A64" s="3">
        <v>51</v>
      </c>
      <c r="B64" s="3">
        <f t="shared" ref="B64:F73" ca="1" si="10">RAND()</f>
        <v>0.57926338965794999</v>
      </c>
      <c r="C64" s="3">
        <f t="shared" ca="1" si="10"/>
        <v>0.93941181085263259</v>
      </c>
      <c r="D64" s="3">
        <f t="shared" ca="1" si="10"/>
        <v>0.89701718893718529</v>
      </c>
      <c r="E64" s="3">
        <f t="shared" ca="1" si="10"/>
        <v>0.55002156341789599</v>
      </c>
      <c r="F64" s="3">
        <f t="shared" ca="1" si="10"/>
        <v>0.49193555235028485</v>
      </c>
      <c r="G64" s="36">
        <f t="shared" ca="1" si="1"/>
        <v>57932.33967292888</v>
      </c>
      <c r="H64" s="37">
        <f t="shared" ca="1" si="2"/>
        <v>0.2028326660552579</v>
      </c>
      <c r="I64" s="37">
        <f t="shared" ca="1" si="3"/>
        <v>0.10184662578469206</v>
      </c>
      <c r="J64" s="38">
        <f t="shared" ca="1" si="4"/>
        <v>3.1026788641200374E-2</v>
      </c>
      <c r="K64" s="36">
        <f t="shared" ca="1" si="5"/>
        <v>1487.854154672521</v>
      </c>
      <c r="L64" s="36">
        <f ca="1">Assumptions!$C$10*Assumptions!$C$13*I64*Assumptions!$C$15</f>
        <v>7063.4552159598734</v>
      </c>
      <c r="M64" s="36">
        <f ca="1">G64*(1+H64*Assumptions!$C$6)*(1+J64)+L64+K64</f>
        <v>70704.134179406246</v>
      </c>
    </row>
    <row r="65" spans="1:13" x14ac:dyDescent="0.25">
      <c r="A65" s="3">
        <v>52</v>
      </c>
      <c r="B65" s="3">
        <f t="shared" ca="1" si="10"/>
        <v>6.4882724188046526E-2</v>
      </c>
      <c r="C65" s="3">
        <f t="shared" ca="1" si="10"/>
        <v>8.1409397861030186E-2</v>
      </c>
      <c r="D65" s="3">
        <f t="shared" ca="1" si="10"/>
        <v>0.152196492770725</v>
      </c>
      <c r="E65" s="3">
        <f t="shared" ca="1" si="10"/>
        <v>0.42060436640676613</v>
      </c>
      <c r="F65" s="3">
        <f t="shared" ca="1" si="10"/>
        <v>0.60858442953895786</v>
      </c>
      <c r="G65" s="36">
        <f t="shared" ca="1" si="1"/>
        <v>57371.22777581228</v>
      </c>
      <c r="H65" s="37">
        <f t="shared" ca="1" si="2"/>
        <v>8.2905090663174016E-2</v>
      </c>
      <c r="I65" s="37">
        <f t="shared" ca="1" si="3"/>
        <v>6.2068728483225311E-2</v>
      </c>
      <c r="J65" s="38">
        <f t="shared" ca="1" si="4"/>
        <v>2.8343486395050778E-2</v>
      </c>
      <c r="K65" s="36">
        <f t="shared" ca="1" si="5"/>
        <v>1672.8338208518537</v>
      </c>
      <c r="L65" s="36">
        <f ca="1">Assumptions!$C$10*Assumptions!$C$13*I65*Assumptions!$C$15</f>
        <v>4304.7050461904564</v>
      </c>
      <c r="M65" s="36">
        <f ca="1">G65*(1+H65*Assumptions!$C$6)*(1+J65)+L65+K65</f>
        <v>65953.103028593032</v>
      </c>
    </row>
    <row r="66" spans="1:13" x14ac:dyDescent="0.25">
      <c r="A66" s="3">
        <v>53</v>
      </c>
      <c r="B66" s="3">
        <f t="shared" ca="1" si="10"/>
        <v>0.4956870394927676</v>
      </c>
      <c r="C66" s="3">
        <f t="shared" ca="1" si="10"/>
        <v>0.91424298855871522</v>
      </c>
      <c r="D66" s="3">
        <f t="shared" ca="1" si="10"/>
        <v>0.2348933911393114</v>
      </c>
      <c r="E66" s="3">
        <f t="shared" ca="1" si="10"/>
        <v>0.66678201315834051</v>
      </c>
      <c r="F66" s="3">
        <f t="shared" ca="1" si="10"/>
        <v>0.47874290192683311</v>
      </c>
      <c r="G66" s="36">
        <f t="shared" ca="1" si="1"/>
        <v>57854.861232967356</v>
      </c>
      <c r="H66" s="37">
        <f t="shared" ca="1" si="2"/>
        <v>0.19578167957892006</v>
      </c>
      <c r="I66" s="37">
        <f t="shared" ca="1" si="3"/>
        <v>6.7416397495765126E-2</v>
      </c>
      <c r="J66" s="38">
        <f t="shared" ca="1" si="4"/>
        <v>3.367289402639502E-2</v>
      </c>
      <c r="K66" s="36">
        <f t="shared" ca="1" si="5"/>
        <v>1467.7680534303602</v>
      </c>
      <c r="L66" s="36">
        <f ca="1">Assumptions!$C$10*Assumptions!$C$13*I66*Assumptions!$C$15</f>
        <v>4675.5864601678331</v>
      </c>
      <c r="M66" s="36">
        <f ca="1">G66*(1+H66*Assumptions!$C$6)*(1+J66)+L66+K66</f>
        <v>68288.022786757909</v>
      </c>
    </row>
    <row r="67" spans="1:13" x14ac:dyDescent="0.25">
      <c r="A67" s="3">
        <v>54</v>
      </c>
      <c r="B67" s="3">
        <f t="shared" ca="1" si="10"/>
        <v>0.12264079566913699</v>
      </c>
      <c r="C67" s="3">
        <f t="shared" ca="1" si="10"/>
        <v>0.30724953349124251</v>
      </c>
      <c r="D67" s="3">
        <f t="shared" ca="1" si="10"/>
        <v>0.3494420532163397</v>
      </c>
      <c r="E67" s="3">
        <f t="shared" ca="1" si="10"/>
        <v>0.75400044504253017</v>
      </c>
      <c r="F67" s="3">
        <f t="shared" ca="1" si="10"/>
        <v>0.50656076534191419</v>
      </c>
      <c r="G67" s="36">
        <f t="shared" ca="1" si="1"/>
        <v>57472.895467242808</v>
      </c>
      <c r="H67" s="37">
        <f t="shared" ca="1" si="2"/>
        <v>0.11392510301464931</v>
      </c>
      <c r="I67" s="37">
        <f t="shared" ca="1" si="3"/>
        <v>7.3439715463686092E-2</v>
      </c>
      <c r="J67" s="38">
        <f t="shared" ca="1" si="4"/>
        <v>3.5971470356235623E-2</v>
      </c>
      <c r="K67" s="36">
        <f t="shared" ca="1" si="5"/>
        <v>1509.8736442967709</v>
      </c>
      <c r="L67" s="36">
        <f ca="1">Assumptions!$C$10*Assumptions!$C$13*I67*Assumptions!$C$15</f>
        <v>5093.326727850721</v>
      </c>
      <c r="M67" s="36">
        <f ca="1">G67*(1+H67*Assumptions!$C$6)*(1+J67)+L67+K67</f>
        <v>67500.106902001644</v>
      </c>
    </row>
    <row r="68" spans="1:13" x14ac:dyDescent="0.25">
      <c r="A68" s="3">
        <v>55</v>
      </c>
      <c r="B68" s="3">
        <f t="shared" ca="1" si="10"/>
        <v>0.99574059455157782</v>
      </c>
      <c r="C68" s="3">
        <f t="shared" ca="1" si="10"/>
        <v>0.3991775596170517</v>
      </c>
      <c r="D68" s="3">
        <f t="shared" ca="1" si="10"/>
        <v>0.67489977342710883</v>
      </c>
      <c r="E68" s="3">
        <f t="shared" ca="1" si="10"/>
        <v>0.11480954627991224</v>
      </c>
      <c r="F68" s="3">
        <f t="shared" ca="1" si="10"/>
        <v>0.60798573305824399</v>
      </c>
      <c r="G68" s="36">
        <f t="shared" ca="1" si="1"/>
        <v>58667.192767312714</v>
      </c>
      <c r="H68" s="37">
        <f t="shared" ca="1" si="2"/>
        <v>0.1229583337407946</v>
      </c>
      <c r="I68" s="37">
        <f t="shared" ca="1" si="3"/>
        <v>8.7745996759576464E-2</v>
      </c>
      <c r="J68" s="38">
        <f t="shared" ca="1" si="4"/>
        <v>1.9583717286310663E-2</v>
      </c>
      <c r="K68" s="36">
        <f t="shared" ca="1" si="5"/>
        <v>1671.8192136467635</v>
      </c>
      <c r="L68" s="36">
        <f ca="1">Assumptions!$C$10*Assumptions!$C$13*I68*Assumptions!$C$15</f>
        <v>6085.5223598795483</v>
      </c>
      <c r="M68" s="36">
        <f ca="1">G68*(1+H68*Assumptions!$C$6)*(1+J68)+L68+K68</f>
        <v>69044.434011546866</v>
      </c>
    </row>
    <row r="69" spans="1:13" x14ac:dyDescent="0.25">
      <c r="A69" s="3">
        <v>56</v>
      </c>
      <c r="B69" s="3">
        <f t="shared" ca="1" si="10"/>
        <v>0.2784526199193692</v>
      </c>
      <c r="C69" s="3">
        <f t="shared" ca="1" si="10"/>
        <v>6.7700224665343756E-2</v>
      </c>
      <c r="D69" s="3">
        <f t="shared" ca="1" si="10"/>
        <v>0.63189876282084023</v>
      </c>
      <c r="E69" s="3">
        <f t="shared" ca="1" si="10"/>
        <v>5.7332985138802695E-2</v>
      </c>
      <c r="F69" s="3">
        <f t="shared" ca="1" si="10"/>
        <v>0.83189820508380208</v>
      </c>
      <c r="G69" s="36">
        <f t="shared" ca="1" si="1"/>
        <v>57661.882205944101</v>
      </c>
      <c r="H69" s="37">
        <f t="shared" ca="1" si="2"/>
        <v>8.0006882344706723E-2</v>
      </c>
      <c r="I69" s="37">
        <f t="shared" ca="1" si="3"/>
        <v>8.5679103173528365E-2</v>
      </c>
      <c r="J69" s="38">
        <f t="shared" ca="1" si="4"/>
        <v>1.6772472820989551E-2</v>
      </c>
      <c r="K69" s="36">
        <f t="shared" ca="1" si="5"/>
        <v>2130.2540157477642</v>
      </c>
      <c r="L69" s="36">
        <f ca="1">Assumptions!$C$10*Assumptions!$C$13*I69*Assumptions!$C$15</f>
        <v>5942.1753400963971</v>
      </c>
      <c r="M69" s="36">
        <f ca="1">G69*(1+H69*Assumptions!$C$6)*(1+J69)+L69+K69</f>
        <v>67639.588847840962</v>
      </c>
    </row>
    <row r="70" spans="1:13" x14ac:dyDescent="0.25">
      <c r="A70" s="3">
        <v>57</v>
      </c>
      <c r="B70" s="3">
        <f t="shared" ca="1" si="10"/>
        <v>0.90869175449397388</v>
      </c>
      <c r="C70" s="3">
        <f t="shared" ca="1" si="10"/>
        <v>6.9749838327052838E-2</v>
      </c>
      <c r="D70" s="3">
        <f t="shared" ca="1" si="10"/>
        <v>0.19309564805046087</v>
      </c>
      <c r="E70" s="3">
        <f t="shared" ca="1" si="10"/>
        <v>0.96380840455622219</v>
      </c>
      <c r="F70" s="3">
        <f t="shared" ca="1" si="10"/>
        <v>0.31539896712636284</v>
      </c>
      <c r="G70" s="36">
        <f t="shared" ca="1" si="1"/>
        <v>58368.770672676197</v>
      </c>
      <c r="H70" s="37">
        <f t="shared" ca="1" si="2"/>
        <v>8.0457722333585668E-2</v>
      </c>
      <c r="I70" s="37">
        <f t="shared" ca="1" si="3"/>
        <v>6.4857716583819086E-2</v>
      </c>
      <c r="J70" s="38">
        <f t="shared" ca="1" si="4"/>
        <v>4.4619175123178395E-2</v>
      </c>
      <c r="K70" s="36">
        <f t="shared" ca="1" si="5"/>
        <v>1191.3418283887429</v>
      </c>
      <c r="L70" s="36">
        <f ca="1">Assumptions!$C$10*Assumptions!$C$13*I70*Assumptions!$C$15</f>
        <v>4498.1320978439444</v>
      </c>
      <c r="M70" s="36">
        <f ca="1">G70*(1+H70*Assumptions!$C$6)*(1+J70)+L70+K70</f>
        <v>67643.762945763796</v>
      </c>
    </row>
    <row r="71" spans="1:13" x14ac:dyDescent="0.25">
      <c r="A71" s="3">
        <v>58</v>
      </c>
      <c r="B71" s="3">
        <f t="shared" ca="1" si="10"/>
        <v>0.83302503617113122</v>
      </c>
      <c r="C71" s="3">
        <f t="shared" ca="1" si="10"/>
        <v>0.14602533979743204</v>
      </c>
      <c r="D71" s="3">
        <f t="shared" ca="1" si="10"/>
        <v>5.2986952533314313E-2</v>
      </c>
      <c r="E71" s="3">
        <f t="shared" ca="1" si="10"/>
        <v>0.59945672098009462</v>
      </c>
      <c r="F71" s="3">
        <f t="shared" ca="1" si="10"/>
        <v>0.94363242055029506</v>
      </c>
      <c r="G71" s="36">
        <f t="shared" ca="1" si="1"/>
        <v>58234.67677106012</v>
      </c>
      <c r="H71" s="37">
        <f t="shared" ca="1" si="2"/>
        <v>9.4069683676035687E-2</v>
      </c>
      <c r="I71" s="37">
        <f t="shared" ca="1" si="3"/>
        <v>5.3021453379197184E-2</v>
      </c>
      <c r="J71" s="38">
        <f t="shared" ca="1" si="4"/>
        <v>3.2099312213886191E-2</v>
      </c>
      <c r="K71" s="36">
        <f t="shared" ca="1" si="5"/>
        <v>2496.3591482775923</v>
      </c>
      <c r="L71" s="36">
        <f ca="1">Assumptions!$C$10*Assumptions!$C$13*I71*Assumptions!$C$15</f>
        <v>3677.2417205141674</v>
      </c>
      <c r="M71" s="36">
        <f ca="1">G71*(1+H71*Assumptions!$C$6)*(1+J71)+L71+K71</f>
        <v>67408.362997350763</v>
      </c>
    </row>
    <row r="72" spans="1:13" x14ac:dyDescent="0.25">
      <c r="A72" s="3">
        <v>59</v>
      </c>
      <c r="B72" s="3">
        <f t="shared" ca="1" si="10"/>
        <v>0.66221097398642481</v>
      </c>
      <c r="C72" s="3">
        <f t="shared" ca="1" si="10"/>
        <v>0.26974035920343142</v>
      </c>
      <c r="D72" s="3">
        <f t="shared" ca="1" si="10"/>
        <v>0.8565439051339</v>
      </c>
      <c r="E72" s="3">
        <f t="shared" ca="1" si="10"/>
        <v>0.10124256118702835</v>
      </c>
      <c r="F72" s="3">
        <f t="shared" ca="1" si="10"/>
        <v>0.71931348243765891</v>
      </c>
      <c r="G72" s="36">
        <f t="shared" ca="1" si="1"/>
        <v>58017.298047025535</v>
      </c>
      <c r="H72" s="37">
        <f t="shared" ca="1" si="2"/>
        <v>0.1098961332425194</v>
      </c>
      <c r="I72" s="37">
        <f t="shared" ca="1" si="3"/>
        <v>9.8574326064939752E-2</v>
      </c>
      <c r="J72" s="38">
        <f t="shared" ca="1" si="4"/>
        <v>1.8999669380017396E-2</v>
      </c>
      <c r="K72" s="36">
        <f t="shared" ca="1" si="5"/>
        <v>1876.1275299080705</v>
      </c>
      <c r="L72" s="36">
        <f ca="1">Assumptions!$C$10*Assumptions!$C$13*I72*Assumptions!$C$15</f>
        <v>6836.508644626897</v>
      </c>
      <c r="M72" s="36">
        <f ca="1">G72*(1+H72*Assumptions!$C$6)*(1+J72)+L72+K72</f>
        <v>69131.646956009718</v>
      </c>
    </row>
    <row r="73" spans="1:13" x14ac:dyDescent="0.25">
      <c r="A73" s="3">
        <v>60</v>
      </c>
      <c r="B73" s="3">
        <f t="shared" ca="1" si="10"/>
        <v>0.42770073589307755</v>
      </c>
      <c r="C73" s="3">
        <f t="shared" ca="1" si="10"/>
        <v>0.1833085109817717</v>
      </c>
      <c r="D73" s="3">
        <f t="shared" ca="1" si="10"/>
        <v>0.40641648979695022</v>
      </c>
      <c r="E73" s="3">
        <f t="shared" ca="1" si="10"/>
        <v>0.30589489351505494</v>
      </c>
      <c r="F73" s="3">
        <f t="shared" ca="1" si="10"/>
        <v>0.7916606328551411</v>
      </c>
      <c r="G73" s="36">
        <f t="shared" ca="1" si="1"/>
        <v>57796.470482447738</v>
      </c>
      <c r="H73" s="37">
        <f t="shared" ca="1" si="2"/>
        <v>9.9376139946917325E-2</v>
      </c>
      <c r="I73" s="37">
        <f t="shared" ca="1" si="3"/>
        <v>7.6062900151682766E-2</v>
      </c>
      <c r="J73" s="38">
        <f t="shared" ca="1" si="4"/>
        <v>2.5643398441900146E-2</v>
      </c>
      <c r="K73" s="36">
        <f t="shared" ca="1" si="5"/>
        <v>2031.7401422387352</v>
      </c>
      <c r="L73" s="36">
        <f ca="1">Assumptions!$C$10*Assumptions!$C$13*I73*Assumptions!$C$15</f>
        <v>5275.2546751351674</v>
      </c>
      <c r="M73" s="36">
        <f ca="1">G73*(1+H73*Assumptions!$C$6)*(1+J73)+L73+K73</f>
        <v>67763.738282843682</v>
      </c>
    </row>
    <row r="74" spans="1:13" x14ac:dyDescent="0.25">
      <c r="A74" s="3">
        <v>61</v>
      </c>
      <c r="B74" s="3">
        <f t="shared" ref="B74:F83" ca="1" si="11">RAND()</f>
        <v>0.72790358401524813</v>
      </c>
      <c r="C74" s="3">
        <f t="shared" ca="1" si="11"/>
        <v>2.7710610047820383E-2</v>
      </c>
      <c r="D74" s="3">
        <f t="shared" ca="1" si="11"/>
        <v>0.86277699992968016</v>
      </c>
      <c r="E74" s="3">
        <f t="shared" ca="1" si="11"/>
        <v>0.97206576433329051</v>
      </c>
      <c r="F74" s="3">
        <f t="shared" ca="1" si="11"/>
        <v>0.13915250781049449</v>
      </c>
      <c r="G74" s="36">
        <f t="shared" ca="1" si="1"/>
        <v>58092.332454839467</v>
      </c>
      <c r="H74" s="37">
        <f t="shared" ca="1" si="2"/>
        <v>6.9197685111388074E-2</v>
      </c>
      <c r="I74" s="37">
        <f t="shared" ca="1" si="3"/>
        <v>9.9044962414134796E-2</v>
      </c>
      <c r="J74" s="38">
        <f t="shared" ca="1" si="4"/>
        <v>4.5272697541581711E-2</v>
      </c>
      <c r="K74" s="36">
        <f t="shared" ca="1" si="5"/>
        <v>791.31933196859609</v>
      </c>
      <c r="L74" s="36">
        <f ca="1">Assumptions!$C$10*Assumptions!$C$13*I74*Assumptions!$C$15</f>
        <v>6869.1490855833781</v>
      </c>
      <c r="M74" s="36">
        <f ca="1">G74*(1+H74*Assumptions!$C$6)*(1+J74)+L74+K74</f>
        <v>69223.166390092287</v>
      </c>
    </row>
    <row r="75" spans="1:13" x14ac:dyDescent="0.25">
      <c r="A75" s="3">
        <v>62</v>
      </c>
      <c r="B75" s="3">
        <f t="shared" ca="1" si="11"/>
        <v>0.87801026565677043</v>
      </c>
      <c r="C75" s="3">
        <f t="shared" ca="1" si="11"/>
        <v>0.93368242163934434</v>
      </c>
      <c r="D75" s="3">
        <f t="shared" ca="1" si="11"/>
        <v>0.57178987439115692</v>
      </c>
      <c r="E75" s="3">
        <f t="shared" ca="1" si="11"/>
        <v>0.19567354453092789</v>
      </c>
      <c r="F75" s="3">
        <f t="shared" ca="1" si="11"/>
        <v>0.16204873010856236</v>
      </c>
      <c r="G75" s="36">
        <f t="shared" ca="1" si="1"/>
        <v>58309.443917506396</v>
      </c>
      <c r="H75" s="37">
        <f t="shared" ca="1" si="2"/>
        <v>0.20111503135371009</v>
      </c>
      <c r="I75" s="37">
        <f t="shared" ca="1" si="3"/>
        <v>8.2982809372559113E-2</v>
      </c>
      <c r="J75" s="38">
        <f t="shared" ca="1" si="4"/>
        <v>2.2511548090653782E-2</v>
      </c>
      <c r="K75" s="36">
        <f t="shared" ca="1" si="5"/>
        <v>853.94337370140101</v>
      </c>
      <c r="L75" s="36">
        <f ca="1">Assumptions!$C$10*Assumptions!$C$13*I75*Assumptions!$C$15</f>
        <v>5755.1769946384065</v>
      </c>
      <c r="M75" s="36">
        <f ca="1">G75*(1+H75*Assumptions!$C$6)*(1+J75)+L75+K75</f>
        <v>68629.379425133244</v>
      </c>
    </row>
    <row r="76" spans="1:13" x14ac:dyDescent="0.25">
      <c r="A76" s="3">
        <v>63</v>
      </c>
      <c r="B76" s="3">
        <f t="shared" ca="1" si="11"/>
        <v>0.6866766665812214</v>
      </c>
      <c r="C76" s="3">
        <f t="shared" ca="1" si="11"/>
        <v>0.73536143965524059</v>
      </c>
      <c r="D76" s="3">
        <f t="shared" ca="1" si="11"/>
        <v>0.40780085965690038</v>
      </c>
      <c r="E76" s="3">
        <f t="shared" ca="1" si="11"/>
        <v>0.35708441784602052</v>
      </c>
      <c r="F76" s="3">
        <f t="shared" ca="1" si="11"/>
        <v>0.49360433237607981</v>
      </c>
      <c r="G76" s="36">
        <f t="shared" ca="1" si="1"/>
        <v>58044.309112132651</v>
      </c>
      <c r="H76" s="37">
        <f t="shared" ca="1" si="2"/>
        <v>0.16232272419902644</v>
      </c>
      <c r="I76" s="37">
        <f t="shared" ca="1" si="3"/>
        <v>7.6124268171162746E-2</v>
      </c>
      <c r="J76" s="38">
        <f t="shared" ca="1" si="4"/>
        <v>2.6901702111823425E-2</v>
      </c>
      <c r="K76" s="36">
        <f t="shared" ca="1" si="5"/>
        <v>1490.3756223490639</v>
      </c>
      <c r="L76" s="36">
        <f ca="1">Assumptions!$C$10*Assumptions!$C$13*I76*Assumptions!$C$15</f>
        <v>5279.5107833169477</v>
      </c>
      <c r="M76" s="36">
        <f ca="1">G76*(1+H76*Assumptions!$C$6)*(1+J76)+L76+K76</f>
        <v>68310.761391956024</v>
      </c>
    </row>
    <row r="77" spans="1:13" x14ac:dyDescent="0.25">
      <c r="A77" s="3">
        <v>64</v>
      </c>
      <c r="B77" s="3">
        <f t="shared" ca="1" si="11"/>
        <v>1.6807328553636314E-2</v>
      </c>
      <c r="C77" s="3">
        <f t="shared" ca="1" si="11"/>
        <v>0.83143776236561373</v>
      </c>
      <c r="D77" s="3">
        <f t="shared" ca="1" si="11"/>
        <v>0.98381134588225339</v>
      </c>
      <c r="E77" s="3">
        <f t="shared" ca="1" si="11"/>
        <v>0.63266141554436817</v>
      </c>
      <c r="F77" s="3">
        <f t="shared" ca="1" si="11"/>
        <v>0.69804199636217912</v>
      </c>
      <c r="G77" s="36">
        <f t="shared" ca="1" si="1"/>
        <v>57238.044455951524</v>
      </c>
      <c r="H77" s="37">
        <f t="shared" ca="1" si="2"/>
        <v>0.17800629856135378</v>
      </c>
      <c r="I77" s="37">
        <f t="shared" ca="1" si="3"/>
        <v>0.11280252174877969</v>
      </c>
      <c r="J77" s="38">
        <f t="shared" ca="1" si="4"/>
        <v>3.2857337792381675E-2</v>
      </c>
      <c r="K77" s="36">
        <f t="shared" ca="1" si="5"/>
        <v>1834.3195050228412</v>
      </c>
      <c r="L77" s="36">
        <f ca="1">Assumptions!$C$10*Assumptions!$C$13*I77*Assumptions!$C$15</f>
        <v>7823.2887391307513</v>
      </c>
      <c r="M77" s="36">
        <f ca="1">G77*(1+H77*Assumptions!$C$6)*(1+J77)+L77+K77</f>
        <v>70881.043872097493</v>
      </c>
    </row>
    <row r="78" spans="1:13" x14ac:dyDescent="0.25">
      <c r="A78" s="3">
        <v>65</v>
      </c>
      <c r="B78" s="3">
        <f t="shared" ca="1" si="11"/>
        <v>0.47603597089806549</v>
      </c>
      <c r="C78" s="3">
        <f t="shared" ca="1" si="11"/>
        <v>0.48606473511649195</v>
      </c>
      <c r="D78" s="3">
        <f t="shared" ca="1" si="11"/>
        <v>0.47186732770319306</v>
      </c>
      <c r="E78" s="3">
        <f t="shared" ca="1" si="11"/>
        <v>0.25766251540898999</v>
      </c>
      <c r="F78" s="3">
        <f t="shared" ca="1" si="11"/>
        <v>7.6073820493279487E-2</v>
      </c>
      <c r="G78" s="36">
        <f t="shared" ref="G78:G141" ca="1" si="12">IF(B78&lt;($F$5-$E$5)/($G$5-$E$5),$E$5+SQRT(B78*($G$5-$E$5)*($F$5-$E$5)),$G$5-SQRT((1-B78)*($G$5-$E$5)*($G$5-$F$5)))</f>
        <v>57837.599419518221</v>
      </c>
      <c r="H78" s="37">
        <f t="shared" ref="H78:H141" ca="1" si="13">IF(C78&lt;($F$6-$E$6)/($G$6-$E$6),$E$6+SQRT(C78*($G$6-$E$6)*($F$6-$E$6)),$G$6-SQRT((1-C78)*($G$6-$E$6)*($G$6-$F$6)))</f>
        <v>0.13175156333995403</v>
      </c>
      <c r="I78" s="37">
        <f t="shared" ref="I78:I141" ca="1" si="14">IF(D78&lt;($F$7-$E$7)/($G$7-$E$7),$E$7+SQRT(D78*($G$7-$E$7)*($F$7-$E$7)),$G$7-SQRT((1-D78)*($G$7-$E$7)*($G$7-$F$7)))</f>
        <v>7.8858402548872469E-2</v>
      </c>
      <c r="J78" s="38">
        <f t="shared" ref="J78:J141" ca="1" si="15">IF(E78&lt;($F$8-$E$8)/($G$8-$E$8),$E$8+SQRT(E78*($G$8-$E$8)*($F$8-$E$8)),$G$8-SQRT((1-E78)*($G$8-$E$8)*($G$8-$F$8)))</f>
        <v>2.4357228574038652E-2</v>
      </c>
      <c r="K78" s="36">
        <f t="shared" ref="K78:K141" ca="1" si="16">IF(F78&lt;($F$9-$E$9)/($G$9-$E$9),$E$9+SQRT(F78*($G$9-$E$9)*($F$9-$E$9)),$G$9-SQRT((1-F78)*($G$9-$E$9)*($G$9-$F$9)))</f>
        <v>585.09161010884247</v>
      </c>
      <c r="L78" s="36">
        <f ca="1">Assumptions!$C$10*Assumptions!$C$13*I78*Assumptions!$C$15</f>
        <v>5469.1335183125702</v>
      </c>
      <c r="M78" s="36">
        <f ca="1">G78*(1+H78*Assumptions!$C$6)*(1+J78)+L78+K78</f>
        <v>66861.748367950451</v>
      </c>
    </row>
    <row r="79" spans="1:13" x14ac:dyDescent="0.25">
      <c r="A79" s="3">
        <v>66</v>
      </c>
      <c r="B79" s="3">
        <f t="shared" ca="1" si="11"/>
        <v>0.23016396747548817</v>
      </c>
      <c r="C79" s="3">
        <f t="shared" ca="1" si="11"/>
        <v>0.78751095250684844</v>
      </c>
      <c r="D79" s="3">
        <f t="shared" ca="1" si="11"/>
        <v>0.46638683989204976</v>
      </c>
      <c r="E79" s="3">
        <f t="shared" ca="1" si="11"/>
        <v>0.55444271697631542</v>
      </c>
      <c r="F79" s="3">
        <f t="shared" ca="1" si="11"/>
        <v>0.71915785371808194</v>
      </c>
      <c r="G79" s="36">
        <f t="shared" ca="1" si="12"/>
        <v>57610.843994460134</v>
      </c>
      <c r="H79" s="37">
        <f t="shared" ca="1" si="13"/>
        <v>0.17039575959150294</v>
      </c>
      <c r="I79" s="37">
        <f t="shared" ca="1" si="14"/>
        <v>7.8632083656652002E-2</v>
      </c>
      <c r="J79" s="38">
        <f t="shared" ca="1" si="15"/>
        <v>3.1120227055948271E-2</v>
      </c>
      <c r="K79" s="36">
        <f t="shared" ca="1" si="16"/>
        <v>1875.8160033746115</v>
      </c>
      <c r="L79" s="36">
        <f ca="1">Assumptions!$C$10*Assumptions!$C$13*I79*Assumptions!$C$15</f>
        <v>5453.4374326798034</v>
      </c>
      <c r="M79" s="36">
        <f ca="1">G79*(1+H79*Assumptions!$C$6)*(1+J79)+L79+K79</f>
        <v>68757.387916209191</v>
      </c>
    </row>
    <row r="80" spans="1:13" x14ac:dyDescent="0.25">
      <c r="A80" s="3">
        <v>67</v>
      </c>
      <c r="B80" s="3">
        <f t="shared" ca="1" si="11"/>
        <v>0.83087294122102962</v>
      </c>
      <c r="C80" s="3">
        <f t="shared" ca="1" si="11"/>
        <v>0.46332689051058373</v>
      </c>
      <c r="D80" s="3">
        <f t="shared" ca="1" si="11"/>
        <v>7.1773001688818061E-2</v>
      </c>
      <c r="E80" s="3">
        <f t="shared" ca="1" si="11"/>
        <v>0.27871405255521686</v>
      </c>
      <c r="F80" s="3">
        <f t="shared" ca="1" si="11"/>
        <v>0.91920401750490832</v>
      </c>
      <c r="G80" s="36">
        <f t="shared" ca="1" si="12"/>
        <v>58231.370308816375</v>
      </c>
      <c r="H80" s="37">
        <f t="shared" ca="1" si="13"/>
        <v>0.12938288154015809</v>
      </c>
      <c r="I80" s="37">
        <f t="shared" ca="1" si="14"/>
        <v>5.5154986156516865E-2</v>
      </c>
      <c r="J80" s="38">
        <f t="shared" ca="1" si="15"/>
        <v>2.4932221604442303E-2</v>
      </c>
      <c r="K80" s="36">
        <f t="shared" ca="1" si="16"/>
        <v>2397.0224537945774</v>
      </c>
      <c r="L80" s="36">
        <f ca="1">Assumptions!$C$10*Assumptions!$C$13*I80*Assumptions!$C$15</f>
        <v>3825.2104245165842</v>
      </c>
      <c r="M80" s="36">
        <f ca="1">G80*(1+H80*Assumptions!$C$6)*(1+J80)+L80+K80</f>
        <v>67449.837695329625</v>
      </c>
    </row>
    <row r="81" spans="1:13" x14ac:dyDescent="0.25">
      <c r="A81" s="3">
        <v>68</v>
      </c>
      <c r="B81" s="3">
        <f t="shared" ca="1" si="11"/>
        <v>0.35879905054397998</v>
      </c>
      <c r="C81" s="3">
        <f t="shared" ca="1" si="11"/>
        <v>0.59319227524193063</v>
      </c>
      <c r="D81" s="3">
        <f t="shared" ca="1" si="11"/>
        <v>0.19079444849029448</v>
      </c>
      <c r="E81" s="3">
        <f t="shared" ca="1" si="11"/>
        <v>0.6099312789721193</v>
      </c>
      <c r="F81" s="3">
        <f t="shared" ca="1" si="11"/>
        <v>5.8800164443730263E-2</v>
      </c>
      <c r="G81" s="36">
        <f t="shared" ca="1" si="12"/>
        <v>57737.815790790686</v>
      </c>
      <c r="H81" s="37">
        <f t="shared" ca="1" si="13"/>
        <v>0.14369207652283233</v>
      </c>
      <c r="I81" s="37">
        <f t="shared" ca="1" si="14"/>
        <v>6.4709152862227837E-2</v>
      </c>
      <c r="J81" s="38">
        <f t="shared" ca="1" si="15"/>
        <v>3.233492211106035E-2</v>
      </c>
      <c r="K81" s="36">
        <f t="shared" ca="1" si="16"/>
        <v>514.39356527544771</v>
      </c>
      <c r="L81" s="36">
        <f ca="1">Assumptions!$C$10*Assumptions!$C$13*I81*Assumptions!$C$15</f>
        <v>4487.8286323526627</v>
      </c>
      <c r="M81" s="36">
        <f ca="1">G81*(1+H81*Assumptions!$C$6)*(1+J81)+L81+K81</f>
        <v>66319.932214402827</v>
      </c>
    </row>
    <row r="82" spans="1:13" x14ac:dyDescent="0.25">
      <c r="A82" s="3">
        <v>69</v>
      </c>
      <c r="B82" s="3">
        <f t="shared" ca="1" si="11"/>
        <v>0.13402530013582781</v>
      </c>
      <c r="C82" s="3">
        <f t="shared" ca="1" si="11"/>
        <v>0.67275982067412088</v>
      </c>
      <c r="D82" s="3">
        <f t="shared" ca="1" si="11"/>
        <v>0.61950711657355184</v>
      </c>
      <c r="E82" s="3">
        <f t="shared" ca="1" si="11"/>
        <v>0.29363631032558624</v>
      </c>
      <c r="F82" s="3">
        <f t="shared" ca="1" si="11"/>
        <v>0.58241265251235141</v>
      </c>
      <c r="G82" s="36">
        <f t="shared" ca="1" si="12"/>
        <v>57489.819014119545</v>
      </c>
      <c r="H82" s="37">
        <f t="shared" ca="1" si="13"/>
        <v>0.1536224792632363</v>
      </c>
      <c r="I82" s="37">
        <f t="shared" ca="1" si="14"/>
        <v>8.5106200737600474E-2</v>
      </c>
      <c r="J82" s="38">
        <f t="shared" ca="1" si="15"/>
        <v>2.5326742911018926E-2</v>
      </c>
      <c r="K82" s="36">
        <f t="shared" ca="1" si="16"/>
        <v>1629.1816080550936</v>
      </c>
      <c r="L82" s="36">
        <f ca="1">Assumptions!$C$10*Assumptions!$C$13*I82*Assumptions!$C$15</f>
        <v>5902.4423526938899</v>
      </c>
      <c r="M82" s="36">
        <f ca="1">G82*(1+H82*Assumptions!$C$6)*(1+J82)+L82+K82</f>
        <v>68288.554330493425</v>
      </c>
    </row>
    <row r="83" spans="1:13" x14ac:dyDescent="0.25">
      <c r="A83" s="3">
        <v>70</v>
      </c>
      <c r="B83" s="3">
        <f t="shared" ca="1" si="11"/>
        <v>0.81682161877078452</v>
      </c>
      <c r="C83" s="3">
        <f t="shared" ca="1" si="11"/>
        <v>0.82083043648930543</v>
      </c>
      <c r="D83" s="3">
        <f t="shared" ca="1" si="11"/>
        <v>0.50906983545279094</v>
      </c>
      <c r="E83" s="3">
        <f t="shared" ca="1" si="11"/>
        <v>0.92477441885937739</v>
      </c>
      <c r="F83" s="3">
        <f t="shared" ca="1" si="11"/>
        <v>0.79540487883194211</v>
      </c>
      <c r="G83" s="36">
        <f t="shared" ca="1" si="12"/>
        <v>58210.28017141176</v>
      </c>
      <c r="H83" s="37">
        <f t="shared" ca="1" si="13"/>
        <v>0.17608547858237661</v>
      </c>
      <c r="I83" s="37">
        <f t="shared" ca="1" si="14"/>
        <v>8.0364453749808509E-2</v>
      </c>
      <c r="J83" s="38">
        <f t="shared" ca="1" si="15"/>
        <v>4.2242393093711306E-2</v>
      </c>
      <c r="K83" s="36">
        <f t="shared" ca="1" si="16"/>
        <v>2040.4803049148702</v>
      </c>
      <c r="L83" s="36">
        <f ca="1">Assumptions!$C$10*Assumptions!$C$13*I83*Assumptions!$C$15</f>
        <v>5573.583961602104</v>
      </c>
      <c r="M83" s="36">
        <f ca="1">G83*(1+H83*Assumptions!$C$6)*(1+J83)+L83+K83</f>
        <v>70419.879762977158</v>
      </c>
    </row>
    <row r="84" spans="1:13" x14ac:dyDescent="0.25">
      <c r="A84" s="3">
        <v>71</v>
      </c>
      <c r="B84" s="3">
        <f t="shared" ref="B84:F93" ca="1" si="17">RAND()</f>
        <v>0.67666724156196989</v>
      </c>
      <c r="C84" s="3">
        <f t="shared" ca="1" si="17"/>
        <v>0.39306689629265334</v>
      </c>
      <c r="D84" s="3">
        <f t="shared" ca="1" si="17"/>
        <v>0.44314356053171</v>
      </c>
      <c r="E84" s="3">
        <f t="shared" ca="1" si="17"/>
        <v>5.38679218560838E-2</v>
      </c>
      <c r="F84" s="3">
        <f t="shared" ca="1" si="17"/>
        <v>0.50116104552526031</v>
      </c>
      <c r="G84" s="36">
        <f t="shared" ca="1" si="12"/>
        <v>58033.135191622692</v>
      </c>
      <c r="H84" s="37">
        <f t="shared" ca="1" si="13"/>
        <v>0.12236465342199436</v>
      </c>
      <c r="I84" s="37">
        <f t="shared" ca="1" si="14"/>
        <v>7.765712938742772E-2</v>
      </c>
      <c r="J84" s="38">
        <f t="shared" ca="1" si="15"/>
        <v>1.6564627749146712E-2</v>
      </c>
      <c r="K84" s="36">
        <f t="shared" ca="1" si="16"/>
        <v>1501.7425804834709</v>
      </c>
      <c r="L84" s="36">
        <f ca="1">Assumptions!$C$10*Assumptions!$C$13*I84*Assumptions!$C$15</f>
        <v>5385.820604284987</v>
      </c>
      <c r="M84" s="36">
        <f ca="1">G84*(1+H84*Assumptions!$C$6)*(1+J84)+L84+K84</f>
        <v>67325.762314638065</v>
      </c>
    </row>
    <row r="85" spans="1:13" x14ac:dyDescent="0.25">
      <c r="A85" s="3">
        <v>72</v>
      </c>
      <c r="B85" s="3">
        <f t="shared" ca="1" si="17"/>
        <v>0.70791254546279136</v>
      </c>
      <c r="C85" s="3">
        <f t="shared" ca="1" si="17"/>
        <v>5.5057266420255102E-2</v>
      </c>
      <c r="D85" s="3">
        <f t="shared" ca="1" si="17"/>
        <v>0.11895591020715446</v>
      </c>
      <c r="E85" s="3">
        <f t="shared" ca="1" si="17"/>
        <v>0.88172640148037673</v>
      </c>
      <c r="F85" s="3">
        <f t="shared" ca="1" si="17"/>
        <v>0.80771987182603944</v>
      </c>
      <c r="G85" s="36">
        <f t="shared" ca="1" si="12"/>
        <v>58068.622611108156</v>
      </c>
      <c r="H85" s="37">
        <f t="shared" ca="1" si="13"/>
        <v>7.7060333393906902E-2</v>
      </c>
      <c r="I85" s="37">
        <f t="shared" ca="1" si="14"/>
        <v>5.9510482122769139E-2</v>
      </c>
      <c r="J85" s="38">
        <f t="shared" ca="1" si="15"/>
        <v>4.0272776407643415E-2</v>
      </c>
      <c r="K85" s="36">
        <f t="shared" ca="1" si="16"/>
        <v>2069.8061617152998</v>
      </c>
      <c r="L85" s="36">
        <f ca="1">Assumptions!$C$10*Assumptions!$C$13*I85*Assumptions!$C$15</f>
        <v>4127.280821683742</v>
      </c>
      <c r="M85" s="36">
        <f ca="1">G85*(1+H85*Assumptions!$C$6)*(1+J85)+L85+K85</f>
        <v>67535.294155484036</v>
      </c>
    </row>
    <row r="86" spans="1:13" x14ac:dyDescent="0.25">
      <c r="A86" s="3">
        <v>73</v>
      </c>
      <c r="B86" s="3">
        <f t="shared" ca="1" si="17"/>
        <v>1.1327035238267946E-2</v>
      </c>
      <c r="C86" s="3">
        <f t="shared" ca="1" si="17"/>
        <v>0.98807149571202857</v>
      </c>
      <c r="D86" s="3">
        <f t="shared" ca="1" si="17"/>
        <v>0.36706756075390545</v>
      </c>
      <c r="E86" s="3">
        <f t="shared" ca="1" si="17"/>
        <v>0.81450948889957631</v>
      </c>
      <c r="F86" s="3">
        <f t="shared" ca="1" si="17"/>
        <v>0.70145318106869969</v>
      </c>
      <c r="G86" s="36">
        <f t="shared" ca="1" si="12"/>
        <v>57213.325527786765</v>
      </c>
      <c r="H86" s="37">
        <f t="shared" ca="1" si="13"/>
        <v>0.2235084901308052</v>
      </c>
      <c r="I86" s="37">
        <f t="shared" ca="1" si="14"/>
        <v>7.4272674164886782E-2</v>
      </c>
      <c r="J86" s="38">
        <f t="shared" ca="1" si="15"/>
        <v>3.781835771004833E-2</v>
      </c>
      <c r="K86" s="36">
        <f t="shared" ca="1" si="16"/>
        <v>1840.9224852535308</v>
      </c>
      <c r="L86" s="36">
        <f ca="1">Assumptions!$C$10*Assumptions!$C$13*I86*Assumptions!$C$15</f>
        <v>5151.0956174663015</v>
      </c>
      <c r="M86" s="36">
        <f ca="1">G86*(1+H86*Assumptions!$C$6)*(1+J86)+L86+K86</f>
        <v>69023.312132229868</v>
      </c>
    </row>
    <row r="87" spans="1:13" x14ac:dyDescent="0.25">
      <c r="A87" s="3">
        <v>74</v>
      </c>
      <c r="B87" s="3">
        <f t="shared" ca="1" si="17"/>
        <v>0.58618178638566221</v>
      </c>
      <c r="C87" s="3">
        <f t="shared" ca="1" si="17"/>
        <v>0.27300097433121595</v>
      </c>
      <c r="D87" s="3">
        <f t="shared" ca="1" si="17"/>
        <v>0.84271039297647921</v>
      </c>
      <c r="E87" s="3">
        <f t="shared" ca="1" si="17"/>
        <v>0.83896184876165647</v>
      </c>
      <c r="F87" s="3">
        <f t="shared" ca="1" si="17"/>
        <v>0.37903371766497984</v>
      </c>
      <c r="G87" s="36">
        <f t="shared" ca="1" si="12"/>
        <v>57939.085220884612</v>
      </c>
      <c r="H87" s="37">
        <f t="shared" ca="1" si="13"/>
        <v>0.11025705733443322</v>
      </c>
      <c r="I87" s="37">
        <f t="shared" ca="1" si="14"/>
        <v>9.7565055327118219E-2</v>
      </c>
      <c r="J87" s="38">
        <f t="shared" ca="1" si="15"/>
        <v>3.8649646657893208E-2</v>
      </c>
      <c r="K87" s="36">
        <f t="shared" ca="1" si="16"/>
        <v>1306.0060219969926</v>
      </c>
      <c r="L87" s="36">
        <f ca="1">Assumptions!$C$10*Assumptions!$C$13*I87*Assumptions!$C$15</f>
        <v>6766.5118371484441</v>
      </c>
      <c r="M87" s="36">
        <f ca="1">G87*(1+H87*Assumptions!$C$6)*(1+J87)+L87+K87</f>
        <v>69577.947140483739</v>
      </c>
    </row>
    <row r="88" spans="1:13" x14ac:dyDescent="0.25">
      <c r="A88" s="3">
        <v>75</v>
      </c>
      <c r="B88" s="3">
        <f t="shared" ca="1" si="17"/>
        <v>0.54979433492939211</v>
      </c>
      <c r="C88" s="3">
        <f t="shared" ca="1" si="17"/>
        <v>0.58937706785446198</v>
      </c>
      <c r="D88" s="3">
        <f t="shared" ca="1" si="17"/>
        <v>0.46948588731083274</v>
      </c>
      <c r="E88" s="3">
        <f t="shared" ca="1" si="17"/>
        <v>0.82835396469468692</v>
      </c>
      <c r="F88" s="3">
        <f t="shared" ca="1" si="17"/>
        <v>0.30586890696874491</v>
      </c>
      <c r="G88" s="36">
        <f t="shared" ca="1" si="12"/>
        <v>57904.209709091265</v>
      </c>
      <c r="H88" s="37">
        <f t="shared" ca="1" si="13"/>
        <v>0.14324152309529531</v>
      </c>
      <c r="I88" s="37">
        <f t="shared" ca="1" si="14"/>
        <v>7.8760222385774112E-2</v>
      </c>
      <c r="J88" s="38">
        <f t="shared" ca="1" si="15"/>
        <v>3.8281773673279285E-2</v>
      </c>
      <c r="K88" s="36">
        <f t="shared" ca="1" si="16"/>
        <v>1173.2050465964387</v>
      </c>
      <c r="L88" s="36">
        <f ca="1">Assumptions!$C$10*Assumptions!$C$13*I88*Assumptions!$C$15</f>
        <v>5462.324346385687</v>
      </c>
      <c r="M88" s="36">
        <f ca="1">G88*(1+H88*Assumptions!$C$6)*(1+J88)+L88+K88</f>
        <v>68478.776396374669</v>
      </c>
    </row>
    <row r="89" spans="1:13" x14ac:dyDescent="0.25">
      <c r="A89" s="3">
        <v>76</v>
      </c>
      <c r="B89" s="3">
        <f t="shared" ca="1" si="17"/>
        <v>0.65219513009706831</v>
      </c>
      <c r="C89" s="3">
        <f t="shared" ca="1" si="17"/>
        <v>0.55745920802910176</v>
      </c>
      <c r="D89" s="3">
        <f t="shared" ca="1" si="17"/>
        <v>0.30798534146705236</v>
      </c>
      <c r="E89" s="3">
        <f t="shared" ca="1" si="17"/>
        <v>0.61344900885071973</v>
      </c>
      <c r="F89" s="3">
        <f t="shared" ca="1" si="17"/>
        <v>0.18065695479979893</v>
      </c>
      <c r="G89" s="36">
        <f t="shared" ca="1" si="12"/>
        <v>58006.52344744352</v>
      </c>
      <c r="H89" s="37">
        <f t="shared" ca="1" si="13"/>
        <v>0.13955135612196407</v>
      </c>
      <c r="I89" s="37">
        <f t="shared" ca="1" si="14"/>
        <v>7.1393519915654041E-2</v>
      </c>
      <c r="J89" s="38">
        <f t="shared" ca="1" si="15"/>
        <v>3.2414756387259686E-2</v>
      </c>
      <c r="K89" s="36">
        <f t="shared" ca="1" si="16"/>
        <v>901.64089115295519</v>
      </c>
      <c r="L89" s="36">
        <f ca="1">Assumptions!$C$10*Assumptions!$C$13*I89*Assumptions!$C$15</f>
        <v>4951.4151966118216</v>
      </c>
      <c r="M89" s="36">
        <f ca="1">G89*(1+H89*Assumptions!$C$6)*(1+J89)+L89+K89</f>
        <v>67411.303434886067</v>
      </c>
    </row>
    <row r="90" spans="1:13" x14ac:dyDescent="0.25">
      <c r="A90" s="3">
        <v>77</v>
      </c>
      <c r="B90" s="3">
        <f t="shared" ca="1" si="17"/>
        <v>0.1153129743508684</v>
      </c>
      <c r="C90" s="3">
        <f t="shared" ca="1" si="17"/>
        <v>0.90973342331409734</v>
      </c>
      <c r="D90" s="3">
        <f t="shared" ca="1" si="17"/>
        <v>0.2477023778217432</v>
      </c>
      <c r="E90" s="3">
        <f t="shared" ca="1" si="17"/>
        <v>0.95423410467069014</v>
      </c>
      <c r="F90" s="3">
        <f t="shared" ca="1" si="17"/>
        <v>0.51562400653938556</v>
      </c>
      <c r="G90" s="36">
        <f t="shared" ca="1" si="12"/>
        <v>57461.583589480411</v>
      </c>
      <c r="H90" s="37">
        <f t="shared" ca="1" si="13"/>
        <v>0.19463395599748001</v>
      </c>
      <c r="I90" s="37">
        <f t="shared" ca="1" si="14"/>
        <v>6.8153998100262389E-2</v>
      </c>
      <c r="J90" s="38">
        <f t="shared" ca="1" si="15"/>
        <v>4.394915573961386E-2</v>
      </c>
      <c r="K90" s="36">
        <f t="shared" ca="1" si="16"/>
        <v>1523.6220095880713</v>
      </c>
      <c r="L90" s="36">
        <f ca="1">Assumptions!$C$10*Assumptions!$C$13*I90*Assumptions!$C$15</f>
        <v>4726.7418990151209</v>
      </c>
      <c r="M90" s="36">
        <f ca="1">G90*(1+H90*Assumptions!$C$6)*(1+J90)+L90+K90</f>
        <v>68572.435905412553</v>
      </c>
    </row>
    <row r="91" spans="1:13" x14ac:dyDescent="0.25">
      <c r="A91" s="3">
        <v>78</v>
      </c>
      <c r="B91" s="3">
        <f t="shared" ca="1" si="17"/>
        <v>0.82359555848611987</v>
      </c>
      <c r="C91" s="3">
        <f t="shared" ca="1" si="17"/>
        <v>0.44753996508130811</v>
      </c>
      <c r="D91" s="3">
        <f t="shared" ca="1" si="17"/>
        <v>0.86080141093798268</v>
      </c>
      <c r="E91" s="3">
        <f t="shared" ca="1" si="17"/>
        <v>0.78371442023597293</v>
      </c>
      <c r="F91" s="3">
        <f t="shared" ca="1" si="17"/>
        <v>2.6864605649679407E-2</v>
      </c>
      <c r="G91" s="36">
        <f t="shared" ca="1" si="12"/>
        <v>58220.34245616656</v>
      </c>
      <c r="H91" s="37">
        <f t="shared" ca="1" si="13"/>
        <v>0.12776770163564244</v>
      </c>
      <c r="I91" s="37">
        <f t="shared" ca="1" si="14"/>
        <v>9.8894657429966809E-2</v>
      </c>
      <c r="J91" s="38">
        <f t="shared" ca="1" si="15"/>
        <v>3.6845971574790422E-2</v>
      </c>
      <c r="K91" s="36">
        <f t="shared" ca="1" si="16"/>
        <v>347.69343597996976</v>
      </c>
      <c r="L91" s="36">
        <f ca="1">Assumptions!$C$10*Assumptions!$C$13*I91*Assumptions!$C$15</f>
        <v>6858.7248568352352</v>
      </c>
      <c r="M91" s="36">
        <f ca="1">G91*(1+H91*Assumptions!$C$6)*(1+J91)+L91+K91</f>
        <v>69114.498774542197</v>
      </c>
    </row>
    <row r="92" spans="1:13" x14ac:dyDescent="0.25">
      <c r="A92" s="3">
        <v>79</v>
      </c>
      <c r="B92" s="3">
        <f t="shared" ca="1" si="17"/>
        <v>0.65872667669257201</v>
      </c>
      <c r="C92" s="3">
        <f t="shared" ca="1" si="17"/>
        <v>0.98687645936187285</v>
      </c>
      <c r="D92" s="3">
        <f t="shared" ca="1" si="17"/>
        <v>1.3536247723569317E-2</v>
      </c>
      <c r="E92" s="3">
        <f t="shared" ca="1" si="17"/>
        <v>0.31165782880838744</v>
      </c>
      <c r="F92" s="3">
        <f t="shared" ca="1" si="17"/>
        <v>8.4894308348730574E-2</v>
      </c>
      <c r="G92" s="36">
        <f t="shared" ca="1" si="12"/>
        <v>58013.531899883506</v>
      </c>
      <c r="H92" s="37">
        <f t="shared" ca="1" si="13"/>
        <v>0.22270211785942282</v>
      </c>
      <c r="I92" s="37">
        <f t="shared" ca="1" si="14"/>
        <v>4.6581488639770019E-2</v>
      </c>
      <c r="J92" s="38">
        <f t="shared" ca="1" si="15"/>
        <v>2.5790068494047448E-2</v>
      </c>
      <c r="K92" s="36">
        <f t="shared" ca="1" si="16"/>
        <v>618.08121437986415</v>
      </c>
      <c r="L92" s="36">
        <f ca="1">Assumptions!$C$10*Assumptions!$C$13*I92*Assumptions!$C$15</f>
        <v>3230.605396739742</v>
      </c>
      <c r="M92" s="36">
        <f ca="1">G92*(1+H92*Assumptions!$C$6)*(1+J92)+L92+K92</f>
        <v>66008.978933436752</v>
      </c>
    </row>
    <row r="93" spans="1:13" x14ac:dyDescent="0.25">
      <c r="A93" s="3">
        <v>80</v>
      </c>
      <c r="B93" s="3">
        <f t="shared" ca="1" si="17"/>
        <v>0.99638168757463619</v>
      </c>
      <c r="C93" s="3">
        <f t="shared" ca="1" si="17"/>
        <v>0.32492900899976429</v>
      </c>
      <c r="D93" s="3">
        <f t="shared" ca="1" si="17"/>
        <v>0.52139291798588183</v>
      </c>
      <c r="E93" s="3">
        <f t="shared" ca="1" si="17"/>
        <v>0.16978450375994036</v>
      </c>
      <c r="F93" s="3">
        <f t="shared" ca="1" si="17"/>
        <v>0.8756856891725816</v>
      </c>
      <c r="G93" s="36">
        <f t="shared" ca="1" si="12"/>
        <v>58673.631742360994</v>
      </c>
      <c r="H93" s="37">
        <f t="shared" ca="1" si="13"/>
        <v>0.11573854135662628</v>
      </c>
      <c r="I93" s="37">
        <f t="shared" ca="1" si="14"/>
        <v>8.0865071068862565E-2</v>
      </c>
      <c r="J93" s="38">
        <f t="shared" ca="1" si="15"/>
        <v>2.1654509985750248E-2</v>
      </c>
      <c r="K93" s="36">
        <f t="shared" ca="1" si="16"/>
        <v>2252.0598962995882</v>
      </c>
      <c r="L93" s="36">
        <f ca="1">Assumptions!$C$10*Assumptions!$C$13*I93*Assumptions!$C$15</f>
        <v>5608.3036981297291</v>
      </c>
      <c r="M93" s="36">
        <f ca="1">G93*(1+H93*Assumptions!$C$6)*(1+J93)+L93+K93</f>
        <v>69192.114483728219</v>
      </c>
    </row>
    <row r="94" spans="1:13" x14ac:dyDescent="0.25">
      <c r="A94" s="3">
        <v>81</v>
      </c>
      <c r="B94" s="3">
        <f t="shared" ref="B94:F103" ca="1" si="18">RAND()</f>
        <v>0.81504366275742313</v>
      </c>
      <c r="C94" s="3">
        <f t="shared" ca="1" si="18"/>
        <v>0.43247887755668057</v>
      </c>
      <c r="D94" s="3">
        <f t="shared" ca="1" si="18"/>
        <v>0.25459479394008655</v>
      </c>
      <c r="E94" s="3">
        <f t="shared" ca="1" si="18"/>
        <v>0.71215027585247981</v>
      </c>
      <c r="F94" s="3">
        <f t="shared" ca="1" si="18"/>
        <v>0.61142822977006306</v>
      </c>
      <c r="G94" s="36">
        <f t="shared" ca="1" si="12"/>
        <v>58207.670088119674</v>
      </c>
      <c r="H94" s="37">
        <f t="shared" ca="1" si="13"/>
        <v>0.12624815785356402</v>
      </c>
      <c r="I94" s="37">
        <f t="shared" ca="1" si="14"/>
        <v>6.8543008611712197E-2</v>
      </c>
      <c r="J94" s="38">
        <f t="shared" ca="1" si="15"/>
        <v>3.4825027864341357E-2</v>
      </c>
      <c r="K94" s="36">
        <f t="shared" ca="1" si="16"/>
        <v>1677.6638226098794</v>
      </c>
      <c r="L94" s="36">
        <f ca="1">Assumptions!$C$10*Assumptions!$C$13*I94*Assumptions!$C$15</f>
        <v>4753.7212741784397</v>
      </c>
      <c r="M94" s="36">
        <f ca="1">G94*(1+H94*Assumptions!$C$6)*(1+J94)+L94+K94</f>
        <v>68187.044259374365</v>
      </c>
    </row>
    <row r="95" spans="1:13" x14ac:dyDescent="0.25">
      <c r="A95" s="3">
        <v>82</v>
      </c>
      <c r="B95" s="3">
        <f t="shared" ca="1" si="18"/>
        <v>0.28477550857741207</v>
      </c>
      <c r="C95" s="3">
        <f t="shared" ca="1" si="18"/>
        <v>0.35220150060653532</v>
      </c>
      <c r="D95" s="3">
        <f t="shared" ca="1" si="18"/>
        <v>0.76728566461288206</v>
      </c>
      <c r="E95" s="3">
        <f t="shared" ca="1" si="18"/>
        <v>0.55419992005982388</v>
      </c>
      <c r="F95" s="3">
        <f t="shared" ca="1" si="18"/>
        <v>0.45591412716126678</v>
      </c>
      <c r="G95" s="36">
        <f t="shared" ca="1" si="12"/>
        <v>57668.22579198629</v>
      </c>
      <c r="H95" s="37">
        <f t="shared" ca="1" si="13"/>
        <v>0.11844179978687673</v>
      </c>
      <c r="I95" s="37">
        <f t="shared" ca="1" si="14"/>
        <v>9.2711066835825598E-2</v>
      </c>
      <c r="J95" s="38">
        <f t="shared" ca="1" si="15"/>
        <v>3.1115083692212431E-2</v>
      </c>
      <c r="K95" s="36">
        <f t="shared" ca="1" si="16"/>
        <v>1432.3454793539513</v>
      </c>
      <c r="L95" s="36">
        <f ca="1">Assumptions!$C$10*Assumptions!$C$13*I95*Assumptions!$C$15</f>
        <v>6429.869066090796</v>
      </c>
      <c r="M95" s="36">
        <f ca="1">G95*(1+H95*Assumptions!$C$6)*(1+J95)+L95+K95</f>
        <v>68733.362948287933</v>
      </c>
    </row>
    <row r="96" spans="1:13" x14ac:dyDescent="0.25">
      <c r="A96" s="3">
        <v>83</v>
      </c>
      <c r="B96" s="3">
        <f t="shared" ca="1" si="18"/>
        <v>6.8106027234953515E-2</v>
      </c>
      <c r="C96" s="3">
        <f t="shared" ca="1" si="18"/>
        <v>0.28927821272128529</v>
      </c>
      <c r="D96" s="3">
        <f t="shared" ca="1" si="18"/>
        <v>0.25158439820480738</v>
      </c>
      <c r="E96" s="3">
        <f t="shared" ca="1" si="18"/>
        <v>0.62227145862823685</v>
      </c>
      <c r="F96" s="3">
        <f t="shared" ca="1" si="18"/>
        <v>0.87940523624273315</v>
      </c>
      <c r="G96" s="36">
        <f t="shared" ca="1" si="12"/>
        <v>57377.883268476078</v>
      </c>
      <c r="H96" s="37">
        <f t="shared" ca="1" si="13"/>
        <v>0.11202741514196038</v>
      </c>
      <c r="I96" s="37">
        <f t="shared" ca="1" si="14"/>
        <v>6.8373756787838011E-2</v>
      </c>
      <c r="J96" s="38">
        <f t="shared" ca="1" si="15"/>
        <v>3.261659316769551E-2</v>
      </c>
      <c r="K96" s="36">
        <f t="shared" ca="1" si="16"/>
        <v>2263.3342434267079</v>
      </c>
      <c r="L96" s="36">
        <f ca="1">Assumptions!$C$10*Assumptions!$C$13*I96*Assumptions!$C$15</f>
        <v>4741.9830092242109</v>
      </c>
      <c r="M96" s="36">
        <f ca="1">G96*(1+H96*Assumptions!$C$6)*(1+J96)+L96+K96</f>
        <v>67582.181999713124</v>
      </c>
    </row>
    <row r="97" spans="1:13" x14ac:dyDescent="0.25">
      <c r="A97" s="3">
        <v>84</v>
      </c>
      <c r="B97" s="3">
        <f t="shared" ca="1" si="18"/>
        <v>0.12804640118820487</v>
      </c>
      <c r="C97" s="3">
        <f t="shared" ca="1" si="18"/>
        <v>0.73956524298740411</v>
      </c>
      <c r="D97" s="3">
        <f t="shared" ca="1" si="18"/>
        <v>0.72645425808833786</v>
      </c>
      <c r="E97" s="3">
        <f t="shared" ca="1" si="18"/>
        <v>0.74609891982877452</v>
      </c>
      <c r="F97" s="3">
        <f t="shared" ca="1" si="18"/>
        <v>0.92544346864485816</v>
      </c>
      <c r="G97" s="36">
        <f t="shared" ca="1" si="12"/>
        <v>57481.024860727382</v>
      </c>
      <c r="H97" s="37">
        <f t="shared" ca="1" si="13"/>
        <v>0.16294214861620404</v>
      </c>
      <c r="I97" s="37">
        <f t="shared" ca="1" si="14"/>
        <v>9.0413746872621423E-2</v>
      </c>
      <c r="J97" s="38">
        <f t="shared" ca="1" si="15"/>
        <v>3.5747952282672489E-2</v>
      </c>
      <c r="K97" s="36">
        <f t="shared" ca="1" si="16"/>
        <v>2420.7725912060632</v>
      </c>
      <c r="L97" s="36">
        <f ca="1">Assumptions!$C$10*Assumptions!$C$13*I97*Assumptions!$C$15</f>
        <v>6270.5410907965743</v>
      </c>
      <c r="M97" s="36">
        <f ca="1">G97*(1+H97*Assumptions!$C$6)*(1+J97)+L97+K97</f>
        <v>70167.34746400913</v>
      </c>
    </row>
    <row r="98" spans="1:13" x14ac:dyDescent="0.25">
      <c r="A98" s="3">
        <v>85</v>
      </c>
      <c r="B98" s="3">
        <f t="shared" ca="1" si="18"/>
        <v>0.11269004140856564</v>
      </c>
      <c r="C98" s="3">
        <f t="shared" ca="1" si="18"/>
        <v>0.94948278076589365</v>
      </c>
      <c r="D98" s="3">
        <f t="shared" ca="1" si="18"/>
        <v>0.45180263027844281</v>
      </c>
      <c r="E98" s="3">
        <f t="shared" ca="1" si="18"/>
        <v>0.3764866408191585</v>
      </c>
      <c r="F98" s="3">
        <f t="shared" ca="1" si="18"/>
        <v>0.72372517333822195</v>
      </c>
      <c r="G98" s="36">
        <f t="shared" ca="1" si="12"/>
        <v>57457.447606877395</v>
      </c>
      <c r="H98" s="37">
        <f t="shared" ca="1" si="13"/>
        <v>0.20606192995266781</v>
      </c>
      <c r="I98" s="37">
        <f t="shared" ca="1" si="14"/>
        <v>7.8023261523586018E-2</v>
      </c>
      <c r="J98" s="38">
        <f t="shared" ca="1" si="15"/>
        <v>2.7354806615324953E-2</v>
      </c>
      <c r="K98" s="36">
        <f t="shared" ca="1" si="16"/>
        <v>1884.9947444168699</v>
      </c>
      <c r="L98" s="36">
        <f ca="1">Assumptions!$C$10*Assumptions!$C$13*I98*Assumptions!$C$15</f>
        <v>5411.2132761280882</v>
      </c>
      <c r="M98" s="36">
        <f ca="1">G98*(1+H98*Assumptions!$C$6)*(1+J98)+L98+K98</f>
        <v>68758.126551205612</v>
      </c>
    </row>
    <row r="99" spans="1:13" x14ac:dyDescent="0.25">
      <c r="A99" s="3">
        <v>86</v>
      </c>
      <c r="B99" s="3">
        <f t="shared" ca="1" si="18"/>
        <v>0.58535444891328003</v>
      </c>
      <c r="C99" s="3">
        <f t="shared" ca="1" si="18"/>
        <v>0.93110817494983367</v>
      </c>
      <c r="D99" s="3">
        <f t="shared" ca="1" si="18"/>
        <v>0.68058178185159501</v>
      </c>
      <c r="E99" s="3">
        <f t="shared" ca="1" si="18"/>
        <v>0.60465110427835078</v>
      </c>
      <c r="F99" s="3">
        <f t="shared" ca="1" si="18"/>
        <v>0.37410966925916123</v>
      </c>
      <c r="G99" s="36">
        <f t="shared" ca="1" si="12"/>
        <v>57938.275600439076</v>
      </c>
      <c r="H99" s="37">
        <f t="shared" ca="1" si="13"/>
        <v>0.20036751823133211</v>
      </c>
      <c r="I99" s="37">
        <f t="shared" ca="1" si="14"/>
        <v>8.8029102326101394E-2</v>
      </c>
      <c r="J99" s="38">
        <f t="shared" ca="1" si="15"/>
        <v>3.2215762131108362E-2</v>
      </c>
      <c r="K99" s="36">
        <f t="shared" ca="1" si="16"/>
        <v>1297.4950911915719</v>
      </c>
      <c r="L99" s="36">
        <f ca="1">Assumptions!$C$10*Assumptions!$C$13*I99*Assumptions!$C$15</f>
        <v>6105.1568197856159</v>
      </c>
      <c r="M99" s="36">
        <f ca="1">G99*(1+H99*Assumptions!$C$6)*(1+J99)+L99+K99</f>
        <v>69604.041139625566</v>
      </c>
    </row>
    <row r="100" spans="1:13" x14ac:dyDescent="0.25">
      <c r="A100" s="3">
        <v>87</v>
      </c>
      <c r="B100" s="3">
        <f t="shared" ca="1" si="18"/>
        <v>0.80950997422447379</v>
      </c>
      <c r="C100" s="3">
        <f t="shared" ca="1" si="18"/>
        <v>0.71817625080753655</v>
      </c>
      <c r="D100" s="3">
        <f t="shared" ca="1" si="18"/>
        <v>1.4154335435425658E-3</v>
      </c>
      <c r="E100" s="3">
        <f t="shared" ca="1" si="18"/>
        <v>0.56661637680775234</v>
      </c>
      <c r="F100" s="3">
        <f t="shared" ca="1" si="18"/>
        <v>0.69345476288030838</v>
      </c>
      <c r="G100" s="36">
        <f t="shared" ca="1" si="12"/>
        <v>58199.62579233713</v>
      </c>
      <c r="H100" s="37">
        <f t="shared" ca="1" si="13"/>
        <v>0.15984027519016691</v>
      </c>
      <c r="I100" s="37">
        <f t="shared" ca="1" si="14"/>
        <v>4.2128235733967505E-2</v>
      </c>
      <c r="J100" s="38">
        <f t="shared" ca="1" si="15"/>
        <v>3.1379932906839506E-2</v>
      </c>
      <c r="K100" s="36">
        <f t="shared" ca="1" si="16"/>
        <v>1825.49858789416</v>
      </c>
      <c r="L100" s="36">
        <f ca="1">Assumptions!$C$10*Assumptions!$C$13*I100*Assumptions!$C$15</f>
        <v>2921.7551798265458</v>
      </c>
      <c r="M100" s="36">
        <f ca="1">G100*(1+H100*Assumptions!$C$6)*(1+J100)+L100+K100</f>
        <v>66692.092023333767</v>
      </c>
    </row>
    <row r="101" spans="1:13" x14ac:dyDescent="0.25">
      <c r="A101" s="3">
        <v>88</v>
      </c>
      <c r="B101" s="3">
        <f t="shared" ca="1" si="18"/>
        <v>0.69325180672667264</v>
      </c>
      <c r="C101" s="3">
        <f t="shared" ca="1" si="18"/>
        <v>0.16023167075161671</v>
      </c>
      <c r="D101" s="3">
        <f t="shared" ca="1" si="18"/>
        <v>0.25179354583277458</v>
      </c>
      <c r="E101" s="3">
        <f t="shared" ca="1" si="18"/>
        <v>0.52730757538834483</v>
      </c>
      <c r="F101" s="3">
        <f t="shared" ca="1" si="18"/>
        <v>0.5017564391087117</v>
      </c>
      <c r="G101" s="36">
        <f t="shared" ca="1" si="12"/>
        <v>58051.74659024064</v>
      </c>
      <c r="H101" s="37">
        <f t="shared" ca="1" si="13"/>
        <v>9.6163635266262371E-2</v>
      </c>
      <c r="I101" s="37">
        <f t="shared" ca="1" si="14"/>
        <v>6.8385548200886992E-2</v>
      </c>
      <c r="J101" s="38">
        <f t="shared" ca="1" si="15"/>
        <v>3.055381940613211E-2</v>
      </c>
      <c r="K101" s="36">
        <f t="shared" ca="1" si="16"/>
        <v>1502.6369765448335</v>
      </c>
      <c r="L101" s="36">
        <f ca="1">Assumptions!$C$10*Assumptions!$C$13*I101*Assumptions!$C$15</f>
        <v>4742.8007890707459</v>
      </c>
      <c r="M101" s="36">
        <f ca="1">G101*(1+H101*Assumptions!$C$6)*(1+J101)+L101+K101</f>
        <v>67221.493472143848</v>
      </c>
    </row>
    <row r="102" spans="1:13" x14ac:dyDescent="0.25">
      <c r="A102" s="3">
        <v>89</v>
      </c>
      <c r="B102" s="3">
        <f t="shared" ca="1" si="18"/>
        <v>0.61551701890110189</v>
      </c>
      <c r="C102" s="3">
        <f t="shared" ca="1" si="18"/>
        <v>3.2494552331984061E-2</v>
      </c>
      <c r="D102" s="3">
        <f t="shared" ca="1" si="18"/>
        <v>0.9106201657852645</v>
      </c>
      <c r="E102" s="3">
        <f t="shared" ca="1" si="18"/>
        <v>1.0417560289823657E-2</v>
      </c>
      <c r="F102" s="3">
        <f t="shared" ca="1" si="18"/>
        <v>0.36350650977552723</v>
      </c>
      <c r="G102" s="36">
        <f t="shared" ca="1" si="12"/>
        <v>57968.334486415682</v>
      </c>
      <c r="H102" s="37">
        <f t="shared" ca="1" si="13"/>
        <v>7.0788880345400707E-2</v>
      </c>
      <c r="I102" s="37">
        <f t="shared" ca="1" si="14"/>
        <v>0.103088008115921</v>
      </c>
      <c r="J102" s="38">
        <f t="shared" ca="1" si="15"/>
        <v>1.2886875167349453E-2</v>
      </c>
      <c r="K102" s="36">
        <f t="shared" ca="1" si="16"/>
        <v>1278.9758770164012</v>
      </c>
      <c r="L102" s="36">
        <f ca="1">Assumptions!$C$10*Assumptions!$C$13*I102*Assumptions!$C$15</f>
        <v>7149.5498551780283</v>
      </c>
      <c r="M102" s="36">
        <f ca="1">G102*(1+H102*Assumptions!$C$6)*(1+J102)+L102+K102</f>
        <v>67975.169900780296</v>
      </c>
    </row>
    <row r="103" spans="1:13" x14ac:dyDescent="0.25">
      <c r="A103" s="3">
        <v>90</v>
      </c>
      <c r="B103" s="3">
        <f t="shared" ca="1" si="18"/>
        <v>0.30348030217042854</v>
      </c>
      <c r="C103" s="3">
        <f t="shared" ca="1" si="18"/>
        <v>4.0405742508248133E-2</v>
      </c>
      <c r="D103" s="3">
        <f t="shared" ca="1" si="18"/>
        <v>0.87106526480107149</v>
      </c>
      <c r="E103" s="3">
        <f t="shared" ca="1" si="18"/>
        <v>2.0872093843305239E-2</v>
      </c>
      <c r="F103" s="3">
        <f t="shared" ca="1" si="18"/>
        <v>0.80961388997621964</v>
      </c>
      <c r="G103" s="36">
        <f t="shared" ca="1" si="12"/>
        <v>57686.59030183922</v>
      </c>
      <c r="H103" s="37">
        <f t="shared" ca="1" si="13"/>
        <v>7.3181811304548663E-2</v>
      </c>
      <c r="I103" s="37">
        <f t="shared" ca="1" si="14"/>
        <v>9.9687660089576802E-2</v>
      </c>
      <c r="J103" s="38">
        <f t="shared" ca="1" si="15"/>
        <v>1.4086278878716453E-2</v>
      </c>
      <c r="K103" s="36">
        <f t="shared" ca="1" si="16"/>
        <v>2074.3988466369483</v>
      </c>
      <c r="L103" s="36">
        <f ca="1">Assumptions!$C$10*Assumptions!$C$13*I103*Assumptions!$C$15</f>
        <v>6913.7226412894179</v>
      </c>
      <c r="M103" s="36">
        <f ca="1">G103*(1+H103*Assumptions!$C$6)*(1+J103)+L103+K103</f>
        <v>68343.516374380561</v>
      </c>
    </row>
    <row r="104" spans="1:13" x14ac:dyDescent="0.25">
      <c r="A104" s="3">
        <v>91</v>
      </c>
      <c r="B104" s="3">
        <f t="shared" ref="B104:F113" ca="1" si="19">RAND()</f>
        <v>0.12288468248330897</v>
      </c>
      <c r="C104" s="3">
        <f t="shared" ca="1" si="19"/>
        <v>0.15996205039405165</v>
      </c>
      <c r="D104" s="3">
        <f t="shared" ca="1" si="19"/>
        <v>0.59376290927287667</v>
      </c>
      <c r="E104" s="3">
        <f t="shared" ca="1" si="19"/>
        <v>0.10763366290642307</v>
      </c>
      <c r="F104" s="3">
        <f t="shared" ca="1" si="19"/>
        <v>0.50545436380737208</v>
      </c>
      <c r="G104" s="36">
        <f t="shared" ca="1" si="12"/>
        <v>57473.266058114961</v>
      </c>
      <c r="H104" s="37">
        <f t="shared" ca="1" si="13"/>
        <v>9.6124779351676987E-2</v>
      </c>
      <c r="I104" s="37">
        <f t="shared" ca="1" si="14"/>
        <v>8.394506011200692E-2</v>
      </c>
      <c r="J104" s="38">
        <f t="shared" ca="1" si="15"/>
        <v>1.9279382001250862E-2</v>
      </c>
      <c r="K104" s="36">
        <f t="shared" ca="1" si="16"/>
        <v>1508.203980811443</v>
      </c>
      <c r="L104" s="36">
        <f ca="1">Assumptions!$C$10*Assumptions!$C$13*I104*Assumptions!$C$15</f>
        <v>5821.9127843834949</v>
      </c>
      <c r="M104" s="36">
        <f ca="1">G104*(1+H104*Assumptions!$C$6)*(1+J104)+L104+K104</f>
        <v>67037.655072306501</v>
      </c>
    </row>
    <row r="105" spans="1:13" x14ac:dyDescent="0.25">
      <c r="A105" s="3">
        <v>92</v>
      </c>
      <c r="B105" s="3">
        <f t="shared" ca="1" si="19"/>
        <v>0.96389211523666318</v>
      </c>
      <c r="C105" s="3">
        <f t="shared" ca="1" si="19"/>
        <v>0.2798516377953908</v>
      </c>
      <c r="D105" s="3">
        <f t="shared" ca="1" si="19"/>
        <v>0.45005128787891002</v>
      </c>
      <c r="E105" s="3">
        <f t="shared" ca="1" si="19"/>
        <v>0.14996057066043922</v>
      </c>
      <c r="F105" s="3">
        <f t="shared" ca="1" si="19"/>
        <v>0.25027760720714598</v>
      </c>
      <c r="G105" s="36">
        <f t="shared" ca="1" si="12"/>
        <v>58510.042870258483</v>
      </c>
      <c r="H105" s="37">
        <f t="shared" ca="1" si="13"/>
        <v>0.11100841567094411</v>
      </c>
      <c r="I105" s="37">
        <f t="shared" ca="1" si="14"/>
        <v>7.7949494347257273E-2</v>
      </c>
      <c r="J105" s="38">
        <f t="shared" ca="1" si="15"/>
        <v>2.0953011299562844E-2</v>
      </c>
      <c r="K105" s="36">
        <f t="shared" ca="1" si="16"/>
        <v>1061.2489022053953</v>
      </c>
      <c r="L105" s="36">
        <f ca="1">Assumptions!$C$10*Assumptions!$C$13*I105*Assumptions!$C$15</f>
        <v>5406.0972387297807</v>
      </c>
      <c r="M105" s="36">
        <f ca="1">G105*(1+H105*Assumptions!$C$6)*(1+J105)+L105+K105</f>
        <v>67529.590443307898</v>
      </c>
    </row>
    <row r="106" spans="1:13" x14ac:dyDescent="0.25">
      <c r="A106" s="3">
        <v>93</v>
      </c>
      <c r="B106" s="3">
        <f t="shared" ca="1" si="19"/>
        <v>0.97677088346521934</v>
      </c>
      <c r="C106" s="3">
        <f t="shared" ca="1" si="19"/>
        <v>0.61292660241614882</v>
      </c>
      <c r="D106" s="3">
        <f t="shared" ca="1" si="19"/>
        <v>0.59142572323402676</v>
      </c>
      <c r="E106" s="3">
        <f t="shared" ca="1" si="19"/>
        <v>0.33498989913589494</v>
      </c>
      <c r="F106" s="3">
        <f t="shared" ca="1" si="19"/>
        <v>1.6041834548162992E-2</v>
      </c>
      <c r="G106" s="36">
        <f t="shared" ca="1" si="12"/>
        <v>58557.418038353804</v>
      </c>
      <c r="H106" s="37">
        <f t="shared" ca="1" si="13"/>
        <v>0.14605707336413343</v>
      </c>
      <c r="I106" s="37">
        <f t="shared" ca="1" si="14"/>
        <v>8.3841492209286148E-2</v>
      </c>
      <c r="J106" s="38">
        <f t="shared" ca="1" si="15"/>
        <v>2.6370458738493432E-2</v>
      </c>
      <c r="K106" s="36">
        <f t="shared" ca="1" si="16"/>
        <v>268.6787216486141</v>
      </c>
      <c r="L106" s="36">
        <f ca="1">Assumptions!$C$10*Assumptions!$C$13*I106*Assumptions!$C$15</f>
        <v>5814.7299519917224</v>
      </c>
      <c r="M106" s="36">
        <f ca="1">G106*(1+H106*Assumptions!$C$6)*(1+J106)+L106+K106</f>
        <v>67940.665565578791</v>
      </c>
    </row>
    <row r="107" spans="1:13" x14ac:dyDescent="0.25">
      <c r="A107" s="3">
        <v>94</v>
      </c>
      <c r="B107" s="3">
        <f t="shared" ca="1" si="19"/>
        <v>2.3240270368993343E-2</v>
      </c>
      <c r="C107" s="3">
        <f t="shared" ca="1" si="19"/>
        <v>0.43231404188917377</v>
      </c>
      <c r="D107" s="3">
        <f t="shared" ca="1" si="19"/>
        <v>0.75483408784310813</v>
      </c>
      <c r="E107" s="3">
        <f t="shared" ca="1" si="19"/>
        <v>0.90932997953176842</v>
      </c>
      <c r="F107" s="3">
        <f t="shared" ca="1" si="19"/>
        <v>0.58280419343477441</v>
      </c>
      <c r="G107" s="36">
        <f t="shared" ca="1" si="12"/>
        <v>57262.326794504239</v>
      </c>
      <c r="H107" s="37">
        <f t="shared" ca="1" si="13"/>
        <v>0.12623163952606664</v>
      </c>
      <c r="I107" s="37">
        <f t="shared" ca="1" si="14"/>
        <v>9.1990520909841E-2</v>
      </c>
      <c r="J107" s="38">
        <f t="shared" ca="1" si="15"/>
        <v>4.1483192125298045E-2</v>
      </c>
      <c r="K107" s="36">
        <f t="shared" ca="1" si="16"/>
        <v>1629.824416527752</v>
      </c>
      <c r="L107" s="36">
        <f ca="1">Assumptions!$C$10*Assumptions!$C$13*I107*Assumptions!$C$15</f>
        <v>6379.8964347932797</v>
      </c>
      <c r="M107" s="36">
        <f ca="1">G107*(1+H107*Assumptions!$C$6)*(1+J107)+L107+K107</f>
        <v>69153.105964495306</v>
      </c>
    </row>
    <row r="108" spans="1:13" x14ac:dyDescent="0.25">
      <c r="A108" s="3">
        <v>95</v>
      </c>
      <c r="B108" s="3">
        <f t="shared" ca="1" si="19"/>
        <v>0.23027251417170924</v>
      </c>
      <c r="C108" s="3">
        <f t="shared" ca="1" si="19"/>
        <v>9.7139620781744762E-2</v>
      </c>
      <c r="D108" s="3">
        <f t="shared" ca="1" si="19"/>
        <v>4.8581227626251278E-2</v>
      </c>
      <c r="E108" s="3">
        <f t="shared" ca="1" si="19"/>
        <v>0.23168120146894478</v>
      </c>
      <c r="F108" s="3">
        <f t="shared" ca="1" si="19"/>
        <v>0.35566594323164247</v>
      </c>
      <c r="G108" s="36">
        <f t="shared" ca="1" si="12"/>
        <v>57610.964438794545</v>
      </c>
      <c r="H108" s="37">
        <f t="shared" ca="1" si="13"/>
        <v>8.5943802753704363E-2</v>
      </c>
      <c r="I108" s="37">
        <f t="shared" ca="1" si="14"/>
        <v>5.2468357085197877E-2</v>
      </c>
      <c r="J108" s="38">
        <f t="shared" ca="1" si="15"/>
        <v>2.3614145627807712E-2</v>
      </c>
      <c r="K108" s="36">
        <f t="shared" ca="1" si="16"/>
        <v>1265.107404350473</v>
      </c>
      <c r="L108" s="36">
        <f ca="1">Assumptions!$C$10*Assumptions!$C$13*I108*Assumptions!$C$15</f>
        <v>3638.882365231877</v>
      </c>
      <c r="M108" s="36">
        <f ca="1">G108*(1+H108*Assumptions!$C$6)*(1+J108)+L108+K108</f>
        <v>64889.033154412202</v>
      </c>
    </row>
    <row r="109" spans="1:13" x14ac:dyDescent="0.25">
      <c r="A109" s="3">
        <v>96</v>
      </c>
      <c r="B109" s="3">
        <f t="shared" ca="1" si="19"/>
        <v>6.0573667696638078E-2</v>
      </c>
      <c r="C109" s="3">
        <f t="shared" ca="1" si="19"/>
        <v>0.47008652392498085</v>
      </c>
      <c r="D109" s="3">
        <f t="shared" ca="1" si="19"/>
        <v>0.82415037040577432</v>
      </c>
      <c r="E109" s="3">
        <f t="shared" ca="1" si="19"/>
        <v>0.45860669347655258</v>
      </c>
      <c r="F109" s="3">
        <f t="shared" ca="1" si="19"/>
        <v>0.85101069250864225</v>
      </c>
      <c r="G109" s="36">
        <f t="shared" ca="1" si="12"/>
        <v>57362.066530986114</v>
      </c>
      <c r="H109" s="37">
        <f t="shared" ca="1" si="13"/>
        <v>0.13008172465640466</v>
      </c>
      <c r="I109" s="37">
        <f t="shared" ca="1" si="14"/>
        <v>9.6278304978321599E-2</v>
      </c>
      <c r="J109" s="38">
        <f t="shared" ca="1" si="15"/>
        <v>2.9154251611097783E-2</v>
      </c>
      <c r="K109" s="36">
        <f t="shared" ca="1" si="16"/>
        <v>2181.1887374302246</v>
      </c>
      <c r="L109" s="36">
        <f ca="1">Assumptions!$C$10*Assumptions!$C$13*I109*Assumptions!$C$15</f>
        <v>6677.2707514195954</v>
      </c>
      <c r="M109" s="36">
        <f ca="1">G109*(1+H109*Assumptions!$C$6)*(1+J109)+L109+K109</f>
        <v>69428.733834804181</v>
      </c>
    </row>
    <row r="110" spans="1:13" x14ac:dyDescent="0.25">
      <c r="A110" s="3">
        <v>97</v>
      </c>
      <c r="B110" s="3">
        <f t="shared" ca="1" si="19"/>
        <v>0.74946539173365789</v>
      </c>
      <c r="C110" s="3">
        <f t="shared" ca="1" si="19"/>
        <v>0.81923064738069029</v>
      </c>
      <c r="D110" s="3">
        <f t="shared" ca="1" si="19"/>
        <v>0.95902800813959121</v>
      </c>
      <c r="E110" s="3">
        <f t="shared" ca="1" si="19"/>
        <v>0.27038541311459308</v>
      </c>
      <c r="F110" s="3">
        <f t="shared" ca="1" si="19"/>
        <v>0.49349342247342276</v>
      </c>
      <c r="G110" s="36">
        <f t="shared" ca="1" si="12"/>
        <v>58118.903920581062</v>
      </c>
      <c r="H110" s="37">
        <f t="shared" ca="1" si="13"/>
        <v>0.17580076916566473</v>
      </c>
      <c r="I110" s="37">
        <f t="shared" ca="1" si="14"/>
        <v>0.10854965616440676</v>
      </c>
      <c r="J110" s="38">
        <f t="shared" ca="1" si="15"/>
        <v>2.4707424332345705E-2</v>
      </c>
      <c r="K110" s="36">
        <f t="shared" ca="1" si="16"/>
        <v>1490.2081737564058</v>
      </c>
      <c r="L110" s="36">
        <f ca="1">Assumptions!$C$10*Assumptions!$C$13*I110*Assumptions!$C$15</f>
        <v>7528.3361536791635</v>
      </c>
      <c r="M110" s="36">
        <f ca="1">G110*(1+H110*Assumptions!$C$6)*(1+J110)+L110+K110</f>
        <v>70667.375141952216</v>
      </c>
    </row>
    <row r="111" spans="1:13" x14ac:dyDescent="0.25">
      <c r="A111" s="3">
        <v>98</v>
      </c>
      <c r="B111" s="3">
        <f t="shared" ca="1" si="19"/>
        <v>0.46384348852433266</v>
      </c>
      <c r="C111" s="3">
        <f t="shared" ca="1" si="19"/>
        <v>0.60115411239273508</v>
      </c>
      <c r="D111" s="3">
        <f t="shared" ca="1" si="19"/>
        <v>0.24056162327968722</v>
      </c>
      <c r="E111" s="3">
        <f t="shared" ca="1" si="19"/>
        <v>0.7907787866356214</v>
      </c>
      <c r="F111" s="3">
        <f t="shared" ca="1" si="19"/>
        <v>0.54972888997113833</v>
      </c>
      <c r="G111" s="36">
        <f t="shared" ca="1" si="12"/>
        <v>57827.051734078006</v>
      </c>
      <c r="H111" s="37">
        <f t="shared" ca="1" si="13"/>
        <v>0.14463917870820511</v>
      </c>
      <c r="I111" s="37">
        <f t="shared" ca="1" si="14"/>
        <v>6.7745219308828666E-2</v>
      </c>
      <c r="J111" s="38">
        <f t="shared" ca="1" si="15"/>
        <v>3.7062574804409387E-2</v>
      </c>
      <c r="K111" s="36">
        <f t="shared" ca="1" si="16"/>
        <v>1576.5464548746672</v>
      </c>
      <c r="L111" s="36">
        <f ca="1">Assumptions!$C$10*Assumptions!$C$13*I111*Assumptions!$C$15</f>
        <v>4698.3915176030705</v>
      </c>
      <c r="M111" s="36">
        <f ca="1">G111*(1+H111*Assumptions!$C$6)*(1+J111)+L111+K111</f>
        <v>67980.019290802302</v>
      </c>
    </row>
    <row r="112" spans="1:13" x14ac:dyDescent="0.25">
      <c r="A112" s="3">
        <v>99</v>
      </c>
      <c r="B112" s="3">
        <f t="shared" ca="1" si="19"/>
        <v>0.74751439438283795</v>
      </c>
      <c r="C112" s="3">
        <f t="shared" ca="1" si="19"/>
        <v>0.73110260549090778</v>
      </c>
      <c r="D112" s="3">
        <f t="shared" ca="1" si="19"/>
        <v>0.22899327598910613</v>
      </c>
      <c r="E112" s="3">
        <f t="shared" ca="1" si="19"/>
        <v>0.83635228744200019</v>
      </c>
      <c r="F112" s="3">
        <f t="shared" ca="1" si="19"/>
        <v>0.47280041500227843</v>
      </c>
      <c r="G112" s="36">
        <f t="shared" ca="1" si="12"/>
        <v>58116.453727809734</v>
      </c>
      <c r="H112" s="37">
        <f t="shared" ca="1" si="13"/>
        <v>0.16170018777284773</v>
      </c>
      <c r="I112" s="37">
        <f t="shared" ca="1" si="14"/>
        <v>6.7069881476747167E-2</v>
      </c>
      <c r="J112" s="38">
        <f t="shared" ca="1" si="15"/>
        <v>3.8558052174284319E-2</v>
      </c>
      <c r="K112" s="36">
        <f t="shared" ca="1" si="16"/>
        <v>1458.6301338962708</v>
      </c>
      <c r="L112" s="36">
        <f ca="1">Assumptions!$C$10*Assumptions!$C$13*I112*Assumptions!$C$15</f>
        <v>4651.5542414950187</v>
      </c>
      <c r="M112" s="36">
        <f ca="1">G112*(1+H112*Assumptions!$C$6)*(1+J112)+L112+K112</f>
        <v>68419.45306209987</v>
      </c>
    </row>
    <row r="113" spans="1:13" x14ac:dyDescent="0.25">
      <c r="A113" s="3">
        <v>100</v>
      </c>
      <c r="B113" s="3">
        <f t="shared" ca="1" si="19"/>
        <v>0.76876872190570544</v>
      </c>
      <c r="C113" s="3">
        <f t="shared" ca="1" si="19"/>
        <v>0.41092196986215679</v>
      </c>
      <c r="D113" s="3">
        <f t="shared" ca="1" si="19"/>
        <v>0.12663037805322586</v>
      </c>
      <c r="E113" s="3">
        <f t="shared" ca="1" si="19"/>
        <v>0.6755528716045085</v>
      </c>
      <c r="F113" s="3">
        <f t="shared" ca="1" si="19"/>
        <v>1.9274876842205635E-2</v>
      </c>
      <c r="G113" s="36">
        <f t="shared" ca="1" si="12"/>
        <v>58143.680246192424</v>
      </c>
      <c r="H113" s="37">
        <f t="shared" ca="1" si="13"/>
        <v>0.12410789894413499</v>
      </c>
      <c r="I113" s="37">
        <f t="shared" ca="1" si="14"/>
        <v>6.0130007694244002E-2</v>
      </c>
      <c r="J113" s="38">
        <f t="shared" ca="1" si="15"/>
        <v>3.3889205397734309E-2</v>
      </c>
      <c r="K113" s="36">
        <f t="shared" ca="1" si="16"/>
        <v>294.51136784498721</v>
      </c>
      <c r="L113" s="36">
        <f ca="1">Assumptions!$C$10*Assumptions!$C$13*I113*Assumptions!$C$15</f>
        <v>4170.2473028561835</v>
      </c>
      <c r="M113" s="36">
        <f ca="1">G113*(1+H113*Assumptions!$C$6)*(1+J113)+L113+K113</f>
        <v>66071.009548966962</v>
      </c>
    </row>
    <row r="114" spans="1:13" x14ac:dyDescent="0.25">
      <c r="A114" s="3">
        <v>101</v>
      </c>
      <c r="B114" s="3">
        <f t="shared" ref="B114:F123" ca="1" si="20">RAND()</f>
        <v>0.84325239132555241</v>
      </c>
      <c r="C114" s="3">
        <f t="shared" ca="1" si="20"/>
        <v>0.16202374564820643</v>
      </c>
      <c r="D114" s="3">
        <f t="shared" ca="1" si="20"/>
        <v>2.3566072094272084E-2</v>
      </c>
      <c r="E114" s="3">
        <f t="shared" ca="1" si="20"/>
        <v>0.11334692378471767</v>
      </c>
      <c r="F114" s="3">
        <f t="shared" ca="1" si="20"/>
        <v>0.43213587630195394</v>
      </c>
      <c r="G114" s="36">
        <f t="shared" ca="1" si="12"/>
        <v>58250.68954333946</v>
      </c>
      <c r="H114" s="37">
        <f t="shared" ca="1" si="13"/>
        <v>9.6421070831263098E-2</v>
      </c>
      <c r="I114" s="37">
        <f t="shared" ca="1" si="14"/>
        <v>4.8683975512498333E-2</v>
      </c>
      <c r="J114" s="38">
        <f t="shared" ca="1" si="15"/>
        <v>1.9522475467428316E-2</v>
      </c>
      <c r="K114" s="36">
        <f t="shared" ca="1" si="16"/>
        <v>1394.4932568351819</v>
      </c>
      <c r="L114" s="36">
        <f ca="1">Assumptions!$C$10*Assumptions!$C$13*I114*Assumptions!$C$15</f>
        <v>3376.4209478514226</v>
      </c>
      <c r="M114" s="36">
        <f ca="1">G114*(1+H114*Assumptions!$C$6)*(1+J114)+L114+K114</f>
        <v>65304.050141260297</v>
      </c>
    </row>
    <row r="115" spans="1:13" x14ac:dyDescent="0.25">
      <c r="A115" s="3">
        <v>102</v>
      </c>
      <c r="B115" s="3">
        <f t="shared" ca="1" si="20"/>
        <v>0.39204518052171089</v>
      </c>
      <c r="C115" s="3">
        <f t="shared" ca="1" si="20"/>
        <v>0.70399160479142708</v>
      </c>
      <c r="D115" s="3">
        <f t="shared" ca="1" si="20"/>
        <v>0.63108889262882084</v>
      </c>
      <c r="E115" s="3">
        <f t="shared" ca="1" si="20"/>
        <v>0.14388636398038823</v>
      </c>
      <c r="F115" s="3">
        <f t="shared" ca="1" si="20"/>
        <v>0.42779418211287246</v>
      </c>
      <c r="G115" s="36">
        <f t="shared" ca="1" si="12"/>
        <v>57766.711097755157</v>
      </c>
      <c r="H115" s="37">
        <f t="shared" ca="1" si="13"/>
        <v>0.15784775468220322</v>
      </c>
      <c r="I115" s="37">
        <f t="shared" ca="1" si="14"/>
        <v>8.5641368717776695E-2</v>
      </c>
      <c r="J115" s="38">
        <f t="shared" ca="1" si="15"/>
        <v>2.0728890491766169E-2</v>
      </c>
      <c r="K115" s="36">
        <f t="shared" ca="1" si="16"/>
        <v>1387.4702950001943</v>
      </c>
      <c r="L115" s="36">
        <f ca="1">Assumptions!$C$10*Assumptions!$C$13*I115*Assumptions!$C$15</f>
        <v>5939.5583104574971</v>
      </c>
      <c r="M115" s="36">
        <f ca="1">G115*(1+H115*Assumptions!$C$6)*(1+J115)+L115+K115</f>
        <v>68152.651297715405</v>
      </c>
    </row>
    <row r="116" spans="1:13" x14ac:dyDescent="0.25">
      <c r="A116" s="3">
        <v>103</v>
      </c>
      <c r="B116" s="3">
        <f t="shared" ca="1" si="20"/>
        <v>0.36510310501955057</v>
      </c>
      <c r="C116" s="3">
        <f t="shared" ca="1" si="20"/>
        <v>0.62866357476086598</v>
      </c>
      <c r="D116" s="3">
        <f t="shared" ca="1" si="20"/>
        <v>0.6553040460068007</v>
      </c>
      <c r="E116" s="3">
        <f t="shared" ca="1" si="20"/>
        <v>0.14930182475891374</v>
      </c>
      <c r="F116" s="3">
        <f t="shared" ca="1" si="20"/>
        <v>0.20339901040769126</v>
      </c>
      <c r="G116" s="36">
        <f t="shared" ca="1" si="12"/>
        <v>57743.394564765826</v>
      </c>
      <c r="H116" s="37">
        <f t="shared" ca="1" si="13"/>
        <v>0.14798657437388685</v>
      </c>
      <c r="I116" s="37">
        <f t="shared" ca="1" si="14"/>
        <v>8.6788148910693974E-2</v>
      </c>
      <c r="J116" s="38">
        <f t="shared" ca="1" si="15"/>
        <v>2.0928927660440022E-2</v>
      </c>
      <c r="K116" s="36">
        <f t="shared" ca="1" si="16"/>
        <v>956.71079581794766</v>
      </c>
      <c r="L116" s="36">
        <f ca="1">Assumptions!$C$10*Assumptions!$C$13*I116*Assumptions!$C$15</f>
        <v>6019.09192752936</v>
      </c>
      <c r="M116" s="36">
        <f ca="1">G116*(1+H116*Assumptions!$C$6)*(1+J116)+L116+K116</f>
        <v>67672.522618606075</v>
      </c>
    </row>
    <row r="117" spans="1:13" x14ac:dyDescent="0.25">
      <c r="A117" s="3">
        <v>104</v>
      </c>
      <c r="B117" s="3">
        <f t="shared" ca="1" si="20"/>
        <v>0.31113595156883023</v>
      </c>
      <c r="C117" s="3">
        <f t="shared" ca="1" si="20"/>
        <v>0.58986872806556323</v>
      </c>
      <c r="D117" s="3">
        <f t="shared" ca="1" si="20"/>
        <v>0.65821450570949547</v>
      </c>
      <c r="E117" s="3">
        <f t="shared" ca="1" si="20"/>
        <v>0.81832787350409131</v>
      </c>
      <c r="F117" s="3">
        <f t="shared" ca="1" si="20"/>
        <v>0.86987824679873726</v>
      </c>
      <c r="G117" s="36">
        <f t="shared" ca="1" si="12"/>
        <v>57693.942937824118</v>
      </c>
      <c r="H117" s="37">
        <f t="shared" ca="1" si="13"/>
        <v>0.14329946742594868</v>
      </c>
      <c r="I117" s="37">
        <f t="shared" ca="1" si="14"/>
        <v>8.6928659208770881E-2</v>
      </c>
      <c r="J117" s="38">
        <f t="shared" ca="1" si="15"/>
        <v>3.7944391297129502E-2</v>
      </c>
      <c r="K117" s="36">
        <f t="shared" ca="1" si="16"/>
        <v>2234.7889902741322</v>
      </c>
      <c r="L117" s="36">
        <f ca="1">Assumptions!$C$10*Assumptions!$C$13*I117*Assumptions!$C$15</f>
        <v>6028.8368571252167</v>
      </c>
      <c r="M117" s="36">
        <f ca="1">G117*(1+H117*Assumptions!$C$6)*(1+J117)+L117+K117</f>
        <v>69862.973727608231</v>
      </c>
    </row>
    <row r="118" spans="1:13" x14ac:dyDescent="0.25">
      <c r="A118" s="3">
        <v>105</v>
      </c>
      <c r="B118" s="3">
        <f t="shared" ca="1" si="20"/>
        <v>0.99117545121471506</v>
      </c>
      <c r="C118" s="3">
        <f t="shared" ca="1" si="20"/>
        <v>0.37732075274931431</v>
      </c>
      <c r="D118" s="3">
        <f t="shared" ca="1" si="20"/>
        <v>0.66675934499323097</v>
      </c>
      <c r="E118" s="3">
        <f t="shared" ca="1" si="20"/>
        <v>0.40275559001279326</v>
      </c>
      <c r="F118" s="3">
        <f t="shared" ca="1" si="20"/>
        <v>0.2302471354507214</v>
      </c>
      <c r="G118" s="36">
        <f t="shared" ca="1" si="12"/>
        <v>58631.072319457868</v>
      </c>
      <c r="H118" s="37">
        <f t="shared" ca="1" si="13"/>
        <v>0.12084847110793905</v>
      </c>
      <c r="I118" s="37">
        <f t="shared" ca="1" si="14"/>
        <v>8.7344677370730803E-2</v>
      </c>
      <c r="J118" s="38">
        <f t="shared" ca="1" si="15"/>
        <v>2.7950054930563149E-2</v>
      </c>
      <c r="K118" s="36">
        <f t="shared" ca="1" si="16"/>
        <v>1017.8959227387868</v>
      </c>
      <c r="L118" s="36">
        <f ca="1">Assumptions!$C$10*Assumptions!$C$13*I118*Assumptions!$C$15</f>
        <v>6057.6893167269909</v>
      </c>
      <c r="M118" s="36">
        <f ca="1">G118*(1+H118*Assumptions!$C$6)*(1+J118)+L118+K118</f>
        <v>68802.102226338422</v>
      </c>
    </row>
    <row r="119" spans="1:13" x14ac:dyDescent="0.25">
      <c r="A119" s="3">
        <v>106</v>
      </c>
      <c r="B119" s="3">
        <f t="shared" ca="1" si="20"/>
        <v>0.1367699320591359</v>
      </c>
      <c r="C119" s="3">
        <f t="shared" ca="1" si="20"/>
        <v>0.79824809935541408</v>
      </c>
      <c r="D119" s="3">
        <f t="shared" ca="1" si="20"/>
        <v>0.8537858814749234</v>
      </c>
      <c r="E119" s="3">
        <f t="shared" ca="1" si="20"/>
        <v>0.50142542014465441</v>
      </c>
      <c r="F119" s="3">
        <f t="shared" ca="1" si="20"/>
        <v>0.97515832170599026</v>
      </c>
      <c r="G119" s="36">
        <f t="shared" ca="1" si="12"/>
        <v>57493.790232841602</v>
      </c>
      <c r="H119" s="37">
        <f t="shared" ca="1" si="13"/>
        <v>0.17217711791219309</v>
      </c>
      <c r="I119" s="37">
        <f t="shared" ca="1" si="14"/>
        <v>9.8369346304832919E-2</v>
      </c>
      <c r="J119" s="38">
        <f t="shared" ca="1" si="15"/>
        <v>3.0028528750132691E-2</v>
      </c>
      <c r="K119" s="36">
        <f t="shared" ca="1" si="16"/>
        <v>2665.6535444736346</v>
      </c>
      <c r="L119" s="36">
        <f ca="1">Assumptions!$C$10*Assumptions!$C$13*I119*Assumptions!$C$15</f>
        <v>6822.2925098797959</v>
      </c>
      <c r="M119" s="36">
        <f ca="1">G119*(1+H119*Assumptions!$C$6)*(1+J119)+L119+K119</f>
        <v>70747.464412660876</v>
      </c>
    </row>
    <row r="120" spans="1:13" x14ac:dyDescent="0.25">
      <c r="A120" s="3">
        <v>107</v>
      </c>
      <c r="B120" s="3">
        <f t="shared" ca="1" si="20"/>
        <v>0.82705399464656237</v>
      </c>
      <c r="C120" s="3">
        <f t="shared" ca="1" si="20"/>
        <v>0.16376952667650324</v>
      </c>
      <c r="D120" s="3">
        <f t="shared" ca="1" si="20"/>
        <v>0.36509924195726551</v>
      </c>
      <c r="E120" s="3">
        <f t="shared" ca="1" si="20"/>
        <v>0.82733385912172663</v>
      </c>
      <c r="F120" s="3">
        <f t="shared" ca="1" si="20"/>
        <v>0.59664255266301303</v>
      </c>
      <c r="G120" s="36">
        <f t="shared" ca="1" si="12"/>
        <v>58225.554282177145</v>
      </c>
      <c r="H120" s="37">
        <f t="shared" ca="1" si="13"/>
        <v>9.6670490728055281E-2</v>
      </c>
      <c r="I120" s="37">
        <f t="shared" ca="1" si="14"/>
        <v>7.4180660822506767E-2</v>
      </c>
      <c r="J120" s="38">
        <f t="shared" ca="1" si="15"/>
        <v>3.824700409671565E-2</v>
      </c>
      <c r="K120" s="36">
        <f t="shared" ca="1" si="16"/>
        <v>1652.740369113495</v>
      </c>
      <c r="L120" s="36">
        <f ca="1">Assumptions!$C$10*Assumptions!$C$13*I120*Assumptions!$C$15</f>
        <v>5144.7141382747768</v>
      </c>
      <c r="M120" s="36">
        <f ca="1">G120*(1+H120*Assumptions!$C$6)*(1+J120)+L120+K120</f>
        <v>68418.756511925778</v>
      </c>
    </row>
    <row r="121" spans="1:13" x14ac:dyDescent="0.25">
      <c r="A121" s="3">
        <v>108</v>
      </c>
      <c r="B121" s="3">
        <f t="shared" ca="1" si="20"/>
        <v>0.58856573876576723</v>
      </c>
      <c r="C121" s="3">
        <f t="shared" ca="1" si="20"/>
        <v>0.46045670125561589</v>
      </c>
      <c r="D121" s="3">
        <f t="shared" ca="1" si="20"/>
        <v>0.12950509366216723</v>
      </c>
      <c r="E121" s="3">
        <f t="shared" ca="1" si="20"/>
        <v>0.53373660764148279</v>
      </c>
      <c r="F121" s="3">
        <f t="shared" ca="1" si="20"/>
        <v>5.1670917214123313E-2</v>
      </c>
      <c r="G121" s="36">
        <f t="shared" ca="1" si="12"/>
        <v>57941.422658819516</v>
      </c>
      <c r="H121" s="37">
        <f t="shared" ca="1" si="13"/>
        <v>0.12908747946524721</v>
      </c>
      <c r="I121" s="37">
        <f t="shared" ca="1" si="14"/>
        <v>6.035721738644393E-2</v>
      </c>
      <c r="J121" s="38">
        <f t="shared" ca="1" si="15"/>
        <v>3.0686514714148207E-2</v>
      </c>
      <c r="K121" s="36">
        <f t="shared" ca="1" si="16"/>
        <v>482.20237189747928</v>
      </c>
      <c r="L121" s="36">
        <f ca="1">Assumptions!$C$10*Assumptions!$C$13*I121*Assumptions!$C$15</f>
        <v>4186.0051688936801</v>
      </c>
      <c r="M121" s="36">
        <f ca="1">G121*(1+H121*Assumptions!$C$6)*(1+J121)+L121+K121</f>
        <v>65929.456992403721</v>
      </c>
    </row>
    <row r="122" spans="1:13" x14ac:dyDescent="0.25">
      <c r="A122" s="3">
        <v>109</v>
      </c>
      <c r="B122" s="3">
        <f t="shared" ca="1" si="20"/>
        <v>0.26095953150793205</v>
      </c>
      <c r="C122" s="3">
        <f t="shared" ca="1" si="20"/>
        <v>0.67095639408355212</v>
      </c>
      <c r="D122" s="3">
        <f t="shared" ca="1" si="20"/>
        <v>0.56544662714475258</v>
      </c>
      <c r="E122" s="3">
        <f t="shared" ca="1" si="20"/>
        <v>1.1132296473523873E-3</v>
      </c>
      <c r="F122" s="3">
        <f t="shared" ca="1" si="20"/>
        <v>0.18859067442501221</v>
      </c>
      <c r="G122" s="36">
        <f t="shared" ca="1" si="12"/>
        <v>57643.946524949257</v>
      </c>
      <c r="H122" s="37">
        <f t="shared" ca="1" si="13"/>
        <v>0.15338479224238383</v>
      </c>
      <c r="I122" s="37">
        <f t="shared" ca="1" si="14"/>
        <v>8.2709642088915375E-2</v>
      </c>
      <c r="J122" s="38">
        <f t="shared" ca="1" si="15"/>
        <v>1.0943707432354916E-2</v>
      </c>
      <c r="K122" s="36">
        <f t="shared" ca="1" si="16"/>
        <v>921.22637549765966</v>
      </c>
      <c r="L122" s="36">
        <f ca="1">Assumptions!$C$10*Assumptions!$C$13*I122*Assumptions!$C$15</f>
        <v>5736.2317928743141</v>
      </c>
      <c r="M122" s="36">
        <f ca="1">G122*(1+H122*Assumptions!$C$6)*(1+J122)+L122+K122</f>
        <v>66719.936337711857</v>
      </c>
    </row>
    <row r="123" spans="1:13" x14ac:dyDescent="0.25">
      <c r="A123" s="3">
        <v>110</v>
      </c>
      <c r="B123" s="3">
        <f t="shared" ca="1" si="20"/>
        <v>0.51186482091282792</v>
      </c>
      <c r="C123" s="3">
        <f t="shared" ca="1" si="20"/>
        <v>0.13862777731157716</v>
      </c>
      <c r="D123" s="3">
        <f t="shared" ca="1" si="20"/>
        <v>0.23364340866650235</v>
      </c>
      <c r="E123" s="3">
        <f t="shared" ca="1" si="20"/>
        <v>5.2150081154585637E-2</v>
      </c>
      <c r="F123" s="3">
        <f t="shared" ca="1" si="20"/>
        <v>0.51971102261432855</v>
      </c>
      <c r="G123" s="36">
        <f t="shared" ca="1" si="12"/>
        <v>57869.326116976663</v>
      </c>
      <c r="H123" s="37">
        <f t="shared" ca="1" si="13"/>
        <v>9.2938903551953639E-2</v>
      </c>
      <c r="I123" s="37">
        <f t="shared" ca="1" si="14"/>
        <v>6.7343352167077236E-2</v>
      </c>
      <c r="J123" s="38">
        <f t="shared" ca="1" si="15"/>
        <v>1.6459107130530389E-2</v>
      </c>
      <c r="K123" s="36">
        <f t="shared" ca="1" si="16"/>
        <v>1529.8638164321233</v>
      </c>
      <c r="L123" s="36">
        <f ca="1">Assumptions!$C$10*Assumptions!$C$13*I123*Assumptions!$C$15</f>
        <v>4670.5204856797563</v>
      </c>
      <c r="M123" s="36">
        <f ca="1">G123*(1+H123*Assumptions!$C$6)*(1+J123)+L123+K123</f>
        <v>66115.554642691481</v>
      </c>
    </row>
    <row r="124" spans="1:13" x14ac:dyDescent="0.25">
      <c r="A124" s="3">
        <v>111</v>
      </c>
      <c r="B124" s="3">
        <f t="shared" ref="B124:F133" ca="1" si="21">RAND()</f>
        <v>0.27879031829610723</v>
      </c>
      <c r="C124" s="3">
        <f t="shared" ca="1" si="21"/>
        <v>0.25986293637995372</v>
      </c>
      <c r="D124" s="3">
        <f t="shared" ca="1" si="21"/>
        <v>2.0866693772325307E-2</v>
      </c>
      <c r="E124" s="3">
        <f t="shared" ca="1" si="21"/>
        <v>0.21624318787608199</v>
      </c>
      <c r="F124" s="3">
        <f t="shared" ca="1" si="21"/>
        <v>0.24661720690919187</v>
      </c>
      <c r="G124" s="36">
        <f t="shared" ca="1" si="12"/>
        <v>57662.222819033144</v>
      </c>
      <c r="H124" s="37">
        <f t="shared" ca="1" si="13"/>
        <v>0.10878925968111339</v>
      </c>
      <c r="I124" s="37">
        <f t="shared" ca="1" si="14"/>
        <v>4.817150047858048E-2</v>
      </c>
      <c r="J124" s="38">
        <f t="shared" ca="1" si="15"/>
        <v>2.315273926985803E-2</v>
      </c>
      <c r="K124" s="36">
        <f t="shared" ca="1" si="16"/>
        <v>1053.4597434602631</v>
      </c>
      <c r="L124" s="36">
        <f ca="1">Assumptions!$C$10*Assumptions!$C$13*I124*Assumptions!$C$15</f>
        <v>3340.8788331913966</v>
      </c>
      <c r="M124" s="36">
        <f ca="1">G124*(1+H124*Assumptions!$C$6)*(1+J124)+L124+K124</f>
        <v>64675.253480812426</v>
      </c>
    </row>
    <row r="125" spans="1:13" x14ac:dyDescent="0.25">
      <c r="A125" s="3">
        <v>112</v>
      </c>
      <c r="B125" s="3">
        <f t="shared" ca="1" si="21"/>
        <v>0.42540231192775158</v>
      </c>
      <c r="C125" s="3">
        <f t="shared" ca="1" si="21"/>
        <v>0.62031791910196443</v>
      </c>
      <c r="D125" s="3">
        <f t="shared" ca="1" si="21"/>
        <v>0.61157699068711358</v>
      </c>
      <c r="E125" s="3">
        <f t="shared" ca="1" si="21"/>
        <v>0.41005594925129862</v>
      </c>
      <c r="F125" s="3">
        <f t="shared" ca="1" si="21"/>
        <v>0.5130480322733777</v>
      </c>
      <c r="G125" s="36">
        <f t="shared" ca="1" si="12"/>
        <v>57794.558853331306</v>
      </c>
      <c r="H125" s="37">
        <f t="shared" ca="1" si="13"/>
        <v>0.14695833490056615</v>
      </c>
      <c r="I125" s="37">
        <f t="shared" ca="1" si="14"/>
        <v>8.4744452496078912E-2</v>
      </c>
      <c r="J125" s="38">
        <f t="shared" ca="1" si="15"/>
        <v>2.8112005946361623E-2</v>
      </c>
      <c r="K125" s="36">
        <f t="shared" ca="1" si="16"/>
        <v>1519.7014305317321</v>
      </c>
      <c r="L125" s="36">
        <f ca="1">Assumptions!$C$10*Assumptions!$C$13*I125*Assumptions!$C$15</f>
        <v>5877.3537208049793</v>
      </c>
      <c r="M125" s="36">
        <f ca="1">G125*(1+H125*Assumptions!$C$6)*(1+J125)+L125+K125</f>
        <v>68562.766671942896</v>
      </c>
    </row>
    <row r="126" spans="1:13" x14ac:dyDescent="0.25">
      <c r="A126" s="3">
        <v>113</v>
      </c>
      <c r="B126" s="3">
        <f t="shared" ca="1" si="21"/>
        <v>0.45329483463553311</v>
      </c>
      <c r="C126" s="3">
        <f t="shared" ca="1" si="21"/>
        <v>0.76852181040343803</v>
      </c>
      <c r="D126" s="3">
        <f t="shared" ca="1" si="21"/>
        <v>0.46676160052887417</v>
      </c>
      <c r="E126" s="3">
        <f t="shared" ca="1" si="21"/>
        <v>0.16633788437691222</v>
      </c>
      <c r="F126" s="3">
        <f t="shared" ca="1" si="21"/>
        <v>0.8798421201966895</v>
      </c>
      <c r="G126" s="36">
        <f t="shared" ca="1" si="12"/>
        <v>57818.022494440695</v>
      </c>
      <c r="H126" s="37">
        <f t="shared" ca="1" si="13"/>
        <v>0.16735220083993174</v>
      </c>
      <c r="I126" s="37">
        <f t="shared" ca="1" si="14"/>
        <v>7.8647601758613656E-2</v>
      </c>
      <c r="J126" s="38">
        <f t="shared" ca="1" si="15"/>
        <v>2.1535610408709618E-2</v>
      </c>
      <c r="K126" s="36">
        <f t="shared" ca="1" si="16"/>
        <v>2264.6698298621923</v>
      </c>
      <c r="L126" s="36">
        <f ca="1">Assumptions!$C$10*Assumptions!$C$13*I126*Assumptions!$C$15</f>
        <v>5454.5136727358513</v>
      </c>
      <c r="M126" s="36">
        <f ca="1">G126*(1+H126*Assumptions!$C$6)*(1+J126)+L126+K126</f>
        <v>68759.222664929781</v>
      </c>
    </row>
    <row r="127" spans="1:13" x14ac:dyDescent="0.25">
      <c r="A127" s="3">
        <v>114</v>
      </c>
      <c r="B127" s="3">
        <f t="shared" ca="1" si="21"/>
        <v>0.43918306825648212</v>
      </c>
      <c r="C127" s="3">
        <f t="shared" ca="1" si="21"/>
        <v>4.2415186611806543E-2</v>
      </c>
      <c r="D127" s="3">
        <f t="shared" ca="1" si="21"/>
        <v>0.37951327913521415</v>
      </c>
      <c r="E127" s="3">
        <f t="shared" ca="1" si="21"/>
        <v>0.11266658710796396</v>
      </c>
      <c r="F127" s="3">
        <f t="shared" ca="1" si="21"/>
        <v>0.68091315410343289</v>
      </c>
      <c r="G127" s="36">
        <f t="shared" ca="1" si="12"/>
        <v>57806.078503401186</v>
      </c>
      <c r="H127" s="37">
        <f t="shared" ca="1" si="13"/>
        <v>7.3751252218294233E-2</v>
      </c>
      <c r="I127" s="37">
        <f t="shared" ca="1" si="14"/>
        <v>7.4848852107819636E-2</v>
      </c>
      <c r="J127" s="38">
        <f t="shared" ca="1" si="15"/>
        <v>1.9493854311414892E-2</v>
      </c>
      <c r="K127" s="36">
        <f t="shared" ca="1" si="16"/>
        <v>1801.7133871504063</v>
      </c>
      <c r="L127" s="36">
        <f ca="1">Assumptions!$C$10*Assumptions!$C$13*I127*Assumptions!$C$15</f>
        <v>5191.0557738777052</v>
      </c>
      <c r="M127" s="36">
        <f ca="1">G127*(1+H127*Assumptions!$C$6)*(1+J127)+L127+K127</f>
        <v>66794.98658766727</v>
      </c>
    </row>
    <row r="128" spans="1:13" x14ac:dyDescent="0.25">
      <c r="A128" s="3">
        <v>115</v>
      </c>
      <c r="B128" s="3">
        <f t="shared" ca="1" si="21"/>
        <v>0.50659857559950938</v>
      </c>
      <c r="C128" s="3">
        <f t="shared" ca="1" si="21"/>
        <v>0.31014046517503413</v>
      </c>
      <c r="D128" s="3">
        <f t="shared" ca="1" si="21"/>
        <v>0.41235784321001645</v>
      </c>
      <c r="E128" s="3">
        <f t="shared" ca="1" si="21"/>
        <v>0.13538662954764957</v>
      </c>
      <c r="F128" s="3">
        <f t="shared" ca="1" si="21"/>
        <v>0.7750641411838175</v>
      </c>
      <c r="G128" s="36">
        <f t="shared" ca="1" si="12"/>
        <v>57864.591499737333</v>
      </c>
      <c r="H128" s="37">
        <f t="shared" ca="1" si="13"/>
        <v>0.11422513672097517</v>
      </c>
      <c r="I128" s="37">
        <f t="shared" ca="1" si="14"/>
        <v>7.6325543330720502E-2</v>
      </c>
      <c r="J128" s="38">
        <f t="shared" ca="1" si="15"/>
        <v>2.0407175584091952E-2</v>
      </c>
      <c r="K128" s="36">
        <f t="shared" ca="1" si="16"/>
        <v>1993.9128443952675</v>
      </c>
      <c r="L128" s="36">
        <f ca="1">Assumptions!$C$10*Assumptions!$C$13*I128*Assumptions!$C$15</f>
        <v>5293.4699897675073</v>
      </c>
      <c r="M128" s="36">
        <f ca="1">G128*(1+H128*Assumptions!$C$6)*(1+J128)+L128+K128</f>
        <v>67681.722004115683</v>
      </c>
    </row>
    <row r="129" spans="1:13" x14ac:dyDescent="0.25">
      <c r="A129" s="3">
        <v>116</v>
      </c>
      <c r="B129" s="3">
        <f t="shared" ca="1" si="21"/>
        <v>0.56668343291021195</v>
      </c>
      <c r="C129" s="3">
        <f t="shared" ca="1" si="21"/>
        <v>0.97289611871081627</v>
      </c>
      <c r="D129" s="3">
        <f t="shared" ca="1" si="21"/>
        <v>0.8699665027258543</v>
      </c>
      <c r="E129" s="3">
        <f t="shared" ca="1" si="21"/>
        <v>0.61845293495858633</v>
      </c>
      <c r="F129" s="3">
        <f t="shared" ca="1" si="21"/>
        <v>0.6166352723562295</v>
      </c>
      <c r="G129" s="36">
        <f t="shared" ca="1" si="12"/>
        <v>57920.214611501375</v>
      </c>
      <c r="H129" s="37">
        <f t="shared" ca="1" si="13"/>
        <v>0.21514102790955769</v>
      </c>
      <c r="I129" s="37">
        <f t="shared" ca="1" si="14"/>
        <v>9.9601294372503285E-2</v>
      </c>
      <c r="J129" s="38">
        <f t="shared" ca="1" si="15"/>
        <v>3.2528948170383931E-2</v>
      </c>
      <c r="K129" s="36">
        <f t="shared" ca="1" si="16"/>
        <v>1686.5536652009846</v>
      </c>
      <c r="L129" s="36">
        <f ca="1">Assumptions!$C$10*Assumptions!$C$13*I129*Assumptions!$C$15</f>
        <v>6907.7328466345352</v>
      </c>
      <c r="M129" s="36">
        <f ca="1">G129*(1+H129*Assumptions!$C$6)*(1+J129)+L129+K129</f>
        <v>70971.856423121979</v>
      </c>
    </row>
    <row r="130" spans="1:13" x14ac:dyDescent="0.25">
      <c r="A130" s="3">
        <v>117</v>
      </c>
      <c r="B130" s="3">
        <f t="shared" ca="1" si="21"/>
        <v>0.63989752289077106</v>
      </c>
      <c r="C130" s="3">
        <f t="shared" ca="1" si="21"/>
        <v>8.8548135030798725E-2</v>
      </c>
      <c r="D130" s="3">
        <f t="shared" ca="1" si="21"/>
        <v>0.88580532152094171</v>
      </c>
      <c r="E130" s="3">
        <f t="shared" ca="1" si="21"/>
        <v>0.51749537583998895</v>
      </c>
      <c r="F130" s="3">
        <f t="shared" ca="1" si="21"/>
        <v>0.69879838171903963</v>
      </c>
      <c r="G130" s="36">
        <f t="shared" ca="1" si="12"/>
        <v>57993.504248345089</v>
      </c>
      <c r="H130" s="37">
        <f t="shared" ca="1" si="13"/>
        <v>8.4317491107445824E-2</v>
      </c>
      <c r="I130" s="37">
        <f t="shared" ca="1" si="14"/>
        <v>0.10088396037007177</v>
      </c>
      <c r="J130" s="38">
        <f t="shared" ca="1" si="15"/>
        <v>3.0353023150418056E-2</v>
      </c>
      <c r="K130" s="36">
        <f t="shared" ca="1" si="16"/>
        <v>1835.7803977494962</v>
      </c>
      <c r="L130" s="36">
        <f ca="1">Assumptions!$C$10*Assumptions!$C$13*I130*Assumptions!$C$15</f>
        <v>6996.6906668966694</v>
      </c>
      <c r="M130" s="36">
        <f ca="1">G130*(1+H130*Assumptions!$C$6)*(1+J130)+L130+K130</f>
        <v>69593.911293672616</v>
      </c>
    </row>
    <row r="131" spans="1:13" x14ac:dyDescent="0.25">
      <c r="A131" s="3">
        <v>118</v>
      </c>
      <c r="B131" s="3">
        <f t="shared" ca="1" si="21"/>
        <v>0.18896510365767305</v>
      </c>
      <c r="C131" s="3">
        <f t="shared" ca="1" si="21"/>
        <v>7.6627662341873237E-2</v>
      </c>
      <c r="D131" s="3">
        <f t="shared" ca="1" si="21"/>
        <v>0.46103673166394288</v>
      </c>
      <c r="E131" s="3">
        <f t="shared" ca="1" si="21"/>
        <v>0.26171406718331114</v>
      </c>
      <c r="F131" s="3">
        <f t="shared" ca="1" si="21"/>
        <v>0.77241637317706402</v>
      </c>
      <c r="G131" s="36">
        <f t="shared" ca="1" si="12"/>
        <v>57562.871487672164</v>
      </c>
      <c r="H131" s="37">
        <f t="shared" ca="1" si="13"/>
        <v>8.1924096058415094E-2</v>
      </c>
      <c r="I131" s="37">
        <f t="shared" ca="1" si="14"/>
        <v>7.8409862552795168E-2</v>
      </c>
      <c r="J131" s="38">
        <f t="shared" ca="1" si="15"/>
        <v>2.4469666677109356E-2</v>
      </c>
      <c r="K131" s="36">
        <f t="shared" ca="1" si="16"/>
        <v>1988.0087348681254</v>
      </c>
      <c r="L131" s="36">
        <f ca="1">Assumptions!$C$10*Assumptions!$C$13*I131*Assumptions!$C$15</f>
        <v>5438.0255444307786</v>
      </c>
      <c r="M131" s="36">
        <f ca="1">G131*(1+H131*Assumptions!$C$6)*(1+J131)+L131+K131</f>
        <v>67363.686031233825</v>
      </c>
    </row>
    <row r="132" spans="1:13" x14ac:dyDescent="0.25">
      <c r="A132" s="3">
        <v>119</v>
      </c>
      <c r="B132" s="3">
        <f t="shared" ca="1" si="21"/>
        <v>0.41972750613995391</v>
      </c>
      <c r="C132" s="3">
        <f t="shared" ca="1" si="21"/>
        <v>0.38809648634042848</v>
      </c>
      <c r="D132" s="3">
        <f t="shared" ca="1" si="21"/>
        <v>0.14927982828138131</v>
      </c>
      <c r="E132" s="3">
        <f t="shared" ca="1" si="21"/>
        <v>0.16245111316170713</v>
      </c>
      <c r="F132" s="3">
        <f t="shared" ca="1" si="21"/>
        <v>0.71880994541602283</v>
      </c>
      <c r="G132" s="36">
        <f t="shared" ca="1" si="12"/>
        <v>57789.855352703242</v>
      </c>
      <c r="H132" s="37">
        <f t="shared" ca="1" si="13"/>
        <v>0.12188395489418793</v>
      </c>
      <c r="I132" s="37">
        <f t="shared" ca="1" si="14"/>
        <v>6.1856245114392819E-2</v>
      </c>
      <c r="J132" s="38">
        <f t="shared" ca="1" si="15"/>
        <v>2.1400039058238604E-2</v>
      </c>
      <c r="K132" s="36">
        <f t="shared" ca="1" si="16"/>
        <v>1875.1198972210873</v>
      </c>
      <c r="L132" s="36">
        <f ca="1">Assumptions!$C$10*Assumptions!$C$13*I132*Assumptions!$C$15</f>
        <v>4289.9685073181963</v>
      </c>
      <c r="M132" s="36">
        <f ca="1">G132*(1+H132*Assumptions!$C$6)*(1+J132)+L132+K132</f>
        <v>66630.527046820076</v>
      </c>
    </row>
    <row r="133" spans="1:13" x14ac:dyDescent="0.25">
      <c r="A133" s="3">
        <v>120</v>
      </c>
      <c r="B133" s="3">
        <f t="shared" ca="1" si="21"/>
        <v>0.95412912050237997</v>
      </c>
      <c r="C133" s="3">
        <f t="shared" ca="1" si="21"/>
        <v>0.14670376756875192</v>
      </c>
      <c r="D133" s="3">
        <f t="shared" ca="1" si="21"/>
        <v>0.241339530693779</v>
      </c>
      <c r="E133" s="3">
        <f t="shared" ca="1" si="21"/>
        <v>0.40972947933495074</v>
      </c>
      <c r="F133" s="3">
        <f t="shared" ca="1" si="21"/>
        <v>0.56068318929416761</v>
      </c>
      <c r="G133" s="36">
        <f t="shared" ca="1" si="12"/>
        <v>58479.617076505026</v>
      </c>
      <c r="H133" s="37">
        <f t="shared" ca="1" si="13"/>
        <v>9.4171938022509283E-2</v>
      </c>
      <c r="I133" s="37">
        <f t="shared" ca="1" si="14"/>
        <v>6.7790043148942616E-2</v>
      </c>
      <c r="J133" s="38">
        <f t="shared" ca="1" si="15"/>
        <v>2.8104794488421028E-2</v>
      </c>
      <c r="K133" s="36">
        <f t="shared" ca="1" si="16"/>
        <v>1593.9681197866651</v>
      </c>
      <c r="L133" s="36">
        <f ca="1">Assumptions!$C$10*Assumptions!$C$13*I133*Assumptions!$C$15</f>
        <v>4701.5002233143578</v>
      </c>
      <c r="M133" s="36">
        <f ca="1">G133*(1+H133*Assumptions!$C$6)*(1+J133)+L133+K133</f>
        <v>67551.026215544218</v>
      </c>
    </row>
    <row r="134" spans="1:13" x14ac:dyDescent="0.25">
      <c r="A134" s="3">
        <v>121</v>
      </c>
      <c r="B134" s="3">
        <f t="shared" ref="B134:F143" ca="1" si="22">RAND()</f>
        <v>0.27634745636662639</v>
      </c>
      <c r="C134" s="3">
        <f t="shared" ca="1" si="22"/>
        <v>0.21273081573396935</v>
      </c>
      <c r="D134" s="3">
        <f t="shared" ca="1" si="22"/>
        <v>0.90054341679691874</v>
      </c>
      <c r="E134" s="3">
        <f t="shared" ca="1" si="22"/>
        <v>0.50203324587520815</v>
      </c>
      <c r="F134" s="3">
        <f t="shared" ca="1" si="22"/>
        <v>0.70890796080203189</v>
      </c>
      <c r="G134" s="36">
        <f t="shared" ca="1" si="12"/>
        <v>57659.754199226227</v>
      </c>
      <c r="H134" s="37">
        <f t="shared" ca="1" si="13"/>
        <v>0.10319135126373263</v>
      </c>
      <c r="I134" s="37">
        <f t="shared" ca="1" si="14"/>
        <v>0.10216012706744075</v>
      </c>
      <c r="J134" s="38">
        <f t="shared" ca="1" si="15"/>
        <v>3.0040706342662486E-2</v>
      </c>
      <c r="K134" s="36">
        <f t="shared" ca="1" si="16"/>
        <v>1855.4851786058616</v>
      </c>
      <c r="L134" s="36">
        <f ca="1">Assumptions!$C$10*Assumptions!$C$13*I134*Assumptions!$C$15</f>
        <v>7085.1977356926591</v>
      </c>
      <c r="M134" s="36">
        <f ca="1">G134*(1+H134*Assumptions!$C$6)*(1+J134)+L134+K134</f>
        <v>69558.322815230145</v>
      </c>
    </row>
    <row r="135" spans="1:13" x14ac:dyDescent="0.25">
      <c r="A135" s="3">
        <v>122</v>
      </c>
      <c r="B135" s="3">
        <f t="shared" ca="1" si="22"/>
        <v>4.4677964442766505E-2</v>
      </c>
      <c r="C135" s="3">
        <f t="shared" ca="1" si="22"/>
        <v>0.86052893162326216</v>
      </c>
      <c r="D135" s="3">
        <f t="shared" ca="1" si="22"/>
        <v>0.43948614416636023</v>
      </c>
      <c r="E135" s="3">
        <f t="shared" ca="1" si="22"/>
        <v>0.42198737037545186</v>
      </c>
      <c r="F135" s="3">
        <f t="shared" ca="1" si="22"/>
        <v>0.58862745121508075</v>
      </c>
      <c r="G135" s="36">
        <f t="shared" ca="1" si="12"/>
        <v>57325.069327684825</v>
      </c>
      <c r="H135" s="37">
        <f t="shared" ca="1" si="13"/>
        <v>0.18360904009515688</v>
      </c>
      <c r="I135" s="37">
        <f t="shared" ca="1" si="14"/>
        <v>7.7501408791302129E-2</v>
      </c>
      <c r="J135" s="38">
        <f t="shared" ca="1" si="15"/>
        <v>2.8373619575368415E-2</v>
      </c>
      <c r="K135" s="36">
        <f t="shared" ca="1" si="16"/>
        <v>1639.4205390598693</v>
      </c>
      <c r="L135" s="36">
        <f ca="1">Assumptions!$C$10*Assumptions!$C$13*I135*Assumptions!$C$15</f>
        <v>5375.0207820183068</v>
      </c>
      <c r="M135" s="36">
        <f ca="1">G135*(1+H135*Assumptions!$C$6)*(1+J135)+L135+K135</f>
        <v>68130.83929302897</v>
      </c>
    </row>
    <row r="136" spans="1:13" x14ac:dyDescent="0.25">
      <c r="A136" s="3">
        <v>123</v>
      </c>
      <c r="B136" s="3">
        <f t="shared" ca="1" si="22"/>
        <v>0.9875094639288502</v>
      </c>
      <c r="C136" s="3">
        <f t="shared" ca="1" si="22"/>
        <v>0.12457712817811195</v>
      </c>
      <c r="D136" s="3">
        <f t="shared" ca="1" si="22"/>
        <v>4.899865601857456E-2</v>
      </c>
      <c r="E136" s="3">
        <f t="shared" ca="1" si="22"/>
        <v>0.96851356336004113</v>
      </c>
      <c r="F136" s="3">
        <f t="shared" ca="1" si="22"/>
        <v>0.58199279863482944</v>
      </c>
      <c r="G136" s="36">
        <f t="shared" ca="1" si="12"/>
        <v>58608.622810334848</v>
      </c>
      <c r="H136" s="37">
        <f t="shared" ca="1" si="13"/>
        <v>9.0704739340387489E-2</v>
      </c>
      <c r="I136" s="37">
        <f t="shared" ca="1" si="14"/>
        <v>5.2521808945173956E-2</v>
      </c>
      <c r="J136" s="38">
        <f t="shared" ca="1" si="15"/>
        <v>4.4981120711556508E-2</v>
      </c>
      <c r="K136" s="36">
        <f t="shared" ca="1" si="16"/>
        <v>1628.4926518085047</v>
      </c>
      <c r="L136" s="36">
        <f ca="1">Assumptions!$C$10*Assumptions!$C$13*I136*Assumptions!$C$15</f>
        <v>3642.5894573052947</v>
      </c>
      <c r="M136" s="36">
        <f ca="1">G136*(1+H136*Assumptions!$C$6)*(1+J136)+L136+K136</f>
        <v>67627.027073775491</v>
      </c>
    </row>
    <row r="137" spans="1:13" x14ac:dyDescent="0.25">
      <c r="A137" s="3">
        <v>124</v>
      </c>
      <c r="B137" s="3">
        <f t="shared" ca="1" si="22"/>
        <v>0.97779932502671896</v>
      </c>
      <c r="C137" s="3">
        <f t="shared" ca="1" si="22"/>
        <v>0.43760949707120644</v>
      </c>
      <c r="D137" s="3">
        <f t="shared" ca="1" si="22"/>
        <v>0.37456009813075364</v>
      </c>
      <c r="E137" s="3">
        <f t="shared" ca="1" si="22"/>
        <v>0.94013987547654143</v>
      </c>
      <c r="F137" s="3">
        <f t="shared" ca="1" si="22"/>
        <v>0.27895805844001842</v>
      </c>
      <c r="G137" s="36">
        <f t="shared" ca="1" si="12"/>
        <v>58561.716099109617</v>
      </c>
      <c r="H137" s="37">
        <f t="shared" ca="1" si="13"/>
        <v>0.12676350647085327</v>
      </c>
      <c r="I137" s="37">
        <f t="shared" ca="1" si="14"/>
        <v>7.4620691992194663E-2</v>
      </c>
      <c r="J137" s="38">
        <f t="shared" ca="1" si="15"/>
        <v>4.3079877196265458E-2</v>
      </c>
      <c r="K137" s="36">
        <f t="shared" ca="1" si="16"/>
        <v>1120.406739974409</v>
      </c>
      <c r="L137" s="36">
        <f ca="1">Assumptions!$C$10*Assumptions!$C$13*I137*Assumptions!$C$15</f>
        <v>5175.2319923202076</v>
      </c>
      <c r="M137" s="36">
        <f ca="1">G137*(1+H137*Assumptions!$C$6)*(1+J137)+L137+K137</f>
        <v>68928.844659288399</v>
      </c>
    </row>
    <row r="138" spans="1:13" x14ac:dyDescent="0.25">
      <c r="A138" s="3">
        <v>125</v>
      </c>
      <c r="B138" s="3">
        <f t="shared" ca="1" si="22"/>
        <v>0.17389046568719635</v>
      </c>
      <c r="C138" s="3">
        <f t="shared" ca="1" si="22"/>
        <v>0.44494408300166821</v>
      </c>
      <c r="D138" s="3">
        <f t="shared" ca="1" si="22"/>
        <v>0.51122189564767084</v>
      </c>
      <c r="E138" s="3">
        <f t="shared" ca="1" si="22"/>
        <v>0.10380627034821854</v>
      </c>
      <c r="F138" s="3">
        <f t="shared" ca="1" si="22"/>
        <v>0.42757695857074496</v>
      </c>
      <c r="G138" s="36">
        <f t="shared" ca="1" si="12"/>
        <v>57544.025088833827</v>
      </c>
      <c r="H138" s="37">
        <f t="shared" ca="1" si="13"/>
        <v>0.12750433382764487</v>
      </c>
      <c r="I138" s="37">
        <f t="shared" ca="1" si="14"/>
        <v>8.0451423111223663E-2</v>
      </c>
      <c r="J138" s="38">
        <f t="shared" ca="1" si="15"/>
        <v>1.9112903833497577E-2</v>
      </c>
      <c r="K138" s="36">
        <f t="shared" ca="1" si="16"/>
        <v>1387.117988337096</v>
      </c>
      <c r="L138" s="36">
        <f ca="1">Assumptions!$C$10*Assumptions!$C$13*I138*Assumptions!$C$15</f>
        <v>5579.6156213137883</v>
      </c>
      <c r="M138" s="36">
        <f ca="1">G138*(1+H138*Assumptions!$C$6)*(1+J138)+L138+K138</f>
        <v>67106.061338592001</v>
      </c>
    </row>
    <row r="139" spans="1:13" x14ac:dyDescent="0.25">
      <c r="A139" s="3">
        <v>126</v>
      </c>
      <c r="B139" s="3">
        <f t="shared" ca="1" si="22"/>
        <v>0.38927723911475665</v>
      </c>
      <c r="C139" s="3">
        <f t="shared" ca="1" si="22"/>
        <v>0.45339022881234237</v>
      </c>
      <c r="D139" s="3">
        <f t="shared" ca="1" si="22"/>
        <v>0.6631440387790859</v>
      </c>
      <c r="E139" s="3">
        <f t="shared" ca="1" si="22"/>
        <v>0.57613802409377379</v>
      </c>
      <c r="F139" s="3">
        <f t="shared" ca="1" si="22"/>
        <v>0.48420715341055931</v>
      </c>
      <c r="G139" s="36">
        <f t="shared" ca="1" si="12"/>
        <v>57764.353351534286</v>
      </c>
      <c r="H139" s="37">
        <f t="shared" ca="1" si="13"/>
        <v>0.12836352395798856</v>
      </c>
      <c r="I139" s="37">
        <f t="shared" ca="1" si="14"/>
        <v>8.7168017484365562E-2</v>
      </c>
      <c r="J139" s="38">
        <f t="shared" ca="1" si="15"/>
        <v>3.1585614842602514E-2</v>
      </c>
      <c r="K139" s="36">
        <f t="shared" ca="1" si="16"/>
        <v>1476.1206557553203</v>
      </c>
      <c r="L139" s="36">
        <f ca="1">Assumptions!$C$10*Assumptions!$C$13*I139*Assumptions!$C$15</f>
        <v>6045.4372741464604</v>
      </c>
      <c r="M139" s="36">
        <f ca="1">G139*(1+H139*Assumptions!$C$6)*(1+J139)+L139+K139</f>
        <v>68640.241519622505</v>
      </c>
    </row>
    <row r="140" spans="1:13" x14ac:dyDescent="0.25">
      <c r="A140" s="3">
        <v>127</v>
      </c>
      <c r="B140" s="3">
        <f t="shared" ca="1" si="22"/>
        <v>0.54927595703536725</v>
      </c>
      <c r="C140" s="3">
        <f t="shared" ca="1" si="22"/>
        <v>9.6643323310633966E-2</v>
      </c>
      <c r="D140" s="3">
        <f t="shared" ca="1" si="22"/>
        <v>0.9944813575797673</v>
      </c>
      <c r="E140" s="3">
        <f t="shared" ca="1" si="22"/>
        <v>2.1222744859621168E-2</v>
      </c>
      <c r="F140" s="3">
        <f t="shared" ca="1" si="22"/>
        <v>0.43811644630931446</v>
      </c>
      <c r="G140" s="36">
        <f t="shared" ca="1" si="12"/>
        <v>57903.72326098878</v>
      </c>
      <c r="H140" s="37">
        <f t="shared" ca="1" si="13"/>
        <v>8.5851864666031424E-2</v>
      </c>
      <c r="I140" s="37">
        <f t="shared" ca="1" si="14"/>
        <v>0.11579766068186484</v>
      </c>
      <c r="J140" s="38">
        <f t="shared" ca="1" si="15"/>
        <v>1.4120460640231494E-2</v>
      </c>
      <c r="K140" s="36">
        <f t="shared" ca="1" si="16"/>
        <v>1404.1096853137631</v>
      </c>
      <c r="L140" s="36">
        <f ca="1">Assumptions!$C$10*Assumptions!$C$13*I140*Assumptions!$C$15</f>
        <v>8031.013143905333</v>
      </c>
      <c r="M140" s="36">
        <f ca="1">G140*(1+H140*Assumptions!$C$6)*(1+J140)+L140+K140</f>
        <v>69164.740822770793</v>
      </c>
    </row>
    <row r="141" spans="1:13" x14ac:dyDescent="0.25">
      <c r="A141" s="3">
        <v>128</v>
      </c>
      <c r="B141" s="3">
        <f t="shared" ca="1" si="22"/>
        <v>0.90664841849842792</v>
      </c>
      <c r="C141" s="3">
        <f t="shared" ca="1" si="22"/>
        <v>4.6764184318089375E-2</v>
      </c>
      <c r="D141" s="3">
        <f t="shared" ca="1" si="22"/>
        <v>0.89371589540576091</v>
      </c>
      <c r="E141" s="3">
        <f t="shared" ca="1" si="22"/>
        <v>0.21242763929461872</v>
      </c>
      <c r="F141" s="3">
        <f t="shared" ca="1" si="22"/>
        <v>0.86936079487206896</v>
      </c>
      <c r="G141" s="36">
        <f t="shared" ca="1" si="12"/>
        <v>58364.535260337383</v>
      </c>
      <c r="H141" s="37">
        <f t="shared" ca="1" si="13"/>
        <v>7.4939199093607411E-2</v>
      </c>
      <c r="I141" s="37">
        <f t="shared" ca="1" si="14"/>
        <v>0.10155795199275403</v>
      </c>
      <c r="J141" s="38">
        <f t="shared" ca="1" si="15"/>
        <v>2.3036184696286523E-2</v>
      </c>
      <c r="K141" s="36">
        <f t="shared" ca="1" si="16"/>
        <v>2233.2690021424141</v>
      </c>
      <c r="L141" s="36">
        <f ca="1">Assumptions!$C$10*Assumptions!$C$13*I141*Assumptions!$C$15</f>
        <v>7043.434578205155</v>
      </c>
      <c r="M141" s="36">
        <f ca="1">G141*(1+H141*Assumptions!$C$6)*(1+J141)+L141+K141</f>
        <v>69880.644454122943</v>
      </c>
    </row>
    <row r="142" spans="1:13" x14ac:dyDescent="0.25">
      <c r="A142" s="3">
        <v>129</v>
      </c>
      <c r="B142" s="3">
        <f t="shared" ca="1" si="22"/>
        <v>0.14340221596126268</v>
      </c>
      <c r="C142" s="3">
        <f t="shared" ca="1" si="22"/>
        <v>0.30384950950659595</v>
      </c>
      <c r="D142" s="3">
        <f t="shared" ca="1" si="22"/>
        <v>0.3241325427437457</v>
      </c>
      <c r="E142" s="3">
        <f t="shared" ca="1" si="22"/>
        <v>0.38774184494266706</v>
      </c>
      <c r="F142" s="3">
        <f t="shared" ca="1" si="22"/>
        <v>0.28829411632937951</v>
      </c>
      <c r="G142" s="36">
        <f t="shared" ref="G142:G205" ca="1" si="23">IF(B142&lt;($F$5-$E$5)/($G$5-$E$5),$E$5+SQRT(B142*($G$5-$E$5)*($F$5-$E$5)),$G$5-SQRT((1-B142)*($G$5-$E$5)*($G$5-$F$5)))</f>
        <v>57503.225097668568</v>
      </c>
      <c r="H142" s="37">
        <f t="shared" ref="H142:H205" ca="1" si="24">IF(C142&lt;($F$6-$E$6)/($G$6-$E$6),$E$6+SQRT(C142*($G$6-$E$6)*($F$6-$E$6)),$G$6-SQRT((1-C142)*($G$6-$E$6)*($G$6-$F$6)))</f>
        <v>0.11357042139578537</v>
      </c>
      <c r="I142" s="37">
        <f t="shared" ref="I142:I205" ca="1" si="25">IF(D142&lt;($F$7-$E$7)/($G$7-$E$7),$E$7+SQRT(D142*($G$7-$E$7)*($F$7-$E$7)),$G$7-SQRT((1-D142)*($G$7-$E$7)*($G$7-$F$7)))</f>
        <v>7.2205964304457429E-2</v>
      </c>
      <c r="J142" s="38">
        <f t="shared" ref="J142:J205" ca="1" si="26">IF(E142&lt;($F$8-$E$8)/($G$8-$E$8),$E$8+SQRT(E142*($G$8-$E$8)*($F$8-$E$8)),$G$8-SQRT((1-E142)*($G$8-$E$8)*($G$8-$F$8)))</f>
        <v>2.7612310352538465E-2</v>
      </c>
      <c r="K142" s="36">
        <f t="shared" ref="K142:K205" ca="1" si="27">IF(F142&lt;($F$9-$E$9)/($G$9-$E$9),$E$9+SQRT(F142*($G$9-$E$9)*($F$9-$E$9)),$G$9-SQRT((1-F142)*($G$9-$E$9)*($G$9-$F$9)))</f>
        <v>1139.0011077616246</v>
      </c>
      <c r="L142" s="36">
        <f ca="1">Assumptions!$C$10*Assumptions!$C$13*I142*Assumptions!$C$15</f>
        <v>5007.7613397614468</v>
      </c>
      <c r="M142" s="36">
        <f ca="1">G142*(1+H142*Assumptions!$C$6)*(1+J142)+L142+K142</f>
        <v>66579.982896603964</v>
      </c>
    </row>
    <row r="143" spans="1:13" x14ac:dyDescent="0.25">
      <c r="A143" s="3">
        <v>130</v>
      </c>
      <c r="B143" s="3">
        <f t="shared" ca="1" si="22"/>
        <v>0.41723701073222708</v>
      </c>
      <c r="C143" s="3">
        <f t="shared" ca="1" si="22"/>
        <v>0.63669447605383123</v>
      </c>
      <c r="D143" s="3">
        <f t="shared" ca="1" si="22"/>
        <v>0.2188262084829472</v>
      </c>
      <c r="E143" s="3">
        <f t="shared" ca="1" si="22"/>
        <v>7.9683895896365264E-4</v>
      </c>
      <c r="F143" s="3">
        <f t="shared" ca="1" si="22"/>
        <v>9.8125482207493508E-2</v>
      </c>
      <c r="G143" s="36">
        <f t="shared" ca="1" si="23"/>
        <v>57787.798396766782</v>
      </c>
      <c r="H143" s="37">
        <f t="shared" ca="1" si="24"/>
        <v>0.14898700122524999</v>
      </c>
      <c r="I143" s="37">
        <f t="shared" ca="1" si="25"/>
        <v>6.64621213651784E-2</v>
      </c>
      <c r="J143" s="38">
        <f t="shared" ca="1" si="26"/>
        <v>1.0798417915111455E-2</v>
      </c>
      <c r="K143" s="36">
        <f t="shared" ca="1" si="27"/>
        <v>664.50332575068478</v>
      </c>
      <c r="L143" s="36">
        <f ca="1">Assumptions!$C$10*Assumptions!$C$13*I143*Assumptions!$C$15</f>
        <v>4609.4037402188342</v>
      </c>
      <c r="M143" s="36">
        <f ca="1">G143*(1+H143*Assumptions!$C$6)*(1+J143)+L143+K143</f>
        <v>65426.242496601742</v>
      </c>
    </row>
    <row r="144" spans="1:13" x14ac:dyDescent="0.25">
      <c r="A144" s="3">
        <v>131</v>
      </c>
      <c r="B144" s="3">
        <f t="shared" ref="B144:F153" ca="1" si="28">RAND()</f>
        <v>3.0999820284910662E-2</v>
      </c>
      <c r="C144" s="3">
        <f t="shared" ca="1" si="28"/>
        <v>0.4954971153483585</v>
      </c>
      <c r="D144" s="3">
        <f t="shared" ca="1" si="28"/>
        <v>0.73657998294412574</v>
      </c>
      <c r="E144" s="3">
        <f t="shared" ca="1" si="28"/>
        <v>0.99045943943716208</v>
      </c>
      <c r="F144" s="3">
        <f t="shared" ca="1" si="28"/>
        <v>0.44669910438084681</v>
      </c>
      <c r="G144" s="36">
        <f t="shared" ca="1" si="23"/>
        <v>57287.47752547609</v>
      </c>
      <c r="H144" s="37">
        <f t="shared" ca="1" si="24"/>
        <v>0.13274951855559142</v>
      </c>
      <c r="I144" s="37">
        <f t="shared" ca="1" si="25"/>
        <v>9.0966501165398658E-2</v>
      </c>
      <c r="J144" s="38">
        <f t="shared" ca="1" si="26"/>
        <v>4.7237311372906765E-2</v>
      </c>
      <c r="K144" s="36">
        <f t="shared" ca="1" si="27"/>
        <v>1417.7961664900251</v>
      </c>
      <c r="L144" s="36">
        <f ca="1">Assumptions!$C$10*Assumptions!$C$13*I144*Assumptions!$C$15</f>
        <v>6308.876726978724</v>
      </c>
      <c r="M144" s="36">
        <f ca="1">G144*(1+H144*Assumptions!$C$6)*(1+J144)+L144+K144</f>
        <v>69313.080709452552</v>
      </c>
    </row>
    <row r="145" spans="1:13" x14ac:dyDescent="0.25">
      <c r="A145" s="3">
        <v>132</v>
      </c>
      <c r="B145" s="3">
        <f t="shared" ca="1" si="28"/>
        <v>0.20717172519451621</v>
      </c>
      <c r="C145" s="3">
        <f t="shared" ca="1" si="28"/>
        <v>0.57162328877570889</v>
      </c>
      <c r="D145" s="3">
        <f t="shared" ca="1" si="28"/>
        <v>0.54628292306402182</v>
      </c>
      <c r="E145" s="3">
        <f t="shared" ca="1" si="28"/>
        <v>0.42795963333570042</v>
      </c>
      <c r="F145" s="3">
        <f t="shared" ca="1" si="28"/>
        <v>0.33091790356814221</v>
      </c>
      <c r="G145" s="36">
        <f t="shared" ca="1" si="23"/>
        <v>57584.657419750212</v>
      </c>
      <c r="H145" s="37">
        <f t="shared" ca="1" si="24"/>
        <v>0.14117192192542727</v>
      </c>
      <c r="I145" s="37">
        <f t="shared" ca="1" si="25"/>
        <v>8.1896264668734509E-2</v>
      </c>
      <c r="J145" s="38">
        <f t="shared" ca="1" si="26"/>
        <v>2.8503180987834505E-2</v>
      </c>
      <c r="K145" s="36">
        <f t="shared" ca="1" si="27"/>
        <v>1220.2993755864338</v>
      </c>
      <c r="L145" s="36">
        <f ca="1">Assumptions!$C$10*Assumptions!$C$13*I145*Assumptions!$C$15</f>
        <v>5679.8209404100789</v>
      </c>
      <c r="M145" s="36">
        <f ca="1">G145*(1+H145*Assumptions!$C$6)*(1+J145)+L145+K145</f>
        <v>67798.333391981039</v>
      </c>
    </row>
    <row r="146" spans="1:13" x14ac:dyDescent="0.25">
      <c r="A146" s="3">
        <v>133</v>
      </c>
      <c r="B146" s="3">
        <f t="shared" ca="1" si="28"/>
        <v>0.92470505965717253</v>
      </c>
      <c r="C146" s="3">
        <f t="shared" ca="1" si="28"/>
        <v>0.81044816077895621</v>
      </c>
      <c r="D146" s="3">
        <f t="shared" ca="1" si="28"/>
        <v>0.10903730502342723</v>
      </c>
      <c r="E146" s="3">
        <f t="shared" ca="1" si="28"/>
        <v>1.264574541732344E-3</v>
      </c>
      <c r="F146" s="3">
        <f t="shared" ca="1" si="28"/>
        <v>0.78750357358990919</v>
      </c>
      <c r="G146" s="36">
        <f t="shared" ca="1" si="23"/>
        <v>58403.75536620956</v>
      </c>
      <c r="H146" s="37">
        <f t="shared" ca="1" si="24"/>
        <v>0.17425973886392143</v>
      </c>
      <c r="I146" s="37">
        <f t="shared" ca="1" si="25"/>
        <v>5.8679383717750624E-2</v>
      </c>
      <c r="J146" s="38">
        <f t="shared" ca="1" si="26"/>
        <v>1.1005812921663803E-2</v>
      </c>
      <c r="K146" s="36">
        <f t="shared" ca="1" si="27"/>
        <v>2022.1278617092066</v>
      </c>
      <c r="L146" s="36">
        <f ca="1">Assumptions!$C$10*Assumptions!$C$13*I146*Assumptions!$C$15</f>
        <v>4069.6409507633812</v>
      </c>
      <c r="M146" s="36">
        <f ca="1">G146*(1+H146*Assumptions!$C$6)*(1+J146)+L146+K146</f>
        <v>67196.19177898491</v>
      </c>
    </row>
    <row r="147" spans="1:13" x14ac:dyDescent="0.25">
      <c r="A147" s="3">
        <v>134</v>
      </c>
      <c r="B147" s="3">
        <f t="shared" ca="1" si="28"/>
        <v>0.33029100426153524</v>
      </c>
      <c r="C147" s="3">
        <f t="shared" ca="1" si="28"/>
        <v>0.81137916917921293</v>
      </c>
      <c r="D147" s="3">
        <f t="shared" ca="1" si="28"/>
        <v>0.22417216570083698</v>
      </c>
      <c r="E147" s="3">
        <f t="shared" ca="1" si="28"/>
        <v>0.17912074000285716</v>
      </c>
      <c r="F147" s="3">
        <f t="shared" ca="1" si="28"/>
        <v>5.6344565725400697E-2</v>
      </c>
      <c r="G147" s="36">
        <f t="shared" ca="1" si="23"/>
        <v>57711.95290013116</v>
      </c>
      <c r="H147" s="37">
        <f t="shared" ca="1" si="24"/>
        <v>0.17442138349496883</v>
      </c>
      <c r="I147" s="37">
        <f t="shared" ca="1" si="25"/>
        <v>6.6783407741411061E-2</v>
      </c>
      <c r="J147" s="38">
        <f t="shared" ca="1" si="26"/>
        <v>2.197065545416314E-2</v>
      </c>
      <c r="K147" s="36">
        <f t="shared" ca="1" si="27"/>
        <v>503.5380281213159</v>
      </c>
      <c r="L147" s="36">
        <f ca="1">Assumptions!$C$10*Assumptions!$C$13*I147*Assumptions!$C$15</f>
        <v>4631.6861861274001</v>
      </c>
      <c r="M147" s="36">
        <f ca="1">G147*(1+H147*Assumptions!$C$6)*(1+J147)+L147+K147</f>
        <v>66172.618477481141</v>
      </c>
    </row>
    <row r="148" spans="1:13" x14ac:dyDescent="0.25">
      <c r="A148" s="3">
        <v>135</v>
      </c>
      <c r="B148" s="3">
        <f t="shared" ca="1" si="28"/>
        <v>0.57112509536754064</v>
      </c>
      <c r="C148" s="3">
        <f t="shared" ca="1" si="28"/>
        <v>0.9043460689771744</v>
      </c>
      <c r="D148" s="3">
        <f t="shared" ca="1" si="28"/>
        <v>0.13274949915559942</v>
      </c>
      <c r="E148" s="3">
        <f t="shared" ca="1" si="28"/>
        <v>0.58448619216812481</v>
      </c>
      <c r="F148" s="3">
        <f t="shared" ca="1" si="28"/>
        <v>0.69496962617051738</v>
      </c>
      <c r="G148" s="36">
        <f t="shared" ca="1" si="23"/>
        <v>57924.475308079949</v>
      </c>
      <c r="H148" s="37">
        <f t="shared" ca="1" si="24"/>
        <v>0.19329978985785584</v>
      </c>
      <c r="I148" s="37">
        <f t="shared" ca="1" si="25"/>
        <v>6.061063796436001E-2</v>
      </c>
      <c r="J148" s="38">
        <f t="shared" ca="1" si="26"/>
        <v>3.176785678354023E-2</v>
      </c>
      <c r="K148" s="36">
        <f t="shared" ca="1" si="27"/>
        <v>1828.4042155108821</v>
      </c>
      <c r="L148" s="36">
        <f ca="1">Assumptions!$C$10*Assumptions!$C$13*I148*Assumptions!$C$15</f>
        <v>4203.5808606666906</v>
      </c>
      <c r="M148" s="36">
        <f ca="1">G148*(1+H148*Assumptions!$C$6)*(1+J148)+L148+K148</f>
        <v>68107.094198313862</v>
      </c>
    </row>
    <row r="149" spans="1:13" x14ac:dyDescent="0.25">
      <c r="A149" s="3">
        <v>136</v>
      </c>
      <c r="B149" s="3">
        <f t="shared" ca="1" si="28"/>
        <v>0.19107184710697778</v>
      </c>
      <c r="C149" s="3">
        <f t="shared" ca="1" si="28"/>
        <v>0.6247970070087624</v>
      </c>
      <c r="D149" s="3">
        <f t="shared" ca="1" si="28"/>
        <v>0.32857765600369149</v>
      </c>
      <c r="E149" s="3">
        <f t="shared" ca="1" si="28"/>
        <v>0.78435117304159818</v>
      </c>
      <c r="F149" s="3">
        <f t="shared" ca="1" si="28"/>
        <v>4.757546806672186E-2</v>
      </c>
      <c r="G149" s="36">
        <f t="shared" ca="1" si="23"/>
        <v>57565.444578014729</v>
      </c>
      <c r="H149" s="37">
        <f t="shared" ca="1" si="24"/>
        <v>0.14750876668461915</v>
      </c>
      <c r="I149" s="37">
        <f t="shared" ca="1" si="25"/>
        <v>7.2426046617060993E-2</v>
      </c>
      <c r="J149" s="38">
        <f t="shared" ca="1" si="26"/>
        <v>3.6865348822038652E-2</v>
      </c>
      <c r="K149" s="36">
        <f t="shared" ca="1" si="27"/>
        <v>462.69818056725529</v>
      </c>
      <c r="L149" s="36">
        <f ca="1">Assumptions!$C$10*Assumptions!$C$13*I149*Assumptions!$C$15</f>
        <v>5023.0248946109368</v>
      </c>
      <c r="M149" s="36">
        <f ca="1">G149*(1+H149*Assumptions!$C$6)*(1+J149)+L149+K149</f>
        <v>66934.22713594418</v>
      </c>
    </row>
    <row r="150" spans="1:13" x14ac:dyDescent="0.25">
      <c r="A150" s="3">
        <v>137</v>
      </c>
      <c r="B150" s="3">
        <f t="shared" ca="1" si="28"/>
        <v>0.44899872823474674</v>
      </c>
      <c r="C150" s="3">
        <f t="shared" ca="1" si="28"/>
        <v>0.81659841211025408</v>
      </c>
      <c r="D150" s="3">
        <f t="shared" ca="1" si="28"/>
        <v>0.78268209861743498</v>
      </c>
      <c r="E150" s="3">
        <f t="shared" ca="1" si="28"/>
        <v>0.63701671702371521</v>
      </c>
      <c r="F150" s="3">
        <f t="shared" ca="1" si="28"/>
        <v>0.4043343130651833</v>
      </c>
      <c r="G150" s="36">
        <f t="shared" ca="1" si="23"/>
        <v>57814.370179401216</v>
      </c>
      <c r="H150" s="37">
        <f t="shared" ca="1" si="24"/>
        <v>0.1753350465562202</v>
      </c>
      <c r="I150" s="37">
        <f t="shared" ca="1" si="25"/>
        <v>9.362923428445416E-2</v>
      </c>
      <c r="J150" s="38">
        <f t="shared" ca="1" si="26"/>
        <v>3.295926567365632E-2</v>
      </c>
      <c r="K150" s="36">
        <f t="shared" ca="1" si="27"/>
        <v>1348.8900654958227</v>
      </c>
      <c r="L150" s="36">
        <f ca="1">Assumptions!$C$10*Assumptions!$C$13*I150*Assumptions!$C$15</f>
        <v>6493.5475100664507</v>
      </c>
      <c r="M150" s="36">
        <f ca="1">G150*(1+H150*Assumptions!$C$6)*(1+J150)+L150+K150</f>
        <v>69656.524857921948</v>
      </c>
    </row>
    <row r="151" spans="1:13" x14ac:dyDescent="0.25">
      <c r="A151" s="3">
        <v>138</v>
      </c>
      <c r="B151" s="3">
        <f t="shared" ca="1" si="28"/>
        <v>0.3174583140898839</v>
      </c>
      <c r="C151" s="3">
        <f t="shared" ca="1" si="28"/>
        <v>0.72421650191469056</v>
      </c>
      <c r="D151" s="3">
        <f t="shared" ca="1" si="28"/>
        <v>0.11885049876844278</v>
      </c>
      <c r="E151" s="3">
        <f t="shared" ca="1" si="28"/>
        <v>0.64366423029275976</v>
      </c>
      <c r="F151" s="3">
        <f t="shared" ca="1" si="28"/>
        <v>8.7846326271131314E-2</v>
      </c>
      <c r="G151" s="36">
        <f t="shared" ca="1" si="23"/>
        <v>57699.947126149484</v>
      </c>
      <c r="H151" s="37">
        <f t="shared" ca="1" si="24"/>
        <v>0.16070394867116611</v>
      </c>
      <c r="I151" s="37">
        <f t="shared" ca="1" si="25"/>
        <v>5.950183570997912E-2</v>
      </c>
      <c r="J151" s="38">
        <f t="shared" ca="1" si="26"/>
        <v>3.311602488257602E-2</v>
      </c>
      <c r="K151" s="36">
        <f t="shared" ca="1" si="27"/>
        <v>628.73561074595648</v>
      </c>
      <c r="L151" s="36">
        <f ca="1">Assumptions!$C$10*Assumptions!$C$13*I151*Assumptions!$C$15</f>
        <v>4126.6811597013211</v>
      </c>
      <c r="M151" s="36">
        <f ca="1">G151*(1+H151*Assumptions!$C$6)*(1+J151)+L151+K151</f>
        <v>66282.093041942106</v>
      </c>
    </row>
    <row r="152" spans="1:13" x14ac:dyDescent="0.25">
      <c r="A152" s="3">
        <v>139</v>
      </c>
      <c r="B152" s="3">
        <f t="shared" ca="1" si="28"/>
        <v>0.11059141848842502</v>
      </c>
      <c r="C152" s="3">
        <f t="shared" ca="1" si="28"/>
        <v>0.89719875992479081</v>
      </c>
      <c r="D152" s="3">
        <f t="shared" ca="1" si="28"/>
        <v>0.350000476474985</v>
      </c>
      <c r="E152" s="3">
        <f t="shared" ca="1" si="28"/>
        <v>6.0464968500556049E-2</v>
      </c>
      <c r="F152" s="3">
        <f t="shared" ca="1" si="28"/>
        <v>0.74931732010901875</v>
      </c>
      <c r="G152" s="36">
        <f t="shared" ca="1" si="23"/>
        <v>57454.103597375346</v>
      </c>
      <c r="H152" s="37">
        <f t="shared" ca="1" si="24"/>
        <v>0.1915864866621439</v>
      </c>
      <c r="I152" s="37">
        <f t="shared" ca="1" si="25"/>
        <v>7.3466423841216627E-2</v>
      </c>
      <c r="J152" s="38">
        <f t="shared" ca="1" si="26"/>
        <v>1.6954996391116594E-2</v>
      </c>
      <c r="K152" s="36">
        <f t="shared" ca="1" si="27"/>
        <v>1937.8926327769798</v>
      </c>
      <c r="L152" s="36">
        <f ca="1">Assumptions!$C$10*Assumptions!$C$13*I152*Assumptions!$C$15</f>
        <v>5095.1790565569927</v>
      </c>
      <c r="M152" s="36">
        <f ca="1">G152*(1+H152*Assumptions!$C$6)*(1+J152)+L152+K152</f>
        <v>67700.121563051522</v>
      </c>
    </row>
    <row r="153" spans="1:13" x14ac:dyDescent="0.25">
      <c r="A153" s="3">
        <v>140</v>
      </c>
      <c r="B153" s="3">
        <f t="shared" ca="1" si="28"/>
        <v>8.0524908327585965E-2</v>
      </c>
      <c r="C153" s="3">
        <f t="shared" ca="1" si="28"/>
        <v>0.16663283426837039</v>
      </c>
      <c r="D153" s="3">
        <f t="shared" ca="1" si="28"/>
        <v>0.30771639944373341</v>
      </c>
      <c r="E153" s="3">
        <f t="shared" ca="1" si="28"/>
        <v>0.79756973358194094</v>
      </c>
      <c r="F153" s="3">
        <f t="shared" ca="1" si="28"/>
        <v>0.36086559234084503</v>
      </c>
      <c r="G153" s="36">
        <f t="shared" ca="1" si="23"/>
        <v>57402.158450068811</v>
      </c>
      <c r="H153" s="37">
        <f t="shared" ca="1" si="24"/>
        <v>9.7076710757755008E-2</v>
      </c>
      <c r="I153" s="37">
        <f t="shared" ca="1" si="25"/>
        <v>7.1379810041170527E-2</v>
      </c>
      <c r="J153" s="38">
        <f t="shared" ca="1" si="26"/>
        <v>3.7274269642395871E-2</v>
      </c>
      <c r="K153" s="36">
        <f t="shared" ca="1" si="27"/>
        <v>1274.3214529834311</v>
      </c>
      <c r="L153" s="36">
        <f ca="1">Assumptions!$C$10*Assumptions!$C$13*I153*Assumptions!$C$15</f>
        <v>4950.4643640861032</v>
      </c>
      <c r="M153" s="36">
        <f ca="1">G153*(1+H153*Assumptions!$C$6)*(1+J153)+L153+K153</f>
        <v>66922.59186875906</v>
      </c>
    </row>
    <row r="154" spans="1:13" x14ac:dyDescent="0.25">
      <c r="A154" s="3">
        <v>141</v>
      </c>
      <c r="B154" s="3">
        <f t="shared" ref="B154:F163" ca="1" si="29">RAND()</f>
        <v>0.98260147640857698</v>
      </c>
      <c r="C154" s="3">
        <f t="shared" ca="1" si="29"/>
        <v>0.21898678993031628</v>
      </c>
      <c r="D154" s="3">
        <f t="shared" ca="1" si="29"/>
        <v>0.70274333172093906</v>
      </c>
      <c r="E154" s="3">
        <f t="shared" ca="1" si="29"/>
        <v>0.63682490649533763</v>
      </c>
      <c r="F154" s="3">
        <f t="shared" ca="1" si="29"/>
        <v>0.7962468087131378</v>
      </c>
      <c r="G154" s="36">
        <f t="shared" ca="1" si="23"/>
        <v>58583.250406786552</v>
      </c>
      <c r="H154" s="37">
        <f t="shared" ca="1" si="24"/>
        <v>0.10396780805325714</v>
      </c>
      <c r="I154" s="37">
        <f t="shared" ca="1" si="25"/>
        <v>8.9158123622370272E-2</v>
      </c>
      <c r="J154" s="38">
        <f t="shared" ca="1" si="26"/>
        <v>3.2954763867762644E-2</v>
      </c>
      <c r="K154" s="36">
        <f t="shared" ca="1" si="27"/>
        <v>2042.4566010927338</v>
      </c>
      <c r="L154" s="36">
        <f ca="1">Assumptions!$C$10*Assumptions!$C$13*I154*Assumptions!$C$15</f>
        <v>6183.4587890714638</v>
      </c>
      <c r="M154" s="36">
        <f ca="1">G154*(1+H154*Assumptions!$C$6)*(1+J154)+L154+K154</f>
        <v>69998.061398884049</v>
      </c>
    </row>
    <row r="155" spans="1:13" x14ac:dyDescent="0.25">
      <c r="A155" s="3">
        <v>142</v>
      </c>
      <c r="B155" s="3">
        <f t="shared" ca="1" si="29"/>
        <v>0.51902389739735555</v>
      </c>
      <c r="C155" s="3">
        <f t="shared" ca="1" si="29"/>
        <v>0.77019787818545782</v>
      </c>
      <c r="D155" s="3">
        <f t="shared" ca="1" si="29"/>
        <v>0.44454942767383232</v>
      </c>
      <c r="E155" s="3">
        <f t="shared" ca="1" si="29"/>
        <v>0.48779545114074341</v>
      </c>
      <c r="F155" s="3">
        <f t="shared" ca="1" si="29"/>
        <v>0.92064464005431823</v>
      </c>
      <c r="G155" s="36">
        <f t="shared" ca="1" si="23"/>
        <v>57875.803634803051</v>
      </c>
      <c r="H155" s="37">
        <f t="shared" ca="1" si="24"/>
        <v>0.16761568970162413</v>
      </c>
      <c r="I155" s="37">
        <f t="shared" ca="1" si="25"/>
        <v>7.7716815461492283E-2</v>
      </c>
      <c r="J155" s="38">
        <f t="shared" ca="1" si="26"/>
        <v>2.9754401051730085E-2</v>
      </c>
      <c r="K155" s="36">
        <f t="shared" ca="1" si="27"/>
        <v>2402.4222897768291</v>
      </c>
      <c r="L155" s="36">
        <f ca="1">Assumptions!$C$10*Assumptions!$C$13*I155*Assumptions!$C$15</f>
        <v>5389.9600630831874</v>
      </c>
      <c r="M155" s="36">
        <f ca="1">G155*(1+H155*Assumptions!$C$6)*(1+J155)+L155+K155</f>
        <v>69388.153259509534</v>
      </c>
    </row>
    <row r="156" spans="1:13" x14ac:dyDescent="0.25">
      <c r="A156" s="3">
        <v>143</v>
      </c>
      <c r="B156" s="3">
        <f t="shared" ca="1" si="29"/>
        <v>0.65112567244819775</v>
      </c>
      <c r="C156" s="3">
        <f t="shared" ca="1" si="29"/>
        <v>0.52692845075228667</v>
      </c>
      <c r="D156" s="3">
        <f t="shared" ca="1" si="29"/>
        <v>0.73187891824994888</v>
      </c>
      <c r="E156" s="3">
        <f t="shared" ca="1" si="29"/>
        <v>0.37702421327558255</v>
      </c>
      <c r="F156" s="3">
        <f t="shared" ca="1" si="29"/>
        <v>0.92807036548432909</v>
      </c>
      <c r="G156" s="36">
        <f t="shared" ca="1" si="23"/>
        <v>58005.382192231031</v>
      </c>
      <c r="H156" s="37">
        <f t="shared" ca="1" si="24"/>
        <v>0.1361441801204773</v>
      </c>
      <c r="I156" s="37">
        <f t="shared" ca="1" si="25"/>
        <v>9.0708576995984586E-2</v>
      </c>
      <c r="J156" s="38">
        <f t="shared" ca="1" si="26"/>
        <v>2.7367192364353712E-2</v>
      </c>
      <c r="K156" s="36">
        <f t="shared" ca="1" si="27"/>
        <v>2431.0682331592661</v>
      </c>
      <c r="L156" s="36">
        <f ca="1">Assumptions!$C$10*Assumptions!$C$13*I156*Assumptions!$C$15</f>
        <v>6290.9886938138225</v>
      </c>
      <c r="M156" s="36">
        <f ca="1">G156*(1+H156*Assumptions!$C$6)*(1+J156)+L156+K156</f>
        <v>69937.526876751843</v>
      </c>
    </row>
    <row r="157" spans="1:13" x14ac:dyDescent="0.25">
      <c r="A157" s="3">
        <v>144</v>
      </c>
      <c r="B157" s="3">
        <f t="shared" ca="1" si="29"/>
        <v>0.58634218490856249</v>
      </c>
      <c r="C157" s="3">
        <f t="shared" ca="1" si="29"/>
        <v>0.43343477164943922</v>
      </c>
      <c r="D157" s="3">
        <f t="shared" ca="1" si="29"/>
        <v>8.7088287718809609E-2</v>
      </c>
      <c r="E157" s="3">
        <f t="shared" ca="1" si="29"/>
        <v>3.9351098841046483E-2</v>
      </c>
      <c r="F157" s="3">
        <f t="shared" ca="1" si="29"/>
        <v>0.50707571388165151</v>
      </c>
      <c r="G157" s="36">
        <f t="shared" ca="1" si="23"/>
        <v>57939.242278186568</v>
      </c>
      <c r="H157" s="37">
        <f t="shared" ca="1" si="24"/>
        <v>0.12634399617093345</v>
      </c>
      <c r="I157" s="37">
        <f t="shared" ca="1" si="25"/>
        <v>5.6693786889145031E-2</v>
      </c>
      <c r="J157" s="38">
        <f t="shared" ca="1" si="26"/>
        <v>1.5610782394001498E-2</v>
      </c>
      <c r="K157" s="36">
        <f t="shared" ca="1" si="27"/>
        <v>1510.6513881791921</v>
      </c>
      <c r="L157" s="36">
        <f ca="1">Assumptions!$C$10*Assumptions!$C$13*I157*Assumptions!$C$15</f>
        <v>3931.9321737887039</v>
      </c>
      <c r="M157" s="36">
        <f ca="1">G157*(1+H157*Assumptions!$C$6)*(1+J157)+L157+K157</f>
        <v>65773.212869621857</v>
      </c>
    </row>
    <row r="158" spans="1:13" x14ac:dyDescent="0.25">
      <c r="A158" s="3">
        <v>145</v>
      </c>
      <c r="B158" s="3">
        <f t="shared" ca="1" si="29"/>
        <v>0.14057585463449618</v>
      </c>
      <c r="C158" s="3">
        <f t="shared" ca="1" si="29"/>
        <v>0.98195630655882482</v>
      </c>
      <c r="D158" s="3">
        <f t="shared" ca="1" si="29"/>
        <v>0.66394719767701915</v>
      </c>
      <c r="E158" s="3">
        <f t="shared" ca="1" si="29"/>
        <v>0.63000900471586252</v>
      </c>
      <c r="F158" s="3">
        <f t="shared" ca="1" si="29"/>
        <v>0.57580806633369319</v>
      </c>
      <c r="G158" s="36">
        <f t="shared" ca="1" si="23"/>
        <v>57499.231674949762</v>
      </c>
      <c r="H158" s="37">
        <f t="shared" ca="1" si="24"/>
        <v>0.21971709561086494</v>
      </c>
      <c r="I158" s="37">
        <f t="shared" ca="1" si="25"/>
        <v>8.7207181160602582E-2</v>
      </c>
      <c r="J158" s="38">
        <f t="shared" ca="1" si="26"/>
        <v>3.2795558822579854E-2</v>
      </c>
      <c r="K158" s="36">
        <f t="shared" ca="1" si="27"/>
        <v>1618.3836634223014</v>
      </c>
      <c r="L158" s="36">
        <f ca="1">Assumptions!$C$10*Assumptions!$C$13*I158*Assumptions!$C$15</f>
        <v>6048.1534257230214</v>
      </c>
      <c r="M158" s="36">
        <f ca="1">G158*(1+H158*Assumptions!$C$6)*(1+J158)+L158+K158</f>
        <v>69661.065994902892</v>
      </c>
    </row>
    <row r="159" spans="1:13" x14ac:dyDescent="0.25">
      <c r="A159" s="3">
        <v>146</v>
      </c>
      <c r="B159" s="3">
        <f t="shared" ca="1" si="29"/>
        <v>0.35773786166271848</v>
      </c>
      <c r="C159" s="3">
        <f t="shared" ca="1" si="29"/>
        <v>0.49769798337507365</v>
      </c>
      <c r="D159" s="3">
        <f t="shared" ca="1" si="29"/>
        <v>0.98879842863240952</v>
      </c>
      <c r="E159" s="3">
        <f t="shared" ca="1" si="29"/>
        <v>0.86073774907507317</v>
      </c>
      <c r="F159" s="3">
        <f t="shared" ca="1" si="29"/>
        <v>0.98517321664298663</v>
      </c>
      <c r="G159" s="36">
        <f t="shared" ca="1" si="23"/>
        <v>57736.871886081484</v>
      </c>
      <c r="H159" s="37">
        <f t="shared" ca="1" si="24"/>
        <v>0.1329837116180517</v>
      </c>
      <c r="I159" s="37">
        <f t="shared" ca="1" si="25"/>
        <v>0.11401292823023729</v>
      </c>
      <c r="J159" s="38">
        <f t="shared" ca="1" si="26"/>
        <v>3.944491588191068E-2</v>
      </c>
      <c r="K159" s="36">
        <f t="shared" ca="1" si="27"/>
        <v>2741.6968348886135</v>
      </c>
      <c r="L159" s="36">
        <f ca="1">Assumptions!$C$10*Assumptions!$C$13*I159*Assumptions!$C$15</f>
        <v>7907.2350840293784</v>
      </c>
      <c r="M159" s="36">
        <f ca="1">G159*(1+H159*Assumptions!$C$6)*(1+J159)+L159+K159</f>
        <v>72259.414677897454</v>
      </c>
    </row>
    <row r="160" spans="1:13" x14ac:dyDescent="0.25">
      <c r="A160" s="3">
        <v>147</v>
      </c>
      <c r="B160" s="3">
        <f t="shared" ca="1" si="29"/>
        <v>0.22442615285611534</v>
      </c>
      <c r="C160" s="3">
        <f t="shared" ca="1" si="29"/>
        <v>0.53590332970495014</v>
      </c>
      <c r="D160" s="3">
        <f t="shared" ca="1" si="29"/>
        <v>0.55739361283099198</v>
      </c>
      <c r="E160" s="3">
        <f t="shared" ca="1" si="29"/>
        <v>0.95888590048321742</v>
      </c>
      <c r="F160" s="3">
        <f t="shared" ca="1" si="29"/>
        <v>0.62183000108681052</v>
      </c>
      <c r="G160" s="36">
        <f t="shared" ca="1" si="23"/>
        <v>57604.436329550743</v>
      </c>
      <c r="H160" s="37">
        <f t="shared" ca="1" si="24"/>
        <v>0.13713404799095505</v>
      </c>
      <c r="I160" s="37">
        <f t="shared" ca="1" si="25"/>
        <v>8.2365701296014227E-2</v>
      </c>
      <c r="J160" s="38">
        <f t="shared" ca="1" si="26"/>
        <v>4.4264908055364233E-2</v>
      </c>
      <c r="K160" s="36">
        <f t="shared" ca="1" si="27"/>
        <v>1695.482849821685</v>
      </c>
      <c r="L160" s="36">
        <f ca="1">Assumptions!$C$10*Assumptions!$C$13*I160*Assumptions!$C$15</f>
        <v>5712.3781760374159</v>
      </c>
      <c r="M160" s="36">
        <f ca="1">G160*(1+H160*Assumptions!$C$6)*(1+J160)+L160+K160</f>
        <v>69211.992730059501</v>
      </c>
    </row>
    <row r="161" spans="1:13" x14ac:dyDescent="0.25">
      <c r="A161" s="3">
        <v>148</v>
      </c>
      <c r="B161" s="3">
        <f t="shared" ca="1" si="29"/>
        <v>0.69676268130172503</v>
      </c>
      <c r="C161" s="3">
        <f t="shared" ca="1" si="29"/>
        <v>0.57340489198095634</v>
      </c>
      <c r="D161" s="3">
        <f t="shared" ca="1" si="29"/>
        <v>0.29983464830385287</v>
      </c>
      <c r="E161" s="3">
        <f t="shared" ca="1" si="29"/>
        <v>0.49096456121837528</v>
      </c>
      <c r="F161" s="3">
        <f t="shared" ca="1" si="29"/>
        <v>0.61600379493166069</v>
      </c>
      <c r="G161" s="36">
        <f t="shared" ca="1" si="23"/>
        <v>58055.750578817562</v>
      </c>
      <c r="H161" s="37">
        <f t="shared" ca="1" si="24"/>
        <v>0.14137764724549412</v>
      </c>
      <c r="I161" s="37">
        <f t="shared" ca="1" si="25"/>
        <v>7.0975326867885172E-2</v>
      </c>
      <c r="J161" s="38">
        <f t="shared" ca="1" si="26"/>
        <v>2.9818467371991716E-2</v>
      </c>
      <c r="K161" s="36">
        <f t="shared" ca="1" si="27"/>
        <v>1685.4723575338833</v>
      </c>
      <c r="L161" s="36">
        <f ca="1">Assumptions!$C$10*Assumptions!$C$13*I161*Assumptions!$C$15</f>
        <v>4922.4119003142505</v>
      </c>
      <c r="M161" s="36">
        <f ca="1">G161*(1+H161*Assumptions!$C$6)*(1+J161)+L161+K161</f>
        <v>68085.274142621289</v>
      </c>
    </row>
    <row r="162" spans="1:13" x14ac:dyDescent="0.25">
      <c r="A162" s="3">
        <v>149</v>
      </c>
      <c r="B162" s="3">
        <f t="shared" ca="1" si="29"/>
        <v>0.60102736603949802</v>
      </c>
      <c r="C162" s="3">
        <f t="shared" ca="1" si="29"/>
        <v>0.27055929880170482</v>
      </c>
      <c r="D162" s="3">
        <f t="shared" ca="1" si="29"/>
        <v>0.89067030364798783</v>
      </c>
      <c r="E162" s="3">
        <f t="shared" ca="1" si="29"/>
        <v>0.93815067314179823</v>
      </c>
      <c r="F162" s="3">
        <f t="shared" ca="1" si="29"/>
        <v>0.17023941230377737</v>
      </c>
      <c r="G162" s="36">
        <f t="shared" ca="1" si="23"/>
        <v>57953.752898188759</v>
      </c>
      <c r="H162" s="37">
        <f t="shared" ca="1" si="24"/>
        <v>0.10998698753948788</v>
      </c>
      <c r="I162" s="37">
        <f t="shared" ca="1" si="25"/>
        <v>0.10129558799837751</v>
      </c>
      <c r="J162" s="38">
        <f t="shared" ca="1" si="26"/>
        <v>4.2965836120293942E-2</v>
      </c>
      <c r="K162" s="36">
        <f t="shared" ca="1" si="27"/>
        <v>875.25845061158827</v>
      </c>
      <c r="L162" s="36">
        <f ca="1">Assumptions!$C$10*Assumptions!$C$13*I162*Assumptions!$C$15</f>
        <v>7025.2386261028578</v>
      </c>
      <c r="M162" s="36">
        <f ca="1">G162*(1+H162*Assumptions!$C$6)*(1+J162)+L162+K162</f>
        <v>69673.887375662292</v>
      </c>
    </row>
    <row r="163" spans="1:13" x14ac:dyDescent="0.25">
      <c r="A163" s="3">
        <v>150</v>
      </c>
      <c r="B163" s="3">
        <f t="shared" ca="1" si="29"/>
        <v>0.85930858997639126</v>
      </c>
      <c r="C163" s="3">
        <f t="shared" ca="1" si="29"/>
        <v>0.8186030907899734</v>
      </c>
      <c r="D163" s="3">
        <f t="shared" ca="1" si="29"/>
        <v>0.15962332396306078</v>
      </c>
      <c r="E163" s="3">
        <f t="shared" ca="1" si="29"/>
        <v>0.19450507136722939</v>
      </c>
      <c r="F163" s="3">
        <f t="shared" ca="1" si="29"/>
        <v>0.48091898450138049</v>
      </c>
      <c r="G163" s="36">
        <f t="shared" ca="1" si="23"/>
        <v>58276.921917881613</v>
      </c>
      <c r="H163" s="37">
        <f t="shared" ca="1" si="24"/>
        <v>0.17568942909607621</v>
      </c>
      <c r="I163" s="37">
        <f t="shared" ca="1" si="25"/>
        <v>6.2600766285278789E-2</v>
      </c>
      <c r="J163" s="38">
        <f t="shared" ca="1" si="26"/>
        <v>2.247413552490847E-2</v>
      </c>
      <c r="K163" s="36">
        <f t="shared" ca="1" si="27"/>
        <v>1471.1000748610586</v>
      </c>
      <c r="L163" s="36">
        <f ca="1">Assumptions!$C$10*Assumptions!$C$13*I163*Assumptions!$C$15</f>
        <v>4341.6039140621033</v>
      </c>
      <c r="M163" s="36">
        <f ca="1">G163*(1+H163*Assumptions!$C$6)*(1+J163)+L163+K163</f>
        <v>67493.098088937724</v>
      </c>
    </row>
    <row r="164" spans="1:13" x14ac:dyDescent="0.25">
      <c r="A164" s="3">
        <v>151</v>
      </c>
      <c r="B164" s="3">
        <f t="shared" ref="B164:F173" ca="1" si="30">RAND()</f>
        <v>0.28178212677182646</v>
      </c>
      <c r="C164" s="3">
        <f t="shared" ca="1" si="30"/>
        <v>0.9048190584459761</v>
      </c>
      <c r="D164" s="3">
        <f t="shared" ca="1" si="30"/>
        <v>0.39773392311741906</v>
      </c>
      <c r="E164" s="3">
        <f t="shared" ca="1" si="30"/>
        <v>0.97093082884507886</v>
      </c>
      <c r="F164" s="3">
        <f t="shared" ca="1" si="30"/>
        <v>0.18065775693673136</v>
      </c>
      <c r="G164" s="36">
        <f t="shared" ca="1" si="23"/>
        <v>57665.231485794597</v>
      </c>
      <c r="H164" s="37">
        <f t="shared" ca="1" si="24"/>
        <v>0.19341539452317164</v>
      </c>
      <c r="I164" s="37">
        <f t="shared" ca="1" si="25"/>
        <v>7.5675601662421071E-2</v>
      </c>
      <c r="J164" s="38">
        <f t="shared" ca="1" si="26"/>
        <v>4.51776212380261E-2</v>
      </c>
      <c r="K164" s="36">
        <f t="shared" ca="1" si="27"/>
        <v>901.64289284355323</v>
      </c>
      <c r="L164" s="36">
        <f ca="1">Assumptions!$C$10*Assumptions!$C$13*I164*Assumptions!$C$15</f>
        <v>5248.394035295295</v>
      </c>
      <c r="M164" s="36">
        <f ca="1">G164*(1+H164*Assumptions!$C$6)*(1+J164)+L164+K164</f>
        <v>68751.891405839677</v>
      </c>
    </row>
    <row r="165" spans="1:13" x14ac:dyDescent="0.25">
      <c r="A165" s="3">
        <v>152</v>
      </c>
      <c r="B165" s="3">
        <f t="shared" ca="1" si="30"/>
        <v>0.81742961747581211</v>
      </c>
      <c r="C165" s="3">
        <f t="shared" ca="1" si="30"/>
        <v>0.13651345921841262</v>
      </c>
      <c r="D165" s="3">
        <f t="shared" ca="1" si="30"/>
        <v>0.39391799702368258</v>
      </c>
      <c r="E165" s="3">
        <f t="shared" ca="1" si="30"/>
        <v>0.91326895264002483</v>
      </c>
      <c r="F165" s="3">
        <f t="shared" ca="1" si="30"/>
        <v>0.42051773009703941</v>
      </c>
      <c r="G165" s="36">
        <f t="shared" ca="1" si="23"/>
        <v>58211.175632765924</v>
      </c>
      <c r="H165" s="37">
        <f t="shared" ca="1" si="24"/>
        <v>9.2610198399032229E-2</v>
      </c>
      <c r="I165" s="37">
        <f t="shared" ca="1" si="25"/>
        <v>7.5504050339021661E-2</v>
      </c>
      <c r="J165" s="38">
        <f t="shared" ca="1" si="26"/>
        <v>4.1670243827819441E-2</v>
      </c>
      <c r="K165" s="36">
        <f t="shared" ca="1" si="27"/>
        <v>1375.6197822933041</v>
      </c>
      <c r="L165" s="36">
        <f ca="1">Assumptions!$C$10*Assumptions!$C$13*I165*Assumptions!$C$15</f>
        <v>5236.4962912047631</v>
      </c>
      <c r="M165" s="36">
        <f ca="1">G165*(1+H165*Assumptions!$C$6)*(1+J165)+L165+K165</f>
        <v>68372.08372115856</v>
      </c>
    </row>
    <row r="166" spans="1:13" x14ac:dyDescent="0.25">
      <c r="A166" s="3">
        <v>153</v>
      </c>
      <c r="B166" s="3">
        <f t="shared" ca="1" si="30"/>
        <v>0.48139280959559905</v>
      </c>
      <c r="C166" s="3">
        <f t="shared" ca="1" si="30"/>
        <v>0.53281497966474733</v>
      </c>
      <c r="D166" s="3">
        <f t="shared" ca="1" si="30"/>
        <v>0.13422384955681921</v>
      </c>
      <c r="E166" s="3">
        <f t="shared" ca="1" si="30"/>
        <v>0.2550042870988366</v>
      </c>
      <c r="F166" s="3">
        <f t="shared" ca="1" si="30"/>
        <v>0.74337954833917297</v>
      </c>
      <c r="G166" s="36">
        <f t="shared" ca="1" si="23"/>
        <v>57842.272385432894</v>
      </c>
      <c r="H166" s="37">
        <f t="shared" ca="1" si="24"/>
        <v>0.13679235268816675</v>
      </c>
      <c r="I166" s="37">
        <f t="shared" ca="1" si="25"/>
        <v>6.0724775477235489E-2</v>
      </c>
      <c r="J166" s="38">
        <f t="shared" ca="1" si="26"/>
        <v>2.4282976919363458E-2</v>
      </c>
      <c r="K166" s="36">
        <f t="shared" ca="1" si="27"/>
        <v>1925.3874965952975</v>
      </c>
      <c r="L166" s="36">
        <f ca="1">Assumptions!$C$10*Assumptions!$C$13*I166*Assumptions!$C$15</f>
        <v>4211.4967361750396</v>
      </c>
      <c r="M166" s="36">
        <f ca="1">G166*(1+H166*Assumptions!$C$6)*(1+J166)+L166+K166</f>
        <v>67004.642519119268</v>
      </c>
    </row>
    <row r="167" spans="1:13" x14ac:dyDescent="0.25">
      <c r="A167" s="3">
        <v>154</v>
      </c>
      <c r="B167" s="3">
        <f t="shared" ca="1" si="30"/>
        <v>0.16781979598509977</v>
      </c>
      <c r="C167" s="3">
        <f t="shared" ca="1" si="30"/>
        <v>0.39295887455161915</v>
      </c>
      <c r="D167" s="3">
        <f t="shared" ca="1" si="30"/>
        <v>0.2920862590357044</v>
      </c>
      <c r="E167" s="3">
        <f t="shared" ca="1" si="30"/>
        <v>0.76495213290218511</v>
      </c>
      <c r="F167" s="3">
        <f t="shared" ca="1" si="30"/>
        <v>0.65192688761833784</v>
      </c>
      <c r="G167" s="36">
        <f t="shared" ca="1" si="23"/>
        <v>57536.20558213492</v>
      </c>
      <c r="H167" s="37">
        <f t="shared" ca="1" si="24"/>
        <v>0.12235418553886804</v>
      </c>
      <c r="I167" s="37">
        <f t="shared" ca="1" si="25"/>
        <v>7.0572471750158738E-2</v>
      </c>
      <c r="J167" s="38">
        <f t="shared" ca="1" si="26"/>
        <v>3.6287294443536976E-2</v>
      </c>
      <c r="K167" s="36">
        <f t="shared" ca="1" si="27"/>
        <v>1748.4693348872831</v>
      </c>
      <c r="L167" s="36">
        <f ca="1">Assumptions!$C$10*Assumptions!$C$13*I167*Assumptions!$C$15</f>
        <v>4894.4723484571623</v>
      </c>
      <c r="M167" s="36">
        <f ca="1">G167*(1+H167*Assumptions!$C$6)*(1+J167)+L167+K167</f>
        <v>67726.030640157915</v>
      </c>
    </row>
    <row r="168" spans="1:13" x14ac:dyDescent="0.25">
      <c r="A168" s="3">
        <v>155</v>
      </c>
      <c r="B168" s="3">
        <f t="shared" ca="1" si="30"/>
        <v>0.83669294831322261</v>
      </c>
      <c r="C168" s="3">
        <f t="shared" ca="1" si="30"/>
        <v>0.67322432007595678</v>
      </c>
      <c r="D168" s="3">
        <f t="shared" ca="1" si="30"/>
        <v>0.30659339130858576</v>
      </c>
      <c r="E168" s="3">
        <f t="shared" ca="1" si="30"/>
        <v>7.8661278993229944E-2</v>
      </c>
      <c r="F168" s="3">
        <f t="shared" ca="1" si="30"/>
        <v>0.62505213671602078</v>
      </c>
      <c r="G168" s="36">
        <f t="shared" ca="1" si="23"/>
        <v>58240.361616133021</v>
      </c>
      <c r="H168" s="37">
        <f t="shared" ca="1" si="24"/>
        <v>0.15368380509853213</v>
      </c>
      <c r="I168" s="37">
        <f t="shared" ca="1" si="25"/>
        <v>7.1322497540705049E-2</v>
      </c>
      <c r="J168" s="38">
        <f t="shared" ca="1" si="26"/>
        <v>1.7932781554699712E-2</v>
      </c>
      <c r="K168" s="36">
        <f t="shared" ca="1" si="27"/>
        <v>1701.052200903398</v>
      </c>
      <c r="L168" s="36">
        <f ca="1">Assumptions!$C$10*Assumptions!$C$13*I168*Assumptions!$C$15</f>
        <v>4946.4895217461271</v>
      </c>
      <c r="M168" s="36">
        <f ca="1">G168*(1+H168*Assumptions!$C$6)*(1+J168)+L168+K168</f>
        <v>67754.53693029983</v>
      </c>
    </row>
    <row r="169" spans="1:13" x14ac:dyDescent="0.25">
      <c r="A169" s="3">
        <v>156</v>
      </c>
      <c r="B169" s="3">
        <f t="shared" ca="1" si="30"/>
        <v>0.50663459328342797</v>
      </c>
      <c r="C169" s="3">
        <f t="shared" ca="1" si="30"/>
        <v>0.99512231837178111</v>
      </c>
      <c r="D169" s="3">
        <f t="shared" ca="1" si="30"/>
        <v>0.1285850720102315</v>
      </c>
      <c r="E169" s="3">
        <f t="shared" ca="1" si="30"/>
        <v>0.38926260001814006</v>
      </c>
      <c r="F169" s="3">
        <f t="shared" ca="1" si="30"/>
        <v>2.8243781990374695E-3</v>
      </c>
      <c r="G169" s="36">
        <f t="shared" ca="1" si="23"/>
        <v>57864.623795384214</v>
      </c>
      <c r="H169" s="37">
        <f t="shared" ca="1" si="24"/>
        <v>0.22945433069343671</v>
      </c>
      <c r="I169" s="37">
        <f t="shared" ca="1" si="25"/>
        <v>6.0284778293901581E-2</v>
      </c>
      <c r="J169" s="38">
        <f t="shared" ca="1" si="26"/>
        <v>2.7646815010491613E-2</v>
      </c>
      <c r="K169" s="36">
        <f t="shared" ca="1" si="27"/>
        <v>112.73731367949395</v>
      </c>
      <c r="L169" s="36">
        <f ca="1">Assumptions!$C$10*Assumptions!$C$13*I169*Assumptions!$C$15</f>
        <v>4180.9812392139738</v>
      </c>
      <c r="M169" s="36">
        <f ca="1">G169*(1+H169*Assumptions!$C$6)*(1+J169)+L169+K169</f>
        <v>66486.987550691512</v>
      </c>
    </row>
    <row r="170" spans="1:13" x14ac:dyDescent="0.25">
      <c r="A170" s="3">
        <v>157</v>
      </c>
      <c r="B170" s="3">
        <f t="shared" ca="1" si="30"/>
        <v>7.6956712977368724E-2</v>
      </c>
      <c r="C170" s="3">
        <f t="shared" ca="1" si="30"/>
        <v>0.68648277414660719</v>
      </c>
      <c r="D170" s="3">
        <f t="shared" ca="1" si="30"/>
        <v>0.78499190093706561</v>
      </c>
      <c r="E170" s="3">
        <f t="shared" ca="1" si="30"/>
        <v>0.63567544487485783</v>
      </c>
      <c r="F170" s="3">
        <f t="shared" ca="1" si="30"/>
        <v>0.82500988563764177</v>
      </c>
      <c r="G170" s="36">
        <f t="shared" ca="1" si="23"/>
        <v>57395.388021100509</v>
      </c>
      <c r="H170" s="37">
        <f t="shared" ca="1" si="24"/>
        <v>0.15545301454541766</v>
      </c>
      <c r="I170" s="37">
        <f t="shared" ca="1" si="25"/>
        <v>9.3769751869237111E-2</v>
      </c>
      <c r="J170" s="38">
        <f t="shared" ca="1" si="26"/>
        <v>3.2927810799428393E-2</v>
      </c>
      <c r="K170" s="36">
        <f t="shared" ca="1" si="27"/>
        <v>2112.6130975551805</v>
      </c>
      <c r="L170" s="36">
        <f ca="1">Assumptions!$C$10*Assumptions!$C$13*I170*Assumptions!$C$15</f>
        <v>6503.2929450233969</v>
      </c>
      <c r="M170" s="36">
        <f ca="1">G170*(1+H170*Assumptions!$C$6)*(1+J170)+L170+K170</f>
        <v>69744.414028621104</v>
      </c>
    </row>
    <row r="171" spans="1:13" x14ac:dyDescent="0.25">
      <c r="A171" s="3">
        <v>158</v>
      </c>
      <c r="B171" s="3">
        <f t="shared" ca="1" si="30"/>
        <v>2.210167210983538E-2</v>
      </c>
      <c r="C171" s="3">
        <f t="shared" ca="1" si="30"/>
        <v>0.94615711010983938</v>
      </c>
      <c r="D171" s="3">
        <f t="shared" ca="1" si="30"/>
        <v>0.5066205748654159</v>
      </c>
      <c r="E171" s="3">
        <f t="shared" ca="1" si="30"/>
        <v>0.39583601782820133</v>
      </c>
      <c r="F171" s="3">
        <f t="shared" ca="1" si="30"/>
        <v>0.82963846418413456</v>
      </c>
      <c r="G171" s="36">
        <f t="shared" ca="1" si="23"/>
        <v>57258.300464924308</v>
      </c>
      <c r="H171" s="37">
        <f t="shared" ca="1" si="24"/>
        <v>0.20496262153791095</v>
      </c>
      <c r="I171" s="37">
        <f t="shared" ca="1" si="25"/>
        <v>8.0265705487190669E-2</v>
      </c>
      <c r="J171" s="38">
        <f t="shared" ca="1" si="26"/>
        <v>2.7795190762185187E-2</v>
      </c>
      <c r="K171" s="36">
        <f t="shared" ca="1" si="27"/>
        <v>2124.4276665109874</v>
      </c>
      <c r="L171" s="36">
        <f ca="1">Assumptions!$C$10*Assumptions!$C$13*I171*Assumptions!$C$15</f>
        <v>5566.7353897885459</v>
      </c>
      <c r="M171" s="36">
        <f ca="1">G171*(1+H171*Assumptions!$C$6)*(1+J171)+L171+K171</f>
        <v>68953.371002129235</v>
      </c>
    </row>
    <row r="172" spans="1:13" x14ac:dyDescent="0.25">
      <c r="A172" s="3">
        <v>159</v>
      </c>
      <c r="B172" s="3">
        <f t="shared" ca="1" si="30"/>
        <v>0.10041284705789932</v>
      </c>
      <c r="C172" s="3">
        <f t="shared" ca="1" si="30"/>
        <v>0.59354559851444277</v>
      </c>
      <c r="D172" s="3">
        <f t="shared" ca="1" si="30"/>
        <v>8.119748187473208E-2</v>
      </c>
      <c r="E172" s="3">
        <f t="shared" ca="1" si="30"/>
        <v>0.7439389312601461</v>
      </c>
      <c r="F172" s="3">
        <f t="shared" ca="1" si="30"/>
        <v>0.18291204201289557</v>
      </c>
      <c r="G172" s="36">
        <f t="shared" ca="1" si="23"/>
        <v>57437.414906422033</v>
      </c>
      <c r="H172" s="37">
        <f t="shared" ca="1" si="24"/>
        <v>0.14373390859772739</v>
      </c>
      <c r="I172" s="37">
        <f t="shared" ca="1" si="25"/>
        <v>5.6119303396832715E-2</v>
      </c>
      <c r="J172" s="38">
        <f t="shared" ca="1" si="26"/>
        <v>3.5687458122615569E-2</v>
      </c>
      <c r="K172" s="36">
        <f t="shared" ca="1" si="27"/>
        <v>907.25089642172861</v>
      </c>
      <c r="L172" s="36">
        <f ca="1">Assumptions!$C$10*Assumptions!$C$13*I172*Assumptions!$C$15</f>
        <v>3892.0895340449515</v>
      </c>
      <c r="M172" s="36">
        <f ca="1">G172*(1+H172*Assumptions!$C$6)*(1+J172)+L172+K172</f>
        <v>65996.616524066951</v>
      </c>
    </row>
    <row r="173" spans="1:13" x14ac:dyDescent="0.25">
      <c r="A173" s="3">
        <v>160</v>
      </c>
      <c r="B173" s="3">
        <f t="shared" ca="1" si="30"/>
        <v>0.49103169609807096</v>
      </c>
      <c r="C173" s="3">
        <f t="shared" ca="1" si="30"/>
        <v>0.6875198141901594</v>
      </c>
      <c r="D173" s="3">
        <f t="shared" ca="1" si="30"/>
        <v>0.87012188691428427</v>
      </c>
      <c r="E173" s="3">
        <f t="shared" ca="1" si="30"/>
        <v>8.205827011707123E-2</v>
      </c>
      <c r="F173" s="3">
        <f t="shared" ca="1" si="30"/>
        <v>0.55583190005106975</v>
      </c>
      <c r="G173" s="36">
        <f t="shared" ca="1" si="23"/>
        <v>57850.741933764046</v>
      </c>
      <c r="H173" s="37">
        <f t="shared" ca="1" si="24"/>
        <v>0.15559296097798259</v>
      </c>
      <c r="I173" s="37">
        <f t="shared" ca="1" si="25"/>
        <v>9.9613485784119687E-2</v>
      </c>
      <c r="J173" s="38">
        <f t="shared" ca="1" si="26"/>
        <v>1.810225993742838E-2</v>
      </c>
      <c r="K173" s="36">
        <f t="shared" ca="1" si="27"/>
        <v>1586.2261673909131</v>
      </c>
      <c r="L173" s="36">
        <f ca="1">Assumptions!$C$10*Assumptions!$C$13*I173*Assumptions!$C$15</f>
        <v>6908.5783679201768</v>
      </c>
      <c r="M173" s="36">
        <f ca="1">G173*(1+H173*Assumptions!$C$6)*(1+J173)+L173+K173</f>
        <v>69225.597580998845</v>
      </c>
    </row>
    <row r="174" spans="1:13" x14ac:dyDescent="0.25">
      <c r="A174" s="3">
        <v>161</v>
      </c>
      <c r="B174" s="3">
        <f t="shared" ref="B174:F183" ca="1" si="31">RAND()</f>
        <v>3.17349138416263E-2</v>
      </c>
      <c r="C174" s="3">
        <f t="shared" ca="1" si="31"/>
        <v>0.566405671031465</v>
      </c>
      <c r="D174" s="3">
        <f t="shared" ca="1" si="31"/>
        <v>0.51835070349980672</v>
      </c>
      <c r="E174" s="3">
        <f t="shared" ca="1" si="31"/>
        <v>1.2322731658517716E-2</v>
      </c>
      <c r="F174" s="3">
        <f t="shared" ca="1" si="31"/>
        <v>0.98227113853078574</v>
      </c>
      <c r="G174" s="36">
        <f t="shared" ca="1" si="23"/>
        <v>57289.68731375588</v>
      </c>
      <c r="H174" s="37">
        <f t="shared" ca="1" si="24"/>
        <v>0.14057188174121668</v>
      </c>
      <c r="I174" s="37">
        <f t="shared" ca="1" si="25"/>
        <v>8.0740889607625876E-2</v>
      </c>
      <c r="J174" s="38">
        <f t="shared" ca="1" si="26"/>
        <v>1.3139774725488149E-2</v>
      </c>
      <c r="K174" s="36">
        <f t="shared" ca="1" si="27"/>
        <v>2717.546682420857</v>
      </c>
      <c r="L174" s="36">
        <f ca="1">Assumptions!$C$10*Assumptions!$C$13*I174*Assumptions!$C$15</f>
        <v>5599.6912361719596</v>
      </c>
      <c r="M174" s="36">
        <f ca="1">G174*(1+H174*Assumptions!$C$6)*(1+J174)+L174+K174</f>
        <v>67991.526407642086</v>
      </c>
    </row>
    <row r="175" spans="1:13" x14ac:dyDescent="0.25">
      <c r="A175" s="3">
        <v>162</v>
      </c>
      <c r="B175" s="3">
        <f t="shared" ca="1" si="31"/>
        <v>0.93261748520653009</v>
      </c>
      <c r="C175" s="3">
        <f t="shared" ca="1" si="31"/>
        <v>0.63516176271157088</v>
      </c>
      <c r="D175" s="3">
        <f t="shared" ca="1" si="31"/>
        <v>0.67490566256201012</v>
      </c>
      <c r="E175" s="3">
        <f t="shared" ca="1" si="31"/>
        <v>1.8294508543577837E-2</v>
      </c>
      <c r="F175" s="3">
        <f t="shared" ca="1" si="31"/>
        <v>0.80640996763264672</v>
      </c>
      <c r="G175" s="36">
        <f t="shared" ca="1" si="23"/>
        <v>58422.420649479434</v>
      </c>
      <c r="H175" s="37">
        <f t="shared" ca="1" si="24"/>
        <v>0.14879522046418736</v>
      </c>
      <c r="I175" s="37">
        <f t="shared" ca="1" si="25"/>
        <v>8.7746288898770619E-2</v>
      </c>
      <c r="J175" s="38">
        <f t="shared" ca="1" si="26"/>
        <v>1.3825651164816556E-2</v>
      </c>
      <c r="K175" s="36">
        <f t="shared" ca="1" si="27"/>
        <v>2066.6430770315733</v>
      </c>
      <c r="L175" s="36">
        <f ca="1">Assumptions!$C$10*Assumptions!$C$13*I175*Assumptions!$C$15</f>
        <v>6085.5426208562758</v>
      </c>
      <c r="M175" s="36">
        <f ca="1">G175*(1+H175*Assumptions!$C$6)*(1+J175)+L175+K175</f>
        <v>69144.966960997495</v>
      </c>
    </row>
    <row r="176" spans="1:13" x14ac:dyDescent="0.25">
      <c r="A176" s="3">
        <v>163</v>
      </c>
      <c r="B176" s="3">
        <f t="shared" ca="1" si="31"/>
        <v>6.5297426542296866E-2</v>
      </c>
      <c r="C176" s="3">
        <f t="shared" ca="1" si="31"/>
        <v>0.61032653270958415</v>
      </c>
      <c r="D176" s="3">
        <f t="shared" ca="1" si="31"/>
        <v>0.323584898197388</v>
      </c>
      <c r="E176" s="3">
        <f t="shared" ca="1" si="31"/>
        <v>0.70871676497419944</v>
      </c>
      <c r="F176" s="3">
        <f t="shared" ca="1" si="31"/>
        <v>0.16759485189272938</v>
      </c>
      <c r="G176" s="36">
        <f t="shared" ca="1" si="23"/>
        <v>57372.093180599833</v>
      </c>
      <c r="H176" s="37">
        <f t="shared" ca="1" si="24"/>
        <v>0.14574208227304464</v>
      </c>
      <c r="I176" s="37">
        <f t="shared" ca="1" si="25"/>
        <v>7.2178745690776092E-2</v>
      </c>
      <c r="J176" s="38">
        <f t="shared" ca="1" si="26"/>
        <v>3.4734791582797159E-2</v>
      </c>
      <c r="K176" s="36">
        <f t="shared" ca="1" si="27"/>
        <v>868.43355158427767</v>
      </c>
      <c r="L176" s="36">
        <f ca="1">Assumptions!$C$10*Assumptions!$C$13*I176*Assumptions!$C$15</f>
        <v>5005.873624215671</v>
      </c>
      <c r="M176" s="36">
        <f ca="1">G176*(1+H176*Assumptions!$C$6)*(1+J176)+L176+K176</f>
        <v>66969.600909330547</v>
      </c>
    </row>
    <row r="177" spans="1:13" x14ac:dyDescent="0.25">
      <c r="A177" s="3">
        <v>164</v>
      </c>
      <c r="B177" s="3">
        <f t="shared" ca="1" si="31"/>
        <v>0.11402035691150292</v>
      </c>
      <c r="C177" s="3">
        <f t="shared" ca="1" si="31"/>
        <v>0.25891969347464594</v>
      </c>
      <c r="D177" s="3">
        <f t="shared" ca="1" si="31"/>
        <v>0.29526100826092327</v>
      </c>
      <c r="E177" s="3">
        <f t="shared" ca="1" si="31"/>
        <v>0.46532565044922913</v>
      </c>
      <c r="F177" s="3">
        <f t="shared" ca="1" si="31"/>
        <v>0.73121201788612589</v>
      </c>
      <c r="G177" s="36">
        <f t="shared" ca="1" si="23"/>
        <v>57459.551266291484</v>
      </c>
      <c r="H177" s="37">
        <f t="shared" ca="1" si="24"/>
        <v>0.10868246691485278</v>
      </c>
      <c r="I177" s="37">
        <f t="shared" ca="1" si="25"/>
        <v>7.0738172138807384E-2</v>
      </c>
      <c r="J177" s="38">
        <f t="shared" ca="1" si="26"/>
        <v>2.9294054015664601E-2</v>
      </c>
      <c r="K177" s="36">
        <f t="shared" ca="1" si="27"/>
        <v>1900.2064195893697</v>
      </c>
      <c r="L177" s="36">
        <f ca="1">Assumptions!$C$10*Assumptions!$C$13*I177*Assumptions!$C$15</f>
        <v>4905.9643077191331</v>
      </c>
      <c r="M177" s="36">
        <f ca="1">G177*(1+H177*Assumptions!$C$6)*(1+J177)+L177+K177</f>
        <v>67234.501717915264</v>
      </c>
    </row>
    <row r="178" spans="1:13" x14ac:dyDescent="0.25">
      <c r="A178" s="3">
        <v>165</v>
      </c>
      <c r="B178" s="3">
        <f t="shared" ca="1" si="31"/>
        <v>0.28680154664755286</v>
      </c>
      <c r="C178" s="3">
        <f t="shared" ca="1" si="31"/>
        <v>0.89755639798624787</v>
      </c>
      <c r="D178" s="3">
        <f t="shared" ca="1" si="31"/>
        <v>0.18812927763124065</v>
      </c>
      <c r="E178" s="3">
        <f t="shared" ca="1" si="31"/>
        <v>0.963482743725118</v>
      </c>
      <c r="F178" s="3">
        <f t="shared" ca="1" si="31"/>
        <v>0.79456973221222105</v>
      </c>
      <c r="G178" s="36">
        <f t="shared" ca="1" si="23"/>
        <v>57670.24353344323</v>
      </c>
      <c r="H178" s="37">
        <f t="shared" ca="1" si="24"/>
        <v>0.1916707735845736</v>
      </c>
      <c r="I178" s="37">
        <f t="shared" ca="1" si="25"/>
        <v>6.4535967240358996E-2</v>
      </c>
      <c r="J178" s="38">
        <f t="shared" ca="1" si="26"/>
        <v>4.459502034972327E-2</v>
      </c>
      <c r="K178" s="36">
        <f t="shared" ca="1" si="27"/>
        <v>2038.5239446325222</v>
      </c>
      <c r="L178" s="36">
        <f ca="1">Assumptions!$C$10*Assumptions!$C$13*I178*Assumptions!$C$15</f>
        <v>4475.8175433775123</v>
      </c>
      <c r="M178" s="36">
        <f ca="1">G178*(1+H178*Assumptions!$C$6)*(1+J178)+L178+K178</f>
        <v>69065.718740564116</v>
      </c>
    </row>
    <row r="179" spans="1:13" x14ac:dyDescent="0.25">
      <c r="A179" s="3">
        <v>166</v>
      </c>
      <c r="B179" s="3">
        <f t="shared" ca="1" si="31"/>
        <v>0.63262279798694898</v>
      </c>
      <c r="C179" s="3">
        <f t="shared" ca="1" si="31"/>
        <v>0.72462147883617245</v>
      </c>
      <c r="D179" s="3">
        <f t="shared" ca="1" si="31"/>
        <v>0.99629985441069513</v>
      </c>
      <c r="E179" s="3">
        <f t="shared" ca="1" si="31"/>
        <v>0.68318128192584393</v>
      </c>
      <c r="F179" s="3">
        <f t="shared" ca="1" si="31"/>
        <v>0.26740785987773852</v>
      </c>
      <c r="G179" s="36">
        <f t="shared" ca="1" si="23"/>
        <v>57985.907162267169</v>
      </c>
      <c r="H179" s="37">
        <f t="shared" ca="1" si="24"/>
        <v>0.1607621915842237</v>
      </c>
      <c r="I179" s="37">
        <f t="shared" ca="1" si="25"/>
        <v>0.11655900219619721</v>
      </c>
      <c r="J179" s="38">
        <f t="shared" ca="1" si="26"/>
        <v>3.4079730703932019E-2</v>
      </c>
      <c r="K179" s="36">
        <f t="shared" ca="1" si="27"/>
        <v>1096.9664395275834</v>
      </c>
      <c r="L179" s="36">
        <f ca="1">Assumptions!$C$10*Assumptions!$C$13*I179*Assumptions!$C$15</f>
        <v>8083.815106160876</v>
      </c>
      <c r="M179" s="36">
        <f ca="1">G179*(1+H179*Assumptions!$C$6)*(1+J179)+L179+K179</f>
        <v>71070.758963253364</v>
      </c>
    </row>
    <row r="180" spans="1:13" x14ac:dyDescent="0.25">
      <c r="A180" s="3">
        <v>167</v>
      </c>
      <c r="B180" s="3">
        <f t="shared" ca="1" si="31"/>
        <v>0.78481386027231015</v>
      </c>
      <c r="C180" s="3">
        <f t="shared" ca="1" si="31"/>
        <v>0.35558622124471007</v>
      </c>
      <c r="D180" s="3">
        <f t="shared" ca="1" si="31"/>
        <v>4.061182833765109E-3</v>
      </c>
      <c r="E180" s="3">
        <f t="shared" ca="1" si="31"/>
        <v>0.67508917237266342</v>
      </c>
      <c r="F180" s="3">
        <f t="shared" ca="1" si="31"/>
        <v>0.70334815878851509</v>
      </c>
      <c r="G180" s="36">
        <f t="shared" ca="1" si="23"/>
        <v>58165.073583611571</v>
      </c>
      <c r="H180" s="37">
        <f t="shared" ca="1" si="24"/>
        <v>0.11876988252538057</v>
      </c>
      <c r="I180" s="37">
        <f t="shared" ca="1" si="25"/>
        <v>4.3604966722183211E-2</v>
      </c>
      <c r="J180" s="38">
        <f t="shared" ca="1" si="26"/>
        <v>3.3877696749475612E-2</v>
      </c>
      <c r="K180" s="36">
        <f t="shared" ca="1" si="27"/>
        <v>1844.6068697401381</v>
      </c>
      <c r="L180" s="36">
        <f ca="1">Assumptions!$C$10*Assumptions!$C$13*I180*Assumptions!$C$15</f>
        <v>3024.1721535938755</v>
      </c>
      <c r="M180" s="36">
        <f ca="1">G180*(1+H180*Assumptions!$C$6)*(1+J180)+L180+K180</f>
        <v>66432.810302942991</v>
      </c>
    </row>
    <row r="181" spans="1:13" x14ac:dyDescent="0.25">
      <c r="A181" s="3">
        <v>168</v>
      </c>
      <c r="B181" s="3">
        <f t="shared" ca="1" si="31"/>
        <v>0.89511368864260799</v>
      </c>
      <c r="C181" s="3">
        <f t="shared" ca="1" si="31"/>
        <v>0.81257803653322447</v>
      </c>
      <c r="D181" s="3">
        <f t="shared" ca="1" si="31"/>
        <v>0.56364861293287838</v>
      </c>
      <c r="E181" s="3">
        <f t="shared" ca="1" si="31"/>
        <v>0.16841438600501468</v>
      </c>
      <c r="F181" s="3">
        <f t="shared" ca="1" si="31"/>
        <v>0.41083484697731365</v>
      </c>
      <c r="G181" s="36">
        <f t="shared" ca="1" si="23"/>
        <v>58341.450062659213</v>
      </c>
      <c r="H181" s="37">
        <f t="shared" ca="1" si="24"/>
        <v>0.17463012339737449</v>
      </c>
      <c r="I181" s="37">
        <f t="shared" ca="1" si="25"/>
        <v>8.2632575167469871E-2</v>
      </c>
      <c r="J181" s="38">
        <f t="shared" ca="1" si="26"/>
        <v>2.1607390266722822E-2</v>
      </c>
      <c r="K181" s="36">
        <f t="shared" ca="1" si="27"/>
        <v>1359.6899688524261</v>
      </c>
      <c r="L181" s="36">
        <f ca="1">Assumptions!$C$10*Assumptions!$C$13*I181*Assumptions!$C$15</f>
        <v>5730.8869054608331</v>
      </c>
      <c r="M181" s="36">
        <f ca="1">G181*(1+H181*Assumptions!$C$6)*(1+J181)+L181+K181</f>
        <v>68774.296314967301</v>
      </c>
    </row>
    <row r="182" spans="1:13" x14ac:dyDescent="0.25">
      <c r="A182" s="3">
        <v>169</v>
      </c>
      <c r="B182" s="3">
        <f t="shared" ca="1" si="31"/>
        <v>7.3081508061055955E-2</v>
      </c>
      <c r="C182" s="3">
        <f t="shared" ca="1" si="31"/>
        <v>0.22340402400897663</v>
      </c>
      <c r="D182" s="3">
        <f t="shared" ca="1" si="31"/>
        <v>5.0113961942363505E-2</v>
      </c>
      <c r="E182" s="3">
        <f t="shared" ca="1" si="31"/>
        <v>0.36180068444585212</v>
      </c>
      <c r="F182" s="3">
        <f t="shared" ca="1" si="31"/>
        <v>0.70270152653657147</v>
      </c>
      <c r="G182" s="36">
        <f t="shared" ca="1" si="23"/>
        <v>57387.854733127577</v>
      </c>
      <c r="H182" s="37">
        <f t="shared" ca="1" si="24"/>
        <v>0.10450938927670525</v>
      </c>
      <c r="I182" s="37">
        <f t="shared" ca="1" si="25"/>
        <v>5.2663517608293645E-2</v>
      </c>
      <c r="J182" s="38">
        <f t="shared" ca="1" si="26"/>
        <v>2.7012952346864481E-2</v>
      </c>
      <c r="K182" s="36">
        <f t="shared" ca="1" si="27"/>
        <v>1843.3483106027863</v>
      </c>
      <c r="L182" s="36">
        <f ca="1">Assumptions!$C$10*Assumptions!$C$13*I182*Assumptions!$C$15</f>
        <v>3652.4174981259653</v>
      </c>
      <c r="M182" s="36">
        <f ca="1">G182*(1+H182*Assumptions!$C$6)*(1+J182)+L182+K182</f>
        <v>65665.752269693796</v>
      </c>
    </row>
    <row r="183" spans="1:13" x14ac:dyDescent="0.25">
      <c r="A183" s="3">
        <v>170</v>
      </c>
      <c r="B183" s="3">
        <f t="shared" ca="1" si="31"/>
        <v>0.93261257044369428</v>
      </c>
      <c r="C183" s="3">
        <f t="shared" ca="1" si="31"/>
        <v>0.95610038199619696</v>
      </c>
      <c r="D183" s="3">
        <f t="shared" ca="1" si="31"/>
        <v>0.77015241415624214</v>
      </c>
      <c r="E183" s="3">
        <f t="shared" ca="1" si="31"/>
        <v>0.70621794129224991</v>
      </c>
      <c r="F183" s="3">
        <f t="shared" ca="1" si="31"/>
        <v>0.2258981294358523</v>
      </c>
      <c r="G183" s="36">
        <f t="shared" ca="1" si="23"/>
        <v>58422.408724942645</v>
      </c>
      <c r="H183" s="37">
        <f t="shared" ca="1" si="24"/>
        <v>0.20836281791172434</v>
      </c>
      <c r="I183" s="37">
        <f t="shared" ca="1" si="25"/>
        <v>9.2879670453697924E-2</v>
      </c>
      <c r="J183" s="38">
        <f t="shared" ca="1" si="26"/>
        <v>3.4669453794264213E-2</v>
      </c>
      <c r="K183" s="36">
        <f t="shared" ca="1" si="27"/>
        <v>1008.2368682315358</v>
      </c>
      <c r="L183" s="36">
        <f ca="1">Assumptions!$C$10*Assumptions!$C$13*I183*Assumptions!$C$15</f>
        <v>6441.5623754656954</v>
      </c>
      <c r="M183" s="36">
        <f ca="1">G183*(1+H183*Assumptions!$C$6)*(1+J183)+L183+K183</f>
        <v>70416.699163072932</v>
      </c>
    </row>
    <row r="184" spans="1:13" x14ac:dyDescent="0.25">
      <c r="A184" s="3">
        <v>171</v>
      </c>
      <c r="B184" s="3">
        <f t="shared" ref="B184:F193" ca="1" si="32">RAND()</f>
        <v>0.12790867338451095</v>
      </c>
      <c r="C184" s="3">
        <f t="shared" ca="1" si="32"/>
        <v>0.61760113005043626</v>
      </c>
      <c r="D184" s="3">
        <f t="shared" ca="1" si="32"/>
        <v>0.6861590408620829</v>
      </c>
      <c r="E184" s="3">
        <f t="shared" ca="1" si="32"/>
        <v>3.359642072312119E-2</v>
      </c>
      <c r="F184" s="3">
        <f t="shared" ca="1" si="32"/>
        <v>0.12047011892875048</v>
      </c>
      <c r="G184" s="36">
        <f t="shared" ca="1" si="23"/>
        <v>57480.819888796512</v>
      </c>
      <c r="H184" s="37">
        <f t="shared" ca="1" si="24"/>
        <v>0.14662605162653741</v>
      </c>
      <c r="I184" s="37">
        <f t="shared" ca="1" si="25"/>
        <v>8.8309448265431939E-2</v>
      </c>
      <c r="J184" s="38">
        <f t="shared" ca="1" si="26"/>
        <v>1.5184316404165253E-2</v>
      </c>
      <c r="K184" s="36">
        <f t="shared" ca="1" si="27"/>
        <v>736.28495514941574</v>
      </c>
      <c r="L184" s="36">
        <f ca="1">Assumptions!$C$10*Assumptions!$C$13*I184*Assumptions!$C$15</f>
        <v>6124.5998889318025</v>
      </c>
      <c r="M184" s="36">
        <f ca="1">G184*(1+H184*Assumptions!$C$6)*(1+J184)+L184+K184</f>
        <v>66925.744069718843</v>
      </c>
    </row>
    <row r="185" spans="1:13" x14ac:dyDescent="0.25">
      <c r="A185" s="3">
        <v>172</v>
      </c>
      <c r="B185" s="3">
        <f t="shared" ca="1" si="32"/>
        <v>0.27307280062012274</v>
      </c>
      <c r="C185" s="3">
        <f t="shared" ca="1" si="32"/>
        <v>0.50273216010996591</v>
      </c>
      <c r="D185" s="3">
        <f t="shared" ca="1" si="32"/>
        <v>0.16693993564826481</v>
      </c>
      <c r="E185" s="3">
        <f t="shared" ca="1" si="32"/>
        <v>0.26963328065872161</v>
      </c>
      <c r="F185" s="3">
        <f t="shared" ca="1" si="32"/>
        <v>0.45168383513462551</v>
      </c>
      <c r="G185" s="36">
        <f t="shared" ca="1" si="23"/>
        <v>57656.427834457274</v>
      </c>
      <c r="H185" s="37">
        <f t="shared" ca="1" si="24"/>
        <v>0.13352133195098287</v>
      </c>
      <c r="I185" s="37">
        <f t="shared" ca="1" si="25"/>
        <v>6.3112935643800147E-2</v>
      </c>
      <c r="J185" s="38">
        <f t="shared" ca="1" si="26"/>
        <v>2.468695422907613E-2</v>
      </c>
      <c r="K185" s="36">
        <f t="shared" ca="1" si="27"/>
        <v>1425.6848382815238</v>
      </c>
      <c r="L185" s="36">
        <f ca="1">Assumptions!$C$10*Assumptions!$C$13*I185*Assumptions!$C$15</f>
        <v>4377.1248289577079</v>
      </c>
      <c r="M185" s="36">
        <f ca="1">G185*(1+H185*Assumptions!$C$6)*(1+J185)+L185+K185</f>
        <v>66460.281531857705</v>
      </c>
    </row>
    <row r="186" spans="1:13" x14ac:dyDescent="0.25">
      <c r="A186" s="3">
        <v>173</v>
      </c>
      <c r="B186" s="3">
        <f t="shared" ca="1" si="32"/>
        <v>0.47213221458662036</v>
      </c>
      <c r="C186" s="3">
        <f t="shared" ca="1" si="32"/>
        <v>0.31058379736043973</v>
      </c>
      <c r="D186" s="3">
        <f t="shared" ca="1" si="32"/>
        <v>0.26417903965057876</v>
      </c>
      <c r="E186" s="3">
        <f t="shared" ca="1" si="32"/>
        <v>0.10584316518419823</v>
      </c>
      <c r="F186" s="3">
        <f t="shared" ca="1" si="32"/>
        <v>0.25175259806543016</v>
      </c>
      <c r="G186" s="36">
        <f t="shared" ca="1" si="23"/>
        <v>57834.209059854016</v>
      </c>
      <c r="H186" s="37">
        <f t="shared" ca="1" si="24"/>
        <v>0.1142710238357368</v>
      </c>
      <c r="I186" s="37">
        <f t="shared" ca="1" si="25"/>
        <v>6.9075297537288458E-2</v>
      </c>
      <c r="J186" s="38">
        <f t="shared" ca="1" si="26"/>
        <v>1.9201876555755275E-2</v>
      </c>
      <c r="K186" s="36">
        <f t="shared" ca="1" si="27"/>
        <v>1064.3715006023206</v>
      </c>
      <c r="L186" s="36">
        <f ca="1">Assumptions!$C$10*Assumptions!$C$13*I186*Assumptions!$C$15</f>
        <v>4790.6375584322514</v>
      </c>
      <c r="M186" s="36">
        <f ca="1">G186*(1+H186*Assumptions!$C$6)*(1+J186)+L186+K186</f>
        <v>66146.878491945128</v>
      </c>
    </row>
    <row r="187" spans="1:13" x14ac:dyDescent="0.25">
      <c r="A187" s="3">
        <v>174</v>
      </c>
      <c r="B187" s="3">
        <f t="shared" ca="1" si="32"/>
        <v>0.65031835464408305</v>
      </c>
      <c r="C187" s="3">
        <f t="shared" ca="1" si="32"/>
        <v>0.16711686251694446</v>
      </c>
      <c r="D187" s="3">
        <f t="shared" ca="1" si="32"/>
        <v>0.3772101387013217</v>
      </c>
      <c r="E187" s="3">
        <f t="shared" ca="1" si="32"/>
        <v>0.77317597234885149</v>
      </c>
      <c r="F187" s="3">
        <f t="shared" ca="1" si="32"/>
        <v>0.65529173778952632</v>
      </c>
      <c r="G187" s="36">
        <f t="shared" ca="1" si="23"/>
        <v>58004.52183369032</v>
      </c>
      <c r="H187" s="37">
        <f t="shared" ca="1" si="24"/>
        <v>9.7145034430736826E-2</v>
      </c>
      <c r="I187" s="37">
        <f t="shared" ca="1" si="25"/>
        <v>7.4742948116765073E-2</v>
      </c>
      <c r="J187" s="38">
        <f t="shared" ca="1" si="26"/>
        <v>3.6529319908745556E-2</v>
      </c>
      <c r="K187" s="36">
        <f t="shared" ca="1" si="27"/>
        <v>1754.5333485206713</v>
      </c>
      <c r="L187" s="36">
        <f ca="1">Assumptions!$C$10*Assumptions!$C$13*I187*Assumptions!$C$15</f>
        <v>5183.7109247750295</v>
      </c>
      <c r="M187" s="36">
        <f ca="1">G187*(1+H187*Assumptions!$C$6)*(1+J187)+L187+K187</f>
        <v>68229.76955227807</v>
      </c>
    </row>
    <row r="188" spans="1:13" x14ac:dyDescent="0.25">
      <c r="A188" s="3">
        <v>175</v>
      </c>
      <c r="B188" s="3">
        <f t="shared" ca="1" si="32"/>
        <v>0.95512027317745962</v>
      </c>
      <c r="C188" s="3">
        <f t="shared" ca="1" si="32"/>
        <v>0.82906869397881355</v>
      </c>
      <c r="D188" s="3">
        <f t="shared" ca="1" si="32"/>
        <v>0.38759342459738289</v>
      </c>
      <c r="E188" s="3">
        <f t="shared" ca="1" si="32"/>
        <v>0.31084273018419173</v>
      </c>
      <c r="F188" s="3">
        <f t="shared" ca="1" si="32"/>
        <v>0.21624944142513014</v>
      </c>
      <c r="G188" s="36">
        <f t="shared" ca="1" si="23"/>
        <v>58482.54768458262</v>
      </c>
      <c r="H188" s="37">
        <f t="shared" ca="1" si="24"/>
        <v>0.17757217145148285</v>
      </c>
      <c r="I188" s="37">
        <f t="shared" ca="1" si="25"/>
        <v>7.5217878395945792E-2</v>
      </c>
      <c r="J188" s="38">
        <f t="shared" ca="1" si="26"/>
        <v>2.5769406588307418E-2</v>
      </c>
      <c r="K188" s="36">
        <f t="shared" ca="1" si="27"/>
        <v>986.46970881679169</v>
      </c>
      <c r="L188" s="36">
        <f ca="1">Assumptions!$C$10*Assumptions!$C$13*I188*Assumptions!$C$15</f>
        <v>5216.6491662911321</v>
      </c>
      <c r="M188" s="36">
        <f ca="1">G188*(1+H188*Assumptions!$C$6)*(1+J188)+L188+K188</f>
        <v>68323.224109028291</v>
      </c>
    </row>
    <row r="189" spans="1:13" x14ac:dyDescent="0.25">
      <c r="A189" s="3">
        <v>176</v>
      </c>
      <c r="B189" s="3">
        <f t="shared" ca="1" si="32"/>
        <v>0.71997455439555569</v>
      </c>
      <c r="C189" s="3">
        <f t="shared" ca="1" si="32"/>
        <v>0.77075262484072238</v>
      </c>
      <c r="D189" s="3">
        <f t="shared" ca="1" si="32"/>
        <v>6.4298635353321698E-2</v>
      </c>
      <c r="E189" s="3">
        <f t="shared" ca="1" si="32"/>
        <v>0.80426314022142387</v>
      </c>
      <c r="F189" s="3">
        <f t="shared" ca="1" si="32"/>
        <v>0.12586047760220342</v>
      </c>
      <c r="G189" s="36">
        <f t="shared" ca="1" si="23"/>
        <v>58082.827517853941</v>
      </c>
      <c r="H189" s="37">
        <f t="shared" ca="1" si="24"/>
        <v>0.16770311103766961</v>
      </c>
      <c r="I189" s="37">
        <f t="shared" ca="1" si="25"/>
        <v>5.4344184645027035E-2</v>
      </c>
      <c r="J189" s="38">
        <f t="shared" ca="1" si="26"/>
        <v>3.7486427855210135E-2</v>
      </c>
      <c r="K189" s="36">
        <f t="shared" ca="1" si="27"/>
        <v>752.57700550170637</v>
      </c>
      <c r="L189" s="36">
        <f ca="1">Assumptions!$C$10*Assumptions!$C$13*I189*Assumptions!$C$15</f>
        <v>3768.9782212274131</v>
      </c>
      <c r="M189" s="36">
        <f ca="1">G189*(1+H189*Assumptions!$C$6)*(1+J189)+L189+K189</f>
        <v>66802.863233664873</v>
      </c>
    </row>
    <row r="190" spans="1:13" x14ac:dyDescent="0.25">
      <c r="A190" s="3">
        <v>177</v>
      </c>
      <c r="B190" s="3">
        <f t="shared" ca="1" si="32"/>
        <v>0.93785962065299777</v>
      </c>
      <c r="C190" s="3">
        <f t="shared" ca="1" si="32"/>
        <v>0.75488078349408039</v>
      </c>
      <c r="D190" s="3">
        <f t="shared" ca="1" si="32"/>
        <v>0.64741470993936423</v>
      </c>
      <c r="E190" s="3">
        <f t="shared" ca="1" si="32"/>
        <v>0.96952226185536072</v>
      </c>
      <c r="F190" s="3">
        <f t="shared" ca="1" si="32"/>
        <v>0.87945560185382188</v>
      </c>
      <c r="G190" s="36">
        <f t="shared" ca="1" si="23"/>
        <v>58435.397204819259</v>
      </c>
      <c r="H190" s="37">
        <f t="shared" ca="1" si="24"/>
        <v>0.16524227039071498</v>
      </c>
      <c r="I190" s="37">
        <f t="shared" ca="1" si="25"/>
        <v>8.6410225838895044E-2</v>
      </c>
      <c r="J190" s="38">
        <f t="shared" ca="1" si="26"/>
        <v>4.5062167427330956E-2</v>
      </c>
      <c r="K190" s="36">
        <f t="shared" ca="1" si="27"/>
        <v>2263.4880912993995</v>
      </c>
      <c r="L190" s="36">
        <f ca="1">Assumptions!$C$10*Assumptions!$C$13*I190*Assumptions!$C$15</f>
        <v>5992.8815089498275</v>
      </c>
      <c r="M190" s="36">
        <f ca="1">G190*(1+H190*Assumptions!$C$6)*(1+J190)+L190+K190</f>
        <v>71343.216035711055</v>
      </c>
    </row>
    <row r="191" spans="1:13" x14ac:dyDescent="0.25">
      <c r="A191" s="3">
        <v>178</v>
      </c>
      <c r="B191" s="3">
        <f t="shared" ca="1" si="32"/>
        <v>0.95247162693442378</v>
      </c>
      <c r="C191" s="3">
        <f t="shared" ca="1" si="32"/>
        <v>0.8603427606837174</v>
      </c>
      <c r="D191" s="3">
        <f t="shared" ca="1" si="32"/>
        <v>0.49043139891254672</v>
      </c>
      <c r="E191" s="3">
        <f t="shared" ca="1" si="32"/>
        <v>3.8597377479864137E-2</v>
      </c>
      <c r="F191" s="3">
        <f t="shared" ca="1" si="32"/>
        <v>0.78260098270555267</v>
      </c>
      <c r="G191" s="36">
        <f t="shared" ca="1" si="23"/>
        <v>58474.786124456521</v>
      </c>
      <c r="H191" s="37">
        <f t="shared" ca="1" si="24"/>
        <v>0.18357141631751472</v>
      </c>
      <c r="I191" s="37">
        <f t="shared" ca="1" si="25"/>
        <v>7.9615407059882015E-2</v>
      </c>
      <c r="J191" s="38">
        <f t="shared" ca="1" si="26"/>
        <v>1.5556788819443411E-2</v>
      </c>
      <c r="K191" s="36">
        <f t="shared" ca="1" si="27"/>
        <v>2010.9117441678864</v>
      </c>
      <c r="L191" s="36">
        <f ca="1">Assumptions!$C$10*Assumptions!$C$13*I191*Assumptions!$C$15</f>
        <v>5521.6346927068944</v>
      </c>
      <c r="M191" s="36">
        <f ca="1">G191*(1+H191*Assumptions!$C$6)*(1+J191)+L191+K191</f>
        <v>69097.270567368643</v>
      </c>
    </row>
    <row r="192" spans="1:13" x14ac:dyDescent="0.25">
      <c r="A192" s="3">
        <v>179</v>
      </c>
      <c r="B192" s="3">
        <f t="shared" ca="1" si="32"/>
        <v>0.13089599095214144</v>
      </c>
      <c r="C192" s="3">
        <f t="shared" ca="1" si="32"/>
        <v>0.28247763275597348</v>
      </c>
      <c r="D192" s="3">
        <f t="shared" ca="1" si="32"/>
        <v>0.84147936815863467</v>
      </c>
      <c r="E192" s="3">
        <f t="shared" ca="1" si="32"/>
        <v>0.72380568409635138</v>
      </c>
      <c r="F192" s="3">
        <f t="shared" ca="1" si="32"/>
        <v>0.61258748086895942</v>
      </c>
      <c r="G192" s="36">
        <f t="shared" ca="1" si="23"/>
        <v>57485.241262289754</v>
      </c>
      <c r="H192" s="37">
        <f t="shared" ca="1" si="24"/>
        <v>0.11129398433496102</v>
      </c>
      <c r="I192" s="37">
        <f t="shared" ca="1" si="25"/>
        <v>9.7477433052771956E-2</v>
      </c>
      <c r="J192" s="38">
        <f t="shared" ca="1" si="26"/>
        <v>3.5135429615259013E-2</v>
      </c>
      <c r="K192" s="36">
        <f t="shared" ca="1" si="27"/>
        <v>1679.6378011736012</v>
      </c>
      <c r="L192" s="36">
        <f ca="1">Assumptions!$C$10*Assumptions!$C$13*I192*Assumptions!$C$15</f>
        <v>6760.434895413784</v>
      </c>
      <c r="M192" s="36">
        <f ca="1">G192*(1+H192*Assumptions!$C$6)*(1+J192)+L192+K192</f>
        <v>69269.592535332398</v>
      </c>
    </row>
    <row r="193" spans="1:13" x14ac:dyDescent="0.25">
      <c r="A193" s="3">
        <v>180</v>
      </c>
      <c r="B193" s="3">
        <f t="shared" ca="1" si="32"/>
        <v>0.30669760133873947</v>
      </c>
      <c r="C193" s="3">
        <f t="shared" ca="1" si="32"/>
        <v>0.10562784606625253</v>
      </c>
      <c r="D193" s="3">
        <f t="shared" ca="1" si="32"/>
        <v>1.3805992770489661E-2</v>
      </c>
      <c r="E193" s="3">
        <f t="shared" ca="1" si="32"/>
        <v>0.93792998078006418</v>
      </c>
      <c r="F193" s="3">
        <f t="shared" ca="1" si="32"/>
        <v>0.2380256658146529</v>
      </c>
      <c r="G193" s="36">
        <f t="shared" ca="1" si="23"/>
        <v>57689.691427356134</v>
      </c>
      <c r="H193" s="37">
        <f t="shared" ca="1" si="24"/>
        <v>8.7481333389850993E-2</v>
      </c>
      <c r="I193" s="37">
        <f t="shared" ca="1" si="25"/>
        <v>4.6646741823297103E-2</v>
      </c>
      <c r="J193" s="38">
        <f t="shared" ca="1" si="26"/>
        <v>4.2953297553043078E-2</v>
      </c>
      <c r="K193" s="36">
        <f t="shared" ca="1" si="27"/>
        <v>1034.947098245093</v>
      </c>
      <c r="L193" s="36">
        <f ca="1">Assumptions!$C$10*Assumptions!$C$13*I193*Assumptions!$C$15</f>
        <v>3235.1309559911278</v>
      </c>
      <c r="M193" s="36">
        <f ca="1">G193*(1+H193*Assumptions!$C$6)*(1+J193)+L193+K193</f>
        <v>65490.441281394124</v>
      </c>
    </row>
    <row r="194" spans="1:13" x14ac:dyDescent="0.25">
      <c r="A194" s="3">
        <v>181</v>
      </c>
      <c r="B194" s="3">
        <f t="shared" ref="B194:F203" ca="1" si="33">RAND()</f>
        <v>0.26238916962173886</v>
      </c>
      <c r="C194" s="3">
        <f t="shared" ca="1" si="33"/>
        <v>0.17289835471111858</v>
      </c>
      <c r="D194" s="3">
        <f t="shared" ca="1" si="33"/>
        <v>0.14920677647079506</v>
      </c>
      <c r="E194" s="3">
        <f t="shared" ca="1" si="33"/>
        <v>0.20433480213131161</v>
      </c>
      <c r="F194" s="3">
        <f t="shared" ca="1" si="33"/>
        <v>0.91059464343126217</v>
      </c>
      <c r="G194" s="36">
        <f t="shared" ca="1" si="23"/>
        <v>57645.434465481536</v>
      </c>
      <c r="H194" s="37">
        <f t="shared" ca="1" si="24"/>
        <v>9.7953603802611922E-2</v>
      </c>
      <c r="I194" s="37">
        <f t="shared" ca="1" si="25"/>
        <v>6.1850896656808943E-2</v>
      </c>
      <c r="J194" s="38">
        <f t="shared" ca="1" si="26"/>
        <v>2.2785454301863867E-2</v>
      </c>
      <c r="K194" s="36">
        <f t="shared" ca="1" si="27"/>
        <v>2365.7097631530814</v>
      </c>
      <c r="L194" s="36">
        <f ca="1">Assumptions!$C$10*Assumptions!$C$13*I194*Assumptions!$C$15</f>
        <v>4289.5975712137642</v>
      </c>
      <c r="M194" s="36">
        <f ca="1">G194*(1+H194*Assumptions!$C$6)*(1+J194)+L194+K194</f>
        <v>66769.266791522881</v>
      </c>
    </row>
    <row r="195" spans="1:13" x14ac:dyDescent="0.25">
      <c r="A195" s="3">
        <v>182</v>
      </c>
      <c r="B195" s="3">
        <f t="shared" ca="1" si="33"/>
        <v>0.96299592578479676</v>
      </c>
      <c r="C195" s="3">
        <f t="shared" ca="1" si="33"/>
        <v>0.80463450844733375</v>
      </c>
      <c r="D195" s="3">
        <f t="shared" ca="1" si="33"/>
        <v>0.89763374536886631</v>
      </c>
      <c r="E195" s="3">
        <f t="shared" ca="1" si="33"/>
        <v>0.73132995950773505</v>
      </c>
      <c r="F195" s="3">
        <f t="shared" ca="1" si="33"/>
        <v>0.51744216775712837</v>
      </c>
      <c r="G195" s="36">
        <f t="shared" ca="1" si="23"/>
        <v>58507.090646632045</v>
      </c>
      <c r="H195" s="37">
        <f t="shared" ca="1" si="24"/>
        <v>0.17325920881948736</v>
      </c>
      <c r="I195" s="37">
        <f t="shared" ca="1" si="25"/>
        <v>0.10190104934479272</v>
      </c>
      <c r="J195" s="38">
        <f t="shared" ca="1" si="26"/>
        <v>3.5339303140920895E-2</v>
      </c>
      <c r="K195" s="36">
        <f t="shared" ca="1" si="27"/>
        <v>1526.3954923070701</v>
      </c>
      <c r="L195" s="36">
        <f ca="1">Assumptions!$C$10*Assumptions!$C$13*I195*Assumptions!$C$15</f>
        <v>7067.2296991742387</v>
      </c>
      <c r="M195" s="36">
        <f ca="1">G195*(1+H195*Assumptions!$C$6)*(1+J195)+L195+K195</f>
        <v>71267.340239046418</v>
      </c>
    </row>
    <row r="196" spans="1:13" x14ac:dyDescent="0.25">
      <c r="A196" s="3">
        <v>183</v>
      </c>
      <c r="B196" s="3">
        <f t="shared" ca="1" si="33"/>
        <v>0.1942409480475259</v>
      </c>
      <c r="C196" s="3">
        <f t="shared" ca="1" si="33"/>
        <v>0.89074142484545427</v>
      </c>
      <c r="D196" s="3">
        <f t="shared" ca="1" si="33"/>
        <v>0.31543411408959654</v>
      </c>
      <c r="E196" s="3">
        <f t="shared" ca="1" si="33"/>
        <v>0.59535728665720711</v>
      </c>
      <c r="F196" s="3">
        <f t="shared" ca="1" si="33"/>
        <v>0.50846611906675832</v>
      </c>
      <c r="G196" s="36">
        <f t="shared" ca="1" si="23"/>
        <v>57569.28861587117</v>
      </c>
      <c r="H196" s="37">
        <f t="shared" ca="1" si="24"/>
        <v>0.19008912429616523</v>
      </c>
      <c r="I196" s="37">
        <f t="shared" ca="1" si="25"/>
        <v>7.1770885494217951E-2</v>
      </c>
      <c r="J196" s="38">
        <f t="shared" ca="1" si="26"/>
        <v>3.2007941455346633E-2</v>
      </c>
      <c r="K196" s="36">
        <f t="shared" ca="1" si="27"/>
        <v>1512.7533949611491</v>
      </c>
      <c r="L196" s="36">
        <f ca="1">Assumptions!$C$10*Assumptions!$C$13*I196*Assumptions!$C$15</f>
        <v>4977.5869508912992</v>
      </c>
      <c r="M196" s="36">
        <f ca="1">G196*(1+H196*Assumptions!$C$6)*(1+J196)+L196+K196</f>
        <v>68161.016986593779</v>
      </c>
    </row>
    <row r="197" spans="1:13" x14ac:dyDescent="0.25">
      <c r="A197" s="3">
        <v>184</v>
      </c>
      <c r="B197" s="3">
        <f t="shared" ca="1" si="33"/>
        <v>0.81618112019102596</v>
      </c>
      <c r="C197" s="3">
        <f t="shared" ca="1" si="33"/>
        <v>0.11540237311668955</v>
      </c>
      <c r="D197" s="3">
        <f t="shared" ca="1" si="33"/>
        <v>0.76302889881480329</v>
      </c>
      <c r="E197" s="3">
        <f t="shared" ca="1" si="33"/>
        <v>0.82499288074834654</v>
      </c>
      <c r="F197" s="3">
        <f t="shared" ca="1" si="33"/>
        <v>0.45354140844977209</v>
      </c>
      <c r="G197" s="36">
        <f t="shared" ca="1" si="23"/>
        <v>58209.338450094161</v>
      </c>
      <c r="H197" s="37">
        <f t="shared" ca="1" si="24"/>
        <v>8.917718165529484E-2</v>
      </c>
      <c r="I197" s="37">
        <f t="shared" ca="1" si="25"/>
        <v>9.2462615886896055E-2</v>
      </c>
      <c r="J197" s="38">
        <f t="shared" ca="1" si="26"/>
        <v>3.8167599761615448E-2</v>
      </c>
      <c r="K197" s="36">
        <f t="shared" ca="1" si="27"/>
        <v>1428.6134319766052</v>
      </c>
      <c r="L197" s="36">
        <f ca="1">Assumptions!$C$10*Assumptions!$C$13*I197*Assumptions!$C$15</f>
        <v>6412.6380372019594</v>
      </c>
      <c r="M197" s="36">
        <f ca="1">G197*(1+H197*Assumptions!$C$6)*(1+J197)+L197+K197</f>
        <v>69350.114781736935</v>
      </c>
    </row>
    <row r="198" spans="1:13" x14ac:dyDescent="0.25">
      <c r="A198" s="3">
        <v>185</v>
      </c>
      <c r="B198" s="3">
        <f t="shared" ca="1" si="33"/>
        <v>0.30057081482213988</v>
      </c>
      <c r="C198" s="3">
        <f t="shared" ca="1" si="33"/>
        <v>0.68551214948060779</v>
      </c>
      <c r="D198" s="3">
        <f t="shared" ca="1" si="33"/>
        <v>0.16008993633628876</v>
      </c>
      <c r="E198" s="3">
        <f t="shared" ca="1" si="33"/>
        <v>0.65690407082694668</v>
      </c>
      <c r="F198" s="3">
        <f t="shared" ca="1" si="33"/>
        <v>0.94996359641204742</v>
      </c>
      <c r="G198" s="36">
        <f t="shared" ca="1" si="23"/>
        <v>57683.771688432316</v>
      </c>
      <c r="H198" s="37">
        <f t="shared" ca="1" si="24"/>
        <v>0.15532224027619682</v>
      </c>
      <c r="I198" s="37">
        <f t="shared" ca="1" si="25"/>
        <v>6.2633775563880723E-2</v>
      </c>
      <c r="J198" s="38">
        <f t="shared" ca="1" si="26"/>
        <v>3.3432660342153822E-2</v>
      </c>
      <c r="K198" s="36">
        <f t="shared" ca="1" si="27"/>
        <v>2525.4857050142887</v>
      </c>
      <c r="L198" s="36">
        <f ca="1">Assumptions!$C$10*Assumptions!$C$13*I198*Assumptions!$C$15</f>
        <v>4343.8932344919112</v>
      </c>
      <c r="M198" s="36">
        <f ca="1">G198*(1+H198*Assumptions!$C$6)*(1+J198)+L198+K198</f>
        <v>68333.495573116248</v>
      </c>
    </row>
    <row r="199" spans="1:13" x14ac:dyDescent="0.25">
      <c r="A199" s="3">
        <v>186</v>
      </c>
      <c r="B199" s="3">
        <f t="shared" ca="1" si="33"/>
        <v>0.6703861623471834</v>
      </c>
      <c r="C199" s="3">
        <f t="shared" ca="1" si="33"/>
        <v>0.97235157540433259</v>
      </c>
      <c r="D199" s="3">
        <f t="shared" ca="1" si="33"/>
        <v>0.37098451204166671</v>
      </c>
      <c r="E199" s="3">
        <f t="shared" ca="1" si="33"/>
        <v>0.28819425226690687</v>
      </c>
      <c r="F199" s="3">
        <f t="shared" ca="1" si="33"/>
        <v>0.89516217790185537</v>
      </c>
      <c r="G199" s="36">
        <f t="shared" ca="1" si="23"/>
        <v>58026.211528321721</v>
      </c>
      <c r="H199" s="37">
        <f t="shared" ca="1" si="24"/>
        <v>0.21489254929744525</v>
      </c>
      <c r="I199" s="37">
        <f t="shared" ca="1" si="25"/>
        <v>7.4455049536074291E-2</v>
      </c>
      <c r="J199" s="38">
        <f t="shared" ca="1" si="26"/>
        <v>2.5184050902625606E-2</v>
      </c>
      <c r="K199" s="36">
        <f t="shared" ca="1" si="27"/>
        <v>2313.1447026908427</v>
      </c>
      <c r="L199" s="36">
        <f ca="1">Assumptions!$C$10*Assumptions!$C$13*I199*Assumptions!$C$15</f>
        <v>5163.7440509018898</v>
      </c>
      <c r="M199" s="36">
        <f ca="1">G199*(1+H199*Assumptions!$C$6)*(1+J199)+L199+K199</f>
        <v>69521.1214545002</v>
      </c>
    </row>
    <row r="200" spans="1:13" x14ac:dyDescent="0.25">
      <c r="A200" s="3">
        <v>187</v>
      </c>
      <c r="B200" s="3">
        <f t="shared" ca="1" si="33"/>
        <v>0.14816215851347425</v>
      </c>
      <c r="C200" s="3">
        <f t="shared" ca="1" si="33"/>
        <v>0.98573491658363332</v>
      </c>
      <c r="D200" s="3">
        <f t="shared" ca="1" si="33"/>
        <v>2.4125734244733854E-2</v>
      </c>
      <c r="E200" s="3">
        <f t="shared" ca="1" si="33"/>
        <v>0.78943780096709415</v>
      </c>
      <c r="F200" s="3">
        <f t="shared" ca="1" si="33"/>
        <v>0.84282338448209271</v>
      </c>
      <c r="G200" s="36">
        <f t="shared" ca="1" si="23"/>
        <v>57509.862583076712</v>
      </c>
      <c r="H200" s="37">
        <f t="shared" ca="1" si="24"/>
        <v>0.22196548026996116</v>
      </c>
      <c r="I200" s="37">
        <f t="shared" ca="1" si="25"/>
        <v>4.8786486759971152E-2</v>
      </c>
      <c r="J200" s="38">
        <f t="shared" ca="1" si="26"/>
        <v>3.7021180360821533E-2</v>
      </c>
      <c r="K200" s="36">
        <f t="shared" ca="1" si="27"/>
        <v>2158.991813458048</v>
      </c>
      <c r="L200" s="36">
        <f ca="1">Assumptions!$C$10*Assumptions!$C$13*I200*Assumptions!$C$15</f>
        <v>3383.5304971376909</v>
      </c>
      <c r="M200" s="36">
        <f ca="1">G200*(1+H200*Assumptions!$C$6)*(1+J200)+L200+K200</f>
        <v>67829.025328502481</v>
      </c>
    </row>
    <row r="201" spans="1:13" x14ac:dyDescent="0.25">
      <c r="A201" s="3">
        <v>188</v>
      </c>
      <c r="B201" s="3">
        <f t="shared" ca="1" si="33"/>
        <v>0.85735385080463</v>
      </c>
      <c r="C201" s="3">
        <f t="shared" ca="1" si="33"/>
        <v>0.16771343553221374</v>
      </c>
      <c r="D201" s="3">
        <f t="shared" ca="1" si="33"/>
        <v>0.3829123117302683</v>
      </c>
      <c r="E201" s="3">
        <f t="shared" ca="1" si="33"/>
        <v>0.78202445125403108</v>
      </c>
      <c r="F201" s="3">
        <f t="shared" ca="1" si="33"/>
        <v>1.6333731013506991E-2</v>
      </c>
      <c r="G201" s="36">
        <f t="shared" ca="1" si="23"/>
        <v>58273.650961126572</v>
      </c>
      <c r="H201" s="37">
        <f t="shared" ca="1" si="24"/>
        <v>9.7229108530422659E-2</v>
      </c>
      <c r="I201" s="37">
        <f t="shared" ca="1" si="25"/>
        <v>7.5004562524574686E-2</v>
      </c>
      <c r="J201" s="38">
        <f t="shared" ca="1" si="26"/>
        <v>3.6794681412522637E-2</v>
      </c>
      <c r="K201" s="36">
        <f t="shared" ca="1" si="27"/>
        <v>271.11213466162201</v>
      </c>
      <c r="L201" s="36">
        <f ca="1">Assumptions!$C$10*Assumptions!$C$13*I201*Assumptions!$C$15</f>
        <v>5201.8548901658869</v>
      </c>
      <c r="M201" s="36">
        <f ca="1">G201*(1+H201*Assumptions!$C$6)*(1+J201)+L201+K201</f>
        <v>67065.652395838668</v>
      </c>
    </row>
    <row r="202" spans="1:13" x14ac:dyDescent="0.25">
      <c r="A202" s="3">
        <v>189</v>
      </c>
      <c r="B202" s="3">
        <f t="shared" ca="1" si="33"/>
        <v>0.8940344728298365</v>
      </c>
      <c r="C202" s="3">
        <f t="shared" ca="1" si="33"/>
        <v>0.9806610128844131</v>
      </c>
      <c r="D202" s="3">
        <f t="shared" ca="1" si="33"/>
        <v>5.1287857986126228E-2</v>
      </c>
      <c r="E202" s="3">
        <f t="shared" ca="1" si="33"/>
        <v>0.6097565715754405</v>
      </c>
      <c r="F202" s="3">
        <f t="shared" ca="1" si="33"/>
        <v>0.92592005471597971</v>
      </c>
      <c r="G202" s="36">
        <f t="shared" ca="1" si="23"/>
        <v>58339.356642014136</v>
      </c>
      <c r="H202" s="37">
        <f t="shared" ca="1" si="24"/>
        <v>0.21900169277690743</v>
      </c>
      <c r="I202" s="37">
        <f t="shared" ca="1" si="25"/>
        <v>5.2810977540984294E-2</v>
      </c>
      <c r="J202" s="38">
        <f t="shared" ca="1" si="26"/>
        <v>3.2330966558986665E-2</v>
      </c>
      <c r="K202" s="36">
        <f t="shared" ca="1" si="27"/>
        <v>2422.626850487407</v>
      </c>
      <c r="L202" s="36">
        <f ca="1">Assumptions!$C$10*Assumptions!$C$13*I202*Assumptions!$C$15</f>
        <v>3662.6444116116486</v>
      </c>
      <c r="M202" s="36">
        <f ca="1">G202*(1+H202*Assumptions!$C$6)*(1+J202)+L202+K202</f>
        <v>68948.694052518127</v>
      </c>
    </row>
    <row r="203" spans="1:13" x14ac:dyDescent="0.25">
      <c r="A203" s="3">
        <v>190</v>
      </c>
      <c r="B203" s="3">
        <f t="shared" ca="1" si="33"/>
        <v>0.58484282201052695</v>
      </c>
      <c r="C203" s="3">
        <f t="shared" ca="1" si="33"/>
        <v>0.95995336053275981</v>
      </c>
      <c r="D203" s="3">
        <f t="shared" ca="1" si="33"/>
        <v>0.55102083555522496</v>
      </c>
      <c r="E203" s="3">
        <f t="shared" ca="1" si="33"/>
        <v>0.16898665463626261</v>
      </c>
      <c r="F203" s="3">
        <f t="shared" ca="1" si="33"/>
        <v>0.20087723398373813</v>
      </c>
      <c r="G203" s="36">
        <f t="shared" ca="1" si="23"/>
        <v>57937.775333917074</v>
      </c>
      <c r="H203" s="37">
        <f t="shared" ca="1" si="24"/>
        <v>0.20978306137523067</v>
      </c>
      <c r="I203" s="37">
        <f t="shared" ca="1" si="25"/>
        <v>8.2095734722550287E-2</v>
      </c>
      <c r="J203" s="38">
        <f t="shared" ca="1" si="26"/>
        <v>2.162709437946601E-2</v>
      </c>
      <c r="K203" s="36">
        <f t="shared" ca="1" si="27"/>
        <v>950.76156470842966</v>
      </c>
      <c r="L203" s="36">
        <f ca="1">Assumptions!$C$10*Assumptions!$C$13*I203*Assumptions!$C$15</f>
        <v>5693.6549558347178</v>
      </c>
      <c r="M203" s="36">
        <f ca="1">G203*(1+H203*Assumptions!$C$6)*(1+J203)+L203+K203</f>
        <v>68318.66308045297</v>
      </c>
    </row>
    <row r="204" spans="1:13" x14ac:dyDescent="0.25">
      <c r="A204" s="3">
        <v>191</v>
      </c>
      <c r="B204" s="3">
        <f t="shared" ref="B204:F213" ca="1" si="34">RAND()</f>
        <v>0.12716995269833309</v>
      </c>
      <c r="C204" s="3">
        <f t="shared" ca="1" si="34"/>
        <v>0.49154403032095773</v>
      </c>
      <c r="D204" s="3">
        <f t="shared" ca="1" si="34"/>
        <v>0.91541044222979773</v>
      </c>
      <c r="E204" s="3">
        <f t="shared" ca="1" si="34"/>
        <v>0.78281468249145547</v>
      </c>
      <c r="F204" s="3">
        <f t="shared" ca="1" si="34"/>
        <v>0.87673285747974994</v>
      </c>
      <c r="G204" s="36">
        <f t="shared" ca="1" si="23"/>
        <v>57479.718607386887</v>
      </c>
      <c r="H204" s="37">
        <f t="shared" ca="1" si="24"/>
        <v>0.132330152277055</v>
      </c>
      <c r="I204" s="37">
        <f t="shared" ca="1" si="25"/>
        <v>0.10354744442754721</v>
      </c>
      <c r="J204" s="38">
        <f t="shared" ca="1" si="26"/>
        <v>3.6818639902998038E-2</v>
      </c>
      <c r="K204" s="36">
        <f t="shared" ca="1" si="27"/>
        <v>2255.216715184125</v>
      </c>
      <c r="L204" s="36">
        <f ca="1">Assumptions!$C$10*Assumptions!$C$13*I204*Assumptions!$C$15</f>
        <v>7181.4135304520423</v>
      </c>
      <c r="M204" s="36">
        <f ca="1">G204*(1+H204*Assumptions!$C$6)*(1+J204)+L204+K204</f>
        <v>70609.944620907088</v>
      </c>
    </row>
    <row r="205" spans="1:13" x14ac:dyDescent="0.25">
      <c r="A205" s="3">
        <v>192</v>
      </c>
      <c r="B205" s="3">
        <f t="shared" ca="1" si="34"/>
        <v>0.74922663540118162</v>
      </c>
      <c r="C205" s="3">
        <f t="shared" ca="1" si="34"/>
        <v>0.47892432769289484</v>
      </c>
      <c r="D205" s="3">
        <f t="shared" ca="1" si="34"/>
        <v>0.37260657000106789</v>
      </c>
      <c r="E205" s="3">
        <f t="shared" ca="1" si="34"/>
        <v>0.98261013261015095</v>
      </c>
      <c r="F205" s="3">
        <f t="shared" ca="1" si="34"/>
        <v>0.79107049810929586</v>
      </c>
      <c r="G205" s="36">
        <f t="shared" ca="1" si="23"/>
        <v>58118.603563356759</v>
      </c>
      <c r="H205" s="37">
        <f t="shared" ca="1" si="24"/>
        <v>0.13100217741348225</v>
      </c>
      <c r="I205" s="37">
        <f t="shared" ca="1" si="25"/>
        <v>7.4530291397603601E-2</v>
      </c>
      <c r="J205" s="38">
        <f t="shared" ca="1" si="26"/>
        <v>4.6270134866797562E-2</v>
      </c>
      <c r="K205" s="36">
        <f t="shared" ca="1" si="27"/>
        <v>2030.3697825932977</v>
      </c>
      <c r="L205" s="36">
        <f ca="1">Assumptions!$C$10*Assumptions!$C$13*I205*Assumptions!$C$15</f>
        <v>5168.9623633907231</v>
      </c>
      <c r="M205" s="36">
        <f ca="1">G205*(1+H205*Assumptions!$C$6)*(1+J205)+L205+K205</f>
        <v>69600.281105952949</v>
      </c>
    </row>
    <row r="206" spans="1:13" x14ac:dyDescent="0.25">
      <c r="A206" s="3">
        <v>193</v>
      </c>
      <c r="B206" s="3">
        <f t="shared" ca="1" si="34"/>
        <v>0.28236459888777943</v>
      </c>
      <c r="C206" s="3">
        <f t="shared" ca="1" si="34"/>
        <v>0.67526481355091561</v>
      </c>
      <c r="D206" s="3">
        <f t="shared" ca="1" si="34"/>
        <v>0.28311226066553341</v>
      </c>
      <c r="E206" s="3">
        <f t="shared" ca="1" si="34"/>
        <v>0.15614849701378752</v>
      </c>
      <c r="F206" s="3">
        <f t="shared" ca="1" si="34"/>
        <v>0.30710868976685723</v>
      </c>
      <c r="G206" s="36">
        <f t="shared" ref="G206:G269" ca="1" si="35">IF(B206&lt;($F$5-$E$5)/($G$5-$E$5),$E$5+SQRT(B206*($G$5-$E$5)*($F$5-$E$5)),$G$5-SQRT((1-B206)*($G$5-$E$5)*($G$5-$F$5)))</f>
        <v>57665.815379493237</v>
      </c>
      <c r="H206" s="37">
        <f t="shared" ref="H206:H269" ca="1" si="36">IF(C206&lt;($F$6-$E$6)/($G$6-$E$6),$E$6+SQRT(C206*($G$6-$E$6)*($F$6-$E$6)),$G$6-SQRT((1-C206)*($G$6-$E$6)*($G$6-$F$6)))</f>
        <v>0.15395372029518578</v>
      </c>
      <c r="I206" s="37">
        <f t="shared" ref="I206:I269" ca="1" si="37">IF(D206&lt;($F$7-$E$7)/($G$7-$E$7),$E$7+SQRT(D206*($G$7-$E$7)*($F$7-$E$7)),$G$7-SQRT((1-D206)*($G$7-$E$7)*($G$7-$F$7)))</f>
        <v>7.0099156701304885E-2</v>
      </c>
      <c r="J206" s="38">
        <f t="shared" ref="J206:J269" ca="1" si="38">IF(E206&lt;($F$8-$E$8)/($G$8-$E$8),$E$8+SQRT(E206*($G$8-$E$8)*($F$8-$E$8)),$G$8-SQRT((1-E206)*($G$8-$E$8)*($G$8-$F$8)))</f>
        <v>2.1176707816303958E-2</v>
      </c>
      <c r="K206" s="36">
        <f t="shared" ref="K206:K269" ca="1" si="39">IF(F206&lt;($F$9-$E$9)/($G$9-$E$9),$E$9+SQRT(F206*($G$9-$E$9)*($F$9-$E$9)),$G$9-SQRT((1-F206)*($G$9-$E$9)*($G$9-$F$9)))</f>
        <v>1175.5803264561966</v>
      </c>
      <c r="L206" s="36">
        <f ca="1">Assumptions!$C$10*Assumptions!$C$13*I206*Assumptions!$C$15</f>
        <v>4861.6461293766515</v>
      </c>
      <c r="M206" s="36">
        <f ca="1">G206*(1+H206*Assumptions!$C$6)*(1+J206)+L206+K206</f>
        <v>66737.388119212163</v>
      </c>
    </row>
    <row r="207" spans="1:13" x14ac:dyDescent="0.25">
      <c r="A207" s="3">
        <v>194</v>
      </c>
      <c r="B207" s="3">
        <f t="shared" ca="1" si="34"/>
        <v>0.56732265693551254</v>
      </c>
      <c r="C207" s="3">
        <f t="shared" ca="1" si="34"/>
        <v>0.75881801421682005</v>
      </c>
      <c r="D207" s="3">
        <f t="shared" ca="1" si="34"/>
        <v>0.11878507934149474</v>
      </c>
      <c r="E207" s="3">
        <f t="shared" ca="1" si="34"/>
        <v>0.87906798312923262</v>
      </c>
      <c r="F207" s="3">
        <f t="shared" ca="1" si="34"/>
        <v>0.50823100423714429</v>
      </c>
      <c r="G207" s="36">
        <f t="shared" ca="1" si="35"/>
        <v>57920.82644207737</v>
      </c>
      <c r="H207" s="37">
        <f t="shared" ca="1" si="36"/>
        <v>0.16584509944813824</v>
      </c>
      <c r="I207" s="37">
        <f t="shared" ca="1" si="37"/>
        <v>5.9496467728611335E-2</v>
      </c>
      <c r="J207" s="38">
        <f t="shared" ca="1" si="38"/>
        <v>4.0164065194572815E-2</v>
      </c>
      <c r="K207" s="36">
        <f t="shared" ca="1" si="39"/>
        <v>1512.3977410164871</v>
      </c>
      <c r="L207" s="36">
        <f ca="1">Assumptions!$C$10*Assumptions!$C$13*I207*Assumptions!$C$15</f>
        <v>4126.3088695473825</v>
      </c>
      <c r="M207" s="36">
        <f ca="1">G207*(1+H207*Assumptions!$C$6)*(1+J207)+L207+K207</f>
        <v>67884.208226322124</v>
      </c>
    </row>
    <row r="208" spans="1:13" x14ac:dyDescent="0.25">
      <c r="A208" s="3">
        <v>195</v>
      </c>
      <c r="B208" s="3">
        <f t="shared" ca="1" si="34"/>
        <v>0.65733257457354588</v>
      </c>
      <c r="C208" s="3">
        <f t="shared" ca="1" si="34"/>
        <v>0.31342881419183366</v>
      </c>
      <c r="D208" s="3">
        <f t="shared" ca="1" si="34"/>
        <v>0.69871006740130459</v>
      </c>
      <c r="E208" s="3">
        <f t="shared" ca="1" si="34"/>
        <v>0.4394788059434882</v>
      </c>
      <c r="F208" s="3">
        <f t="shared" ca="1" si="34"/>
        <v>0.65630239155898862</v>
      </c>
      <c r="G208" s="36">
        <f t="shared" ca="1" si="35"/>
        <v>58012.030414704022</v>
      </c>
      <c r="H208" s="37">
        <f t="shared" ca="1" si="36"/>
        <v>0.114564721239632</v>
      </c>
      <c r="I208" s="37">
        <f t="shared" ca="1" si="37"/>
        <v>8.8949592847825248E-2</v>
      </c>
      <c r="J208" s="38">
        <f t="shared" ca="1" si="38"/>
        <v>2.8750547852123963E-2</v>
      </c>
      <c r="K208" s="36">
        <f t="shared" ca="1" si="39"/>
        <v>1756.3604871247653</v>
      </c>
      <c r="L208" s="36">
        <f ca="1">Assumptions!$C$10*Assumptions!$C$13*I208*Assumptions!$C$15</f>
        <v>6168.9963778153251</v>
      </c>
      <c r="M208" s="36">
        <f ca="1">G208*(1+H208*Assumptions!$C$6)*(1+J208)+L208+K208</f>
        <v>68972.707342436363</v>
      </c>
    </row>
    <row r="209" spans="1:13" x14ac:dyDescent="0.25">
      <c r="A209" s="3">
        <v>196</v>
      </c>
      <c r="B209" s="3">
        <f t="shared" ca="1" si="34"/>
        <v>0.84813218234277277</v>
      </c>
      <c r="C209" s="3">
        <f t="shared" ca="1" si="34"/>
        <v>0.51811286927219935</v>
      </c>
      <c r="D209" s="3">
        <f t="shared" ca="1" si="34"/>
        <v>4.5563906340556071E-2</v>
      </c>
      <c r="E209" s="3">
        <f t="shared" ca="1" si="34"/>
        <v>0.31194552004645348</v>
      </c>
      <c r="F209" s="3">
        <f t="shared" ca="1" si="34"/>
        <v>0.84050420390573888</v>
      </c>
      <c r="G209" s="36">
        <f t="shared" ca="1" si="35"/>
        <v>58258.513770635982</v>
      </c>
      <c r="H209" s="37">
        <f t="shared" ca="1" si="36"/>
        <v>0.13518098178005167</v>
      </c>
      <c r="I209" s="37">
        <f t="shared" ca="1" si="37"/>
        <v>5.2074953428058401E-2</v>
      </c>
      <c r="J209" s="38">
        <f t="shared" ca="1" si="38"/>
        <v>2.5797354716444232E-2</v>
      </c>
      <c r="K209" s="36">
        <f t="shared" ca="1" si="39"/>
        <v>2152.8098900340165</v>
      </c>
      <c r="L209" s="36">
        <f ca="1">Assumptions!$C$10*Assumptions!$C$13*I209*Assumptions!$C$15</f>
        <v>3611.5983085182652</v>
      </c>
      <c r="M209" s="36">
        <f ca="1">G209*(1+H209*Assumptions!$C$6)*(1+J209)+L209+K209</f>
        <v>67141.559251675426</v>
      </c>
    </row>
    <row r="210" spans="1:13" x14ac:dyDescent="0.25">
      <c r="A210" s="3">
        <v>197</v>
      </c>
      <c r="B210" s="3">
        <f t="shared" ca="1" si="34"/>
        <v>0.23700154220615388</v>
      </c>
      <c r="C210" s="3">
        <f t="shared" ca="1" si="34"/>
        <v>0.34410658232209845</v>
      </c>
      <c r="D210" s="3">
        <f t="shared" ca="1" si="34"/>
        <v>0.91054816041697972</v>
      </c>
      <c r="E210" s="3">
        <f t="shared" ca="1" si="34"/>
        <v>0.26573568908749468</v>
      </c>
      <c r="F210" s="3">
        <f t="shared" ca="1" si="34"/>
        <v>0.38195866611237483</v>
      </c>
      <c r="G210" s="36">
        <f t="shared" ca="1" si="35"/>
        <v>57618.376387217366</v>
      </c>
      <c r="H210" s="37">
        <f t="shared" ca="1" si="36"/>
        <v>0.11765070247147408</v>
      </c>
      <c r="I210" s="37">
        <f t="shared" ca="1" si="37"/>
        <v>0.10308119724490929</v>
      </c>
      <c r="J210" s="38">
        <f t="shared" ca="1" si="38"/>
        <v>2.4580416704264516E-2</v>
      </c>
      <c r="K210" s="36">
        <f t="shared" ca="1" si="39"/>
        <v>1311.03546767648</v>
      </c>
      <c r="L210" s="36">
        <f ca="1">Assumptions!$C$10*Assumptions!$C$13*I210*Assumptions!$C$15</f>
        <v>7149.0774950777086</v>
      </c>
      <c r="M210" s="36">
        <f ca="1">G210*(1+H210*Assumptions!$C$6)*(1+J210)+L210+K210</f>
        <v>68883.86689731112</v>
      </c>
    </row>
    <row r="211" spans="1:13" x14ac:dyDescent="0.25">
      <c r="A211" s="3">
        <v>198</v>
      </c>
      <c r="B211" s="3">
        <f t="shared" ca="1" si="34"/>
        <v>4.4246548080496995E-2</v>
      </c>
      <c r="C211" s="3">
        <f t="shared" ca="1" si="34"/>
        <v>0.8882374126175282</v>
      </c>
      <c r="D211" s="3">
        <f t="shared" ca="1" si="34"/>
        <v>0.7060003039856998</v>
      </c>
      <c r="E211" s="3">
        <f t="shared" ca="1" si="34"/>
        <v>0.33944591788430345</v>
      </c>
      <c r="F211" s="3">
        <f t="shared" ca="1" si="34"/>
        <v>0.58772357516378848</v>
      </c>
      <c r="G211" s="36">
        <f t="shared" ca="1" si="35"/>
        <v>57323.980042064744</v>
      </c>
      <c r="H211" s="37">
        <f t="shared" ca="1" si="36"/>
        <v>0.18952042995111429</v>
      </c>
      <c r="I211" s="37">
        <f t="shared" ca="1" si="37"/>
        <v>8.9327552636840987E-2</v>
      </c>
      <c r="J211" s="38">
        <f t="shared" ca="1" si="38"/>
        <v>2.6478978557769976E-2</v>
      </c>
      <c r="K211" s="36">
        <f t="shared" ca="1" si="39"/>
        <v>1637.9266129305104</v>
      </c>
      <c r="L211" s="36">
        <f ca="1">Assumptions!$C$10*Assumptions!$C$13*I211*Assumptions!$C$15</f>
        <v>6195.2093428750641</v>
      </c>
      <c r="M211" s="36">
        <f ca="1">G211*(1+H211*Assumptions!$C$6)*(1+J211)+L211+K211</f>
        <v>68905.343375725643</v>
      </c>
    </row>
    <row r="212" spans="1:13" x14ac:dyDescent="0.25">
      <c r="A212" s="3">
        <v>199</v>
      </c>
      <c r="B212" s="3">
        <f t="shared" ca="1" si="34"/>
        <v>0.93359177028210627</v>
      </c>
      <c r="C212" s="3">
        <f t="shared" ca="1" si="34"/>
        <v>0.8281414111812091</v>
      </c>
      <c r="D212" s="3">
        <f t="shared" ca="1" si="34"/>
        <v>0.32060227860026425</v>
      </c>
      <c r="E212" s="3">
        <f t="shared" ca="1" si="34"/>
        <v>0.1558292382493901</v>
      </c>
      <c r="F212" s="3">
        <f t="shared" ca="1" si="34"/>
        <v>0.7846642493556657</v>
      </c>
      <c r="G212" s="36">
        <f t="shared" ca="1" si="35"/>
        <v>58424.793177608837</v>
      </c>
      <c r="H212" s="37">
        <f t="shared" ca="1" si="36"/>
        <v>0.17740306856507715</v>
      </c>
      <c r="I212" s="37">
        <f t="shared" ca="1" si="37"/>
        <v>7.2030099773819717E-2</v>
      </c>
      <c r="J212" s="38">
        <f t="shared" ca="1" si="38"/>
        <v>2.1165276109416736E-2</v>
      </c>
      <c r="K212" s="36">
        <f t="shared" ca="1" si="39"/>
        <v>2015.6164985639466</v>
      </c>
      <c r="L212" s="36">
        <f ca="1">Assumptions!$C$10*Assumptions!$C$13*I212*Assumptions!$C$15</f>
        <v>4995.5644581596807</v>
      </c>
      <c r="M212" s="36">
        <f ca="1">G212*(1+H212*Assumptions!$C$6)*(1+J212)+L212+K212</f>
        <v>68789.373038148435</v>
      </c>
    </row>
    <row r="213" spans="1:13" x14ac:dyDescent="0.25">
      <c r="A213" s="3">
        <v>200</v>
      </c>
      <c r="B213" s="3">
        <f t="shared" ca="1" si="34"/>
        <v>0.54412628432006382</v>
      </c>
      <c r="C213" s="3">
        <f t="shared" ca="1" si="34"/>
        <v>0.87408559019291743</v>
      </c>
      <c r="D213" s="3">
        <f t="shared" ca="1" si="34"/>
        <v>0.29673077806428094</v>
      </c>
      <c r="E213" s="3">
        <f t="shared" ca="1" si="34"/>
        <v>0.18602906931698338</v>
      </c>
      <c r="F213" s="3">
        <f t="shared" ca="1" si="34"/>
        <v>0.70088878030411106</v>
      </c>
      <c r="G213" s="36">
        <f t="shared" ca="1" si="35"/>
        <v>57898.905896173805</v>
      </c>
      <c r="H213" s="37">
        <f t="shared" ca="1" si="36"/>
        <v>0.18641970004188588</v>
      </c>
      <c r="I213" s="37">
        <f t="shared" ca="1" si="37"/>
        <v>7.0814582421407216E-2</v>
      </c>
      <c r="J213" s="38">
        <f t="shared" ca="1" si="38"/>
        <v>2.2199313728795841E-2</v>
      </c>
      <c r="K213" s="36">
        <f t="shared" ca="1" si="39"/>
        <v>1839.8273884324367</v>
      </c>
      <c r="L213" s="36">
        <f ca="1">Assumptions!$C$10*Assumptions!$C$13*I213*Assumptions!$C$15</f>
        <v>4911.2636547031334</v>
      </c>
      <c r="M213" s="36">
        <f ca="1">G213*(1+H213*Assumptions!$C$6)*(1+J213)+L213+K213</f>
        <v>68141.933893597423</v>
      </c>
    </row>
    <row r="214" spans="1:13" x14ac:dyDescent="0.25">
      <c r="A214" s="3">
        <v>201</v>
      </c>
      <c r="B214" s="3">
        <f t="shared" ref="B214:F223" ca="1" si="40">RAND()</f>
        <v>0.938440374179635</v>
      </c>
      <c r="C214" s="3">
        <f t="shared" ca="1" si="40"/>
        <v>0.84827169349177789</v>
      </c>
      <c r="D214" s="3">
        <f t="shared" ca="1" si="40"/>
        <v>0.11395022965367685</v>
      </c>
      <c r="E214" s="3">
        <f t="shared" ca="1" si="40"/>
        <v>0.52377686780284582</v>
      </c>
      <c r="F214" s="3">
        <f t="shared" ca="1" si="40"/>
        <v>0.46834466752338677</v>
      </c>
      <c r="G214" s="36">
        <f t="shared" ca="1" si="35"/>
        <v>58436.867971118925</v>
      </c>
      <c r="H214" s="37">
        <f t="shared" ca="1" si="36"/>
        <v>0.18118328988809843</v>
      </c>
      <c r="I214" s="37">
        <f t="shared" ca="1" si="37"/>
        <v>5.9095568462126651E-2</v>
      </c>
      <c r="J214" s="38">
        <f t="shared" ca="1" si="38"/>
        <v>3.0481329303517535E-2</v>
      </c>
      <c r="K214" s="36">
        <f t="shared" ca="1" si="39"/>
        <v>1451.7406806503841</v>
      </c>
      <c r="L214" s="36">
        <f ca="1">Assumptions!$C$10*Assumptions!$C$13*I214*Assumptions!$C$15</f>
        <v>4098.5049634964143</v>
      </c>
      <c r="M214" s="36">
        <f ca="1">G214*(1+H214*Assumptions!$C$6)*(1+J214)+L214+K214</f>
        <v>67950.449775389628</v>
      </c>
    </row>
    <row r="215" spans="1:13" x14ac:dyDescent="0.25">
      <c r="A215" s="3">
        <v>202</v>
      </c>
      <c r="B215" s="3">
        <f t="shared" ca="1" si="40"/>
        <v>0.39879252782578001</v>
      </c>
      <c r="C215" s="3">
        <f t="shared" ca="1" si="40"/>
        <v>0.83496533412738949</v>
      </c>
      <c r="D215" s="3">
        <f t="shared" ca="1" si="40"/>
        <v>0.33999549365588499</v>
      </c>
      <c r="E215" s="3">
        <f t="shared" ca="1" si="40"/>
        <v>0.32402759120071645</v>
      </c>
      <c r="F215" s="3">
        <f t="shared" ca="1" si="40"/>
        <v>0.81447394113519622</v>
      </c>
      <c r="G215" s="36">
        <f t="shared" ca="1" si="35"/>
        <v>57772.423883799071</v>
      </c>
      <c r="H215" s="37">
        <f t="shared" ca="1" si="36"/>
        <v>0.178658412297239</v>
      </c>
      <c r="I215" s="37">
        <f t="shared" ca="1" si="37"/>
        <v>7.2984626414419662E-2</v>
      </c>
      <c r="J215" s="38">
        <f t="shared" ca="1" si="38"/>
        <v>2.6100374932298102E-2</v>
      </c>
      <c r="K215" s="36">
        <f t="shared" ca="1" si="39"/>
        <v>2086.2892881816383</v>
      </c>
      <c r="L215" s="36">
        <f ca="1">Assumptions!$C$10*Assumptions!$C$13*I215*Assumptions!$C$15</f>
        <v>5061.7645519415964</v>
      </c>
      <c r="M215" s="36">
        <f ca="1">G215*(1+H215*Assumptions!$C$6)*(1+J215)+L215+K215</f>
        <v>68546.544711264447</v>
      </c>
    </row>
    <row r="216" spans="1:13" x14ac:dyDescent="0.25">
      <c r="A216" s="3">
        <v>203</v>
      </c>
      <c r="B216" s="3">
        <f t="shared" ca="1" si="40"/>
        <v>4.094126125095332E-2</v>
      </c>
      <c r="C216" s="3">
        <f t="shared" ca="1" si="40"/>
        <v>0.54729780956589025</v>
      </c>
      <c r="D216" s="3">
        <f t="shared" ca="1" si="40"/>
        <v>0.14989429920266817</v>
      </c>
      <c r="E216" s="3">
        <f t="shared" ca="1" si="40"/>
        <v>3.4486505668436696E-2</v>
      </c>
      <c r="F216" s="3">
        <f t="shared" ca="1" si="40"/>
        <v>0.90205787828638628</v>
      </c>
      <c r="G216" s="36">
        <f t="shared" ca="1" si="35"/>
        <v>57315.451852870116</v>
      </c>
      <c r="H216" s="37">
        <f t="shared" ca="1" si="36"/>
        <v>0.13840467559037126</v>
      </c>
      <c r="I216" s="37">
        <f t="shared" ca="1" si="37"/>
        <v>6.1901181645028613E-2</v>
      </c>
      <c r="J216" s="38">
        <f t="shared" ca="1" si="38"/>
        <v>1.5252542673291607E-2</v>
      </c>
      <c r="K216" s="36">
        <f t="shared" ca="1" si="39"/>
        <v>2336.1178209115251</v>
      </c>
      <c r="L216" s="36">
        <f ca="1">Assumptions!$C$10*Assumptions!$C$13*I216*Assumptions!$C$15</f>
        <v>4293.0850285505994</v>
      </c>
      <c r="M216" s="36">
        <f ca="1">G216*(1+H216*Assumptions!$C$6)*(1+J216)+L216+K216</f>
        <v>66429.60523151196</v>
      </c>
    </row>
    <row r="217" spans="1:13" x14ac:dyDescent="0.25">
      <c r="A217" s="3">
        <v>204</v>
      </c>
      <c r="B217" s="3">
        <f t="shared" ca="1" si="40"/>
        <v>0.59322087014864633</v>
      </c>
      <c r="C217" s="3">
        <f t="shared" ca="1" si="40"/>
        <v>0.97434846161343736</v>
      </c>
      <c r="D217" s="3">
        <f t="shared" ca="1" si="40"/>
        <v>0.51500325873870678</v>
      </c>
      <c r="E217" s="3">
        <f t="shared" ca="1" si="40"/>
        <v>0.79374326151979957</v>
      </c>
      <c r="F217" s="3">
        <f t="shared" ca="1" si="40"/>
        <v>0.49308642022891092</v>
      </c>
      <c r="G217" s="36">
        <f t="shared" ca="1" si="35"/>
        <v>57946.006566739823</v>
      </c>
      <c r="H217" s="37">
        <f t="shared" ca="1" si="36"/>
        <v>0.2158162228919131</v>
      </c>
      <c r="I217" s="37">
        <f t="shared" ca="1" si="37"/>
        <v>8.060470114295186E-2</v>
      </c>
      <c r="J217" s="38">
        <f t="shared" ca="1" si="38"/>
        <v>3.7154557587059905E-2</v>
      </c>
      <c r="K217" s="36">
        <f t="shared" ca="1" si="39"/>
        <v>1489.5935321523448</v>
      </c>
      <c r="L217" s="36">
        <f ca="1">Assumptions!$C$10*Assumptions!$C$13*I217*Assumptions!$C$15</f>
        <v>5590.2460423450302</v>
      </c>
      <c r="M217" s="36">
        <f ca="1">G217*(1+H217*Assumptions!$C$6)*(1+J217)+L217+K217</f>
        <v>69772.870695932608</v>
      </c>
    </row>
    <row r="218" spans="1:13" x14ac:dyDescent="0.25">
      <c r="A218" s="3">
        <v>205</v>
      </c>
      <c r="B218" s="3">
        <f t="shared" ca="1" si="40"/>
        <v>0.68765675463170228</v>
      </c>
      <c r="C218" s="3">
        <f t="shared" ca="1" si="40"/>
        <v>0.78336451684360808</v>
      </c>
      <c r="D218" s="3">
        <f t="shared" ca="1" si="40"/>
        <v>0.95747787597017453</v>
      </c>
      <c r="E218" s="3">
        <f t="shared" ca="1" si="40"/>
        <v>0.47235572610754617</v>
      </c>
      <c r="F218" s="3">
        <f t="shared" ca="1" si="40"/>
        <v>0.18516084278343159</v>
      </c>
      <c r="G218" s="36">
        <f t="shared" ca="1" si="35"/>
        <v>58045.412756689322</v>
      </c>
      <c r="H218" s="37">
        <f t="shared" ca="1" si="36"/>
        <v>0.16971992447381878</v>
      </c>
      <c r="I218" s="37">
        <f t="shared" ca="1" si="37"/>
        <v>0.10833506121338643</v>
      </c>
      <c r="J218" s="38">
        <f t="shared" ca="1" si="38"/>
        <v>2.9439253609283379E-2</v>
      </c>
      <c r="K218" s="36">
        <f t="shared" ca="1" si="39"/>
        <v>912.81092923203005</v>
      </c>
      <c r="L218" s="36">
        <f ca="1">Assumptions!$C$10*Assumptions!$C$13*I218*Assumptions!$C$15</f>
        <v>7513.4531684607073</v>
      </c>
      <c r="M218" s="36">
        <f ca="1">G218*(1+H218*Assumptions!$C$6)*(1+J218)+L218+K218</f>
        <v>70208.787039147996</v>
      </c>
    </row>
    <row r="219" spans="1:13" x14ac:dyDescent="0.25">
      <c r="A219" s="3">
        <v>206</v>
      </c>
      <c r="B219" s="3">
        <f t="shared" ca="1" si="40"/>
        <v>0.89045763988194415</v>
      </c>
      <c r="C219" s="3">
        <f t="shared" ca="1" si="40"/>
        <v>0.51201255212396624</v>
      </c>
      <c r="D219" s="3">
        <f t="shared" ca="1" si="40"/>
        <v>0.93366316427503693</v>
      </c>
      <c r="E219" s="3">
        <f t="shared" ca="1" si="40"/>
        <v>0.10525500665493159</v>
      </c>
      <c r="F219" s="3">
        <f t="shared" ca="1" si="40"/>
        <v>0.14825474327750721</v>
      </c>
      <c r="G219" s="36">
        <f t="shared" ca="1" si="35"/>
        <v>58332.493586605058</v>
      </c>
      <c r="H219" s="37">
        <f t="shared" ca="1" si="36"/>
        <v>0.13451960461027096</v>
      </c>
      <c r="I219" s="37">
        <f t="shared" ca="1" si="37"/>
        <v>0.10543024110289118</v>
      </c>
      <c r="J219" s="38">
        <f t="shared" ca="1" si="38"/>
        <v>1.9176274043638041E-2</v>
      </c>
      <c r="K219" s="36">
        <f t="shared" ca="1" si="39"/>
        <v>816.79026974418741</v>
      </c>
      <c r="L219" s="36">
        <f ca="1">Assumptions!$C$10*Assumptions!$C$13*I219*Assumptions!$C$15</f>
        <v>7311.9927214128211</v>
      </c>
      <c r="M219" s="36">
        <f ca="1">G219*(1+H219*Assumptions!$C$6)*(1+J219)+L219+K219</f>
        <v>69179.343977854485</v>
      </c>
    </row>
    <row r="220" spans="1:13" x14ac:dyDescent="0.25">
      <c r="A220" s="3">
        <v>207</v>
      </c>
      <c r="B220" s="3">
        <f t="shared" ca="1" si="40"/>
        <v>0.47197928617293849</v>
      </c>
      <c r="C220" s="3">
        <f t="shared" ca="1" si="40"/>
        <v>0.67233447245585076</v>
      </c>
      <c r="D220" s="3">
        <f t="shared" ca="1" si="40"/>
        <v>0.61217658929005891</v>
      </c>
      <c r="E220" s="3">
        <f t="shared" ca="1" si="40"/>
        <v>0.92213391619350371</v>
      </c>
      <c r="F220" s="3">
        <f t="shared" ca="1" si="40"/>
        <v>0.88999825298145041</v>
      </c>
      <c r="G220" s="36">
        <f t="shared" ca="1" si="35"/>
        <v>57834.076499201961</v>
      </c>
      <c r="H220" s="37">
        <f t="shared" ca="1" si="36"/>
        <v>0.15356636055327416</v>
      </c>
      <c r="I220" s="37">
        <f t="shared" ca="1" si="37"/>
        <v>8.4771674546299941E-2</v>
      </c>
      <c r="J220" s="38">
        <f t="shared" ca="1" si="38"/>
        <v>4.2107416959879546E-2</v>
      </c>
      <c r="K220" s="36">
        <f t="shared" ca="1" si="39"/>
        <v>2296.4320490645746</v>
      </c>
      <c r="L220" s="36">
        <f ca="1">Assumptions!$C$10*Assumptions!$C$13*I220*Assumptions!$C$15</f>
        <v>5879.2416746880008</v>
      </c>
      <c r="M220" s="36">
        <f ca="1">G220*(1+H220*Assumptions!$C$6)*(1+J220)+L220+K220</f>
        <v>70296.061823917407</v>
      </c>
    </row>
    <row r="221" spans="1:13" x14ac:dyDescent="0.25">
      <c r="A221" s="3">
        <v>208</v>
      </c>
      <c r="B221" s="3">
        <f t="shared" ca="1" si="40"/>
        <v>0.46207402147480159</v>
      </c>
      <c r="C221" s="3">
        <f t="shared" ca="1" si="40"/>
        <v>0.37439267647750318</v>
      </c>
      <c r="D221" s="3">
        <f t="shared" ca="1" si="40"/>
        <v>0.1474226208775532</v>
      </c>
      <c r="E221" s="3">
        <f t="shared" ca="1" si="40"/>
        <v>0.17938131755977904</v>
      </c>
      <c r="F221" s="3">
        <f t="shared" ca="1" si="40"/>
        <v>0.58871179322305855</v>
      </c>
      <c r="G221" s="36">
        <f t="shared" ca="1" si="35"/>
        <v>57825.530978964482</v>
      </c>
      <c r="H221" s="37">
        <f t="shared" ca="1" si="36"/>
        <v>0.12056865161812444</v>
      </c>
      <c r="I221" s="37">
        <f t="shared" ca="1" si="37"/>
        <v>6.171986157433261E-2</v>
      </c>
      <c r="J221" s="38">
        <f t="shared" ca="1" si="38"/>
        <v>2.1979359500733889E-2</v>
      </c>
      <c r="K221" s="36">
        <f t="shared" ca="1" si="39"/>
        <v>1639.5600231924097</v>
      </c>
      <c r="L221" s="36">
        <f ca="1">Assumptions!$C$10*Assumptions!$C$13*I221*Assumptions!$C$15</f>
        <v>4280.5097842629439</v>
      </c>
      <c r="M221" s="36">
        <f ca="1">G221*(1+H221*Assumptions!$C$6)*(1+J221)+L221+K221</f>
        <v>66441.605962800619</v>
      </c>
    </row>
    <row r="222" spans="1:13" x14ac:dyDescent="0.25">
      <c r="A222" s="3">
        <v>209</v>
      </c>
      <c r="B222" s="3">
        <f t="shared" ca="1" si="40"/>
        <v>7.5686029372050045E-2</v>
      </c>
      <c r="C222" s="3">
        <f t="shared" ca="1" si="40"/>
        <v>0.18910345453612198</v>
      </c>
      <c r="D222" s="3">
        <f t="shared" ca="1" si="40"/>
        <v>0.46014443978453146</v>
      </c>
      <c r="E222" s="3">
        <f t="shared" ca="1" si="40"/>
        <v>0.82378435575191533</v>
      </c>
      <c r="F222" s="3">
        <f t="shared" ca="1" si="40"/>
        <v>0.90632967175490131</v>
      </c>
      <c r="G222" s="36">
        <f t="shared" ca="1" si="35"/>
        <v>57392.939196184321</v>
      </c>
      <c r="H222" s="37">
        <f t="shared" ca="1" si="36"/>
        <v>0.10015053285190918</v>
      </c>
      <c r="I222" s="37">
        <f t="shared" ca="1" si="37"/>
        <v>7.8372675269135203E-2</v>
      </c>
      <c r="J222" s="38">
        <f t="shared" ca="1" si="38"/>
        <v>3.812681527986414E-2</v>
      </c>
      <c r="K222" s="36">
        <f t="shared" ca="1" si="39"/>
        <v>2350.7569968779453</v>
      </c>
      <c r="L222" s="36">
        <f ca="1">Assumptions!$C$10*Assumptions!$C$13*I222*Assumptions!$C$15</f>
        <v>5435.446463280945</v>
      </c>
      <c r="M222" s="36">
        <f ca="1">G222*(1+H222*Assumptions!$C$6)*(1+J222)+L222+K222</f>
        <v>68560.769415251751</v>
      </c>
    </row>
    <row r="223" spans="1:13" x14ac:dyDescent="0.25">
      <c r="A223" s="3">
        <v>210</v>
      </c>
      <c r="B223" s="3">
        <f t="shared" ca="1" si="40"/>
        <v>0.86448549677716047</v>
      </c>
      <c r="C223" s="3">
        <f t="shared" ca="1" si="40"/>
        <v>0.4941340194117001</v>
      </c>
      <c r="D223" s="3">
        <f t="shared" ca="1" si="40"/>
        <v>0.49361364541804686</v>
      </c>
      <c r="E223" s="3">
        <f t="shared" ca="1" si="40"/>
        <v>0.39864129688206595</v>
      </c>
      <c r="F223" s="3">
        <f t="shared" ca="1" si="40"/>
        <v>0.7801320941615324</v>
      </c>
      <c r="G223" s="36">
        <f t="shared" ca="1" si="35"/>
        <v>58285.696135679435</v>
      </c>
      <c r="H223" s="37">
        <f t="shared" ca="1" si="36"/>
        <v>0.13260472842153043</v>
      </c>
      <c r="I223" s="37">
        <f t="shared" ca="1" si="37"/>
        <v>7.9743724854846584E-2</v>
      </c>
      <c r="J223" s="38">
        <f t="shared" ca="1" si="38"/>
        <v>2.7858136451087298E-2</v>
      </c>
      <c r="K223" s="36">
        <f t="shared" ca="1" si="39"/>
        <v>2005.3113169070916</v>
      </c>
      <c r="L223" s="36">
        <f ca="1">Assumptions!$C$10*Assumptions!$C$13*I223*Assumptions!$C$15</f>
        <v>5530.5340253176673</v>
      </c>
      <c r="M223" s="36">
        <f ca="1">G223*(1+H223*Assumptions!$C$6)*(1+J223)+L223+K223</f>
        <v>69034.1270137557</v>
      </c>
    </row>
    <row r="224" spans="1:13" x14ac:dyDescent="0.25">
      <c r="A224" s="3">
        <v>211</v>
      </c>
      <c r="B224" s="3">
        <f t="shared" ref="B224:F233" ca="1" si="41">RAND()</f>
        <v>0.56564485841686474</v>
      </c>
      <c r="C224" s="3">
        <f t="shared" ca="1" si="41"/>
        <v>0.25599787776337213</v>
      </c>
      <c r="D224" s="3">
        <f t="shared" ca="1" si="41"/>
        <v>0.67387134296224371</v>
      </c>
      <c r="E224" s="3">
        <f t="shared" ca="1" si="41"/>
        <v>0.43200806338370012</v>
      </c>
      <c r="F224" s="3">
        <f t="shared" ca="1" si="41"/>
        <v>0.2752817344305778</v>
      </c>
      <c r="G224" s="36">
        <f t="shared" ca="1" si="35"/>
        <v>57919.221505769827</v>
      </c>
      <c r="H224" s="37">
        <f t="shared" ca="1" si="36"/>
        <v>0.10835042222857388</v>
      </c>
      <c r="I224" s="37">
        <f t="shared" ca="1" si="37"/>
        <v>8.7695020468651894E-2</v>
      </c>
      <c r="J224" s="38">
        <f t="shared" ca="1" si="38"/>
        <v>2.8590493557379269E-2</v>
      </c>
      <c r="K224" s="36">
        <f t="shared" ca="1" si="39"/>
        <v>1112.9994631344616</v>
      </c>
      <c r="L224" s="36">
        <f ca="1">Assumptions!$C$10*Assumptions!$C$13*I224*Assumptions!$C$15</f>
        <v>6081.9869580412724</v>
      </c>
      <c r="M224" s="36">
        <f ca="1">G224*(1+H224*Assumptions!$C$6)*(1+J224)+L224+K224</f>
        <v>68061.145818083882</v>
      </c>
    </row>
    <row r="225" spans="1:13" x14ac:dyDescent="0.25">
      <c r="A225" s="3">
        <v>212</v>
      </c>
      <c r="B225" s="3">
        <f t="shared" ca="1" si="41"/>
        <v>0.24283424122223085</v>
      </c>
      <c r="C225" s="3">
        <f t="shared" ca="1" si="41"/>
        <v>0.86214163397051813</v>
      </c>
      <c r="D225" s="3">
        <f t="shared" ca="1" si="41"/>
        <v>0.38010707693473644</v>
      </c>
      <c r="E225" s="3">
        <f t="shared" ca="1" si="41"/>
        <v>0.47768536267494499</v>
      </c>
      <c r="F225" s="3">
        <f t="shared" ca="1" si="41"/>
        <v>0.11527638505206317</v>
      </c>
      <c r="G225" s="36">
        <f t="shared" ca="1" si="35"/>
        <v>57624.71633817863</v>
      </c>
      <c r="H225" s="37">
        <f t="shared" ca="1" si="36"/>
        <v>0.18393601204452018</v>
      </c>
      <c r="I225" s="37">
        <f t="shared" ca="1" si="37"/>
        <v>7.4876104228986884E-2</v>
      </c>
      <c r="J225" s="38">
        <f t="shared" ca="1" si="38"/>
        <v>2.9548613509401529E-2</v>
      </c>
      <c r="K225" s="36">
        <f t="shared" ca="1" si="39"/>
        <v>720.23866373188014</v>
      </c>
      <c r="L225" s="36">
        <f ca="1">Assumptions!$C$10*Assumptions!$C$13*I225*Assumptions!$C$15</f>
        <v>5192.9458132965055</v>
      </c>
      <c r="M225" s="36">
        <f ca="1">G225*(1+H225*Assumptions!$C$6)*(1+J225)+L225+K225</f>
        <v>67423.122081069989</v>
      </c>
    </row>
    <row r="226" spans="1:13" x14ac:dyDescent="0.25">
      <c r="A226" s="3">
        <v>213</v>
      </c>
      <c r="B226" s="3">
        <f t="shared" ca="1" si="41"/>
        <v>0.85755756963690721</v>
      </c>
      <c r="C226" s="3">
        <f t="shared" ca="1" si="41"/>
        <v>0.48390833308261094</v>
      </c>
      <c r="D226" s="3">
        <f t="shared" ca="1" si="41"/>
        <v>1.7421931900931553E-2</v>
      </c>
      <c r="E226" s="3">
        <f t="shared" ca="1" si="41"/>
        <v>0.24491386384829417</v>
      </c>
      <c r="F226" s="3">
        <f t="shared" ca="1" si="41"/>
        <v>0.79988951429580701</v>
      </c>
      <c r="G226" s="36">
        <f t="shared" ca="1" si="35"/>
        <v>58273.990802908666</v>
      </c>
      <c r="H226" s="37">
        <f t="shared" ca="1" si="36"/>
        <v>0.13152470324670013</v>
      </c>
      <c r="I226" s="37">
        <f t="shared" ca="1" si="37"/>
        <v>4.7466604454702348E-2</v>
      </c>
      <c r="J226" s="38">
        <f t="shared" ca="1" si="38"/>
        <v>2.3997538750745978E-2</v>
      </c>
      <c r="K226" s="36">
        <f t="shared" ca="1" si="39"/>
        <v>2051.0546982734631</v>
      </c>
      <c r="L226" s="36">
        <f ca="1">Assumptions!$C$10*Assumptions!$C$13*I226*Assumptions!$C$15</f>
        <v>3291.9915827968948</v>
      </c>
      <c r="M226" s="36">
        <f ca="1">G226*(1+H226*Assumptions!$C$6)*(1+J226)+L226+K226</f>
        <v>66585.148985936554</v>
      </c>
    </row>
    <row r="227" spans="1:13" x14ac:dyDescent="0.25">
      <c r="A227" s="3">
        <v>214</v>
      </c>
      <c r="B227" s="3">
        <f t="shared" ca="1" si="41"/>
        <v>0.58345051409002191</v>
      </c>
      <c r="C227" s="3">
        <f t="shared" ca="1" si="41"/>
        <v>0.78016289230262748</v>
      </c>
      <c r="D227" s="3">
        <f t="shared" ca="1" si="41"/>
        <v>4.2815618789621701E-2</v>
      </c>
      <c r="E227" s="3">
        <f t="shared" ca="1" si="41"/>
        <v>0.95751013028089826</v>
      </c>
      <c r="F227" s="3">
        <f t="shared" ca="1" si="41"/>
        <v>0.33033010067763435</v>
      </c>
      <c r="G227" s="36">
        <f t="shared" ca="1" si="35"/>
        <v>57936.415500116527</v>
      </c>
      <c r="H227" s="37">
        <f t="shared" ca="1" si="36"/>
        <v>0.16920249965217632</v>
      </c>
      <c r="I227" s="37">
        <f t="shared" ca="1" si="37"/>
        <v>5.1705126232842999E-2</v>
      </c>
      <c r="J227" s="38">
        <f t="shared" ca="1" si="38"/>
        <v>4.4169743078106991E-2</v>
      </c>
      <c r="K227" s="36">
        <f t="shared" ca="1" si="39"/>
        <v>1219.2150971216499</v>
      </c>
      <c r="L227" s="36">
        <f ca="1">Assumptions!$C$10*Assumptions!$C$13*I227*Assumptions!$C$15</f>
        <v>3585.9493701177876</v>
      </c>
      <c r="M227" s="36">
        <f ca="1">G227*(1+H227*Assumptions!$C$6)*(1+J227)+L227+K227</f>
        <v>67347.812897025433</v>
      </c>
    </row>
    <row r="228" spans="1:13" x14ac:dyDescent="0.25">
      <c r="A228" s="3">
        <v>215</v>
      </c>
      <c r="B228" s="3">
        <f t="shared" ca="1" si="41"/>
        <v>0.69289832110385241</v>
      </c>
      <c r="C228" s="3">
        <f t="shared" ca="1" si="41"/>
        <v>5.4364274960695069E-2</v>
      </c>
      <c r="D228" s="3">
        <f t="shared" ca="1" si="41"/>
        <v>0.52224249396893541</v>
      </c>
      <c r="E228" s="3">
        <f t="shared" ca="1" si="41"/>
        <v>0.97926637986573639</v>
      </c>
      <c r="F228" s="3">
        <f t="shared" ca="1" si="41"/>
        <v>0.45763253176807783</v>
      </c>
      <c r="G228" s="36">
        <f t="shared" ca="1" si="35"/>
        <v>58051.344728959521</v>
      </c>
      <c r="H228" s="37">
        <f t="shared" ca="1" si="36"/>
        <v>7.6889493431027009E-2</v>
      </c>
      <c r="I228" s="37">
        <f t="shared" ca="1" si="37"/>
        <v>8.0899820725482519E-2</v>
      </c>
      <c r="J228" s="38">
        <f t="shared" ca="1" si="38"/>
        <v>4.5927298671960971E-2</v>
      </c>
      <c r="K228" s="36">
        <f t="shared" ca="1" si="39"/>
        <v>1435.0422965739895</v>
      </c>
      <c r="L228" s="36">
        <f ca="1">Assumptions!$C$10*Assumptions!$C$13*I228*Assumptions!$C$15</f>
        <v>5610.7137204688479</v>
      </c>
      <c r="M228" s="36">
        <f ca="1">G228*(1+H228*Assumptions!$C$6)*(1+J228)+L228+K228</f>
        <v>68696.949544583622</v>
      </c>
    </row>
    <row r="229" spans="1:13" x14ac:dyDescent="0.25">
      <c r="A229" s="3">
        <v>216</v>
      </c>
      <c r="B229" s="3">
        <f t="shared" ca="1" si="41"/>
        <v>0.18005652631227065</v>
      </c>
      <c r="C229" s="3">
        <f t="shared" ca="1" si="41"/>
        <v>0.47187609015302912</v>
      </c>
      <c r="D229" s="3">
        <f t="shared" ca="1" si="41"/>
        <v>0.14161451526151025</v>
      </c>
      <c r="E229" s="3">
        <f t="shared" ca="1" si="41"/>
        <v>0.31312622137282442</v>
      </c>
      <c r="F229" s="3">
        <f t="shared" ca="1" si="41"/>
        <v>0.25037488006941244</v>
      </c>
      <c r="G229" s="36">
        <f t="shared" ca="1" si="35"/>
        <v>57551.8289544363</v>
      </c>
      <c r="H229" s="37">
        <f t="shared" ca="1" si="36"/>
        <v>0.13026748364996391</v>
      </c>
      <c r="I229" s="37">
        <f t="shared" ca="1" si="37"/>
        <v>6.1287706518947334E-2</v>
      </c>
      <c r="J229" s="38">
        <f t="shared" ca="1" si="38"/>
        <v>2.5827222659022001E-2</v>
      </c>
      <c r="K229" s="36">
        <f t="shared" ca="1" si="39"/>
        <v>1061.4551146008746</v>
      </c>
      <c r="L229" s="36">
        <f ca="1">Assumptions!$C$10*Assumptions!$C$13*I229*Assumptions!$C$15</f>
        <v>4250.5381690371469</v>
      </c>
      <c r="M229" s="36">
        <f ca="1">G229*(1+H229*Assumptions!$C$6)*(1+J229)+L229+K229</f>
        <v>65888.378545553991</v>
      </c>
    </row>
    <row r="230" spans="1:13" x14ac:dyDescent="0.25">
      <c r="A230" s="3">
        <v>217</v>
      </c>
      <c r="B230" s="3">
        <f t="shared" ca="1" si="41"/>
        <v>0.39135622537360293</v>
      </c>
      <c r="C230" s="3">
        <f t="shared" ca="1" si="41"/>
        <v>0.75274261883188009</v>
      </c>
      <c r="D230" s="3">
        <f t="shared" ca="1" si="41"/>
        <v>0.59146357187777832</v>
      </c>
      <c r="E230" s="3">
        <f t="shared" ca="1" si="41"/>
        <v>0.96370646055118869</v>
      </c>
      <c r="F230" s="3">
        <f t="shared" ca="1" si="41"/>
        <v>0.37494305332940681</v>
      </c>
      <c r="G230" s="36">
        <f t="shared" ca="1" si="35"/>
        <v>57766.125022419306</v>
      </c>
      <c r="H230" s="37">
        <f t="shared" ca="1" si="36"/>
        <v>0.16491692407317654</v>
      </c>
      <c r="I230" s="37">
        <f t="shared" ca="1" si="37"/>
        <v>8.384316703593761E-2</v>
      </c>
      <c r="J230" s="38">
        <f t="shared" ca="1" si="38"/>
        <v>4.4611602134302902E-2</v>
      </c>
      <c r="K230" s="36">
        <f t="shared" ca="1" si="39"/>
        <v>1298.939467404979</v>
      </c>
      <c r="L230" s="36">
        <f ca="1">Assumptions!$C$10*Assumptions!$C$13*I230*Assumptions!$C$15</f>
        <v>5814.8461076616422</v>
      </c>
      <c r="M230" s="36">
        <f ca="1">G230*(1+H230*Assumptions!$C$6)*(1+J230)+L230+K230</f>
        <v>69447.271796453424</v>
      </c>
    </row>
    <row r="231" spans="1:13" x14ac:dyDescent="0.25">
      <c r="A231" s="3">
        <v>218</v>
      </c>
      <c r="B231" s="3">
        <f t="shared" ca="1" si="41"/>
        <v>0.76599957053249967</v>
      </c>
      <c r="C231" s="3">
        <f t="shared" ca="1" si="41"/>
        <v>0.14735681383269406</v>
      </c>
      <c r="D231" s="3">
        <f t="shared" ca="1" si="41"/>
        <v>0.31207729098755943</v>
      </c>
      <c r="E231" s="3">
        <f t="shared" ca="1" si="41"/>
        <v>0.83206194605045847</v>
      </c>
      <c r="F231" s="3">
        <f t="shared" ca="1" si="41"/>
        <v>0.61230593142284906</v>
      </c>
      <c r="G231" s="36">
        <f t="shared" ca="1" si="35"/>
        <v>58140.06407115695</v>
      </c>
      <c r="H231" s="37">
        <f t="shared" ca="1" si="36"/>
        <v>9.4270143708540532E-2</v>
      </c>
      <c r="I231" s="37">
        <f t="shared" ca="1" si="37"/>
        <v>7.1601381791943697E-2</v>
      </c>
      <c r="J231" s="38">
        <f t="shared" ca="1" si="38"/>
        <v>3.8409036141906355E-2</v>
      </c>
      <c r="K231" s="36">
        <f t="shared" ca="1" si="39"/>
        <v>1679.1581061318582</v>
      </c>
      <c r="L231" s="36">
        <f ca="1">Assumptions!$C$10*Assumptions!$C$13*I231*Assumptions!$C$15</f>
        <v>4965.8312172012629</v>
      </c>
      <c r="M231" s="36">
        <f ca="1">G231*(1+H231*Assumptions!$C$6)*(1+J231)+L231+K231</f>
        <v>68156.434659381237</v>
      </c>
    </row>
    <row r="232" spans="1:13" x14ac:dyDescent="0.25">
      <c r="A232" s="3">
        <v>219</v>
      </c>
      <c r="B232" s="3">
        <f t="shared" ca="1" si="41"/>
        <v>0.74382096558210864</v>
      </c>
      <c r="C232" s="3">
        <f t="shared" ca="1" si="41"/>
        <v>0.42305392886326532</v>
      </c>
      <c r="D232" s="3">
        <f t="shared" ca="1" si="41"/>
        <v>0.43879975470199495</v>
      </c>
      <c r="E232" s="3">
        <f t="shared" ca="1" si="41"/>
        <v>0.31946364282840034</v>
      </c>
      <c r="F232" s="3">
        <f t="shared" ca="1" si="41"/>
        <v>0.32083586574030809</v>
      </c>
      <c r="G232" s="36">
        <f t="shared" ca="1" si="35"/>
        <v>58111.841058759004</v>
      </c>
      <c r="H232" s="37">
        <f t="shared" ca="1" si="36"/>
        <v>0.12530749622613713</v>
      </c>
      <c r="I232" s="37">
        <f t="shared" ca="1" si="37"/>
        <v>7.7472112497781381E-2</v>
      </c>
      <c r="J232" s="38">
        <f t="shared" ca="1" si="38"/>
        <v>2.5986585447265474E-2</v>
      </c>
      <c r="K232" s="36">
        <f t="shared" ca="1" si="39"/>
        <v>1201.5662261529267</v>
      </c>
      <c r="L232" s="36">
        <f ca="1">Assumptions!$C$10*Assumptions!$C$13*I232*Assumptions!$C$15</f>
        <v>5372.9889713845905</v>
      </c>
      <c r="M232" s="36">
        <f ca="1">G232*(1+H232*Assumptions!$C$6)*(1+J232)+L232+K232</f>
        <v>67690.74052013208</v>
      </c>
    </row>
    <row r="233" spans="1:13" x14ac:dyDescent="0.25">
      <c r="A233" s="3">
        <v>220</v>
      </c>
      <c r="B233" s="3">
        <f t="shared" ca="1" si="41"/>
        <v>5.4894772875506148E-2</v>
      </c>
      <c r="C233" s="3">
        <f t="shared" ca="1" si="41"/>
        <v>0.85521980119237795</v>
      </c>
      <c r="D233" s="3">
        <f t="shared" ca="1" si="41"/>
        <v>0.74612023742750988</v>
      </c>
      <c r="E233" s="3">
        <f t="shared" ca="1" si="41"/>
        <v>0.33355920066123479</v>
      </c>
      <c r="F233" s="3">
        <f t="shared" ca="1" si="41"/>
        <v>0.59601959117930503</v>
      </c>
      <c r="G233" s="36">
        <f t="shared" ca="1" si="35"/>
        <v>57349.479646975728</v>
      </c>
      <c r="H233" s="37">
        <f t="shared" ca="1" si="36"/>
        <v>0.18254577010511946</v>
      </c>
      <c r="I233" s="37">
        <f t="shared" ca="1" si="37"/>
        <v>9.1497101195984143E-2</v>
      </c>
      <c r="J233" s="38">
        <f t="shared" ca="1" si="38"/>
        <v>2.6335463278676481E-2</v>
      </c>
      <c r="K233" s="36">
        <f t="shared" ca="1" si="39"/>
        <v>1651.7003894930745</v>
      </c>
      <c r="L233" s="36">
        <f ca="1">Assumptions!$C$10*Assumptions!$C$13*I233*Assumptions!$C$15</f>
        <v>6345.6758798691762</v>
      </c>
      <c r="M233" s="36">
        <f ca="1">G233*(1+H233*Assumptions!$C$6)*(1+J233)+L233+K233</f>
        <v>69006.102709345214</v>
      </c>
    </row>
    <row r="234" spans="1:13" x14ac:dyDescent="0.25">
      <c r="A234" s="3">
        <v>221</v>
      </c>
      <c r="B234" s="3">
        <f t="shared" ref="B234:F243" ca="1" si="42">RAND()</f>
        <v>0.25099600209958228</v>
      </c>
      <c r="C234" s="3">
        <f t="shared" ca="1" si="42"/>
        <v>0.9316488278349272</v>
      </c>
      <c r="D234" s="3">
        <f t="shared" ca="1" si="42"/>
        <v>0.4900953591274011</v>
      </c>
      <c r="E234" s="3">
        <f t="shared" ca="1" si="42"/>
        <v>0.5005116400416233</v>
      </c>
      <c r="F234" s="3">
        <f t="shared" ca="1" si="42"/>
        <v>0.74559769395084208</v>
      </c>
      <c r="G234" s="36">
        <f t="shared" ca="1" si="35"/>
        <v>57633.461432177333</v>
      </c>
      <c r="H234" s="37">
        <f t="shared" ca="1" si="36"/>
        <v>0.20052333948567</v>
      </c>
      <c r="I234" s="37">
        <f t="shared" ca="1" si="37"/>
        <v>7.9601832649609572E-2</v>
      </c>
      <c r="J234" s="38">
        <f t="shared" ca="1" si="38"/>
        <v>3.0010235419927995E-2</v>
      </c>
      <c r="K234" s="36">
        <f t="shared" ca="1" si="39"/>
        <v>1930.0418806227924</v>
      </c>
      <c r="L234" s="36">
        <f ca="1">Assumptions!$C$10*Assumptions!$C$13*I234*Assumptions!$C$15</f>
        <v>5520.6932551452292</v>
      </c>
      <c r="M234" s="36">
        <f ca="1">G234*(1+H234*Assumptions!$C$6)*(1+J234)+L234+K234</f>
        <v>69194.525926856149</v>
      </c>
    </row>
    <row r="235" spans="1:13" x14ac:dyDescent="0.25">
      <c r="A235" s="3">
        <v>222</v>
      </c>
      <c r="B235" s="3">
        <f t="shared" ca="1" si="42"/>
        <v>0.34962229035264336</v>
      </c>
      <c r="C235" s="3">
        <f t="shared" ca="1" si="42"/>
        <v>0.54144877466578789</v>
      </c>
      <c r="D235" s="3">
        <f t="shared" ca="1" si="42"/>
        <v>0.67401527441212361</v>
      </c>
      <c r="E235" s="3">
        <f t="shared" ca="1" si="42"/>
        <v>0.32992208633099074</v>
      </c>
      <c r="F235" s="3">
        <f t="shared" ca="1" si="42"/>
        <v>0.24182551844324374</v>
      </c>
      <c r="G235" s="36">
        <f t="shared" ca="1" si="35"/>
        <v>57729.60646858214</v>
      </c>
      <c r="H235" s="37">
        <f t="shared" ca="1" si="36"/>
        <v>0.13775046240877156</v>
      </c>
      <c r="I235" s="37">
        <f t="shared" ca="1" si="37"/>
        <v>8.7702149887628672E-2</v>
      </c>
      <c r="J235" s="38">
        <f t="shared" ca="1" si="38"/>
        <v>2.624615859410441E-2</v>
      </c>
      <c r="K235" s="36">
        <f t="shared" ca="1" si="39"/>
        <v>1043.1753606151733</v>
      </c>
      <c r="L235" s="36">
        <f ca="1">Assumptions!$C$10*Assumptions!$C$13*I235*Assumptions!$C$15</f>
        <v>6082.4814106681542</v>
      </c>
      <c r="M235" s="36">
        <f ca="1">G235*(1+H235*Assumptions!$C$6)*(1+J235)+L235+K235</f>
        <v>68002.643004297846</v>
      </c>
    </row>
    <row r="236" spans="1:13" x14ac:dyDescent="0.25">
      <c r="A236" s="3">
        <v>223</v>
      </c>
      <c r="B236" s="3">
        <f t="shared" ca="1" si="42"/>
        <v>0.42408897378668009</v>
      </c>
      <c r="C236" s="3">
        <f t="shared" ca="1" si="42"/>
        <v>0.35140404807520009</v>
      </c>
      <c r="D236" s="3">
        <f t="shared" ca="1" si="42"/>
        <v>0.50214801672412357</v>
      </c>
      <c r="E236" s="3">
        <f t="shared" ca="1" si="42"/>
        <v>0.70557961547327264</v>
      </c>
      <c r="F236" s="3">
        <f t="shared" ca="1" si="42"/>
        <v>0.76228509440105141</v>
      </c>
      <c r="G236" s="36">
        <f t="shared" ca="1" si="35"/>
        <v>57793.468249175858</v>
      </c>
      <c r="H236" s="37">
        <f t="shared" ca="1" si="36"/>
        <v>0.11836427312127411</v>
      </c>
      <c r="I236" s="37">
        <f t="shared" ca="1" si="37"/>
        <v>8.0086013147233653E-2</v>
      </c>
      <c r="J236" s="38">
        <f t="shared" ca="1" si="38"/>
        <v>3.4652807826140254E-2</v>
      </c>
      <c r="K236" s="36">
        <f t="shared" ca="1" si="39"/>
        <v>1965.7287226286962</v>
      </c>
      <c r="L236" s="36">
        <f ca="1">Assumptions!$C$10*Assumptions!$C$13*I236*Assumptions!$C$15</f>
        <v>5554.2730348881423</v>
      </c>
      <c r="M236" s="36">
        <f ca="1">G236*(1+H236*Assumptions!$C$6)*(1+J236)+L236+K236</f>
        <v>68731.722094413897</v>
      </c>
    </row>
    <row r="237" spans="1:13" x14ac:dyDescent="0.25">
      <c r="A237" s="3">
        <v>224</v>
      </c>
      <c r="B237" s="3">
        <f t="shared" ca="1" si="42"/>
        <v>8.8259453483432559E-2</v>
      </c>
      <c r="C237" s="3">
        <f t="shared" ca="1" si="42"/>
        <v>0.96907516268374128</v>
      </c>
      <c r="D237" s="3">
        <f t="shared" ca="1" si="42"/>
        <v>0.37844734718937101</v>
      </c>
      <c r="E237" s="3">
        <f t="shared" ca="1" si="42"/>
        <v>0.36199582000283337</v>
      </c>
      <c r="F237" s="3">
        <f t="shared" ca="1" si="42"/>
        <v>0.89338749959492969</v>
      </c>
      <c r="G237" s="36">
        <f t="shared" ca="1" si="35"/>
        <v>57416.337181995863</v>
      </c>
      <c r="H237" s="37">
        <f t="shared" ca="1" si="36"/>
        <v>0.21344653900504307</v>
      </c>
      <c r="I237" s="37">
        <f t="shared" ca="1" si="37"/>
        <v>7.479987803148147E-2</v>
      </c>
      <c r="J237" s="38">
        <f t="shared" ca="1" si="38"/>
        <v>2.7017539657725693E-2</v>
      </c>
      <c r="K237" s="36">
        <f t="shared" ca="1" si="39"/>
        <v>2307.3556094049295</v>
      </c>
      <c r="L237" s="36">
        <f ca="1">Assumptions!$C$10*Assumptions!$C$13*I237*Assumptions!$C$15</f>
        <v>5187.6592333218223</v>
      </c>
      <c r="M237" s="36">
        <f ca="1">G237*(1+H237*Assumptions!$C$6)*(1+J237)+L237+K237</f>
        <v>68979.88559277622</v>
      </c>
    </row>
    <row r="238" spans="1:13" x14ac:dyDescent="0.25">
      <c r="A238" s="3">
        <v>225</v>
      </c>
      <c r="B238" s="3">
        <f t="shared" ca="1" si="42"/>
        <v>0.41787344273737981</v>
      </c>
      <c r="C238" s="3">
        <f t="shared" ca="1" si="42"/>
        <v>0.70190101088920342</v>
      </c>
      <c r="D238" s="3">
        <f t="shared" ca="1" si="42"/>
        <v>0.24676608824139279</v>
      </c>
      <c r="E238" s="3">
        <f t="shared" ca="1" si="42"/>
        <v>0.56949286727427395</v>
      </c>
      <c r="F238" s="3">
        <f t="shared" ca="1" si="42"/>
        <v>0.66757444468571181</v>
      </c>
      <c r="G238" s="36">
        <f t="shared" ca="1" si="35"/>
        <v>57788.323621453121</v>
      </c>
      <c r="H238" s="37">
        <f t="shared" ca="1" si="36"/>
        <v>0.15755816018715885</v>
      </c>
      <c r="I238" s="37">
        <f t="shared" ca="1" si="37"/>
        <v>6.810073811081227E-2</v>
      </c>
      <c r="J238" s="38">
        <f t="shared" ca="1" si="38"/>
        <v>3.144182912621557E-2</v>
      </c>
      <c r="K238" s="36">
        <f t="shared" ca="1" si="39"/>
        <v>1776.923960289346</v>
      </c>
      <c r="L238" s="36">
        <f ca="1">Assumptions!$C$10*Assumptions!$C$13*I238*Assumptions!$C$15</f>
        <v>4723.0481139006406</v>
      </c>
      <c r="M238" s="36">
        <f ca="1">G238*(1+H238*Assumptions!$C$6)*(1+J238)+L238+K238</f>
        <v>67983.526391327614</v>
      </c>
    </row>
    <row r="239" spans="1:13" x14ac:dyDescent="0.25">
      <c r="A239" s="3">
        <v>226</v>
      </c>
      <c r="B239" s="3">
        <f t="shared" ca="1" si="42"/>
        <v>0.95813331016425463</v>
      </c>
      <c r="C239" s="3">
        <f t="shared" ca="1" si="42"/>
        <v>0.7378617510681319</v>
      </c>
      <c r="D239" s="3">
        <f t="shared" ca="1" si="42"/>
        <v>0.76067762238645709</v>
      </c>
      <c r="E239" s="3">
        <f t="shared" ca="1" si="42"/>
        <v>7.0258687170633105E-2</v>
      </c>
      <c r="F239" s="3">
        <f t="shared" ca="1" si="42"/>
        <v>0.81207771770203352</v>
      </c>
      <c r="G239" s="36">
        <f t="shared" ca="1" si="35"/>
        <v>58491.661069025271</v>
      </c>
      <c r="H239" s="37">
        <f t="shared" ca="1" si="36"/>
        <v>0.16269054342677997</v>
      </c>
      <c r="I239" s="37">
        <f t="shared" ca="1" si="37"/>
        <v>9.2326337279584086E-2</v>
      </c>
      <c r="J239" s="38">
        <f t="shared" ca="1" si="38"/>
        <v>1.749712943309014E-2</v>
      </c>
      <c r="K239" s="36">
        <f t="shared" ca="1" si="39"/>
        <v>2080.4075520422925</v>
      </c>
      <c r="L239" s="36">
        <f ca="1">Assumptions!$C$10*Assumptions!$C$13*I239*Assumptions!$C$15</f>
        <v>6403.1865916363849</v>
      </c>
      <c r="M239" s="36">
        <f ca="1">G239*(1+H239*Assumptions!$C$6)*(1+J239)+L239+K239</f>
        <v>69935.200079388494</v>
      </c>
    </row>
    <row r="240" spans="1:13" x14ac:dyDescent="0.25">
      <c r="A240" s="3">
        <v>227</v>
      </c>
      <c r="B240" s="3">
        <f t="shared" ca="1" si="42"/>
        <v>0.43205802749409183</v>
      </c>
      <c r="C240" s="3">
        <f t="shared" ca="1" si="42"/>
        <v>0.13415398105662502</v>
      </c>
      <c r="D240" s="3">
        <f t="shared" ca="1" si="42"/>
        <v>0.59053830412817088</v>
      </c>
      <c r="E240" s="3">
        <f t="shared" ca="1" si="42"/>
        <v>0.78438515781184204</v>
      </c>
      <c r="F240" s="3">
        <f t="shared" ca="1" si="42"/>
        <v>0.86274890804196935</v>
      </c>
      <c r="G240" s="36">
        <f t="shared" ca="1" si="35"/>
        <v>57800.105064878102</v>
      </c>
      <c r="H240" s="37">
        <f t="shared" ca="1" si="36"/>
        <v>9.2240359232055702E-2</v>
      </c>
      <c r="I240" s="37">
        <f t="shared" ca="1" si="37"/>
        <v>8.3802245555976096E-2</v>
      </c>
      <c r="J240" s="38">
        <f t="shared" ca="1" si="38"/>
        <v>3.6866383828110159E-2</v>
      </c>
      <c r="K240" s="36">
        <f t="shared" ca="1" si="39"/>
        <v>2214.1056598936866</v>
      </c>
      <c r="L240" s="36">
        <f ca="1">Assumptions!$C$10*Assumptions!$C$13*I240*Assumptions!$C$15</f>
        <v>5812.0080456360029</v>
      </c>
      <c r="M240" s="36">
        <f ca="1">G240*(1+H240*Assumptions!$C$6)*(1+J240)+L240+K240</f>
        <v>69062.710763177747</v>
      </c>
    </row>
    <row r="241" spans="1:13" x14ac:dyDescent="0.25">
      <c r="A241" s="3">
        <v>228</v>
      </c>
      <c r="B241" s="3">
        <f t="shared" ca="1" si="42"/>
        <v>0.41600415419324488</v>
      </c>
      <c r="C241" s="3">
        <f t="shared" ca="1" si="42"/>
        <v>0.88132059449271349</v>
      </c>
      <c r="D241" s="3">
        <f t="shared" ca="1" si="42"/>
        <v>8.4216533966381402E-3</v>
      </c>
      <c r="E241" s="3">
        <f t="shared" ca="1" si="42"/>
        <v>0.38930391193132352</v>
      </c>
      <c r="F241" s="3">
        <f t="shared" ca="1" si="42"/>
        <v>0.82965150223094331</v>
      </c>
      <c r="G241" s="36">
        <f t="shared" ca="1" si="35"/>
        <v>57786.781294980683</v>
      </c>
      <c r="H241" s="37">
        <f t="shared" ca="1" si="36"/>
        <v>0.18798182581475842</v>
      </c>
      <c r="I241" s="37">
        <f t="shared" ca="1" si="37"/>
        <v>4.5191270641109171E-2</v>
      </c>
      <c r="J241" s="38">
        <f t="shared" ca="1" si="38"/>
        <v>2.7647751401950867E-2</v>
      </c>
      <c r="K241" s="36">
        <f t="shared" ca="1" si="39"/>
        <v>2124.4611716429963</v>
      </c>
      <c r="L241" s="36">
        <f ca="1">Assumptions!$C$10*Assumptions!$C$13*I241*Assumptions!$C$15</f>
        <v>3134.1884315403095</v>
      </c>
      <c r="M241" s="36">
        <f ca="1">G241*(1+H241*Assumptions!$C$6)*(1+J241)+L241+K241</f>
        <v>66875.745149187496</v>
      </c>
    </row>
    <row r="242" spans="1:13" x14ac:dyDescent="0.25">
      <c r="A242" s="3">
        <v>229</v>
      </c>
      <c r="B242" s="3">
        <f t="shared" ca="1" si="42"/>
        <v>0.94065057301131727</v>
      </c>
      <c r="C242" s="3">
        <f t="shared" ca="1" si="42"/>
        <v>0.85715675240200373</v>
      </c>
      <c r="D242" s="3">
        <f t="shared" ca="1" si="42"/>
        <v>0.8557743069148569</v>
      </c>
      <c r="E242" s="3">
        <f t="shared" ca="1" si="42"/>
        <v>0.19008710554580099</v>
      </c>
      <c r="F242" s="3">
        <f t="shared" ca="1" si="42"/>
        <v>0.60268504234606568</v>
      </c>
      <c r="G242" s="36">
        <f t="shared" ca="1" si="35"/>
        <v>58442.529784553219</v>
      </c>
      <c r="H242" s="37">
        <f t="shared" ca="1" si="36"/>
        <v>0.18293139177065632</v>
      </c>
      <c r="I242" s="37">
        <f t="shared" ca="1" si="37"/>
        <v>9.8516931832895518E-2</v>
      </c>
      <c r="J242" s="38">
        <f t="shared" ca="1" si="38"/>
        <v>2.2331653759193888E-2</v>
      </c>
      <c r="K242" s="36">
        <f t="shared" ca="1" si="39"/>
        <v>1662.8697485126199</v>
      </c>
      <c r="L242" s="36">
        <f ca="1">Assumptions!$C$10*Assumptions!$C$13*I242*Assumptions!$C$15</f>
        <v>6832.528133887583</v>
      </c>
      <c r="M242" s="36">
        <f ca="1">G242*(1+H242*Assumptions!$C$6)*(1+J242)+L242+K242</f>
        <v>70428.99009220158</v>
      </c>
    </row>
    <row r="243" spans="1:13" x14ac:dyDescent="0.25">
      <c r="A243" s="3">
        <v>230</v>
      </c>
      <c r="B243" s="3">
        <f t="shared" ca="1" si="42"/>
        <v>0.85522277722968632</v>
      </c>
      <c r="C243" s="3">
        <f t="shared" ca="1" si="42"/>
        <v>0.5896190220183668</v>
      </c>
      <c r="D243" s="3">
        <f t="shared" ca="1" si="42"/>
        <v>0.43958528085787674</v>
      </c>
      <c r="E243" s="3">
        <f t="shared" ca="1" si="42"/>
        <v>0.74801281529371122</v>
      </c>
      <c r="F243" s="3">
        <f t="shared" ca="1" si="42"/>
        <v>0.65771336409850067</v>
      </c>
      <c r="G243" s="36">
        <f t="shared" ca="1" si="35"/>
        <v>58270.110369279704</v>
      </c>
      <c r="H243" s="37">
        <f t="shared" ca="1" si="36"/>
        <v>0.14327003412602052</v>
      </c>
      <c r="I243" s="37">
        <f t="shared" ca="1" si="37"/>
        <v>7.7505638226074841E-2</v>
      </c>
      <c r="J243" s="38">
        <f t="shared" ca="1" si="38"/>
        <v>3.5801769555151214E-2</v>
      </c>
      <c r="K243" s="36">
        <f t="shared" ca="1" si="39"/>
        <v>1758.9158523465273</v>
      </c>
      <c r="L243" s="36">
        <f ca="1">Assumptions!$C$10*Assumptions!$C$13*I243*Assumptions!$C$15</f>
        <v>5375.3141095868514</v>
      </c>
      <c r="M243" s="36">
        <f ca="1">G243*(1+H243*Assumptions!$C$6)*(1+J243)+L243+K243</f>
        <v>69219.962752031046</v>
      </c>
    </row>
    <row r="244" spans="1:13" x14ac:dyDescent="0.25">
      <c r="A244" s="3">
        <v>231</v>
      </c>
      <c r="B244" s="3">
        <f t="shared" ref="B244:F253" ca="1" si="43">RAND()</f>
        <v>5.9346024314148593E-2</v>
      </c>
      <c r="C244" s="3">
        <f t="shared" ca="1" si="43"/>
        <v>0.60757846996488052</v>
      </c>
      <c r="D244" s="3">
        <f t="shared" ca="1" si="43"/>
        <v>0.54726694066965786</v>
      </c>
      <c r="E244" s="3">
        <f t="shared" ca="1" si="43"/>
        <v>0.14861036901786717</v>
      </c>
      <c r="F244" s="3">
        <f t="shared" ca="1" si="43"/>
        <v>0.74754537753566641</v>
      </c>
      <c r="G244" s="36">
        <f t="shared" ca="1" si="35"/>
        <v>57359.397293034075</v>
      </c>
      <c r="H244" s="37">
        <f t="shared" ca="1" si="36"/>
        <v>0.1454103024383695</v>
      </c>
      <c r="I244" s="37">
        <f t="shared" ca="1" si="37"/>
        <v>8.1937606619432155E-2</v>
      </c>
      <c r="J244" s="38">
        <f t="shared" ca="1" si="38"/>
        <v>2.0903590932087178E-2</v>
      </c>
      <c r="K244" s="36">
        <f t="shared" ca="1" si="39"/>
        <v>1934.1455066053804</v>
      </c>
      <c r="L244" s="36">
        <f ca="1">Assumptions!$C$10*Assumptions!$C$13*I244*Assumptions!$C$15</f>
        <v>5682.6881636984635</v>
      </c>
      <c r="M244" s="36">
        <f ca="1">G244*(1+H244*Assumptions!$C$6)*(1+J244)+L244+K244</f>
        <v>67878.247697962404</v>
      </c>
    </row>
    <row r="245" spans="1:13" x14ac:dyDescent="0.25">
      <c r="A245" s="3">
        <v>232</v>
      </c>
      <c r="B245" s="3">
        <f t="shared" ca="1" si="43"/>
        <v>0.23387598287113165</v>
      </c>
      <c r="C245" s="3">
        <f t="shared" ca="1" si="43"/>
        <v>0.94021551539284409</v>
      </c>
      <c r="D245" s="3">
        <f t="shared" ca="1" si="43"/>
        <v>0.71450803563299392</v>
      </c>
      <c r="E245" s="3">
        <f t="shared" ca="1" si="43"/>
        <v>0.8359894113724109</v>
      </c>
      <c r="F245" s="3">
        <f t="shared" ca="1" si="43"/>
        <v>0.66061706503038709</v>
      </c>
      <c r="G245" s="36">
        <f t="shared" ca="1" si="35"/>
        <v>57614.94688738916</v>
      </c>
      <c r="H245" s="37">
        <f t="shared" ca="1" si="36"/>
        <v>0.20308000204437771</v>
      </c>
      <c r="I245" s="37">
        <f t="shared" ca="1" si="37"/>
        <v>8.977460858856548E-2</v>
      </c>
      <c r="J245" s="38">
        <f t="shared" ca="1" si="38"/>
        <v>3.8545373384432327E-2</v>
      </c>
      <c r="K245" s="36">
        <f t="shared" ca="1" si="39"/>
        <v>1764.1912739573092</v>
      </c>
      <c r="L245" s="36">
        <f ca="1">Assumptions!$C$10*Assumptions!$C$13*I245*Assumptions!$C$15</f>
        <v>6226.2143925731252</v>
      </c>
      <c r="M245" s="36">
        <f ca="1">G245*(1+H245*Assumptions!$C$6)*(1+J245)+L245+K245</f>
        <v>70256.430493492197</v>
      </c>
    </row>
    <row r="246" spans="1:13" x14ac:dyDescent="0.25">
      <c r="A246" s="3">
        <v>233</v>
      </c>
      <c r="B246" s="3">
        <f t="shared" ca="1" si="43"/>
        <v>0.52307229481542672</v>
      </c>
      <c r="C246" s="3">
        <f t="shared" ca="1" si="43"/>
        <v>0.9469360331670521</v>
      </c>
      <c r="D246" s="3">
        <f t="shared" ca="1" si="43"/>
        <v>9.9406449439190747E-2</v>
      </c>
      <c r="E246" s="3">
        <f t="shared" ca="1" si="43"/>
        <v>0.85533758110535729</v>
      </c>
      <c r="F246" s="3">
        <f t="shared" ca="1" si="43"/>
        <v>0.99954208031351677</v>
      </c>
      <c r="G246" s="36">
        <f t="shared" ca="1" si="35"/>
        <v>57879.487965764689</v>
      </c>
      <c r="H246" s="37">
        <f t="shared" ca="1" si="36"/>
        <v>0.20521698052510087</v>
      </c>
      <c r="I246" s="37">
        <f t="shared" ca="1" si="37"/>
        <v>5.7835376032072061E-2</v>
      </c>
      <c r="J246" s="38">
        <f t="shared" ca="1" si="38"/>
        <v>3.924221513899287E-2</v>
      </c>
      <c r="K246" s="36">
        <f t="shared" ca="1" si="39"/>
        <v>2954.6057427731816</v>
      </c>
      <c r="L246" s="36">
        <f ca="1">Assumptions!$C$10*Assumptions!$C$13*I246*Assumptions!$C$15</f>
        <v>4011.1057715781662</v>
      </c>
      <c r="M246" s="36">
        <f ca="1">G246*(1+H246*Assumptions!$C$6)*(1+J246)+L246+K246</f>
        <v>69585.312208424031</v>
      </c>
    </row>
    <row r="247" spans="1:13" x14ac:dyDescent="0.25">
      <c r="A247" s="3">
        <v>234</v>
      </c>
      <c r="B247" s="3">
        <f t="shared" ca="1" si="43"/>
        <v>0.63922754402057824</v>
      </c>
      <c r="C247" s="3">
        <f t="shared" ca="1" si="43"/>
        <v>0.73894252604531385</v>
      </c>
      <c r="D247" s="3">
        <f t="shared" ca="1" si="43"/>
        <v>0.3784789954108595</v>
      </c>
      <c r="E247" s="3">
        <f t="shared" ca="1" si="43"/>
        <v>0.55084608618062103</v>
      </c>
      <c r="F247" s="3">
        <f t="shared" ca="1" si="43"/>
        <v>0.3094303913662656</v>
      </c>
      <c r="G247" s="36">
        <f t="shared" ca="1" si="35"/>
        <v>57992.801391841655</v>
      </c>
      <c r="H247" s="37">
        <f t="shared" ca="1" si="36"/>
        <v>0.16285007837873816</v>
      </c>
      <c r="I247" s="37">
        <f t="shared" ca="1" si="37"/>
        <v>7.4801333096804645E-2</v>
      </c>
      <c r="J247" s="38">
        <f t="shared" ca="1" si="38"/>
        <v>3.1044179494004932E-2</v>
      </c>
      <c r="K247" s="36">
        <f t="shared" ca="1" si="39"/>
        <v>1180.0155766548996</v>
      </c>
      <c r="L247" s="36">
        <f ca="1">Assumptions!$C$10*Assumptions!$C$13*I247*Assumptions!$C$15</f>
        <v>5187.76014769839</v>
      </c>
      <c r="M247" s="36">
        <f ca="1">G247*(1+H247*Assumptions!$C$6)*(1+J247)+L247+K247</f>
        <v>68108.379569735887</v>
      </c>
    </row>
    <row r="248" spans="1:13" x14ac:dyDescent="0.25">
      <c r="A248" s="3">
        <v>235</v>
      </c>
      <c r="B248" s="3">
        <f t="shared" ca="1" si="43"/>
        <v>0.24910131592975038</v>
      </c>
      <c r="C248" s="3">
        <f t="shared" ca="1" si="43"/>
        <v>0.83866237484833694</v>
      </c>
      <c r="D248" s="3">
        <f t="shared" ca="1" si="43"/>
        <v>0.64951330833762932</v>
      </c>
      <c r="E248" s="3">
        <f t="shared" ca="1" si="43"/>
        <v>0.90592777944112957</v>
      </c>
      <c r="F248" s="3">
        <f t="shared" ca="1" si="43"/>
        <v>0.22784795497149757</v>
      </c>
      <c r="G248" s="36">
        <f t="shared" ca="1" si="35"/>
        <v>57631.444155682279</v>
      </c>
      <c r="H248" s="37">
        <f t="shared" ca="1" si="36"/>
        <v>0.17934937878753493</v>
      </c>
      <c r="I248" s="37">
        <f t="shared" ca="1" si="37"/>
        <v>8.6510338709990114E-2</v>
      </c>
      <c r="J248" s="38">
        <f t="shared" ca="1" si="38"/>
        <v>4.1324875998171764E-2</v>
      </c>
      <c r="K248" s="36">
        <f t="shared" ca="1" si="39"/>
        <v>1012.5787857602681</v>
      </c>
      <c r="L248" s="36">
        <f ca="1">Assumptions!$C$10*Assumptions!$C$13*I248*Assumptions!$C$15</f>
        <v>5999.8247216097743</v>
      </c>
      <c r="M248" s="36">
        <f ca="1">G248*(1+H248*Assumptions!$C$6)*(1+J248)+L248+K248</f>
        <v>69178.12082467704</v>
      </c>
    </row>
    <row r="249" spans="1:13" x14ac:dyDescent="0.25">
      <c r="A249" s="3">
        <v>236</v>
      </c>
      <c r="B249" s="3">
        <f t="shared" ca="1" si="43"/>
        <v>0.32796276772266852</v>
      </c>
      <c r="C249" s="3">
        <f t="shared" ca="1" si="43"/>
        <v>0.15257529951360482</v>
      </c>
      <c r="D249" s="3">
        <f t="shared" ca="1" si="43"/>
        <v>0.21911665229374411</v>
      </c>
      <c r="E249" s="3">
        <f t="shared" ca="1" si="43"/>
        <v>0.11405408120727201</v>
      </c>
      <c r="F249" s="3">
        <f t="shared" ca="1" si="43"/>
        <v>0.53881449139025861</v>
      </c>
      <c r="G249" s="36">
        <f t="shared" ca="1" si="35"/>
        <v>57709.792243631775</v>
      </c>
      <c r="H249" s="37">
        <f t="shared" ca="1" si="36"/>
        <v>9.5047213937500555E-2</v>
      </c>
      <c r="I249" s="37">
        <f t="shared" ca="1" si="37"/>
        <v>6.6479676873783436E-2</v>
      </c>
      <c r="J249" s="38">
        <f t="shared" ca="1" si="38"/>
        <v>1.9552134052965211E-2</v>
      </c>
      <c r="K249" s="36">
        <f t="shared" ca="1" si="39"/>
        <v>1559.397768728704</v>
      </c>
      <c r="L249" s="36">
        <f ca="1">Assumptions!$C$10*Assumptions!$C$13*I249*Assumptions!$C$15</f>
        <v>4610.6212822617799</v>
      </c>
      <c r="M249" s="36">
        <f ca="1">G249*(1+H249*Assumptions!$C$6)*(1+J249)+L249+K249</f>
        <v>66126.641179726008</v>
      </c>
    </row>
    <row r="250" spans="1:13" x14ac:dyDescent="0.25">
      <c r="A250" s="3">
        <v>237</v>
      </c>
      <c r="B250" s="3">
        <f t="shared" ca="1" si="43"/>
        <v>0.21917960879750142</v>
      </c>
      <c r="C250" s="3">
        <f t="shared" ca="1" si="43"/>
        <v>0.39578901542253953</v>
      </c>
      <c r="D250" s="3">
        <f t="shared" ca="1" si="43"/>
        <v>0.91090211454876902</v>
      </c>
      <c r="E250" s="3">
        <f t="shared" ca="1" si="43"/>
        <v>0.28597126703807618</v>
      </c>
      <c r="F250" s="3">
        <f t="shared" ca="1" si="43"/>
        <v>0.48425612442668631</v>
      </c>
      <c r="G250" s="36">
        <f t="shared" ca="1" si="35"/>
        <v>57598.505206205169</v>
      </c>
      <c r="H250" s="37">
        <f t="shared" ca="1" si="36"/>
        <v>0.12262874948111825</v>
      </c>
      <c r="I250" s="37">
        <f t="shared" ca="1" si="37"/>
        <v>0.10311470363174104</v>
      </c>
      <c r="J250" s="38">
        <f t="shared" ca="1" si="38"/>
        <v>2.5125376478966101E-2</v>
      </c>
      <c r="K250" s="36">
        <f t="shared" ca="1" si="39"/>
        <v>1476.1952987054553</v>
      </c>
      <c r="L250" s="36">
        <f ca="1">Assumptions!$C$10*Assumptions!$C$13*I250*Assumptions!$C$15</f>
        <v>7151.4012918752087</v>
      </c>
      <c r="M250" s="36">
        <f ca="1">G250*(1+H250*Assumptions!$C$6)*(1+J250)+L250+K250</f>
        <v>69121.425733776588</v>
      </c>
    </row>
    <row r="251" spans="1:13" x14ac:dyDescent="0.25">
      <c r="A251" s="3">
        <v>238</v>
      </c>
      <c r="B251" s="3">
        <f t="shared" ca="1" si="43"/>
        <v>0.14732044861634086</v>
      </c>
      <c r="C251" s="3">
        <f t="shared" ca="1" si="43"/>
        <v>0.80563343835625445</v>
      </c>
      <c r="D251" s="3">
        <f t="shared" ca="1" si="43"/>
        <v>0.37510173344157838</v>
      </c>
      <c r="E251" s="3">
        <f t="shared" ca="1" si="43"/>
        <v>0.67849776937886486</v>
      </c>
      <c r="F251" s="3">
        <f t="shared" ca="1" si="43"/>
        <v>0.70570544782184785</v>
      </c>
      <c r="G251" s="36">
        <f t="shared" ca="1" si="35"/>
        <v>57508.696709284399</v>
      </c>
      <c r="H251" s="37">
        <f t="shared" ca="1" si="36"/>
        <v>0.17343005478838516</v>
      </c>
      <c r="I251" s="37">
        <f t="shared" ca="1" si="37"/>
        <v>7.4645714699123344E-2</v>
      </c>
      <c r="J251" s="38">
        <f t="shared" ca="1" si="38"/>
        <v>3.396248820742731E-2</v>
      </c>
      <c r="K251" s="36">
        <f t="shared" ca="1" si="39"/>
        <v>1849.2065846548805</v>
      </c>
      <c r="L251" s="36">
        <f ca="1">Assumptions!$C$10*Assumptions!$C$13*I251*Assumptions!$C$15</f>
        <v>5176.9674132868922</v>
      </c>
      <c r="M251" s="36">
        <f ca="1">G251*(1+H251*Assumptions!$C$6)*(1+J251)+L251+K251</f>
        <v>68550.503006376835</v>
      </c>
    </row>
    <row r="252" spans="1:13" x14ac:dyDescent="0.25">
      <c r="A252" s="3">
        <v>239</v>
      </c>
      <c r="B252" s="3">
        <f t="shared" ca="1" si="43"/>
        <v>0.89763974208367403</v>
      </c>
      <c r="C252" s="3">
        <f t="shared" ca="1" si="43"/>
        <v>0.43978413249794113</v>
      </c>
      <c r="D252" s="3">
        <f t="shared" ca="1" si="43"/>
        <v>0.77688678526712374</v>
      </c>
      <c r="E252" s="3">
        <f t="shared" ca="1" si="43"/>
        <v>0.79705833543594118</v>
      </c>
      <c r="F252" s="3">
        <f t="shared" ca="1" si="43"/>
        <v>5.7997116526025239E-2</v>
      </c>
      <c r="G252" s="36">
        <f t="shared" ca="1" si="35"/>
        <v>58346.392513989107</v>
      </c>
      <c r="H252" s="37">
        <f t="shared" ca="1" si="36"/>
        <v>0.12698264832758227</v>
      </c>
      <c r="I252" s="37">
        <f t="shared" ca="1" si="37"/>
        <v>9.3279927261603418E-2</v>
      </c>
      <c r="J252" s="38">
        <f t="shared" ca="1" si="38"/>
        <v>3.7258205320629005E-2</v>
      </c>
      <c r="K252" s="36">
        <f t="shared" ca="1" si="39"/>
        <v>510.86889156329886</v>
      </c>
      <c r="L252" s="36">
        <f ca="1">Assumptions!$C$10*Assumptions!$C$13*I252*Assumptions!$C$15</f>
        <v>6469.3217245432024</v>
      </c>
      <c r="M252" s="36">
        <f ca="1">G252*(1+H252*Assumptions!$C$6)*(1+J252)+L252+K252</f>
        <v>69037.469945908902</v>
      </c>
    </row>
    <row r="253" spans="1:13" x14ac:dyDescent="0.25">
      <c r="A253" s="3">
        <v>240</v>
      </c>
      <c r="B253" s="3">
        <f t="shared" ca="1" si="43"/>
        <v>0.63496916800958791</v>
      </c>
      <c r="C253" s="3">
        <f t="shared" ca="1" si="43"/>
        <v>0.56828440262764168</v>
      </c>
      <c r="D253" s="3">
        <f t="shared" ca="1" si="43"/>
        <v>0.53942987755364291</v>
      </c>
      <c r="E253" s="3">
        <f t="shared" ca="1" si="43"/>
        <v>8.049512376086787E-2</v>
      </c>
      <c r="F253" s="3">
        <f t="shared" ca="1" si="43"/>
        <v>5.2831794832995715E-2</v>
      </c>
      <c r="G253" s="36">
        <f t="shared" ca="1" si="35"/>
        <v>57988.349220329474</v>
      </c>
      <c r="H253" s="37">
        <f t="shared" ca="1" si="36"/>
        <v>0.14078752286083282</v>
      </c>
      <c r="I253" s="37">
        <f t="shared" ca="1" si="37"/>
        <v>8.1609579426263873E-2</v>
      </c>
      <c r="J253" s="38">
        <f t="shared" ca="1" si="38"/>
        <v>1.8024718001817527E-2</v>
      </c>
      <c r="K253" s="36">
        <f t="shared" ca="1" si="39"/>
        <v>487.58904494305517</v>
      </c>
      <c r="L253" s="36">
        <f ca="1">Assumptions!$C$10*Assumptions!$C$13*I253*Assumptions!$C$15</f>
        <v>5659.9382162091924</v>
      </c>
      <c r="M253" s="36">
        <f ca="1">G253*(1+H253*Assumptions!$C$6)*(1+J253)+L253+K253</f>
        <v>66843.338221353901</v>
      </c>
    </row>
    <row r="254" spans="1:13" x14ac:dyDescent="0.25">
      <c r="A254" s="3">
        <v>241</v>
      </c>
      <c r="B254" s="3">
        <f t="shared" ref="B254:F263" ca="1" si="44">RAND()</f>
        <v>0.90905729195620399</v>
      </c>
      <c r="C254" s="3">
        <f t="shared" ca="1" si="44"/>
        <v>0.39028887424576475</v>
      </c>
      <c r="D254" s="3">
        <f t="shared" ca="1" si="44"/>
        <v>0.34708568902633075</v>
      </c>
      <c r="E254" s="3">
        <f t="shared" ca="1" si="44"/>
        <v>0.40356788979289471</v>
      </c>
      <c r="F254" s="3">
        <f t="shared" ca="1" si="44"/>
        <v>0.79573753624691579</v>
      </c>
      <c r="G254" s="36">
        <f t="shared" ca="1" si="35"/>
        <v>58369.533335685664</v>
      </c>
      <c r="H254" s="37">
        <f t="shared" ca="1" si="36"/>
        <v>0.12209574364257851</v>
      </c>
      <c r="I254" s="37">
        <f t="shared" ca="1" si="37"/>
        <v>7.3326779095560041E-2</v>
      </c>
      <c r="J254" s="38">
        <f t="shared" ca="1" si="38"/>
        <v>2.7968147145276713E-2</v>
      </c>
      <c r="K254" s="36">
        <f t="shared" ca="1" si="39"/>
        <v>2041.2606783442754</v>
      </c>
      <c r="L254" s="36">
        <f ca="1">Assumptions!$C$10*Assumptions!$C$13*I254*Assumptions!$C$15</f>
        <v>5085.4941563505326</v>
      </c>
      <c r="M254" s="36">
        <f ca="1">G254*(1+H254*Assumptions!$C$6)*(1+J254)+L254+K254</f>
        <v>68593.97414312599</v>
      </c>
    </row>
    <row r="255" spans="1:13" x14ac:dyDescent="0.25">
      <c r="A255" s="3">
        <v>242</v>
      </c>
      <c r="B255" s="3">
        <f t="shared" ca="1" si="44"/>
        <v>0.22745505038902958</v>
      </c>
      <c r="C255" s="3">
        <f t="shared" ca="1" si="44"/>
        <v>9.0302900816167986E-2</v>
      </c>
      <c r="D255" s="3">
        <f t="shared" ca="1" si="44"/>
        <v>0.22163099008922904</v>
      </c>
      <c r="E255" s="3">
        <f t="shared" ca="1" si="44"/>
        <v>0.25527575025348292</v>
      </c>
      <c r="F255" s="3">
        <f t="shared" ca="1" si="44"/>
        <v>0.46028811271560655</v>
      </c>
      <c r="G255" s="36">
        <f t="shared" ca="1" si="35"/>
        <v>57607.828904953662</v>
      </c>
      <c r="H255" s="37">
        <f t="shared" ca="1" si="36"/>
        <v>8.4655859257202593E-2</v>
      </c>
      <c r="I255" s="37">
        <f t="shared" ca="1" si="37"/>
        <v>6.6631169112255154E-2</v>
      </c>
      <c r="J255" s="38">
        <f t="shared" ca="1" si="38"/>
        <v>2.4290577322235316E-2</v>
      </c>
      <c r="K255" s="36">
        <f t="shared" ca="1" si="39"/>
        <v>1439.1999538702846</v>
      </c>
      <c r="L255" s="36">
        <f ca="1">Assumptions!$C$10*Assumptions!$C$13*I255*Assumptions!$C$15</f>
        <v>4621.1278516622497</v>
      </c>
      <c r="M255" s="36">
        <f ca="1">G255*(1+H255*Assumptions!$C$6)*(1+J255)+L255+K255</f>
        <v>66066.544437111006</v>
      </c>
    </row>
    <row r="256" spans="1:13" x14ac:dyDescent="0.25">
      <c r="A256" s="3">
        <v>243</v>
      </c>
      <c r="B256" s="3">
        <f t="shared" ca="1" si="44"/>
        <v>0.10255677083372217</v>
      </c>
      <c r="C256" s="3">
        <f t="shared" ca="1" si="44"/>
        <v>0.67708594677732215</v>
      </c>
      <c r="D256" s="3">
        <f t="shared" ca="1" si="44"/>
        <v>0.87514331317456495</v>
      </c>
      <c r="E256" s="3">
        <f t="shared" ca="1" si="44"/>
        <v>0.23391777975526917</v>
      </c>
      <c r="F256" s="3">
        <f t="shared" ca="1" si="44"/>
        <v>0.46149732070701821</v>
      </c>
      <c r="G256" s="36">
        <f t="shared" ca="1" si="35"/>
        <v>57440.997969942502</v>
      </c>
      <c r="H256" s="37">
        <f t="shared" ca="1" si="36"/>
        <v>0.15419533571257879</v>
      </c>
      <c r="I256" s="37">
        <f t="shared" ca="1" si="37"/>
        <v>0.10001146834203692</v>
      </c>
      <c r="J256" s="38">
        <f t="shared" ca="1" si="38"/>
        <v>2.3679701159170667E-2</v>
      </c>
      <c r="K256" s="36">
        <f t="shared" ca="1" si="39"/>
        <v>1441.0891517118509</v>
      </c>
      <c r="L256" s="36">
        <f ca="1">Assumptions!$C$10*Assumptions!$C$13*I256*Assumptions!$C$15</f>
        <v>6936.1799890138827</v>
      </c>
      <c r="M256" s="36">
        <f ca="1">G256*(1+H256*Assumptions!$C$6)*(1+J256)+L256+K256</f>
        <v>68991.826427095803</v>
      </c>
    </row>
    <row r="257" spans="1:13" x14ac:dyDescent="0.25">
      <c r="A257" s="3">
        <v>244</v>
      </c>
      <c r="B257" s="3">
        <f t="shared" ca="1" si="44"/>
        <v>0.3871983042096061</v>
      </c>
      <c r="C257" s="3">
        <f t="shared" ca="1" si="44"/>
        <v>0.76785325791892178</v>
      </c>
      <c r="D257" s="3">
        <f t="shared" ca="1" si="44"/>
        <v>5.3827487705679911E-2</v>
      </c>
      <c r="E257" s="3">
        <f t="shared" ca="1" si="44"/>
        <v>0.90125150562568623</v>
      </c>
      <c r="F257" s="3">
        <f t="shared" ca="1" si="44"/>
        <v>0.85242776158421374</v>
      </c>
      <c r="G257" s="36">
        <f t="shared" ca="1" si="35"/>
        <v>57762.576987316759</v>
      </c>
      <c r="H257" s="37">
        <f t="shared" ca="1" si="36"/>
        <v>0.16724736623703176</v>
      </c>
      <c r="I257" s="37">
        <f t="shared" ca="1" si="37"/>
        <v>5.3124327055440811E-2</v>
      </c>
      <c r="J257" s="38">
        <f t="shared" ca="1" si="38"/>
        <v>4.1111873341392408E-2</v>
      </c>
      <c r="K257" s="36">
        <f t="shared" ca="1" si="39"/>
        <v>2185.0919850246664</v>
      </c>
      <c r="L257" s="36">
        <f ca="1">Assumptions!$C$10*Assumptions!$C$13*I257*Assumptions!$C$15</f>
        <v>3684.3764056296482</v>
      </c>
      <c r="M257" s="36">
        <f ca="1">G257*(1+H257*Assumptions!$C$6)*(1+J257)+L257+K257</f>
        <v>68018.334292893793</v>
      </c>
    </row>
    <row r="258" spans="1:13" x14ac:dyDescent="0.25">
      <c r="A258" s="3">
        <v>245</v>
      </c>
      <c r="B258" s="3">
        <f t="shared" ca="1" si="44"/>
        <v>0.48559283306068879</v>
      </c>
      <c r="C258" s="3">
        <f t="shared" ca="1" si="44"/>
        <v>0.64254300768558037</v>
      </c>
      <c r="D258" s="3">
        <f t="shared" ca="1" si="44"/>
        <v>9.5839479883665368E-2</v>
      </c>
      <c r="E258" s="3">
        <f t="shared" ca="1" si="44"/>
        <v>0.20302546318550407</v>
      </c>
      <c r="F258" s="3">
        <f t="shared" ca="1" si="44"/>
        <v>0.39154817351951554</v>
      </c>
      <c r="G258" s="36">
        <f t="shared" ca="1" si="35"/>
        <v>57845.953123493789</v>
      </c>
      <c r="H258" s="37">
        <f t="shared" ca="1" si="36"/>
        <v>0.14972254198988116</v>
      </c>
      <c r="I258" s="37">
        <f t="shared" ca="1" si="37"/>
        <v>5.7512462294826767E-2</v>
      </c>
      <c r="J258" s="38">
        <f t="shared" ca="1" si="38"/>
        <v>2.2744425077201529E-2</v>
      </c>
      <c r="K258" s="36">
        <f t="shared" ca="1" si="39"/>
        <v>1327.390967589361</v>
      </c>
      <c r="L258" s="36">
        <f ca="1">Assumptions!$C$10*Assumptions!$C$13*I258*Assumptions!$C$15</f>
        <v>3988.7104619242928</v>
      </c>
      <c r="M258" s="36">
        <f ca="1">G258*(1+H258*Assumptions!$C$6)*(1+J258)+L258+K258</f>
        <v>66249.293308545006</v>
      </c>
    </row>
    <row r="259" spans="1:13" x14ac:dyDescent="0.25">
      <c r="A259" s="3">
        <v>246</v>
      </c>
      <c r="B259" s="3">
        <f t="shared" ca="1" si="44"/>
        <v>6.3269643752295046E-3</v>
      </c>
      <c r="C259" s="3">
        <f t="shared" ca="1" si="44"/>
        <v>5.792465592370255E-2</v>
      </c>
      <c r="D259" s="3">
        <f t="shared" ca="1" si="44"/>
        <v>0.47650336096466583</v>
      </c>
      <c r="E259" s="3">
        <f t="shared" ca="1" si="44"/>
        <v>0.40341640423333625</v>
      </c>
      <c r="F259" s="3">
        <f t="shared" ca="1" si="44"/>
        <v>0.10462182127849806</v>
      </c>
      <c r="G259" s="36">
        <f t="shared" ca="1" si="35"/>
        <v>57184.696861805765</v>
      </c>
      <c r="H259" s="37">
        <f t="shared" ca="1" si="36"/>
        <v>7.7756043013823925E-2</v>
      </c>
      <c r="I259" s="37">
        <f t="shared" ca="1" si="37"/>
        <v>7.9048825271535769E-2</v>
      </c>
      <c r="J259" s="38">
        <f t="shared" ca="1" si="38"/>
        <v>2.7964774515330519E-2</v>
      </c>
      <c r="K259" s="36">
        <f t="shared" ca="1" si="39"/>
        <v>686.14735717135954</v>
      </c>
      <c r="L259" s="36">
        <f ca="1">Assumptions!$C$10*Assumptions!$C$13*I259*Assumptions!$C$15</f>
        <v>5482.3400665243571</v>
      </c>
      <c r="M259" s="36">
        <f ca="1">G259*(1+H259*Assumptions!$C$6)*(1+J259)+L259+K259</f>
        <v>65866.501415235398</v>
      </c>
    </row>
    <row r="260" spans="1:13" x14ac:dyDescent="0.25">
      <c r="A260" s="3">
        <v>247</v>
      </c>
      <c r="B260" s="3">
        <f t="shared" ca="1" si="44"/>
        <v>0.1072145460618078</v>
      </c>
      <c r="C260" s="3">
        <f t="shared" ca="1" si="44"/>
        <v>0.34158332032486416</v>
      </c>
      <c r="D260" s="3">
        <f t="shared" ca="1" si="44"/>
        <v>0.78226948771819849</v>
      </c>
      <c r="E260" s="3">
        <f t="shared" ca="1" si="44"/>
        <v>0.91249656136527824</v>
      </c>
      <c r="F260" s="3">
        <f t="shared" ca="1" si="44"/>
        <v>6.0055048279533896E-2</v>
      </c>
      <c r="G260" s="36">
        <f t="shared" ca="1" si="35"/>
        <v>57448.655467565637</v>
      </c>
      <c r="H260" s="37">
        <f t="shared" ca="1" si="36"/>
        <v>0.11740221183552282</v>
      </c>
      <c r="I260" s="37">
        <f t="shared" ca="1" si="37"/>
        <v>9.3604211712817423E-2</v>
      </c>
      <c r="J260" s="38">
        <f t="shared" ca="1" si="38"/>
        <v>4.1633235338090512E-2</v>
      </c>
      <c r="K260" s="36">
        <f t="shared" ca="1" si="39"/>
        <v>519.85355366478211</v>
      </c>
      <c r="L260" s="36">
        <f ca="1">Assumptions!$C$10*Assumptions!$C$13*I260*Assumptions!$C$15</f>
        <v>6491.8120984827838</v>
      </c>
      <c r="M260" s="36">
        <f ca="1">G260*(1+H260*Assumptions!$C$6)*(1+J260)+L260+K260</f>
        <v>68257.17425373313</v>
      </c>
    </row>
    <row r="261" spans="1:13" x14ac:dyDescent="0.25">
      <c r="A261" s="3">
        <v>248</v>
      </c>
      <c r="B261" s="3">
        <f t="shared" ca="1" si="44"/>
        <v>0.37290701418103844</v>
      </c>
      <c r="C261" s="3">
        <f t="shared" ca="1" si="44"/>
        <v>0.62766769771028852</v>
      </c>
      <c r="D261" s="3">
        <f t="shared" ca="1" si="44"/>
        <v>0.69905891175959145</v>
      </c>
      <c r="E261" s="3">
        <f t="shared" ca="1" si="44"/>
        <v>0.84361835156003295</v>
      </c>
      <c r="F261" s="3">
        <f t="shared" ca="1" si="44"/>
        <v>0.95294672557855753</v>
      </c>
      <c r="G261" s="36">
        <f t="shared" ca="1" si="35"/>
        <v>57750.234338643619</v>
      </c>
      <c r="H261" s="37">
        <f t="shared" ca="1" si="36"/>
        <v>0.14786327283756262</v>
      </c>
      <c r="I261" s="37">
        <f t="shared" ca="1" si="37"/>
        <v>8.8967573695095836E-2</v>
      </c>
      <c r="J261" s="38">
        <f t="shared" ca="1" si="38"/>
        <v>3.881495110641113E-2</v>
      </c>
      <c r="K261" s="36">
        <f t="shared" ca="1" si="39"/>
        <v>2539.848139309976</v>
      </c>
      <c r="L261" s="36">
        <f ca="1">Assumptions!$C$10*Assumptions!$C$13*I261*Assumptions!$C$15</f>
        <v>6170.2434187306453</v>
      </c>
      <c r="M261" s="36">
        <f ca="1">G261*(1+H261*Assumptions!$C$6)*(1+J261)+L261+K261</f>
        <v>70476.015400100267</v>
      </c>
    </row>
    <row r="262" spans="1:13" x14ac:dyDescent="0.25">
      <c r="A262" s="3">
        <v>249</v>
      </c>
      <c r="B262" s="3">
        <f t="shared" ca="1" si="44"/>
        <v>4.6294718720240713E-2</v>
      </c>
      <c r="C262" s="3">
        <f t="shared" ca="1" si="44"/>
        <v>0.80968651314245066</v>
      </c>
      <c r="D262" s="3">
        <f t="shared" ca="1" si="44"/>
        <v>0.36531007456318532</v>
      </c>
      <c r="E262" s="3">
        <f t="shared" ca="1" si="44"/>
        <v>0.1001595075002899</v>
      </c>
      <c r="F262" s="3">
        <f t="shared" ca="1" si="44"/>
        <v>0.85836515399313806</v>
      </c>
      <c r="G262" s="36">
        <f t="shared" ca="1" si="35"/>
        <v>57329.105412567435</v>
      </c>
      <c r="H262" s="37">
        <f t="shared" ca="1" si="36"/>
        <v>0.17412779417423366</v>
      </c>
      <c r="I262" s="37">
        <f t="shared" ca="1" si="37"/>
        <v>7.4190528492583924E-2</v>
      </c>
      <c r="J262" s="38">
        <f t="shared" ca="1" si="38"/>
        <v>1.8951402459963015E-2</v>
      </c>
      <c r="K262" s="36">
        <f t="shared" ca="1" si="39"/>
        <v>2201.6537048179662</v>
      </c>
      <c r="L262" s="36">
        <f ca="1">Assumptions!$C$10*Assumptions!$C$13*I262*Assumptions!$C$15</f>
        <v>5145.3984991472043</v>
      </c>
      <c r="M262" s="36">
        <f ca="1">G262*(1+H262*Assumptions!$C$6)*(1+J262)+L262+K262</f>
        <v>67796.97951803678</v>
      </c>
    </row>
    <row r="263" spans="1:13" x14ac:dyDescent="0.25">
      <c r="A263" s="3">
        <v>250</v>
      </c>
      <c r="B263" s="3">
        <f t="shared" ca="1" si="44"/>
        <v>0.77125274595192528</v>
      </c>
      <c r="C263" s="3">
        <f t="shared" ca="1" si="44"/>
        <v>0.68648440626780827</v>
      </c>
      <c r="D263" s="3">
        <f t="shared" ca="1" si="44"/>
        <v>0.60034683314986637</v>
      </c>
      <c r="E263" s="3">
        <f t="shared" ca="1" si="44"/>
        <v>0.42153999243896956</v>
      </c>
      <c r="F263" s="3">
        <f t="shared" ca="1" si="44"/>
        <v>0.57286269510712462</v>
      </c>
      <c r="G263" s="36">
        <f t="shared" ca="1" si="35"/>
        <v>58146.942547528874</v>
      </c>
      <c r="H263" s="37">
        <f t="shared" ca="1" si="36"/>
        <v>0.15545323461483596</v>
      </c>
      <c r="I263" s="37">
        <f t="shared" ca="1" si="37"/>
        <v>8.423842657375899E-2</v>
      </c>
      <c r="J263" s="38">
        <f t="shared" ca="1" si="38"/>
        <v>2.8363877421480888E-2</v>
      </c>
      <c r="K263" s="36">
        <f t="shared" ca="1" si="39"/>
        <v>1613.5953433366076</v>
      </c>
      <c r="L263" s="36">
        <f ca="1">Assumptions!$C$10*Assumptions!$C$13*I263*Assumptions!$C$15</f>
        <v>5842.2588768385458</v>
      </c>
      <c r="M263" s="36">
        <f ca="1">G263*(1+H263*Assumptions!$C$6)*(1+J263)+L263+K263</f>
        <v>69111.172535727717</v>
      </c>
    </row>
    <row r="264" spans="1:13" x14ac:dyDescent="0.25">
      <c r="A264" s="3">
        <v>251</v>
      </c>
      <c r="B264" s="3">
        <f t="shared" ref="B264:F273" ca="1" si="45">RAND()</f>
        <v>0.24566040812201528</v>
      </c>
      <c r="C264" s="3">
        <f t="shared" ca="1" si="45"/>
        <v>0.65847266917140668</v>
      </c>
      <c r="D264" s="3">
        <f t="shared" ca="1" si="45"/>
        <v>0.22313672252159467</v>
      </c>
      <c r="E264" s="3">
        <f t="shared" ca="1" si="45"/>
        <v>0.56266488657546532</v>
      </c>
      <c r="F264" s="3">
        <f t="shared" ca="1" si="45"/>
        <v>0.53804495678887043</v>
      </c>
      <c r="G264" s="36">
        <f t="shared" ca="1" si="35"/>
        <v>57627.760896823071</v>
      </c>
      <c r="H264" s="37">
        <f t="shared" ca="1" si="36"/>
        <v>0.15175702213268225</v>
      </c>
      <c r="I264" s="37">
        <f t="shared" ca="1" si="37"/>
        <v>6.672148034950727E-2</v>
      </c>
      <c r="J264" s="38">
        <f t="shared" ca="1" si="38"/>
        <v>3.1295238821636137E-2</v>
      </c>
      <c r="K264" s="36">
        <f t="shared" ca="1" si="39"/>
        <v>1558.1963745190251</v>
      </c>
      <c r="L264" s="36">
        <f ca="1">Assumptions!$C$10*Assumptions!$C$13*I264*Assumptions!$C$15</f>
        <v>4627.3912833165959</v>
      </c>
      <c r="M264" s="36">
        <f ca="1">G264*(1+H264*Assumptions!$C$6)*(1+J264)+L264+K264</f>
        <v>67420.644556993313</v>
      </c>
    </row>
    <row r="265" spans="1:13" x14ac:dyDescent="0.25">
      <c r="A265" s="3">
        <v>252</v>
      </c>
      <c r="B265" s="3">
        <f t="shared" ca="1" si="45"/>
        <v>0.49681542698406611</v>
      </c>
      <c r="C265" s="3">
        <f t="shared" ca="1" si="45"/>
        <v>0.60733288845986944</v>
      </c>
      <c r="D265" s="3">
        <f t="shared" ca="1" si="45"/>
        <v>0.21552063723894421</v>
      </c>
      <c r="E265" s="3">
        <f t="shared" ca="1" si="45"/>
        <v>0.47268192627417593</v>
      </c>
      <c r="F265" s="3">
        <f t="shared" ca="1" si="45"/>
        <v>0.85826222295146504</v>
      </c>
      <c r="G265" s="36">
        <f t="shared" ca="1" si="35"/>
        <v>57855.862550480604</v>
      </c>
      <c r="H265" s="37">
        <f t="shared" ca="1" si="36"/>
        <v>0.14538070945565604</v>
      </c>
      <c r="I265" s="37">
        <f t="shared" ca="1" si="37"/>
        <v>6.6261493467901278E-2</v>
      </c>
      <c r="J265" s="38">
        <f t="shared" ca="1" si="38"/>
        <v>2.9445964646150645E-2</v>
      </c>
      <c r="K265" s="36">
        <f t="shared" ca="1" si="39"/>
        <v>2201.3636642886781</v>
      </c>
      <c r="L265" s="36">
        <f ca="1">Assumptions!$C$10*Assumptions!$C$13*I265*Assumptions!$C$15</f>
        <v>4595.4894238969064</v>
      </c>
      <c r="M265" s="36">
        <f ca="1">G265*(1+H265*Assumptions!$C$6)*(1+J265)+L265+K265</f>
        <v>68088.097336442268</v>
      </c>
    </row>
    <row r="266" spans="1:13" x14ac:dyDescent="0.25">
      <c r="A266" s="3">
        <v>253</v>
      </c>
      <c r="B266" s="3">
        <f t="shared" ca="1" si="45"/>
        <v>0.24148140285832775</v>
      </c>
      <c r="C266" s="3">
        <f t="shared" ca="1" si="45"/>
        <v>0.22770582714795506</v>
      </c>
      <c r="D266" s="3">
        <f t="shared" ca="1" si="45"/>
        <v>0.82278944683291988</v>
      </c>
      <c r="E266" s="3">
        <f t="shared" ca="1" si="45"/>
        <v>0.98301613806802723</v>
      </c>
      <c r="F266" s="3">
        <f t="shared" ca="1" si="45"/>
        <v>0.84696436926299845</v>
      </c>
      <c r="G266" s="36">
        <f t="shared" ca="1" si="35"/>
        <v>57623.252689948138</v>
      </c>
      <c r="H266" s="37">
        <f t="shared" ca="1" si="36"/>
        <v>0.10503169542243634</v>
      </c>
      <c r="I266" s="37">
        <f t="shared" ca="1" si="37"/>
        <v>9.618668922357379E-2</v>
      </c>
      <c r="J266" s="38">
        <f t="shared" ca="1" si="38"/>
        <v>4.6313933051940294E-2</v>
      </c>
      <c r="K266" s="36">
        <f t="shared" ca="1" si="39"/>
        <v>2170.1443870669386</v>
      </c>
      <c r="L266" s="36">
        <f ca="1">Assumptions!$C$10*Assumptions!$C$13*I266*Assumptions!$C$15</f>
        <v>6670.9168464595477</v>
      </c>
      <c r="M266" s="36">
        <f ca="1">G266*(1+H266*Assumptions!$C$6)*(1+J266)+L266+K266</f>
        <v>70399.587842253459</v>
      </c>
    </row>
    <row r="267" spans="1:13" x14ac:dyDescent="0.25">
      <c r="A267" s="3">
        <v>254</v>
      </c>
      <c r="B267" s="3">
        <f t="shared" ca="1" si="45"/>
        <v>0.30217272079209223</v>
      </c>
      <c r="C267" s="3">
        <f t="shared" ca="1" si="45"/>
        <v>0.12456141817949717</v>
      </c>
      <c r="D267" s="3">
        <f t="shared" ca="1" si="45"/>
        <v>0.22236120861163644</v>
      </c>
      <c r="E267" s="3">
        <f t="shared" ca="1" si="45"/>
        <v>0.43803234138686109</v>
      </c>
      <c r="F267" s="3">
        <f t="shared" ca="1" si="45"/>
        <v>0.54308653963975284</v>
      </c>
      <c r="G267" s="36">
        <f t="shared" ca="1" si="35"/>
        <v>57685.325240271464</v>
      </c>
      <c r="H267" s="37">
        <f t="shared" ca="1" si="36"/>
        <v>9.0702172691237412E-2</v>
      </c>
      <c r="I267" s="37">
        <f t="shared" ca="1" si="37"/>
        <v>6.6675004546527E-2</v>
      </c>
      <c r="J267" s="38">
        <f t="shared" ca="1" si="38"/>
        <v>2.871966541125906E-2</v>
      </c>
      <c r="K267" s="36">
        <f t="shared" ca="1" si="39"/>
        <v>1566.0855773020789</v>
      </c>
      <c r="L267" s="36">
        <f ca="1">Assumptions!$C$10*Assumptions!$C$13*I267*Assumptions!$C$15</f>
        <v>4624.1680076268258</v>
      </c>
      <c r="M267" s="36">
        <f ca="1">G267*(1+H267*Assumptions!$C$6)*(1+J267)+L267+K267</f>
        <v>66608.772248254536</v>
      </c>
    </row>
    <row r="268" spans="1:13" x14ac:dyDescent="0.25">
      <c r="A268" s="3">
        <v>255</v>
      </c>
      <c r="B268" s="3">
        <f t="shared" ca="1" si="45"/>
        <v>0.69309441474490574</v>
      </c>
      <c r="C268" s="3">
        <f t="shared" ca="1" si="45"/>
        <v>0.96475427127912472</v>
      </c>
      <c r="D268" s="3">
        <f t="shared" ca="1" si="45"/>
        <v>0.5176705624749639</v>
      </c>
      <c r="E268" s="3">
        <f t="shared" ca="1" si="45"/>
        <v>0.99577095201674182</v>
      </c>
      <c r="F268" s="3">
        <f t="shared" ca="1" si="45"/>
        <v>0.51706321137744116</v>
      </c>
      <c r="G268" s="36">
        <f t="shared" ca="1" si="35"/>
        <v>58051.567630073107</v>
      </c>
      <c r="H268" s="37">
        <f t="shared" ca="1" si="36"/>
        <v>0.21165211445564314</v>
      </c>
      <c r="I268" s="37">
        <f t="shared" ca="1" si="37"/>
        <v>8.0713180326219908E-2</v>
      </c>
      <c r="J268" s="38">
        <f t="shared" ca="1" si="38"/>
        <v>4.8160641854720368E-2</v>
      </c>
      <c r="K268" s="36">
        <f t="shared" ca="1" si="39"/>
        <v>1525.8169893797058</v>
      </c>
      <c r="L268" s="36">
        <f ca="1">Assumptions!$C$10*Assumptions!$C$13*I268*Assumptions!$C$15</f>
        <v>5597.7694909322972</v>
      </c>
      <c r="M268" s="36">
        <f ca="1">G268*(1+H268*Assumptions!$C$6)*(1+J268)+L268+K268</f>
        <v>70546.649703790434</v>
      </c>
    </row>
    <row r="269" spans="1:13" x14ac:dyDescent="0.25">
      <c r="A269" s="3">
        <v>256</v>
      </c>
      <c r="B269" s="3">
        <f t="shared" ca="1" si="45"/>
        <v>3.2326943273318198E-2</v>
      </c>
      <c r="C269" s="3">
        <f t="shared" ca="1" si="45"/>
        <v>0.6834997231316513</v>
      </c>
      <c r="D269" s="3">
        <f t="shared" ca="1" si="45"/>
        <v>0.95348616048121193</v>
      </c>
      <c r="E269" s="3">
        <f t="shared" ca="1" si="45"/>
        <v>0.49229250796445401</v>
      </c>
      <c r="F269" s="3">
        <f t="shared" ca="1" si="45"/>
        <v>0.45876031417009577</v>
      </c>
      <c r="G269" s="36">
        <f t="shared" ca="1" si="35"/>
        <v>57291.448489917755</v>
      </c>
      <c r="H269" s="37">
        <f t="shared" ca="1" si="36"/>
        <v>0.15505174332219435</v>
      </c>
      <c r="I269" s="37">
        <f t="shared" ca="1" si="37"/>
        <v>0.10779982432666964</v>
      </c>
      <c r="J269" s="38">
        <f t="shared" ca="1" si="38"/>
        <v>2.9845251481691107E-2</v>
      </c>
      <c r="K269" s="36">
        <f t="shared" ca="1" si="39"/>
        <v>1436.8094563182103</v>
      </c>
      <c r="L269" s="36">
        <f ca="1">Assumptions!$C$10*Assumptions!$C$13*I269*Assumptions!$C$15</f>
        <v>7476.332431763487</v>
      </c>
      <c r="M269" s="36">
        <f ca="1">G269*(1+H269*Assumptions!$C$6)*(1+J269)+L269+K269</f>
        <v>69744.119762370799</v>
      </c>
    </row>
    <row r="270" spans="1:13" x14ac:dyDescent="0.25">
      <c r="A270" s="3">
        <v>257</v>
      </c>
      <c r="B270" s="3">
        <f t="shared" ca="1" si="45"/>
        <v>0.45550858410323136</v>
      </c>
      <c r="C270" s="3">
        <f t="shared" ca="1" si="45"/>
        <v>0.85170463437726662</v>
      </c>
      <c r="D270" s="3">
        <f t="shared" ca="1" si="45"/>
        <v>0.19031100199833162</v>
      </c>
      <c r="E270" s="3">
        <f t="shared" ca="1" si="45"/>
        <v>0.17250594199915825</v>
      </c>
      <c r="F270" s="3">
        <f t="shared" ca="1" si="45"/>
        <v>0.51195643575363892</v>
      </c>
      <c r="G270" s="36">
        <f t="shared" ref="G270:G333" ca="1" si="46">IF(B270&lt;($F$5-$E$5)/($G$5-$E$5),$E$5+SQRT(B270*($G$5-$E$5)*($F$5-$E$5)),$G$5-SQRT((1-B270)*($G$5-$E$5)*($G$5-$F$5)))</f>
        <v>57819.910106188458</v>
      </c>
      <c r="H270" s="37">
        <f t="shared" ref="H270:H333" ca="1" si="47">IF(C270&lt;($F$6-$E$6)/($G$6-$E$6),$E$6+SQRT(C270*($G$6-$E$6)*($F$6-$E$6)),$G$6-SQRT((1-C270)*($G$6-$E$6)*($G$6-$F$6)))</f>
        <v>0.18185247781548794</v>
      </c>
      <c r="I270" s="37">
        <f t="shared" ref="I270:I333" ca="1" si="48">IF(D270&lt;($F$7-$E$7)/($G$7-$E$7),$E$7+SQRT(D270*($G$7-$E$7)*($F$7-$E$7)),$G$7-SQRT((1-D270)*($G$7-$E$7)*($G$7-$F$7)))</f>
        <v>6.4677828234969564E-2</v>
      </c>
      <c r="J270" s="38">
        <f t="shared" ref="J270:J333" ca="1" si="49">IF(E270&lt;($F$8-$E$8)/($G$8-$E$8),$E$8+SQRT(E270*($G$8-$E$8)*($F$8-$E$8)),$G$8-SQRT((1-E270)*($G$8-$E$8)*($G$8-$F$8)))</f>
        <v>2.1747542449351974E-2</v>
      </c>
      <c r="K270" s="36">
        <f t="shared" ref="K270:K333" ca="1" si="50">IF(F270&lt;($F$9-$E$9)/($G$9-$E$9),$E$9+SQRT(F270*($G$9-$E$9)*($F$9-$E$9)),$G$9-SQRT((1-F270)*($G$9-$E$9)*($G$9-$F$9)))</f>
        <v>1518.0431723195763</v>
      </c>
      <c r="L270" s="36">
        <f ca="1">Assumptions!$C$10*Assumptions!$C$13*I270*Assumptions!$C$15</f>
        <v>4485.6561489729656</v>
      </c>
      <c r="M270" s="36">
        <f ca="1">G270*(1+H270*Assumptions!$C$6)*(1+J270)+L270+K270</f>
        <v>67229.722911381803</v>
      </c>
    </row>
    <row r="271" spans="1:13" x14ac:dyDescent="0.25">
      <c r="A271" s="3">
        <v>258</v>
      </c>
      <c r="B271" s="3">
        <f t="shared" ca="1" si="45"/>
        <v>0.33845797148566126</v>
      </c>
      <c r="C271" s="3">
        <f t="shared" ca="1" si="45"/>
        <v>0.88393380074141681</v>
      </c>
      <c r="D271" s="3">
        <f t="shared" ca="1" si="45"/>
        <v>4.1561464942484472E-2</v>
      </c>
      <c r="E271" s="3">
        <f t="shared" ca="1" si="45"/>
        <v>9.0640618040883969E-2</v>
      </c>
      <c r="F271" s="3">
        <f t="shared" ca="1" si="45"/>
        <v>0.81287475350255467</v>
      </c>
      <c r="G271" s="36">
        <f t="shared" ca="1" si="46"/>
        <v>57719.472452205926</v>
      </c>
      <c r="H271" s="37">
        <f t="shared" ca="1" si="47"/>
        <v>0.18855770861347934</v>
      </c>
      <c r="I271" s="37">
        <f t="shared" ca="1" si="48"/>
        <v>5.1532418992386218E-2</v>
      </c>
      <c r="J271" s="38">
        <f t="shared" ca="1" si="49"/>
        <v>1.8515426849706782E-2</v>
      </c>
      <c r="K271" s="36">
        <f t="shared" ca="1" si="50"/>
        <v>2082.359760451568</v>
      </c>
      <c r="L271" s="36">
        <f ca="1">Assumptions!$C$10*Assumptions!$C$13*I271*Assumptions!$C$15</f>
        <v>3573.9714587334929</v>
      </c>
      <c r="M271" s="36">
        <f ca="1">G271*(1+H271*Assumptions!$C$6)*(1+J271)+L271+K271</f>
        <v>66661.496984882324</v>
      </c>
    </row>
    <row r="272" spans="1:13" x14ac:dyDescent="0.25">
      <c r="A272" s="3">
        <v>259</v>
      </c>
      <c r="B272" s="3">
        <f t="shared" ca="1" si="45"/>
        <v>0.83374876062482095</v>
      </c>
      <c r="C272" s="3">
        <f t="shared" ca="1" si="45"/>
        <v>0.33295483230745715</v>
      </c>
      <c r="D272" s="3">
        <f t="shared" ca="1" si="45"/>
        <v>0.57151820791588437</v>
      </c>
      <c r="E272" s="3">
        <f t="shared" ca="1" si="45"/>
        <v>0.81688213443340207</v>
      </c>
      <c r="F272" s="3">
        <f t="shared" ca="1" si="45"/>
        <v>0.92874515513364186</v>
      </c>
      <c r="G272" s="36">
        <f t="shared" ca="1" si="46"/>
        <v>58235.793478494648</v>
      </c>
      <c r="H272" s="37">
        <f t="shared" ca="1" si="47"/>
        <v>0.11654546768705724</v>
      </c>
      <c r="I272" s="37">
        <f t="shared" ca="1" si="48"/>
        <v>8.2971068950492638E-2</v>
      </c>
      <c r="J272" s="38">
        <f t="shared" ca="1" si="49"/>
        <v>3.7896517341968125E-2</v>
      </c>
      <c r="K272" s="36">
        <f t="shared" ca="1" si="50"/>
        <v>2433.7431661351789</v>
      </c>
      <c r="L272" s="36">
        <f ca="1">Assumptions!$C$10*Assumptions!$C$13*I272*Assumptions!$C$15</f>
        <v>5754.3627512126268</v>
      </c>
      <c r="M272" s="36">
        <f ca="1">G272*(1+H272*Assumptions!$C$6)*(1+J272)+L272+K272</f>
        <v>70039.698336123096</v>
      </c>
    </row>
    <row r="273" spans="1:13" x14ac:dyDescent="0.25">
      <c r="A273" s="3">
        <v>260</v>
      </c>
      <c r="B273" s="3">
        <f t="shared" ca="1" si="45"/>
        <v>0.21440450897936436</v>
      </c>
      <c r="C273" s="3">
        <f t="shared" ca="1" si="45"/>
        <v>0.90212828001200829</v>
      </c>
      <c r="D273" s="3">
        <f t="shared" ca="1" si="45"/>
        <v>0.68075722330165278</v>
      </c>
      <c r="E273" s="3">
        <f t="shared" ca="1" si="45"/>
        <v>0.38357785774670561</v>
      </c>
      <c r="F273" s="3">
        <f t="shared" ca="1" si="45"/>
        <v>0.65091409743142947</v>
      </c>
      <c r="G273" s="36">
        <f t="shared" ca="1" si="46"/>
        <v>57593.04502591386</v>
      </c>
      <c r="H273" s="37">
        <f t="shared" ca="1" si="47"/>
        <v>0.19276150705487938</v>
      </c>
      <c r="I273" s="37">
        <f t="shared" ca="1" si="48"/>
        <v>8.803788358955697E-2</v>
      </c>
      <c r="J273" s="38">
        <f t="shared" ca="1" si="49"/>
        <v>2.7517485156190784E-2</v>
      </c>
      <c r="K273" s="36">
        <f t="shared" ca="1" si="50"/>
        <v>1746.6498647390797</v>
      </c>
      <c r="L273" s="36">
        <f ca="1">Assumptions!$C$10*Assumptions!$C$13*I273*Assumptions!$C$15</f>
        <v>6105.7658341803499</v>
      </c>
      <c r="M273" s="36">
        <f ca="1">G273*(1+H273*Assumptions!$C$6)*(1+J273)+L273+K273</f>
        <v>69311.719212370721</v>
      </c>
    </row>
    <row r="274" spans="1:13" x14ac:dyDescent="0.25">
      <c r="A274" s="3">
        <v>261</v>
      </c>
      <c r="B274" s="3">
        <f t="shared" ref="B274:F283" ca="1" si="51">RAND()</f>
        <v>0.97972624560699584</v>
      </c>
      <c r="C274" s="3">
        <f t="shared" ca="1" si="51"/>
        <v>6.0705606821538138E-2</v>
      </c>
      <c r="D274" s="3">
        <f t="shared" ca="1" si="51"/>
        <v>0.77299097805889205</v>
      </c>
      <c r="E274" s="3">
        <f t="shared" ca="1" si="51"/>
        <v>0.67077304046063735</v>
      </c>
      <c r="F274" s="3">
        <f t="shared" ca="1" si="51"/>
        <v>0.72931563481651096</v>
      </c>
      <c r="G274" s="36">
        <f t="shared" ca="1" si="46"/>
        <v>58570.046143792308</v>
      </c>
      <c r="H274" s="37">
        <f t="shared" ca="1" si="47"/>
        <v>7.8414513381834597E-2</v>
      </c>
      <c r="I274" s="37">
        <f t="shared" ca="1" si="48"/>
        <v>9.3047655571146595E-2</v>
      </c>
      <c r="J274" s="38">
        <f t="shared" ca="1" si="49"/>
        <v>3.3770965289596236E-2</v>
      </c>
      <c r="K274" s="36">
        <f t="shared" ca="1" si="50"/>
        <v>1896.3335452566746</v>
      </c>
      <c r="L274" s="36">
        <f ca="1">Assumptions!$C$10*Assumptions!$C$13*I274*Assumptions!$C$15</f>
        <v>6453.2127894573659</v>
      </c>
      <c r="M274" s="36">
        <f ca="1">G274*(1+H274*Assumptions!$C$6)*(1+J274)+L274+K274</f>
        <v>69847.128071146682</v>
      </c>
    </row>
    <row r="275" spans="1:13" x14ac:dyDescent="0.25">
      <c r="A275" s="3">
        <v>262</v>
      </c>
      <c r="B275" s="3">
        <f t="shared" ca="1" si="51"/>
        <v>0.34132512526853898</v>
      </c>
      <c r="C275" s="3">
        <f t="shared" ca="1" si="51"/>
        <v>0.48125438037919199</v>
      </c>
      <c r="D275" s="3">
        <f t="shared" ca="1" si="51"/>
        <v>9.8977922319770095E-2</v>
      </c>
      <c r="E275" s="3">
        <f t="shared" ca="1" si="51"/>
        <v>0.48261907384407843</v>
      </c>
      <c r="F275" s="3">
        <f t="shared" ca="1" si="51"/>
        <v>0.62556197785255918</v>
      </c>
      <c r="G275" s="36">
        <f t="shared" ca="1" si="46"/>
        <v>57722.090764224333</v>
      </c>
      <c r="H275" s="37">
        <f t="shared" ca="1" si="47"/>
        <v>0.13124614890793787</v>
      </c>
      <c r="I275" s="37">
        <f t="shared" ca="1" si="48"/>
        <v>5.7796891622507125E-2</v>
      </c>
      <c r="J275" s="38">
        <f t="shared" ca="1" si="49"/>
        <v>2.964930683447288E-2</v>
      </c>
      <c r="K275" s="36">
        <f t="shared" ca="1" si="50"/>
        <v>1701.9356334667052</v>
      </c>
      <c r="L275" s="36">
        <f ca="1">Assumptions!$C$10*Assumptions!$C$13*I275*Assumptions!$C$15</f>
        <v>4008.4367297578783</v>
      </c>
      <c r="M275" s="36">
        <f ca="1">G275*(1+H275*Assumptions!$C$6)*(1+J275)+L275+K275</f>
        <v>66703.96698790144</v>
      </c>
    </row>
    <row r="276" spans="1:13" x14ac:dyDescent="0.25">
      <c r="A276" s="3">
        <v>263</v>
      </c>
      <c r="B276" s="3">
        <f t="shared" ca="1" si="51"/>
        <v>0.71364222793388987</v>
      </c>
      <c r="C276" s="3">
        <f t="shared" ca="1" si="51"/>
        <v>0.57079986494384571</v>
      </c>
      <c r="D276" s="3">
        <f t="shared" ca="1" si="51"/>
        <v>0.83788079824929662</v>
      </c>
      <c r="E276" s="3">
        <f t="shared" ca="1" si="51"/>
        <v>0.6853128174598464</v>
      </c>
      <c r="F276" s="3">
        <f t="shared" ca="1" si="51"/>
        <v>0.9568760027554587</v>
      </c>
      <c r="G276" s="36">
        <f t="shared" ca="1" si="46"/>
        <v>58075.332884848918</v>
      </c>
      <c r="H276" s="37">
        <f t="shared" ca="1" si="47"/>
        <v>0.14107698407711014</v>
      </c>
      <c r="I276" s="37">
        <f t="shared" ca="1" si="48"/>
        <v>9.7223225741948208E-2</v>
      </c>
      <c r="J276" s="38">
        <f t="shared" ca="1" si="49"/>
        <v>3.4133376350586657E-2</v>
      </c>
      <c r="K276" s="36">
        <f t="shared" ca="1" si="50"/>
        <v>2559.479866974918</v>
      </c>
      <c r="L276" s="36">
        <f ca="1">Assumptions!$C$10*Assumptions!$C$13*I276*Assumptions!$C$15</f>
        <v>6742.8046406877302</v>
      </c>
      <c r="M276" s="36">
        <f ca="1">G276*(1+H276*Assumptions!$C$6)*(1+J276)+L276+K276</f>
        <v>71054.474733179479</v>
      </c>
    </row>
    <row r="277" spans="1:13" x14ac:dyDescent="0.25">
      <c r="A277" s="3">
        <v>264</v>
      </c>
      <c r="B277" s="3">
        <f t="shared" ca="1" si="51"/>
        <v>0.82472774225703072</v>
      </c>
      <c r="C277" s="3">
        <f t="shared" ca="1" si="51"/>
        <v>0.4221171622590989</v>
      </c>
      <c r="D277" s="3">
        <f t="shared" ca="1" si="51"/>
        <v>0.23863944084239497</v>
      </c>
      <c r="E277" s="3">
        <f t="shared" ca="1" si="51"/>
        <v>0.72698810014037685</v>
      </c>
      <c r="F277" s="3">
        <f t="shared" ca="1" si="51"/>
        <v>0.31538049024562287</v>
      </c>
      <c r="G277" s="36">
        <f t="shared" ca="1" si="46"/>
        <v>58222.042973908203</v>
      </c>
      <c r="H277" s="37">
        <f t="shared" ca="1" si="47"/>
        <v>0.12521442294219823</v>
      </c>
      <c r="I277" s="37">
        <f t="shared" ca="1" si="48"/>
        <v>6.7634149357193252E-2</v>
      </c>
      <c r="J277" s="38">
        <f t="shared" ca="1" si="49"/>
        <v>3.5221315353263047E-2</v>
      </c>
      <c r="K277" s="36">
        <f t="shared" ca="1" si="50"/>
        <v>1191.3069319471381</v>
      </c>
      <c r="L277" s="36">
        <f ca="1">Assumptions!$C$10*Assumptions!$C$13*I277*Assumptions!$C$15</f>
        <v>4690.688389265033</v>
      </c>
      <c r="M277" s="36">
        <f ca="1">G277*(1+H277*Assumptions!$C$6)*(1+J277)+L277+K277</f>
        <v>67664.097498895499</v>
      </c>
    </row>
    <row r="278" spans="1:13" x14ac:dyDescent="0.25">
      <c r="A278" s="3">
        <v>265</v>
      </c>
      <c r="B278" s="3">
        <f t="shared" ca="1" si="51"/>
        <v>0.40203367373712395</v>
      </c>
      <c r="C278" s="3">
        <f t="shared" ca="1" si="51"/>
        <v>6.5531460451376811E-2</v>
      </c>
      <c r="D278" s="3">
        <f t="shared" ca="1" si="51"/>
        <v>0.9422690567404215</v>
      </c>
      <c r="E278" s="3">
        <f t="shared" ca="1" si="51"/>
        <v>0.75257792293640657</v>
      </c>
      <c r="F278" s="3">
        <f t="shared" ca="1" si="51"/>
        <v>0.56891597117750259</v>
      </c>
      <c r="G278" s="36">
        <f t="shared" ca="1" si="46"/>
        <v>57775.150882692353</v>
      </c>
      <c r="H278" s="37">
        <f t="shared" ca="1" si="47"/>
        <v>7.9522337712371494E-2</v>
      </c>
      <c r="I278" s="37">
        <f t="shared" ca="1" si="48"/>
        <v>0.10640812675049346</v>
      </c>
      <c r="J278" s="38">
        <f t="shared" ca="1" si="49"/>
        <v>3.5930967991689169E-2</v>
      </c>
      <c r="K278" s="36">
        <f t="shared" ca="1" si="50"/>
        <v>1607.2049218563277</v>
      </c>
      <c r="L278" s="36">
        <f ca="1">Assumptions!$C$10*Assumptions!$C$13*I278*Assumptions!$C$15</f>
        <v>7379.8128521726849</v>
      </c>
      <c r="M278" s="36">
        <f ca="1">G278*(1+H278*Assumptions!$C$6)*(1+J278)+L278+K278</f>
        <v>69789.985121869133</v>
      </c>
    </row>
    <row r="279" spans="1:13" x14ac:dyDescent="0.25">
      <c r="A279" s="3">
        <v>266</v>
      </c>
      <c r="B279" s="3">
        <f t="shared" ca="1" si="51"/>
        <v>0.81130069001455329</v>
      </c>
      <c r="C279" s="3">
        <f t="shared" ca="1" si="51"/>
        <v>0.20844089795125165</v>
      </c>
      <c r="D279" s="3">
        <f t="shared" ca="1" si="51"/>
        <v>0.96816435020007241</v>
      </c>
      <c r="E279" s="3">
        <f t="shared" ca="1" si="51"/>
        <v>6.5002836970915912E-2</v>
      </c>
      <c r="F279" s="3">
        <f t="shared" ca="1" si="51"/>
        <v>0.572823007733398</v>
      </c>
      <c r="G279" s="36">
        <f t="shared" ca="1" si="46"/>
        <v>58202.216004230075</v>
      </c>
      <c r="H279" s="37">
        <f t="shared" ca="1" si="47"/>
        <v>0.10265229285369866</v>
      </c>
      <c r="I279" s="37">
        <f t="shared" ca="1" si="48"/>
        <v>0.10990673098744672</v>
      </c>
      <c r="J279" s="38">
        <f t="shared" ca="1" si="49"/>
        <v>1.7211259916043293E-2</v>
      </c>
      <c r="K279" s="36">
        <f t="shared" ca="1" si="50"/>
        <v>1613.5309360827018</v>
      </c>
      <c r="L279" s="36">
        <f ca="1">Assumptions!$C$10*Assumptions!$C$13*I279*Assumptions!$C$15</f>
        <v>7622.4545121755336</v>
      </c>
      <c r="M279" s="36">
        <f ca="1">G279*(1+H279*Assumptions!$C$6)*(1+J279)+L279+K279</f>
        <v>69655.419151677022</v>
      </c>
    </row>
    <row r="280" spans="1:13" x14ac:dyDescent="0.25">
      <c r="A280" s="3">
        <v>267</v>
      </c>
      <c r="B280" s="3">
        <f t="shared" ca="1" si="51"/>
        <v>0.10648670699354423</v>
      </c>
      <c r="C280" s="3">
        <f t="shared" ca="1" si="51"/>
        <v>0.10991025584918124</v>
      </c>
      <c r="D280" s="3">
        <f t="shared" ca="1" si="51"/>
        <v>0.91133867518939493</v>
      </c>
      <c r="E280" s="3">
        <f t="shared" ca="1" si="51"/>
        <v>0.97647573219369699</v>
      </c>
      <c r="F280" s="3">
        <f t="shared" ca="1" si="51"/>
        <v>0.57838837506240581</v>
      </c>
      <c r="G280" s="36">
        <f t="shared" ca="1" si="46"/>
        <v>57447.470007071257</v>
      </c>
      <c r="H280" s="37">
        <f t="shared" ca="1" si="47"/>
        <v>8.8233576902954164E-2</v>
      </c>
      <c r="I280" s="37">
        <f t="shared" ca="1" si="48"/>
        <v>0.10315612160475099</v>
      </c>
      <c r="J280" s="38">
        <f t="shared" ca="1" si="49"/>
        <v>4.5661865119081428E-2</v>
      </c>
      <c r="K280" s="36">
        <f t="shared" ca="1" si="50"/>
        <v>1622.5921765071994</v>
      </c>
      <c r="L280" s="36">
        <f ca="1">Assumptions!$C$10*Assumptions!$C$13*I280*Assumptions!$C$15</f>
        <v>7154.2737876033443</v>
      </c>
      <c r="M280" s="36">
        <f ca="1">G280*(1+H280*Assumptions!$C$6)*(1+J280)+L280+K280</f>
        <v>69907.543884313942</v>
      </c>
    </row>
    <row r="281" spans="1:13" x14ac:dyDescent="0.25">
      <c r="A281" s="3">
        <v>268</v>
      </c>
      <c r="B281" s="3">
        <f t="shared" ca="1" si="51"/>
        <v>3.0930671891094108E-2</v>
      </c>
      <c r="C281" s="3">
        <f t="shared" ca="1" si="51"/>
        <v>0.24357361428529078</v>
      </c>
      <c r="D281" s="3">
        <f t="shared" ca="1" si="51"/>
        <v>0.10765315747815496</v>
      </c>
      <c r="E281" s="3">
        <f t="shared" ca="1" si="51"/>
        <v>0.18133362969918232</v>
      </c>
      <c r="F281" s="3">
        <f t="shared" ca="1" si="51"/>
        <v>0.36768304449049871</v>
      </c>
      <c r="G281" s="36">
        <f t="shared" ca="1" si="46"/>
        <v>57287.268314471243</v>
      </c>
      <c r="H281" s="37">
        <f t="shared" ca="1" si="47"/>
        <v>0.1069168610342697</v>
      </c>
      <c r="I281" s="37">
        <f t="shared" ca="1" si="48"/>
        <v>5.8560444604860512E-2</v>
      </c>
      <c r="J281" s="38">
        <f t="shared" ca="1" si="49"/>
        <v>2.2044372285816551E-2</v>
      </c>
      <c r="K281" s="36">
        <f t="shared" ca="1" si="50"/>
        <v>1286.3023362364092</v>
      </c>
      <c r="L281" s="36">
        <f ca="1">Assumptions!$C$10*Assumptions!$C$13*I281*Assumptions!$C$15</f>
        <v>4061.3920658263255</v>
      </c>
      <c r="M281" s="36">
        <f ca="1">G281*(1+H281*Assumptions!$C$6)*(1+J281)+L281+K281</f>
        <v>65149.823812989132</v>
      </c>
    </row>
    <row r="282" spans="1:13" x14ac:dyDescent="0.25">
      <c r="A282" s="3">
        <v>269</v>
      </c>
      <c r="B282" s="3">
        <f t="shared" ca="1" si="51"/>
        <v>0.94986843404882348</v>
      </c>
      <c r="C282" s="3">
        <f t="shared" ca="1" si="51"/>
        <v>7.5132023827654271E-3</v>
      </c>
      <c r="D282" s="3">
        <f t="shared" ca="1" si="51"/>
        <v>0.33559310542360765</v>
      </c>
      <c r="E282" s="3">
        <f t="shared" ca="1" si="51"/>
        <v>0.70198953313683266</v>
      </c>
      <c r="F282" s="3">
        <f t="shared" ca="1" si="51"/>
        <v>5.5780961183390487E-2</v>
      </c>
      <c r="G282" s="36">
        <f t="shared" ca="1" si="46"/>
        <v>58467.365812164018</v>
      </c>
      <c r="H282" s="37">
        <f t="shared" ca="1" si="47"/>
        <v>5.999627889220685E-2</v>
      </c>
      <c r="I282" s="37">
        <f t="shared" ca="1" si="48"/>
        <v>7.2770382014183843E-2</v>
      </c>
      <c r="J282" s="38">
        <f t="shared" ca="1" si="49"/>
        <v>3.4559521591267524E-2</v>
      </c>
      <c r="K282" s="36">
        <f t="shared" ca="1" si="50"/>
        <v>501.01329855130308</v>
      </c>
      <c r="L282" s="36">
        <f ca="1">Assumptions!$C$10*Assumptions!$C$13*I282*Assumptions!$C$15</f>
        <v>5046.9058787683189</v>
      </c>
      <c r="M282" s="36">
        <f ca="1">G282*(1+H282*Assumptions!$C$6)*(1+J282)+L282+K282</f>
        <v>66761.699804242351</v>
      </c>
    </row>
    <row r="283" spans="1:13" x14ac:dyDescent="0.25">
      <c r="A283" s="3">
        <v>270</v>
      </c>
      <c r="B283" s="3">
        <f t="shared" ca="1" si="51"/>
        <v>0.6499022438823262</v>
      </c>
      <c r="C283" s="3">
        <f t="shared" ca="1" si="51"/>
        <v>0.25072801900102393</v>
      </c>
      <c r="D283" s="3">
        <f t="shared" ca="1" si="51"/>
        <v>0.70690624089359255</v>
      </c>
      <c r="E283" s="3">
        <f t="shared" ca="1" si="51"/>
        <v>0.94633133948940185</v>
      </c>
      <c r="F283" s="3">
        <f t="shared" ca="1" si="51"/>
        <v>0.41003515454365413</v>
      </c>
      <c r="G283" s="36">
        <f t="shared" ca="1" si="46"/>
        <v>58004.078772340188</v>
      </c>
      <c r="H283" s="37">
        <f t="shared" ca="1" si="47"/>
        <v>0.10774671118525814</v>
      </c>
      <c r="I283" s="37">
        <f t="shared" ca="1" si="48"/>
        <v>8.9374846463397051E-2</v>
      </c>
      <c r="J283" s="38">
        <f t="shared" ca="1" si="49"/>
        <v>4.3447525016569809E-2</v>
      </c>
      <c r="K283" s="36">
        <f t="shared" ca="1" si="50"/>
        <v>1358.3660020209736</v>
      </c>
      <c r="L283" s="36">
        <f ca="1">Assumptions!$C$10*Assumptions!$C$13*I283*Assumptions!$C$15</f>
        <v>6198.4893516460597</v>
      </c>
      <c r="M283" s="36">
        <f ca="1">G283*(1+H283*Assumptions!$C$6)*(1+J283)+L283+K283</f>
        <v>69385.324756940026</v>
      </c>
    </row>
    <row r="284" spans="1:13" x14ac:dyDescent="0.25">
      <c r="A284" s="3">
        <v>271</v>
      </c>
      <c r="B284" s="3">
        <f t="shared" ref="B284:F293" ca="1" si="52">RAND()</f>
        <v>0.16377809410856559</v>
      </c>
      <c r="C284" s="3">
        <f t="shared" ca="1" si="52"/>
        <v>0.5541659917509193</v>
      </c>
      <c r="D284" s="3">
        <f t="shared" ca="1" si="52"/>
        <v>5.0790835375561394E-2</v>
      </c>
      <c r="E284" s="3">
        <f t="shared" ca="1" si="52"/>
        <v>0.96902679770165634</v>
      </c>
      <c r="F284" s="3">
        <f t="shared" ca="1" si="52"/>
        <v>0.81415967236750197</v>
      </c>
      <c r="G284" s="36">
        <f t="shared" ca="1" si="46"/>
        <v>57530.920873004427</v>
      </c>
      <c r="H284" s="37">
        <f t="shared" ca="1" si="47"/>
        <v>0.13917829902209028</v>
      </c>
      <c r="I284" s="37">
        <f t="shared" ca="1" si="48"/>
        <v>5.2748751829171214E-2</v>
      </c>
      <c r="J284" s="38">
        <f t="shared" ca="1" si="49"/>
        <v>4.5022193069365293E-2</v>
      </c>
      <c r="K284" s="36">
        <f t="shared" ca="1" si="50"/>
        <v>2085.5157331335649</v>
      </c>
      <c r="L284" s="36">
        <f ca="1">Assumptions!$C$10*Assumptions!$C$13*I284*Assumptions!$C$15</f>
        <v>3658.3288191677507</v>
      </c>
      <c r="M284" s="36">
        <f ca="1">G284*(1+H284*Assumptions!$C$6)*(1+J284)+L284+K284</f>
        <v>67538.443835567421</v>
      </c>
    </row>
    <row r="285" spans="1:13" x14ac:dyDescent="0.25">
      <c r="A285" s="3">
        <v>272</v>
      </c>
      <c r="B285" s="3">
        <f t="shared" ca="1" si="52"/>
        <v>0.52442407255203594</v>
      </c>
      <c r="C285" s="3">
        <f t="shared" ca="1" si="52"/>
        <v>0.88433818596531577</v>
      </c>
      <c r="D285" s="3">
        <f t="shared" ca="1" si="52"/>
        <v>0.4081770757103399</v>
      </c>
      <c r="E285" s="3">
        <f t="shared" ca="1" si="52"/>
        <v>0.71757178936191912</v>
      </c>
      <c r="F285" s="3">
        <f t="shared" ca="1" si="52"/>
        <v>3.0615909279131381E-2</v>
      </c>
      <c r="G285" s="36">
        <f t="shared" ca="1" si="46"/>
        <v>57880.721660056108</v>
      </c>
      <c r="H285" s="37">
        <f t="shared" ca="1" si="47"/>
        <v>0.18864740162376589</v>
      </c>
      <c r="I285" s="37">
        <f t="shared" ca="1" si="48"/>
        <v>7.6140927523696555E-2</v>
      </c>
      <c r="J285" s="38">
        <f t="shared" ca="1" si="49"/>
        <v>3.4968613885923074E-2</v>
      </c>
      <c r="K285" s="36">
        <f t="shared" ca="1" si="50"/>
        <v>371.17595794459965</v>
      </c>
      <c r="L285" s="36">
        <f ca="1">Assumptions!$C$10*Assumptions!$C$13*I285*Assumptions!$C$15</f>
        <v>5280.6661734896006</v>
      </c>
      <c r="M285" s="36">
        <f ca="1">G285*(1+H285*Assumptions!$C$6)*(1+J285)+L285+K285</f>
        <v>67816.746740636314</v>
      </c>
    </row>
    <row r="286" spans="1:13" x14ac:dyDescent="0.25">
      <c r="A286" s="3">
        <v>273</v>
      </c>
      <c r="B286" s="3">
        <f t="shared" ca="1" si="52"/>
        <v>0.41195011728417608</v>
      </c>
      <c r="C286" s="3">
        <f t="shared" ca="1" si="52"/>
        <v>0.62739555470936526</v>
      </c>
      <c r="D286" s="3">
        <f t="shared" ca="1" si="52"/>
        <v>0.11789170222199818</v>
      </c>
      <c r="E286" s="3">
        <f t="shared" ca="1" si="52"/>
        <v>0.39311536415706416</v>
      </c>
      <c r="F286" s="3">
        <f t="shared" ca="1" si="52"/>
        <v>0.9976499343674019</v>
      </c>
      <c r="G286" s="36">
        <f t="shared" ca="1" si="46"/>
        <v>57783.426697232877</v>
      </c>
      <c r="H286" s="37">
        <f t="shared" ca="1" si="47"/>
        <v>0.14782960696282957</v>
      </c>
      <c r="I286" s="37">
        <f t="shared" ca="1" si="48"/>
        <v>5.9423013337543538E-2</v>
      </c>
      <c r="J286" s="38">
        <f t="shared" ca="1" si="49"/>
        <v>2.7733930509778459E-2</v>
      </c>
      <c r="K286" s="36">
        <f t="shared" ca="1" si="50"/>
        <v>2897.1637449792561</v>
      </c>
      <c r="L286" s="36">
        <f ca="1">Assumptions!$C$10*Assumptions!$C$13*I286*Assumptions!$C$15</f>
        <v>4121.214525009942</v>
      </c>
      <c r="M286" s="36">
        <f ca="1">G286*(1+H286*Assumptions!$C$6)*(1+J286)+L286+K286</f>
        <v>68160.167967920745</v>
      </c>
    </row>
    <row r="287" spans="1:13" x14ac:dyDescent="0.25">
      <c r="A287" s="3">
        <v>274</v>
      </c>
      <c r="B287" s="3">
        <f t="shared" ca="1" si="52"/>
        <v>0.18129350262895416</v>
      </c>
      <c r="C287" s="3">
        <f t="shared" ca="1" si="52"/>
        <v>0.79592660922283054</v>
      </c>
      <c r="D287" s="3">
        <f t="shared" ca="1" si="52"/>
        <v>0.3266244654442626</v>
      </c>
      <c r="E287" s="3">
        <f t="shared" ca="1" si="52"/>
        <v>8.6388602569897888E-3</v>
      </c>
      <c r="F287" s="3">
        <f t="shared" ca="1" si="52"/>
        <v>0.89580545026234804</v>
      </c>
      <c r="G287" s="36">
        <f t="shared" ca="1" si="46"/>
        <v>57553.378315367656</v>
      </c>
      <c r="H287" s="37">
        <f t="shared" ca="1" si="47"/>
        <v>0.17178802663960333</v>
      </c>
      <c r="I287" s="37">
        <f t="shared" ca="1" si="48"/>
        <v>7.2329526588269744E-2</v>
      </c>
      <c r="J287" s="38">
        <f t="shared" ca="1" si="49"/>
        <v>1.2628894863928916E-2</v>
      </c>
      <c r="K287" s="36">
        <f t="shared" ca="1" si="50"/>
        <v>2315.2551761280456</v>
      </c>
      <c r="L287" s="36">
        <f ca="1">Assumptions!$C$10*Assumptions!$C$13*I287*Assumptions!$C$15</f>
        <v>5016.3308593833844</v>
      </c>
      <c r="M287" s="36">
        <f ca="1">G287*(1+H287*Assumptions!$C$6)*(1+J287)+L287+K287</f>
        <v>67614.168501575332</v>
      </c>
    </row>
    <row r="288" spans="1:13" x14ac:dyDescent="0.25">
      <c r="A288" s="3">
        <v>275</v>
      </c>
      <c r="B288" s="3">
        <f t="shared" ca="1" si="52"/>
        <v>0.60260468934651801</v>
      </c>
      <c r="C288" s="3">
        <f t="shared" ca="1" si="52"/>
        <v>0.73567944925138262</v>
      </c>
      <c r="D288" s="3">
        <f t="shared" ca="1" si="52"/>
        <v>8.9561994830763103E-2</v>
      </c>
      <c r="E288" s="3">
        <f t="shared" ca="1" si="52"/>
        <v>0.70603446143195048</v>
      </c>
      <c r="F288" s="3">
        <f t="shared" ca="1" si="52"/>
        <v>0.29361754116196148</v>
      </c>
      <c r="G288" s="36">
        <f t="shared" ca="1" si="46"/>
        <v>57955.327241796149</v>
      </c>
      <c r="H288" s="37">
        <f t="shared" ca="1" si="47"/>
        <v>0.16236940965657626</v>
      </c>
      <c r="I288" s="37">
        <f t="shared" ca="1" si="48"/>
        <v>5.6929216858982043E-2</v>
      </c>
      <c r="J288" s="38">
        <f t="shared" ca="1" si="49"/>
        <v>3.4664667240178984E-2</v>
      </c>
      <c r="K288" s="36">
        <f t="shared" ca="1" si="50"/>
        <v>1149.4689796722776</v>
      </c>
      <c r="L288" s="36">
        <f ca="1">Assumptions!$C$10*Assumptions!$C$13*I288*Assumptions!$C$15</f>
        <v>3948.2601476967848</v>
      </c>
      <c r="M288" s="36">
        <f ca="1">G288*(1+H288*Assumptions!$C$6)*(1+J288)+L288+K288</f>
        <v>67009.333055025927</v>
      </c>
    </row>
    <row r="289" spans="1:13" x14ac:dyDescent="0.25">
      <c r="A289" s="3">
        <v>276</v>
      </c>
      <c r="B289" s="3">
        <f t="shared" ca="1" si="52"/>
        <v>7.0238269025752254E-2</v>
      </c>
      <c r="C289" s="3">
        <f t="shared" ca="1" si="52"/>
        <v>0.26933959818513886</v>
      </c>
      <c r="D289" s="3">
        <f t="shared" ca="1" si="52"/>
        <v>0.53202821117434262</v>
      </c>
      <c r="E289" s="3">
        <f t="shared" ca="1" si="52"/>
        <v>0.29084453835388346</v>
      </c>
      <c r="F289" s="3">
        <f t="shared" ca="1" si="52"/>
        <v>0.97014303279238867</v>
      </c>
      <c r="G289" s="36">
        <f t="shared" ca="1" si="46"/>
        <v>57382.199684989471</v>
      </c>
      <c r="H289" s="37">
        <f t="shared" ca="1" si="47"/>
        <v>0.10985162199859205</v>
      </c>
      <c r="I289" s="37">
        <f t="shared" ca="1" si="48"/>
        <v>8.13023292142524E-2</v>
      </c>
      <c r="J289" s="38">
        <f t="shared" ca="1" si="49"/>
        <v>2.5253708751746467E-2</v>
      </c>
      <c r="K289" s="36">
        <f t="shared" ca="1" si="50"/>
        <v>2633.4534784856755</v>
      </c>
      <c r="L289" s="36">
        <f ca="1">Assumptions!$C$10*Assumptions!$C$13*I289*Assumptions!$C$15</f>
        <v>5638.6292322746121</v>
      </c>
      <c r="M289" s="36">
        <f ca="1">G289*(1+H289*Assumptions!$C$6)*(1+J289)+L289+K289</f>
        <v>68395.938786553234</v>
      </c>
    </row>
    <row r="290" spans="1:13" x14ac:dyDescent="0.25">
      <c r="A290" s="3">
        <v>277</v>
      </c>
      <c r="B290" s="3">
        <f t="shared" ca="1" si="52"/>
        <v>0.84413522764225346</v>
      </c>
      <c r="C290" s="3">
        <f t="shared" ca="1" si="52"/>
        <v>0.22142266935808752</v>
      </c>
      <c r="D290" s="3">
        <f t="shared" ca="1" si="52"/>
        <v>0.76546993175320188</v>
      </c>
      <c r="E290" s="3">
        <f t="shared" ca="1" si="52"/>
        <v>0.97882545529111009</v>
      </c>
      <c r="F290" s="3">
        <f t="shared" ca="1" si="52"/>
        <v>0.23037103370670653</v>
      </c>
      <c r="G290" s="36">
        <f t="shared" ca="1" si="46"/>
        <v>58252.095956794692</v>
      </c>
      <c r="H290" s="37">
        <f t="shared" ca="1" si="47"/>
        <v>0.10426713095845923</v>
      </c>
      <c r="I290" s="37">
        <f t="shared" ca="1" si="48"/>
        <v>9.2604813955920032E-2</v>
      </c>
      <c r="J290" s="38">
        <f t="shared" ca="1" si="49"/>
        <v>4.5884221122665617E-2</v>
      </c>
      <c r="K290" s="36">
        <f t="shared" ca="1" si="50"/>
        <v>1018.169755826689</v>
      </c>
      <c r="L290" s="36">
        <f ca="1">Assumptions!$C$10*Assumptions!$C$13*I290*Assumptions!$C$15</f>
        <v>6422.500020204423</v>
      </c>
      <c r="M290" s="36">
        <f ca="1">G290*(1+H290*Assumptions!$C$6)*(1+J290)+L290+K290</f>
        <v>69636.11169109476</v>
      </c>
    </row>
    <row r="291" spans="1:13" x14ac:dyDescent="0.25">
      <c r="A291" s="3">
        <v>278</v>
      </c>
      <c r="B291" s="3">
        <f t="shared" ca="1" si="52"/>
        <v>0.76488020910839138</v>
      </c>
      <c r="C291" s="3">
        <f t="shared" ca="1" si="52"/>
        <v>8.3581122889978765E-2</v>
      </c>
      <c r="D291" s="3">
        <f t="shared" ca="1" si="52"/>
        <v>0.84226714272502978</v>
      </c>
      <c r="E291" s="3">
        <f t="shared" ca="1" si="52"/>
        <v>3.7803521596991962E-2</v>
      </c>
      <c r="F291" s="3">
        <f t="shared" ca="1" si="52"/>
        <v>0.2810444185826837</v>
      </c>
      <c r="G291" s="36">
        <f t="shared" ca="1" si="46"/>
        <v>58138.608397423857</v>
      </c>
      <c r="H291" s="37">
        <f t="shared" ca="1" si="47"/>
        <v>8.3341099778452388E-2</v>
      </c>
      <c r="I291" s="37">
        <f t="shared" ca="1" si="48"/>
        <v>9.7533466148960482E-2</v>
      </c>
      <c r="J291" s="38">
        <f t="shared" ca="1" si="49"/>
        <v>1.5499346986469719E-2</v>
      </c>
      <c r="K291" s="36">
        <f t="shared" ca="1" si="50"/>
        <v>1124.5887620023937</v>
      </c>
      <c r="L291" s="36">
        <f ca="1">Assumptions!$C$10*Assumptions!$C$13*I291*Assumptions!$C$15</f>
        <v>6764.321006146366</v>
      </c>
      <c r="M291" s="36">
        <f ca="1">G291*(1+H291*Assumptions!$C$6)*(1+J291)+L291+K291</f>
        <v>67912.71565055348</v>
      </c>
    </row>
    <row r="292" spans="1:13" x14ac:dyDescent="0.25">
      <c r="A292" s="3">
        <v>279</v>
      </c>
      <c r="B292" s="3">
        <f t="shared" ca="1" si="52"/>
        <v>0.40653798413795383</v>
      </c>
      <c r="C292" s="3">
        <f t="shared" ca="1" si="52"/>
        <v>0.12115527631708856</v>
      </c>
      <c r="D292" s="3">
        <f t="shared" ca="1" si="52"/>
        <v>0.91202454210343364</v>
      </c>
      <c r="E292" s="3">
        <f t="shared" ca="1" si="52"/>
        <v>0.72321466450606531</v>
      </c>
      <c r="F292" s="3">
        <f t="shared" ca="1" si="52"/>
        <v>0.62699159104192004</v>
      </c>
      <c r="G292" s="36">
        <f t="shared" ca="1" si="46"/>
        <v>57778.922480418223</v>
      </c>
      <c r="H292" s="37">
        <f t="shared" ca="1" si="47"/>
        <v>9.0141813300065043E-2</v>
      </c>
      <c r="I292" s="37">
        <f t="shared" ca="1" si="48"/>
        <v>0.10322139859019791</v>
      </c>
      <c r="J292" s="38">
        <f t="shared" ca="1" si="49"/>
        <v>3.5119533999395457E-2</v>
      </c>
      <c r="K292" s="36">
        <f t="shared" ca="1" si="50"/>
        <v>1704.4160234429573</v>
      </c>
      <c r="L292" s="36">
        <f ca="1">Assumptions!$C$10*Assumptions!$C$13*I292*Assumptions!$C$15</f>
        <v>7158.8009976094181</v>
      </c>
      <c r="M292" s="36">
        <f ca="1">G292*(1+H292*Assumptions!$C$6)*(1+J292)+L292+K292</f>
        <v>69749.550294162545</v>
      </c>
    </row>
    <row r="293" spans="1:13" x14ac:dyDescent="0.25">
      <c r="A293" s="3">
        <v>280</v>
      </c>
      <c r="B293" s="3">
        <f t="shared" ca="1" si="52"/>
        <v>0.68195214090790546</v>
      </c>
      <c r="C293" s="3">
        <f t="shared" ca="1" si="52"/>
        <v>0.30083618988639438</v>
      </c>
      <c r="D293" s="3">
        <f t="shared" ca="1" si="52"/>
        <v>0.55521443545786553</v>
      </c>
      <c r="E293" s="3">
        <f t="shared" ca="1" si="52"/>
        <v>0.9371853545998392</v>
      </c>
      <c r="F293" s="3">
        <f t="shared" ca="1" si="52"/>
        <v>0.12659465448558804</v>
      </c>
      <c r="G293" s="36">
        <f t="shared" ca="1" si="46"/>
        <v>58039.013034426993</v>
      </c>
      <c r="H293" s="37">
        <f t="shared" ca="1" si="47"/>
        <v>0.11325441743853977</v>
      </c>
      <c r="I293" s="37">
        <f t="shared" ca="1" si="48"/>
        <v>8.2273168612579856E-2</v>
      </c>
      <c r="J293" s="38">
        <f t="shared" ca="1" si="49"/>
        <v>4.2911155501766975E-2</v>
      </c>
      <c r="K293" s="36">
        <f t="shared" ca="1" si="50"/>
        <v>754.76880247208555</v>
      </c>
      <c r="L293" s="36">
        <f ca="1">Assumptions!$C$10*Assumptions!$C$13*I293*Assumptions!$C$15</f>
        <v>5705.9606785463066</v>
      </c>
      <c r="M293" s="36">
        <f ca="1">G293*(1+H293*Assumptions!$C$6)*(1+J293)+L293+K293</f>
        <v>68361.311054484453</v>
      </c>
    </row>
    <row r="294" spans="1:13" x14ac:dyDescent="0.25">
      <c r="A294" s="3">
        <v>281</v>
      </c>
      <c r="B294" s="3">
        <f t="shared" ref="B294:F303" ca="1" si="53">RAND()</f>
        <v>0.17478397271288482</v>
      </c>
      <c r="C294" s="3">
        <f t="shared" ca="1" si="53"/>
        <v>0.86708259566738743</v>
      </c>
      <c r="D294" s="3">
        <f t="shared" ca="1" si="53"/>
        <v>0.36187017496279272</v>
      </c>
      <c r="E294" s="3">
        <f t="shared" ca="1" si="53"/>
        <v>0.68819990527504715</v>
      </c>
      <c r="F294" s="3">
        <f t="shared" ca="1" si="53"/>
        <v>7.2087459665916009E-2</v>
      </c>
      <c r="G294" s="36">
        <f t="shared" ca="1" si="46"/>
        <v>57545.164401432565</v>
      </c>
      <c r="H294" s="37">
        <f t="shared" ca="1" si="47"/>
        <v>0.1849498699476235</v>
      </c>
      <c r="I294" s="37">
        <f t="shared" ca="1" si="48"/>
        <v>7.4029172189181106E-2</v>
      </c>
      <c r="J294" s="38">
        <f t="shared" ca="1" si="49"/>
        <v>3.4206327983019202E-2</v>
      </c>
      <c r="K294" s="36">
        <f t="shared" ca="1" si="50"/>
        <v>569.55558859221287</v>
      </c>
      <c r="L294" s="36">
        <f ca="1">Assumptions!$C$10*Assumptions!$C$13*I294*Assumptions!$C$15</f>
        <v>5134.2078189050526</v>
      </c>
      <c r="M294" s="36">
        <f ca="1">G294*(1+H294*Assumptions!$C$6)*(1+J294)+L294+K294</f>
        <v>67418.742099819006</v>
      </c>
    </row>
    <row r="295" spans="1:13" x14ac:dyDescent="0.25">
      <c r="A295" s="3">
        <v>282</v>
      </c>
      <c r="B295" s="3">
        <f t="shared" ca="1" si="53"/>
        <v>0.54574170082769102</v>
      </c>
      <c r="C295" s="3">
        <f t="shared" ca="1" si="53"/>
        <v>0.22180909097117762</v>
      </c>
      <c r="D295" s="3">
        <f t="shared" ca="1" si="53"/>
        <v>0.63407846261945677</v>
      </c>
      <c r="E295" s="3">
        <f t="shared" ca="1" si="53"/>
        <v>0.46951406265671447</v>
      </c>
      <c r="F295" s="3">
        <f t="shared" ca="1" si="53"/>
        <v>0.76676808368478366</v>
      </c>
      <c r="G295" s="36">
        <f t="shared" ca="1" si="46"/>
        <v>57900.414127540418</v>
      </c>
      <c r="H295" s="37">
        <f t="shared" ca="1" si="47"/>
        <v>0.10431446317433932</v>
      </c>
      <c r="I295" s="37">
        <f t="shared" ca="1" si="48"/>
        <v>8.5780869099029738E-2</v>
      </c>
      <c r="J295" s="38">
        <f t="shared" ca="1" si="49"/>
        <v>2.9380692715312615E-2</v>
      </c>
      <c r="K295" s="36">
        <f t="shared" ca="1" si="50"/>
        <v>1975.5276365765285</v>
      </c>
      <c r="L295" s="36">
        <f ca="1">Assumptions!$C$10*Assumptions!$C$13*I295*Assumptions!$C$15</f>
        <v>5949.2331984373232</v>
      </c>
      <c r="M295" s="36">
        <f ca="1">G295*(1+H295*Assumptions!$C$6)*(1+J295)+L295+K295</f>
        <v>68769.790360588726</v>
      </c>
    </row>
    <row r="296" spans="1:13" x14ac:dyDescent="0.25">
      <c r="A296" s="3">
        <v>283</v>
      </c>
      <c r="B296" s="3">
        <f t="shared" ca="1" si="53"/>
        <v>0.19115881159193626</v>
      </c>
      <c r="C296" s="3">
        <f t="shared" ca="1" si="53"/>
        <v>0.74332078502622878</v>
      </c>
      <c r="D296" s="3">
        <f t="shared" ca="1" si="53"/>
        <v>0.15619465634659446</v>
      </c>
      <c r="E296" s="3">
        <f t="shared" ca="1" si="53"/>
        <v>0.98713961609167455</v>
      </c>
      <c r="F296" s="3">
        <f t="shared" ca="1" si="53"/>
        <v>0.52194929813101987</v>
      </c>
      <c r="G296" s="36">
        <f t="shared" ca="1" si="46"/>
        <v>57565.550487241992</v>
      </c>
      <c r="H296" s="37">
        <f t="shared" ca="1" si="47"/>
        <v>0.16349976404348818</v>
      </c>
      <c r="I296" s="37">
        <f t="shared" ca="1" si="48"/>
        <v>6.2356719354795823E-2</v>
      </c>
      <c r="J296" s="38">
        <f t="shared" ca="1" si="49"/>
        <v>4.6792460892419181E-2</v>
      </c>
      <c r="K296" s="36">
        <f t="shared" ca="1" si="50"/>
        <v>1533.2934313877192</v>
      </c>
      <c r="L296" s="36">
        <f ca="1">Assumptions!$C$10*Assumptions!$C$13*I296*Assumptions!$C$15</f>
        <v>4324.6783207910694</v>
      </c>
      <c r="M296" s="36">
        <f ca="1">G296*(1+H296*Assumptions!$C$6)*(1+J296)+L296+K296</f>
        <v>68087.6284908456</v>
      </c>
    </row>
    <row r="297" spans="1:13" x14ac:dyDescent="0.25">
      <c r="A297" s="3">
        <v>284</v>
      </c>
      <c r="B297" s="3">
        <f t="shared" ca="1" si="53"/>
        <v>0.73396729796622895</v>
      </c>
      <c r="C297" s="3">
        <f t="shared" ca="1" si="53"/>
        <v>0.71367323528861537</v>
      </c>
      <c r="D297" s="3">
        <f t="shared" ca="1" si="53"/>
        <v>3.8911578107662992E-2</v>
      </c>
      <c r="E297" s="3">
        <f t="shared" ca="1" si="53"/>
        <v>0.71616088065169536</v>
      </c>
      <c r="F297" s="3">
        <f t="shared" ca="1" si="53"/>
        <v>0.69081624361311578</v>
      </c>
      <c r="G297" s="36">
        <f t="shared" ca="1" si="46"/>
        <v>58099.695167120088</v>
      </c>
      <c r="H297" s="37">
        <f t="shared" ca="1" si="47"/>
        <v>0.15920241194553164</v>
      </c>
      <c r="I297" s="37">
        <f t="shared" ca="1" si="48"/>
        <v>5.1158720802337583E-2</v>
      </c>
      <c r="J297" s="38">
        <f t="shared" ca="1" si="49"/>
        <v>3.4931114988870485E-2</v>
      </c>
      <c r="K297" s="36">
        <f t="shared" ca="1" si="50"/>
        <v>1820.4547894459581</v>
      </c>
      <c r="L297" s="36">
        <f ca="1">Assumptions!$C$10*Assumptions!$C$13*I297*Assumptions!$C$15</f>
        <v>3548.054051952889</v>
      </c>
      <c r="M297" s="36">
        <f ca="1">G297*(1+H297*Assumptions!$C$6)*(1+J297)+L297+K297</f>
        <v>67412.233311308737</v>
      </c>
    </row>
    <row r="298" spans="1:13" x14ac:dyDescent="0.25">
      <c r="A298" s="3">
        <v>285</v>
      </c>
      <c r="B298" s="3">
        <f t="shared" ca="1" si="53"/>
        <v>0.40067865328751506</v>
      </c>
      <c r="C298" s="3">
        <f t="shared" ca="1" si="53"/>
        <v>0.9486069235903144</v>
      </c>
      <c r="D298" s="3">
        <f t="shared" ca="1" si="53"/>
        <v>0.41655727734490244</v>
      </c>
      <c r="E298" s="3">
        <f t="shared" ca="1" si="53"/>
        <v>0.56460433852336478</v>
      </c>
      <c r="F298" s="3">
        <f t="shared" ca="1" si="53"/>
        <v>0.56269586859582765</v>
      </c>
      <c r="G298" s="36">
        <f t="shared" ca="1" si="46"/>
        <v>57774.012152948249</v>
      </c>
      <c r="H298" s="37">
        <f t="shared" ca="1" si="47"/>
        <v>0.20576898859015655</v>
      </c>
      <c r="I298" s="37">
        <f t="shared" ca="1" si="48"/>
        <v>7.6510043652448401E-2</v>
      </c>
      <c r="J298" s="38">
        <f t="shared" ca="1" si="49"/>
        <v>3.1336759949534269E-2</v>
      </c>
      <c r="K298" s="36">
        <f t="shared" ca="1" si="50"/>
        <v>1597.192603627007</v>
      </c>
      <c r="L298" s="36">
        <f ca="1">Assumptions!$C$10*Assumptions!$C$13*I298*Assumptions!$C$15</f>
        <v>5306.2657966959596</v>
      </c>
      <c r="M298" s="36">
        <f ca="1">G298*(1+H298*Assumptions!$C$6)*(1+J298)+L298+K298</f>
        <v>68940.047820420106</v>
      </c>
    </row>
    <row r="299" spans="1:13" x14ac:dyDescent="0.25">
      <c r="A299" s="3">
        <v>286</v>
      </c>
      <c r="B299" s="3">
        <f t="shared" ca="1" si="53"/>
        <v>6.8113945034240397E-2</v>
      </c>
      <c r="C299" s="3">
        <f t="shared" ca="1" si="53"/>
        <v>0.46154875369478832</v>
      </c>
      <c r="D299" s="3">
        <f t="shared" ca="1" si="53"/>
        <v>0.55148711718396415</v>
      </c>
      <c r="E299" s="3">
        <f t="shared" ca="1" si="53"/>
        <v>0.32333348787748228</v>
      </c>
      <c r="F299" s="3">
        <f t="shared" ca="1" si="53"/>
        <v>0.27355959218551085</v>
      </c>
      <c r="G299" s="36">
        <f t="shared" ca="1" si="46"/>
        <v>57377.899420937836</v>
      </c>
      <c r="H299" s="37">
        <f t="shared" ca="1" si="47"/>
        <v>0.12919978151754921</v>
      </c>
      <c r="I299" s="37">
        <f t="shared" ca="1" si="48"/>
        <v>8.2115422332942473E-2</v>
      </c>
      <c r="J299" s="38">
        <f t="shared" ca="1" si="49"/>
        <v>2.6083121286055944E-2</v>
      </c>
      <c r="K299" s="36">
        <f t="shared" ca="1" si="50"/>
        <v>1109.5125798452214</v>
      </c>
      <c r="L299" s="36">
        <f ca="1">Assumptions!$C$10*Assumptions!$C$13*I299*Assumptions!$C$15</f>
        <v>5695.0203673369942</v>
      </c>
      <c r="M299" s="36">
        <f ca="1">G299*(1+H299*Assumptions!$C$6)*(1+J299)+L299+K299</f>
        <v>67200.341433583337</v>
      </c>
    </row>
    <row r="300" spans="1:13" x14ac:dyDescent="0.25">
      <c r="A300" s="3">
        <v>287</v>
      </c>
      <c r="B300" s="3">
        <f t="shared" ca="1" si="53"/>
        <v>0.67533397818314034</v>
      </c>
      <c r="C300" s="3">
        <f t="shared" ca="1" si="53"/>
        <v>0.61107354438689576</v>
      </c>
      <c r="D300" s="3">
        <f t="shared" ca="1" si="53"/>
        <v>0.1046841068387856</v>
      </c>
      <c r="E300" s="3">
        <f t="shared" ca="1" si="53"/>
        <v>0.24179283099282156</v>
      </c>
      <c r="F300" s="3">
        <f t="shared" ca="1" si="53"/>
        <v>0.59741509856690445</v>
      </c>
      <c r="G300" s="36">
        <f t="shared" ca="1" si="46"/>
        <v>58031.65994522554</v>
      </c>
      <c r="H300" s="37">
        <f t="shared" ca="1" si="47"/>
        <v>0.14583247275212768</v>
      </c>
      <c r="I300" s="37">
        <f t="shared" ca="1" si="48"/>
        <v>5.8302708594197575E-2</v>
      </c>
      <c r="J300" s="38">
        <f t="shared" ca="1" si="49"/>
        <v>2.3908064739361017E-2</v>
      </c>
      <c r="K300" s="36">
        <f t="shared" ca="1" si="50"/>
        <v>1654.0311829581899</v>
      </c>
      <c r="L300" s="36">
        <f ca="1">Assumptions!$C$10*Assumptions!$C$13*I300*Assumptions!$C$15</f>
        <v>4043.5170821945021</v>
      </c>
      <c r="M300" s="36">
        <f ca="1">G300*(1+H300*Assumptions!$C$6)*(1+J300)+L300+K300</f>
        <v>66849.67930127884</v>
      </c>
    </row>
    <row r="301" spans="1:13" x14ac:dyDescent="0.25">
      <c r="A301" s="3">
        <v>288</v>
      </c>
      <c r="B301" s="3">
        <f t="shared" ca="1" si="53"/>
        <v>0.67846817433748496</v>
      </c>
      <c r="C301" s="3">
        <f t="shared" ca="1" si="53"/>
        <v>0.39564393703255663</v>
      </c>
      <c r="D301" s="3">
        <f t="shared" ca="1" si="53"/>
        <v>3.1179660129537545E-2</v>
      </c>
      <c r="E301" s="3">
        <f t="shared" ca="1" si="53"/>
        <v>5.8505310470233773E-3</v>
      </c>
      <c r="F301" s="3">
        <f t="shared" ca="1" si="53"/>
        <v>0.40588199263559244</v>
      </c>
      <c r="G301" s="36">
        <f t="shared" ca="1" si="46"/>
        <v>58035.132748430704</v>
      </c>
      <c r="H301" s="37">
        <f t="shared" ca="1" si="47"/>
        <v>0.12261465919605757</v>
      </c>
      <c r="I301" s="37">
        <f t="shared" ca="1" si="48"/>
        <v>4.9988739280535863E-2</v>
      </c>
      <c r="J301" s="38">
        <f t="shared" ca="1" si="49"/>
        <v>1.2163428953679483E-2</v>
      </c>
      <c r="K301" s="36">
        <f t="shared" ca="1" si="50"/>
        <v>1351.469188276287</v>
      </c>
      <c r="L301" s="36">
        <f ca="1">Assumptions!$C$10*Assumptions!$C$13*I301*Assumptions!$C$15</f>
        <v>3466.9113334870099</v>
      </c>
      <c r="M301" s="36">
        <f ca="1">G301*(1+H301*Assumptions!$C$6)*(1+J301)+L301+K301</f>
        <v>64999.921978837119</v>
      </c>
    </row>
    <row r="302" spans="1:13" x14ac:dyDescent="0.25">
      <c r="A302" s="3">
        <v>289</v>
      </c>
      <c r="B302" s="3">
        <f t="shared" ca="1" si="53"/>
        <v>0.91793612836253669</v>
      </c>
      <c r="C302" s="3">
        <f t="shared" ca="1" si="53"/>
        <v>0.47604865428060417</v>
      </c>
      <c r="D302" s="3">
        <f t="shared" ca="1" si="53"/>
        <v>0.92188681332006761</v>
      </c>
      <c r="E302" s="3">
        <f t="shared" ca="1" si="53"/>
        <v>0.27569859678755537</v>
      </c>
      <c r="F302" s="3">
        <f t="shared" ca="1" si="53"/>
        <v>0.60886981948299479</v>
      </c>
      <c r="G302" s="36">
        <f t="shared" ca="1" si="46"/>
        <v>58388.55302174059</v>
      </c>
      <c r="H302" s="37">
        <f t="shared" ca="1" si="47"/>
        <v>0.13070182671973779</v>
      </c>
      <c r="I302" s="37">
        <f t="shared" ca="1" si="48"/>
        <v>0.10418980716829224</v>
      </c>
      <c r="J302" s="38">
        <f t="shared" ca="1" si="49"/>
        <v>2.4851224778786572E-2</v>
      </c>
      <c r="K302" s="36">
        <f t="shared" ca="1" si="50"/>
        <v>1673.3177425146127</v>
      </c>
      <c r="L302" s="36">
        <f ca="1">Assumptions!$C$10*Assumptions!$C$13*I302*Assumptions!$C$15</f>
        <v>7225.9638571486366</v>
      </c>
      <c r="M302" s="36">
        <f ca="1">G302*(1+H302*Assumptions!$C$6)*(1+J302)+L302+K302</f>
        <v>70303.09016230666</v>
      </c>
    </row>
    <row r="303" spans="1:13" x14ac:dyDescent="0.25">
      <c r="A303" s="3">
        <v>290</v>
      </c>
      <c r="B303" s="3">
        <f t="shared" ca="1" si="53"/>
        <v>0.65871427225954171</v>
      </c>
      <c r="C303" s="3">
        <f t="shared" ca="1" si="53"/>
        <v>0.42488929173570211</v>
      </c>
      <c r="D303" s="3">
        <f t="shared" ca="1" si="53"/>
        <v>0.38196798614347716</v>
      </c>
      <c r="E303" s="3">
        <f t="shared" ca="1" si="53"/>
        <v>0.17041603510164793</v>
      </c>
      <c r="F303" s="3">
        <f t="shared" ca="1" si="53"/>
        <v>0.53132356475569065</v>
      </c>
      <c r="G303" s="36">
        <f t="shared" ca="1" si="46"/>
        <v>58013.518526469779</v>
      </c>
      <c r="H303" s="37">
        <f t="shared" ca="1" si="47"/>
        <v>0.1254900696514665</v>
      </c>
      <c r="I303" s="37">
        <f t="shared" ca="1" si="48"/>
        <v>7.4961372336610682E-2</v>
      </c>
      <c r="J303" s="38">
        <f t="shared" ca="1" si="49"/>
        <v>2.167616495606834E-2</v>
      </c>
      <c r="K303" s="36">
        <f t="shared" ca="1" si="50"/>
        <v>1547.7452156734369</v>
      </c>
      <c r="L303" s="36">
        <f ca="1">Assumptions!$C$10*Assumptions!$C$13*I303*Assumptions!$C$15</f>
        <v>5198.8594845144753</v>
      </c>
      <c r="M303" s="36">
        <f ca="1">G303*(1+H303*Assumptions!$C$6)*(1+J303)+L303+K303</f>
        <v>67505.218938529608</v>
      </c>
    </row>
    <row r="304" spans="1:13" x14ac:dyDescent="0.25">
      <c r="A304" s="3">
        <v>291</v>
      </c>
      <c r="B304" s="3">
        <f t="shared" ref="B304:F313" ca="1" si="54">RAND()</f>
        <v>0.8074081477427214</v>
      </c>
      <c r="C304" s="3">
        <f t="shared" ca="1" si="54"/>
        <v>0.38397271058411053</v>
      </c>
      <c r="D304" s="3">
        <f t="shared" ca="1" si="54"/>
        <v>9.4375663963217282E-2</v>
      </c>
      <c r="E304" s="3">
        <f t="shared" ca="1" si="54"/>
        <v>0.16524298144768912</v>
      </c>
      <c r="F304" s="3">
        <f t="shared" ca="1" si="54"/>
        <v>0.51477503126239565</v>
      </c>
      <c r="G304" s="36">
        <f t="shared" ca="1" si="46"/>
        <v>58196.601051522477</v>
      </c>
      <c r="H304" s="37">
        <f t="shared" ca="1" si="47"/>
        <v>0.12148661595126785</v>
      </c>
      <c r="I304" s="37">
        <f t="shared" ca="1" si="48"/>
        <v>5.7378208327738947E-2</v>
      </c>
      <c r="J304" s="38">
        <f t="shared" ca="1" si="49"/>
        <v>2.1497581709131328E-2</v>
      </c>
      <c r="K304" s="36">
        <f t="shared" ca="1" si="50"/>
        <v>1522.3287377365627</v>
      </c>
      <c r="L304" s="36">
        <f ca="1">Assumptions!$C$10*Assumptions!$C$13*I304*Assumptions!$C$15</f>
        <v>3979.3994329453408</v>
      </c>
      <c r="M304" s="36">
        <f ca="1">G304*(1+H304*Assumptions!$C$6)*(1+J304)+L304+K304</f>
        <v>66393.835078233649</v>
      </c>
    </row>
    <row r="305" spans="1:13" x14ac:dyDescent="0.25">
      <c r="A305" s="3">
        <v>292</v>
      </c>
      <c r="B305" s="3">
        <f t="shared" ca="1" si="54"/>
        <v>2.5849042136718015E-2</v>
      </c>
      <c r="C305" s="3">
        <f t="shared" ca="1" si="54"/>
        <v>0.14719812754115735</v>
      </c>
      <c r="D305" s="3">
        <f t="shared" ca="1" si="54"/>
        <v>0.80693558005825095</v>
      </c>
      <c r="E305" s="3">
        <f t="shared" ca="1" si="54"/>
        <v>0.62076268564021686</v>
      </c>
      <c r="F305" s="3">
        <f t="shared" ca="1" si="54"/>
        <v>0.59324088015767418</v>
      </c>
      <c r="G305" s="36">
        <f t="shared" ca="1" si="46"/>
        <v>57271.195305689325</v>
      </c>
      <c r="H305" s="37">
        <f t="shared" ca="1" si="47"/>
        <v>9.4246300368475922E-2</v>
      </c>
      <c r="I305" s="37">
        <f t="shared" ca="1" si="48"/>
        <v>9.5144293536219948E-2</v>
      </c>
      <c r="J305" s="38">
        <f t="shared" ca="1" si="49"/>
        <v>3.2581910222764771E-2</v>
      </c>
      <c r="K305" s="36">
        <f t="shared" ca="1" si="50"/>
        <v>1647.0713103454173</v>
      </c>
      <c r="L305" s="36">
        <f ca="1">Assumptions!$C$10*Assumptions!$C$13*I305*Assumptions!$C$15</f>
        <v>6598.6226963273766</v>
      </c>
      <c r="M305" s="36">
        <f ca="1">G305*(1+H305*Assumptions!$C$6)*(1+J305)+L305+K305</f>
        <v>68497.586723695335</v>
      </c>
    </row>
    <row r="306" spans="1:13" x14ac:dyDescent="0.25">
      <c r="A306" s="3">
        <v>293</v>
      </c>
      <c r="B306" s="3">
        <f t="shared" ca="1" si="54"/>
        <v>0.72712522694637871</v>
      </c>
      <c r="C306" s="3">
        <f t="shared" ca="1" si="54"/>
        <v>0.23549992433716771</v>
      </c>
      <c r="D306" s="3">
        <f t="shared" ca="1" si="54"/>
        <v>0.50359337256304038</v>
      </c>
      <c r="E306" s="3">
        <f t="shared" ca="1" si="54"/>
        <v>0.50932710426943228</v>
      </c>
      <c r="F306" s="3">
        <f t="shared" ca="1" si="54"/>
        <v>0.50967961170313825</v>
      </c>
      <c r="G306" s="36">
        <f t="shared" ca="1" si="46"/>
        <v>58091.393320567018</v>
      </c>
      <c r="H306" s="37">
        <f t="shared" ca="1" si="47"/>
        <v>0.10596560545267361</v>
      </c>
      <c r="I306" s="37">
        <f t="shared" ca="1" si="48"/>
        <v>8.014399408121442E-2</v>
      </c>
      <c r="J306" s="38">
        <f t="shared" ca="1" si="49"/>
        <v>3.0187420244085977E-2</v>
      </c>
      <c r="K306" s="36">
        <f t="shared" ca="1" si="50"/>
        <v>1514.5903772575466</v>
      </c>
      <c r="L306" s="36">
        <f ca="1">Assumptions!$C$10*Assumptions!$C$13*I306*Assumptions!$C$15</f>
        <v>5558.2942356633012</v>
      </c>
      <c r="M306" s="36">
        <f ca="1">G306*(1+H306*Assumptions!$C$6)*(1+J306)+L306+K306</f>
        <v>68186.210047341679</v>
      </c>
    </row>
    <row r="307" spans="1:13" x14ac:dyDescent="0.25">
      <c r="A307" s="3">
        <v>294</v>
      </c>
      <c r="B307" s="3">
        <f t="shared" ca="1" si="54"/>
        <v>0.9762989373147275</v>
      </c>
      <c r="C307" s="3">
        <f t="shared" ca="1" si="54"/>
        <v>0.34140260787893961</v>
      </c>
      <c r="D307" s="3">
        <f t="shared" ca="1" si="54"/>
        <v>0.42605542271907848</v>
      </c>
      <c r="E307" s="3">
        <f t="shared" ca="1" si="54"/>
        <v>0.23886787387593622</v>
      </c>
      <c r="F307" s="3">
        <f t="shared" ca="1" si="54"/>
        <v>0.87205706462451871</v>
      </c>
      <c r="G307" s="36">
        <f t="shared" ca="1" si="46"/>
        <v>58555.477566674934</v>
      </c>
      <c r="H307" s="37">
        <f t="shared" ca="1" si="47"/>
        <v>0.11738438012469875</v>
      </c>
      <c r="I307" s="37">
        <f t="shared" ca="1" si="48"/>
        <v>7.6923940102608918E-2</v>
      </c>
      <c r="J307" s="38">
        <f t="shared" ca="1" si="49"/>
        <v>2.3823686161829231E-2</v>
      </c>
      <c r="K307" s="36">
        <f t="shared" ca="1" si="50"/>
        <v>2241.2225562197664</v>
      </c>
      <c r="L307" s="36">
        <f ca="1">Assumptions!$C$10*Assumptions!$C$13*I307*Assumptions!$C$15</f>
        <v>5334.971107424014</v>
      </c>
      <c r="M307" s="36">
        <f ca="1">G307*(1+H307*Assumptions!$C$6)*(1+J307)+L307+K307</f>
        <v>68934.128652256899</v>
      </c>
    </row>
    <row r="308" spans="1:13" x14ac:dyDescent="0.25">
      <c r="A308" s="3">
        <v>295</v>
      </c>
      <c r="B308" s="3">
        <f t="shared" ca="1" si="54"/>
        <v>0.30927471318239719</v>
      </c>
      <c r="C308" s="3">
        <f t="shared" ca="1" si="54"/>
        <v>0.91097779484528374</v>
      </c>
      <c r="D308" s="3">
        <f t="shared" ca="1" si="54"/>
        <v>0.37025736470342197</v>
      </c>
      <c r="E308" s="3">
        <f t="shared" ca="1" si="54"/>
        <v>0.12348114474380756</v>
      </c>
      <c r="F308" s="3">
        <f t="shared" ca="1" si="54"/>
        <v>0.99520051057921888</v>
      </c>
      <c r="G308" s="36">
        <f t="shared" ca="1" si="46"/>
        <v>57692.163767652419</v>
      </c>
      <c r="H308" s="37">
        <f t="shared" ca="1" si="47"/>
        <v>0.19494773837499907</v>
      </c>
      <c r="I308" s="37">
        <f t="shared" ca="1" si="48"/>
        <v>7.442126620348169E-2</v>
      </c>
      <c r="J308" s="38">
        <f t="shared" ca="1" si="49"/>
        <v>1.9939060106219604E-2</v>
      </c>
      <c r="K308" s="36">
        <f t="shared" ca="1" si="50"/>
        <v>2853.0384322568821</v>
      </c>
      <c r="L308" s="36">
        <f ca="1">Assumptions!$C$10*Assumptions!$C$13*I308*Assumptions!$C$15</f>
        <v>5161.4010468506985</v>
      </c>
      <c r="M308" s="36">
        <f ca="1">G308*(1+H308*Assumptions!$C$6)*(1+J308)+L308+K308</f>
        <v>69151.17288719659</v>
      </c>
    </row>
    <row r="309" spans="1:13" x14ac:dyDescent="0.25">
      <c r="A309" s="3">
        <v>296</v>
      </c>
      <c r="B309" s="3">
        <f t="shared" ca="1" si="54"/>
        <v>0.56706767483568266</v>
      </c>
      <c r="C309" s="3">
        <f t="shared" ca="1" si="54"/>
        <v>4.1230817822113908E-2</v>
      </c>
      <c r="D309" s="3">
        <f t="shared" ca="1" si="54"/>
        <v>0.2582573314440032</v>
      </c>
      <c r="E309" s="3">
        <f t="shared" ca="1" si="54"/>
        <v>0.79169429835155503</v>
      </c>
      <c r="F309" s="3">
        <f t="shared" ca="1" si="54"/>
        <v>0.5126723268705583</v>
      </c>
      <c r="G309" s="36">
        <f t="shared" ca="1" si="46"/>
        <v>57920.582332889739</v>
      </c>
      <c r="H309" s="37">
        <f t="shared" ca="1" si="47"/>
        <v>7.3417298670728756E-2</v>
      </c>
      <c r="I309" s="37">
        <f t="shared" ca="1" si="48"/>
        <v>6.8747581822143064E-2</v>
      </c>
      <c r="J309" s="38">
        <f t="shared" ca="1" si="49"/>
        <v>3.7090911677474817E-2</v>
      </c>
      <c r="K309" s="36">
        <f t="shared" ca="1" si="50"/>
        <v>1519.1304820874705</v>
      </c>
      <c r="L309" s="36">
        <f ca="1">Assumptions!$C$10*Assumptions!$C$13*I309*Assumptions!$C$15</f>
        <v>4767.9092131418593</v>
      </c>
      <c r="M309" s="36">
        <f ca="1">G309*(1+H309*Assumptions!$C$6)*(1+J309)+L309+K309</f>
        <v>67237.968646189533</v>
      </c>
    </row>
    <row r="310" spans="1:13" x14ac:dyDescent="0.25">
      <c r="A310" s="3">
        <v>297</v>
      </c>
      <c r="B310" s="3">
        <f t="shared" ca="1" si="54"/>
        <v>0.46243944315074104</v>
      </c>
      <c r="C310" s="3">
        <f t="shared" ca="1" si="54"/>
        <v>0.98744769035662672</v>
      </c>
      <c r="D310" s="3">
        <f t="shared" ca="1" si="54"/>
        <v>0.29010132933636357</v>
      </c>
      <c r="E310" s="3">
        <f t="shared" ca="1" si="54"/>
        <v>0.90006300948219009</v>
      </c>
      <c r="F310" s="3">
        <f t="shared" ca="1" si="54"/>
        <v>0.20407794254015466</v>
      </c>
      <c r="G310" s="36">
        <f t="shared" ca="1" si="46"/>
        <v>57825.844832697992</v>
      </c>
      <c r="H310" s="37">
        <f t="shared" ca="1" si="47"/>
        <v>0.22308277032523022</v>
      </c>
      <c r="I310" s="37">
        <f t="shared" ca="1" si="48"/>
        <v>7.0468414036118837E-2</v>
      </c>
      <c r="J310" s="38">
        <f t="shared" ca="1" si="49"/>
        <v>4.1058546403730106E-2</v>
      </c>
      <c r="K310" s="36">
        <f t="shared" ca="1" si="50"/>
        <v>958.30618355027639</v>
      </c>
      <c r="L310" s="36">
        <f ca="1">Assumptions!$C$10*Assumptions!$C$13*I310*Assumptions!$C$15</f>
        <v>4887.2555457665176</v>
      </c>
      <c r="M310" s="36">
        <f ca="1">G310*(1+H310*Assumptions!$C$6)*(1+J310)+L310+K310</f>
        <v>68731.572264105984</v>
      </c>
    </row>
    <row r="311" spans="1:13" x14ac:dyDescent="0.25">
      <c r="A311" s="3">
        <v>298</v>
      </c>
      <c r="B311" s="3">
        <f t="shared" ca="1" si="54"/>
        <v>0.64470589085837993</v>
      </c>
      <c r="C311" s="3">
        <f t="shared" ca="1" si="54"/>
        <v>0.61157906967087949</v>
      </c>
      <c r="D311" s="3">
        <f t="shared" ca="1" si="54"/>
        <v>0.74635065662083611</v>
      </c>
      <c r="E311" s="3">
        <f t="shared" ca="1" si="54"/>
        <v>0.60693888111578576</v>
      </c>
      <c r="F311" s="3">
        <f t="shared" ca="1" si="54"/>
        <v>0.81458103728746778</v>
      </c>
      <c r="G311" s="36">
        <f t="shared" ca="1" si="46"/>
        <v>57998.567881009483</v>
      </c>
      <c r="H311" s="37">
        <f t="shared" ca="1" si="47"/>
        <v>0.14589369196752033</v>
      </c>
      <c r="I311" s="37">
        <f t="shared" ca="1" si="48"/>
        <v>9.151003863089098E-2</v>
      </c>
      <c r="J311" s="38">
        <f t="shared" ca="1" si="49"/>
        <v>3.2267293068812888E-2</v>
      </c>
      <c r="K311" s="36">
        <f t="shared" ca="1" si="50"/>
        <v>2086.5530490464184</v>
      </c>
      <c r="L311" s="36">
        <f ca="1">Assumptions!$C$10*Assumptions!$C$13*I311*Assumptions!$C$15</f>
        <v>6346.5731407393305</v>
      </c>
      <c r="M311" s="36">
        <f ca="1">G311*(1+H311*Assumptions!$C$6)*(1+J311)+L311+K311</f>
        <v>70050.082645595001</v>
      </c>
    </row>
    <row r="312" spans="1:13" x14ac:dyDescent="0.25">
      <c r="A312" s="3">
        <v>299</v>
      </c>
      <c r="B312" s="3">
        <f t="shared" ca="1" si="54"/>
        <v>0.58830958701381264</v>
      </c>
      <c r="C312" s="3">
        <f t="shared" ca="1" si="54"/>
        <v>0.10518307812918049</v>
      </c>
      <c r="D312" s="3">
        <f t="shared" ca="1" si="54"/>
        <v>0.13051236554303947</v>
      </c>
      <c r="E312" s="3">
        <f t="shared" ca="1" si="54"/>
        <v>9.0302706663983323E-2</v>
      </c>
      <c r="F312" s="3">
        <f t="shared" ca="1" si="54"/>
        <v>0.42447465340523349</v>
      </c>
      <c r="G312" s="36">
        <f t="shared" ca="1" si="46"/>
        <v>57941.171180816877</v>
      </c>
      <c r="H312" s="37">
        <f t="shared" ca="1" si="47"/>
        <v>8.7402338685142411E-2</v>
      </c>
      <c r="I312" s="37">
        <f t="shared" ca="1" si="48"/>
        <v>6.0436231789097669E-2</v>
      </c>
      <c r="J312" s="38">
        <f t="shared" ca="1" si="49"/>
        <v>1.8499539124634153E-2</v>
      </c>
      <c r="K312" s="36">
        <f t="shared" ca="1" si="50"/>
        <v>1382.0766767164369</v>
      </c>
      <c r="L312" s="36">
        <f ca="1">Assumptions!$C$10*Assumptions!$C$13*I312*Assumptions!$C$15</f>
        <v>4191.4851216192656</v>
      </c>
      <c r="M312" s="36">
        <f ca="1">G312*(1+H312*Assumptions!$C$6)*(1+J312)+L312+K312</f>
        <v>65618.19376632791</v>
      </c>
    </row>
    <row r="313" spans="1:13" x14ac:dyDescent="0.25">
      <c r="A313" s="3">
        <v>300</v>
      </c>
      <c r="B313" s="3">
        <f t="shared" ca="1" si="54"/>
        <v>0.35216129847322564</v>
      </c>
      <c r="C313" s="3">
        <f t="shared" ca="1" si="54"/>
        <v>0.17127512037415971</v>
      </c>
      <c r="D313" s="3">
        <f t="shared" ca="1" si="54"/>
        <v>0.92023269501155547</v>
      </c>
      <c r="E313" s="3">
        <f t="shared" ca="1" si="54"/>
        <v>1.4760100908000395E-2</v>
      </c>
      <c r="F313" s="3">
        <f t="shared" ca="1" si="54"/>
        <v>0.20002653685700766</v>
      </c>
      <c r="G313" s="36">
        <f t="shared" ca="1" si="46"/>
        <v>57731.888480053291</v>
      </c>
      <c r="H313" s="37">
        <f t="shared" ca="1" si="47"/>
        <v>9.7727969797345493E-2</v>
      </c>
      <c r="I313" s="37">
        <f t="shared" ca="1" si="48"/>
        <v>0.10402328644673685</v>
      </c>
      <c r="J313" s="38">
        <f t="shared" ca="1" si="49"/>
        <v>1.3436288801367009E-2</v>
      </c>
      <c r="K313" s="36">
        <f t="shared" ca="1" si="50"/>
        <v>948.74623364550666</v>
      </c>
      <c r="L313" s="36">
        <f ca="1">Assumptions!$C$10*Assumptions!$C$13*I313*Assumptions!$C$15</f>
        <v>7214.4150046444565</v>
      </c>
      <c r="M313" s="36">
        <f ca="1">G313*(1+H313*Assumptions!$C$6)*(1+J313)+L313+K313</f>
        <v>67814.317658464483</v>
      </c>
    </row>
    <row r="314" spans="1:13" x14ac:dyDescent="0.25">
      <c r="A314" s="3">
        <v>301</v>
      </c>
      <c r="B314" s="3">
        <f t="shared" ref="B314:F323" ca="1" si="55">RAND()</f>
        <v>0.92884643680055368</v>
      </c>
      <c r="C314" s="3">
        <f t="shared" ca="1" si="55"/>
        <v>0.69000063540952017</v>
      </c>
      <c r="D314" s="3">
        <f t="shared" ca="1" si="55"/>
        <v>0.50237663930093623</v>
      </c>
      <c r="E314" s="3">
        <f t="shared" ca="1" si="55"/>
        <v>0.50212945862078318</v>
      </c>
      <c r="F314" s="3">
        <f t="shared" ca="1" si="55"/>
        <v>0.67198475336941565</v>
      </c>
      <c r="G314" s="36">
        <f t="shared" ca="1" si="46"/>
        <v>58413.395459023115</v>
      </c>
      <c r="H314" s="37">
        <f t="shared" ca="1" si="47"/>
        <v>0.15592868793302356</v>
      </c>
      <c r="I314" s="37">
        <f t="shared" ca="1" si="48"/>
        <v>8.0095178809609938E-2</v>
      </c>
      <c r="J314" s="38">
        <f t="shared" ca="1" si="49"/>
        <v>3.0042634615175947E-2</v>
      </c>
      <c r="K314" s="36">
        <f t="shared" ca="1" si="50"/>
        <v>1785.0643597961127</v>
      </c>
      <c r="L314" s="36">
        <f ca="1">Assumptions!$C$10*Assumptions!$C$13*I314*Assumptions!$C$15</f>
        <v>5554.9087088264851</v>
      </c>
      <c r="M314" s="36">
        <f ca="1">G314*(1+H314*Assumptions!$C$6)*(1+J314)+L314+K314</f>
        <v>69384.653257029087</v>
      </c>
    </row>
    <row r="315" spans="1:13" x14ac:dyDescent="0.25">
      <c r="A315" s="3">
        <v>302</v>
      </c>
      <c r="B315" s="3">
        <f t="shared" ca="1" si="55"/>
        <v>0.93854356706768105</v>
      </c>
      <c r="C315" s="3">
        <f t="shared" ca="1" si="55"/>
        <v>0.16341320162388917</v>
      </c>
      <c r="D315" s="3">
        <f t="shared" ca="1" si="55"/>
        <v>0.54469044872430306</v>
      </c>
      <c r="E315" s="3">
        <f t="shared" ca="1" si="55"/>
        <v>0.21122500760338614</v>
      </c>
      <c r="F315" s="3">
        <f t="shared" ca="1" si="55"/>
        <v>0.90700949349195092</v>
      </c>
      <c r="G315" s="36">
        <f t="shared" ca="1" si="46"/>
        <v>58437.13003331596</v>
      </c>
      <c r="H315" s="37">
        <f t="shared" ca="1" si="47"/>
        <v>9.6619690921301987E-2</v>
      </c>
      <c r="I315" s="37">
        <f t="shared" ca="1" si="48"/>
        <v>8.1829454233896121E-2</v>
      </c>
      <c r="J315" s="38">
        <f t="shared" ca="1" si="49"/>
        <v>2.2999230980435298E-2</v>
      </c>
      <c r="K315" s="36">
        <f t="shared" ca="1" si="50"/>
        <v>2353.1172600183081</v>
      </c>
      <c r="L315" s="36">
        <f ca="1">Assumptions!$C$10*Assumptions!$C$13*I315*Assumptions!$C$15</f>
        <v>5675.1873797908256</v>
      </c>
      <c r="M315" s="36">
        <f ca="1">G315*(1+H315*Assumptions!$C$6)*(1+J315)+L315+K315</f>
        <v>68964.650760854129</v>
      </c>
    </row>
    <row r="316" spans="1:13" x14ac:dyDescent="0.25">
      <c r="A316" s="3">
        <v>303</v>
      </c>
      <c r="B316" s="3">
        <f t="shared" ca="1" si="55"/>
        <v>0.61989655702512747</v>
      </c>
      <c r="C316" s="3">
        <f t="shared" ca="1" si="55"/>
        <v>0.83230125932045429</v>
      </c>
      <c r="D316" s="3">
        <f t="shared" ca="1" si="55"/>
        <v>0.37038812969692247</v>
      </c>
      <c r="E316" s="3">
        <f t="shared" ca="1" si="55"/>
        <v>0.45892797683286035</v>
      </c>
      <c r="F316" s="3">
        <f t="shared" ca="1" si="55"/>
        <v>0.13725829609566909</v>
      </c>
      <c r="G316" s="36">
        <f t="shared" ca="1" si="46"/>
        <v>57972.795692418127</v>
      </c>
      <c r="H316" s="37">
        <f t="shared" ca="1" si="47"/>
        <v>0.178165290592632</v>
      </c>
      <c r="I316" s="37">
        <f t="shared" ca="1" si="48"/>
        <v>7.4427344001972498E-2</v>
      </c>
      <c r="J316" s="38">
        <f t="shared" ca="1" si="49"/>
        <v>2.9160959826331462E-2</v>
      </c>
      <c r="K316" s="36">
        <f t="shared" ca="1" si="50"/>
        <v>785.91496513968411</v>
      </c>
      <c r="L316" s="36">
        <f ca="1">Assumptions!$C$10*Assumptions!$C$13*I316*Assumptions!$C$15</f>
        <v>5161.8225655521846</v>
      </c>
      <c r="M316" s="36">
        <f ca="1">G316*(1+H316*Assumptions!$C$6)*(1+J316)+L316+K316</f>
        <v>67737.062781904999</v>
      </c>
    </row>
    <row r="317" spans="1:13" x14ac:dyDescent="0.25">
      <c r="A317" s="3">
        <v>304</v>
      </c>
      <c r="B317" s="3">
        <f t="shared" ca="1" si="55"/>
        <v>0.35700226797015788</v>
      </c>
      <c r="C317" s="3">
        <f t="shared" ca="1" si="55"/>
        <v>0.5520423603488287</v>
      </c>
      <c r="D317" s="3">
        <f t="shared" ca="1" si="55"/>
        <v>0.55849349291331141</v>
      </c>
      <c r="E317" s="3">
        <f t="shared" ca="1" si="55"/>
        <v>0.62563502327000176</v>
      </c>
      <c r="F317" s="3">
        <f t="shared" ca="1" si="55"/>
        <v>0.35112746025613228</v>
      </c>
      <c r="G317" s="36">
        <f t="shared" ca="1" si="46"/>
        <v>57736.216769491366</v>
      </c>
      <c r="H317" s="37">
        <f t="shared" ca="1" si="47"/>
        <v>0.13893846337974713</v>
      </c>
      <c r="I317" s="37">
        <f t="shared" ca="1" si="48"/>
        <v>8.2412491134987359E-2</v>
      </c>
      <c r="J317" s="38">
        <f t="shared" ca="1" si="49"/>
        <v>3.2694163372318619E-2</v>
      </c>
      <c r="K317" s="36">
        <f t="shared" ca="1" si="50"/>
        <v>1257.0097736901632</v>
      </c>
      <c r="L317" s="36">
        <f ca="1">Assumptions!$C$10*Assumptions!$C$13*I317*Assumptions!$C$15</f>
        <v>5715.623231331123</v>
      </c>
      <c r="M317" s="36">
        <f ca="1">G317*(1+H317*Assumptions!$C$6)*(1+J317)+L317+K317</f>
        <v>68253.296411211646</v>
      </c>
    </row>
    <row r="318" spans="1:13" x14ac:dyDescent="0.25">
      <c r="A318" s="3">
        <v>305</v>
      </c>
      <c r="B318" s="3">
        <f t="shared" ca="1" si="55"/>
        <v>0.24946275806142948</v>
      </c>
      <c r="C318" s="3">
        <f t="shared" ca="1" si="55"/>
        <v>0.85250459220953745</v>
      </c>
      <c r="D318" s="3">
        <f t="shared" ca="1" si="55"/>
        <v>0.11616216658958745</v>
      </c>
      <c r="E318" s="3">
        <f t="shared" ca="1" si="55"/>
        <v>0.23139059470978618</v>
      </c>
      <c r="F318" s="3">
        <f t="shared" ca="1" si="55"/>
        <v>0.86756918674908312</v>
      </c>
      <c r="G318" s="36">
        <f t="shared" ca="1" si="46"/>
        <v>57631.829574522257</v>
      </c>
      <c r="H318" s="37">
        <f t="shared" ca="1" si="47"/>
        <v>0.18200952407832344</v>
      </c>
      <c r="I318" s="37">
        <f t="shared" ca="1" si="48"/>
        <v>5.9280013824857071E-2</v>
      </c>
      <c r="J318" s="38">
        <f t="shared" ca="1" si="49"/>
        <v>2.3605604571933912E-2</v>
      </c>
      <c r="K318" s="36">
        <f t="shared" ca="1" si="50"/>
        <v>2228.0293660837051</v>
      </c>
      <c r="L318" s="36">
        <f ca="1">Assumptions!$C$10*Assumptions!$C$13*I318*Assumptions!$C$15</f>
        <v>4111.29695880701</v>
      </c>
      <c r="M318" s="36">
        <f ca="1">G318*(1+H318*Assumptions!$C$6)*(1+J318)+L318+K318</f>
        <v>67479.020849147782</v>
      </c>
    </row>
    <row r="319" spans="1:13" x14ac:dyDescent="0.25">
      <c r="A319" s="3">
        <v>306</v>
      </c>
      <c r="B319" s="3">
        <f t="shared" ca="1" si="55"/>
        <v>0.26377439329487318</v>
      </c>
      <c r="C319" s="3">
        <f t="shared" ca="1" si="55"/>
        <v>0.47217072554635486</v>
      </c>
      <c r="D319" s="3">
        <f t="shared" ca="1" si="55"/>
        <v>0.58493092698862226</v>
      </c>
      <c r="E319" s="3">
        <f t="shared" ca="1" si="55"/>
        <v>0.76362218068004528</v>
      </c>
      <c r="F319" s="3">
        <f t="shared" ca="1" si="55"/>
        <v>0.27367417423328655</v>
      </c>
      <c r="G319" s="36">
        <f t="shared" ca="1" si="46"/>
        <v>57646.872318598042</v>
      </c>
      <c r="H319" s="37">
        <f t="shared" ca="1" si="47"/>
        <v>0.13029809729296801</v>
      </c>
      <c r="I319" s="37">
        <f t="shared" ca="1" si="48"/>
        <v>8.3555233110412019E-2</v>
      </c>
      <c r="J319" s="38">
        <f t="shared" ca="1" si="49"/>
        <v>3.6248554423044692E-2</v>
      </c>
      <c r="K319" s="36">
        <f t="shared" ca="1" si="50"/>
        <v>1109.7449184609</v>
      </c>
      <c r="L319" s="36">
        <f ca="1">Assumptions!$C$10*Assumptions!$C$13*I319*Assumptions!$C$15</f>
        <v>5794.8767824882671</v>
      </c>
      <c r="M319" s="36">
        <f ca="1">G319*(1+H319*Assumptions!$C$6)*(1+J319)+L319+K319</f>
        <v>68197.819955971529</v>
      </c>
    </row>
    <row r="320" spans="1:13" x14ac:dyDescent="0.25">
      <c r="A320" s="3">
        <v>307</v>
      </c>
      <c r="B320" s="3">
        <f t="shared" ca="1" si="55"/>
        <v>0.44324038647015107</v>
      </c>
      <c r="C320" s="3">
        <f t="shared" ca="1" si="55"/>
        <v>0.97461063907618739</v>
      </c>
      <c r="D320" s="3">
        <f t="shared" ca="1" si="55"/>
        <v>0.60746106882469542</v>
      </c>
      <c r="E320" s="3">
        <f t="shared" ca="1" si="55"/>
        <v>0.2845519661795709</v>
      </c>
      <c r="F320" s="3">
        <f t="shared" ca="1" si="55"/>
        <v>7.0923502428450913E-2</v>
      </c>
      <c r="G320" s="36">
        <f t="shared" ca="1" si="46"/>
        <v>57809.49701158137</v>
      </c>
      <c r="H320" s="37">
        <f t="shared" ca="1" si="47"/>
        <v>0.21594012824092929</v>
      </c>
      <c r="I320" s="37">
        <f t="shared" ca="1" si="48"/>
        <v>8.4558152139582593E-2</v>
      </c>
      <c r="J320" s="38">
        <f t="shared" ca="1" si="49"/>
        <v>2.508779549648181E-2</v>
      </c>
      <c r="K320" s="36">
        <f t="shared" ca="1" si="50"/>
        <v>564.93872316210468</v>
      </c>
      <c r="L320" s="36">
        <f ca="1">Assumptions!$C$10*Assumptions!$C$13*I320*Assumptions!$C$15</f>
        <v>5864.4330745421275</v>
      </c>
      <c r="M320" s="36">
        <f ca="1">G320*(1+H320*Assumptions!$C$6)*(1+J320)+L320+K320</f>
        <v>68248.495835790702</v>
      </c>
    </row>
    <row r="321" spans="1:13" x14ac:dyDescent="0.25">
      <c r="A321" s="3">
        <v>308</v>
      </c>
      <c r="B321" s="3">
        <f t="shared" ca="1" si="55"/>
        <v>0.94374700528684763</v>
      </c>
      <c r="C321" s="3">
        <f t="shared" ca="1" si="55"/>
        <v>0.6395737788524013</v>
      </c>
      <c r="D321" s="3">
        <f t="shared" ca="1" si="55"/>
        <v>5.0681056939809621E-2</v>
      </c>
      <c r="E321" s="3">
        <f t="shared" ca="1" si="55"/>
        <v>0.1328676247177476</v>
      </c>
      <c r="F321" s="3">
        <f t="shared" ca="1" si="55"/>
        <v>0.13852219683596056</v>
      </c>
      <c r="G321" s="36">
        <f t="shared" ca="1" si="46"/>
        <v>58450.642244296185</v>
      </c>
      <c r="H321" s="37">
        <f t="shared" ca="1" si="47"/>
        <v>0.14934837099000786</v>
      </c>
      <c r="I321" s="37">
        <f t="shared" ca="1" si="48"/>
        <v>5.2734966910337494E-2</v>
      </c>
      <c r="J321" s="38">
        <f t="shared" ca="1" si="49"/>
        <v>2.0309902995382548E-2</v>
      </c>
      <c r="K321" s="36">
        <f t="shared" ca="1" si="50"/>
        <v>789.52510141338928</v>
      </c>
      <c r="L321" s="36">
        <f ca="1">Assumptions!$C$10*Assumptions!$C$13*I321*Assumptions!$C$15</f>
        <v>3657.3727820277136</v>
      </c>
      <c r="M321" s="36">
        <f ca="1">G321*(1+H321*Assumptions!$C$6)*(1+J321)+L321+K321</f>
        <v>65866.027735195879</v>
      </c>
    </row>
    <row r="322" spans="1:13" x14ac:dyDescent="0.25">
      <c r="A322" s="3">
        <v>309</v>
      </c>
      <c r="B322" s="3">
        <f t="shared" ca="1" si="55"/>
        <v>0.53494332445876458</v>
      </c>
      <c r="C322" s="3">
        <f t="shared" ca="1" si="55"/>
        <v>0.4916821402683843</v>
      </c>
      <c r="D322" s="3">
        <f t="shared" ca="1" si="55"/>
        <v>2.7314575923588214E-2</v>
      </c>
      <c r="E322" s="3">
        <f t="shared" ca="1" si="55"/>
        <v>0.12471605143744402</v>
      </c>
      <c r="F322" s="3">
        <f t="shared" ca="1" si="55"/>
        <v>0.9322511918704286</v>
      </c>
      <c r="G322" s="36">
        <f t="shared" ca="1" si="46"/>
        <v>57890.382549403039</v>
      </c>
      <c r="H322" s="37">
        <f t="shared" ca="1" si="47"/>
        <v>0.13234477624434177</v>
      </c>
      <c r="I322" s="37">
        <f t="shared" ca="1" si="48"/>
        <v>4.9349151991249382E-2</v>
      </c>
      <c r="J322" s="38">
        <f t="shared" ca="1" si="49"/>
        <v>1.9988635600018415E-2</v>
      </c>
      <c r="K322" s="36">
        <f t="shared" ca="1" si="50"/>
        <v>2447.8499872470602</v>
      </c>
      <c r="L322" s="36">
        <f ca="1">Assumptions!$C$10*Assumptions!$C$13*I322*Assumptions!$C$15</f>
        <v>3422.5534950238793</v>
      </c>
      <c r="M322" s="36">
        <f ca="1">G322*(1+H322*Assumptions!$C$6)*(1+J322)+L322+K322</f>
        <v>66480.862283493756</v>
      </c>
    </row>
    <row r="323" spans="1:13" x14ac:dyDescent="0.25">
      <c r="A323" s="3">
        <v>310</v>
      </c>
      <c r="B323" s="3">
        <f t="shared" ca="1" si="55"/>
        <v>0.32010624078669347</v>
      </c>
      <c r="C323" s="3">
        <f t="shared" ca="1" si="55"/>
        <v>0.78978379632586759</v>
      </c>
      <c r="D323" s="3">
        <f t="shared" ca="1" si="55"/>
        <v>0.4938400312172565</v>
      </c>
      <c r="E323" s="3">
        <f t="shared" ca="1" si="55"/>
        <v>0.12109407298913266</v>
      </c>
      <c r="F323" s="3">
        <f t="shared" ca="1" si="55"/>
        <v>0.38661360301222092</v>
      </c>
      <c r="G323" s="36">
        <f t="shared" ca="1" si="46"/>
        <v>57702.444016316469</v>
      </c>
      <c r="H323" s="37">
        <f t="shared" ca="1" si="47"/>
        <v>0.17076901384661475</v>
      </c>
      <c r="I323" s="37">
        <f t="shared" ca="1" si="48"/>
        <v>7.9752837633246018E-2</v>
      </c>
      <c r="J323" s="38">
        <f t="shared" ca="1" si="49"/>
        <v>1.9842522968797488E-2</v>
      </c>
      <c r="K323" s="36">
        <f t="shared" ca="1" si="50"/>
        <v>1319.000080953369</v>
      </c>
      <c r="L323" s="36">
        <f ca="1">Assumptions!$C$10*Assumptions!$C$13*I323*Assumptions!$C$15</f>
        <v>5531.1660315488161</v>
      </c>
      <c r="M323" s="36">
        <f ca="1">G323*(1+H323*Assumptions!$C$6)*(1+J323)+L323+K323</f>
        <v>67707.434900552063</v>
      </c>
    </row>
    <row r="324" spans="1:13" x14ac:dyDescent="0.25">
      <c r="A324" s="3">
        <v>311</v>
      </c>
      <c r="B324" s="3">
        <f t="shared" ref="B324:F333" ca="1" si="56">RAND()</f>
        <v>0.58426174168268652</v>
      </c>
      <c r="C324" s="3">
        <f t="shared" ca="1" si="56"/>
        <v>0.96654522202117132</v>
      </c>
      <c r="D324" s="3">
        <f t="shared" ca="1" si="56"/>
        <v>0.88141986039906661</v>
      </c>
      <c r="E324" s="3">
        <f t="shared" ca="1" si="56"/>
        <v>0.8596569271061304</v>
      </c>
      <c r="F324" s="3">
        <f t="shared" ca="1" si="56"/>
        <v>0.67873942250831176</v>
      </c>
      <c r="G324" s="36">
        <f t="shared" ca="1" si="46"/>
        <v>57937.20752986263</v>
      </c>
      <c r="H324" s="37">
        <f t="shared" ca="1" si="47"/>
        <v>0.21238172818735224</v>
      </c>
      <c r="I324" s="37">
        <f t="shared" ca="1" si="48"/>
        <v>0.10052035814695283</v>
      </c>
      <c r="J324" s="38">
        <f t="shared" ca="1" si="49"/>
        <v>3.9404035753406126E-2</v>
      </c>
      <c r="K324" s="36">
        <f t="shared" ca="1" si="50"/>
        <v>1797.6387403477286</v>
      </c>
      <c r="L324" s="36">
        <f ca="1">Assumptions!$C$10*Assumptions!$C$13*I324*Assumptions!$C$15</f>
        <v>6971.4734542532815</v>
      </c>
      <c r="M324" s="36">
        <f ca="1">G324*(1+H324*Assumptions!$C$6)*(1+J324)+L324+K324</f>
        <v>71547.212163143238</v>
      </c>
    </row>
    <row r="325" spans="1:13" x14ac:dyDescent="0.25">
      <c r="A325" s="3">
        <v>312</v>
      </c>
      <c r="B325" s="3">
        <f t="shared" ca="1" si="56"/>
        <v>0.91273051021448759</v>
      </c>
      <c r="C325" s="3">
        <f t="shared" ca="1" si="56"/>
        <v>0.83411401050926115</v>
      </c>
      <c r="D325" s="3">
        <f t="shared" ca="1" si="56"/>
        <v>0.59198180972619885</v>
      </c>
      <c r="E325" s="3">
        <f t="shared" ca="1" si="56"/>
        <v>0.89991603999497005</v>
      </c>
      <c r="F325" s="3">
        <f t="shared" ca="1" si="56"/>
        <v>0.19848691027911969</v>
      </c>
      <c r="G325" s="36">
        <f t="shared" ca="1" si="46"/>
        <v>58377.283957823543</v>
      </c>
      <c r="H325" s="37">
        <f t="shared" ca="1" si="47"/>
        <v>0.17850040194937167</v>
      </c>
      <c r="I325" s="37">
        <f t="shared" ca="1" si="48"/>
        <v>8.3866107200079268E-2</v>
      </c>
      <c r="J325" s="38">
        <f t="shared" ca="1" si="49"/>
        <v>4.1051974072231129E-2</v>
      </c>
      <c r="K325" s="36">
        <f t="shared" ca="1" si="50"/>
        <v>945.08787753099364</v>
      </c>
      <c r="L325" s="36">
        <f ca="1">Assumptions!$C$10*Assumptions!$C$13*I325*Assumptions!$C$15</f>
        <v>5816.4370962762659</v>
      </c>
      <c r="M325" s="36">
        <f ca="1">G325*(1+H325*Assumptions!$C$6)*(1+J325)+L325+K325</f>
        <v>69704.940750049776</v>
      </c>
    </row>
    <row r="326" spans="1:13" x14ac:dyDescent="0.25">
      <c r="A326" s="3">
        <v>313</v>
      </c>
      <c r="B326" s="3">
        <f t="shared" ca="1" si="56"/>
        <v>0.98771642804017601</v>
      </c>
      <c r="C326" s="3">
        <f t="shared" ca="1" si="56"/>
        <v>0.99353501325633009</v>
      </c>
      <c r="D326" s="3">
        <f t="shared" ca="1" si="56"/>
        <v>0.61848088684409763</v>
      </c>
      <c r="E326" s="3">
        <f t="shared" ca="1" si="56"/>
        <v>0.25543989214585716</v>
      </c>
      <c r="F326" s="3">
        <f t="shared" ca="1" si="56"/>
        <v>0.73653328598189083</v>
      </c>
      <c r="G326" s="36">
        <f t="shared" ca="1" si="46"/>
        <v>58609.794021745671</v>
      </c>
      <c r="H326" s="37">
        <f t="shared" ca="1" si="47"/>
        <v>0.22785908991237996</v>
      </c>
      <c r="I326" s="37">
        <f t="shared" ca="1" si="48"/>
        <v>8.5059176281906471E-2</v>
      </c>
      <c r="J326" s="38">
        <f t="shared" ca="1" si="49"/>
        <v>2.4295170992915255E-2</v>
      </c>
      <c r="K326" s="36">
        <f t="shared" ca="1" si="50"/>
        <v>1911.1472950479063</v>
      </c>
      <c r="L326" s="36">
        <f ca="1">Assumptions!$C$10*Assumptions!$C$13*I326*Assumptions!$C$15</f>
        <v>5899.1810258282203</v>
      </c>
      <c r="M326" s="36">
        <f ca="1">G326*(1+H326*Assumptions!$C$6)*(1+J326)+L326+K326</f>
        <v>70579.903480552224</v>
      </c>
    </row>
    <row r="327" spans="1:13" x14ac:dyDescent="0.25">
      <c r="A327" s="3">
        <v>314</v>
      </c>
      <c r="B327" s="3">
        <f t="shared" ca="1" si="56"/>
        <v>0.24596127896536901</v>
      </c>
      <c r="C327" s="3">
        <f t="shared" ca="1" si="56"/>
        <v>0.97918926485350966</v>
      </c>
      <c r="D327" s="3">
        <f t="shared" ca="1" si="56"/>
        <v>0.30880324777960222</v>
      </c>
      <c r="E327" s="3">
        <f t="shared" ca="1" si="56"/>
        <v>0.99000528524430365</v>
      </c>
      <c r="F327" s="3">
        <f t="shared" ca="1" si="56"/>
        <v>0.6053170701556988</v>
      </c>
      <c r="G327" s="36">
        <f t="shared" ca="1" si="46"/>
        <v>57628.083983637305</v>
      </c>
      <c r="H327" s="37">
        <f t="shared" ca="1" si="47"/>
        <v>0.21821732887499837</v>
      </c>
      <c r="I327" s="37">
        <f t="shared" ca="1" si="48"/>
        <v>7.143517763421621E-2</v>
      </c>
      <c r="J327" s="38">
        <f t="shared" ca="1" si="49"/>
        <v>4.7172320420458311E-2</v>
      </c>
      <c r="K327" s="36">
        <f t="shared" ca="1" si="50"/>
        <v>1667.3060425216315</v>
      </c>
      <c r="L327" s="36">
        <f ca="1">Assumptions!$C$10*Assumptions!$C$13*I327*Assumptions!$C$15</f>
        <v>4954.3043196161025</v>
      </c>
      <c r="M327" s="36">
        <f ca="1">G327*(1+H327*Assumptions!$C$6)*(1+J327)+L327+K327</f>
        <v>69601.876698552398</v>
      </c>
    </row>
    <row r="328" spans="1:13" x14ac:dyDescent="0.25">
      <c r="A328" s="3">
        <v>315</v>
      </c>
      <c r="B328" s="3">
        <f t="shared" ca="1" si="56"/>
        <v>0.70576078979030443</v>
      </c>
      <c r="C328" s="3">
        <f t="shared" ca="1" si="56"/>
        <v>0.2626524466094321</v>
      </c>
      <c r="D328" s="3">
        <f t="shared" ca="1" si="56"/>
        <v>0.56173461624314625</v>
      </c>
      <c r="E328" s="3">
        <f t="shared" ca="1" si="56"/>
        <v>0.70088641628781512</v>
      </c>
      <c r="F328" s="3">
        <f t="shared" ca="1" si="56"/>
        <v>0.93653040666281928</v>
      </c>
      <c r="G328" s="36">
        <f t="shared" ca="1" si="46"/>
        <v>58066.119619798745</v>
      </c>
      <c r="H328" s="37">
        <f t="shared" ca="1" si="47"/>
        <v>0.10910395536599431</v>
      </c>
      <c r="I328" s="37">
        <f t="shared" ca="1" si="48"/>
        <v>8.255071124811672E-2</v>
      </c>
      <c r="J328" s="38">
        <f t="shared" ca="1" si="49"/>
        <v>3.4530970716630346E-2</v>
      </c>
      <c r="K328" s="36">
        <f t="shared" ca="1" si="50"/>
        <v>2465.5721096187876</v>
      </c>
      <c r="L328" s="36">
        <f ca="1">Assumptions!$C$10*Assumptions!$C$13*I328*Assumptions!$C$15</f>
        <v>5725.2093277924632</v>
      </c>
      <c r="M328" s="36">
        <f ca="1">G328*(1+H328*Assumptions!$C$6)*(1+J328)+L328+K328</f>
        <v>69572.781618420384</v>
      </c>
    </row>
    <row r="329" spans="1:13" x14ac:dyDescent="0.25">
      <c r="A329" s="3">
        <v>316</v>
      </c>
      <c r="B329" s="3">
        <f t="shared" ca="1" si="56"/>
        <v>4.2133075444735213E-2</v>
      </c>
      <c r="C329" s="3">
        <f t="shared" ca="1" si="56"/>
        <v>0.11416752682517595</v>
      </c>
      <c r="D329" s="3">
        <f t="shared" ca="1" si="56"/>
        <v>0.70480360047673341</v>
      </c>
      <c r="E329" s="3">
        <f t="shared" ca="1" si="56"/>
        <v>0.22327406224805979</v>
      </c>
      <c r="F329" s="3">
        <f t="shared" ca="1" si="56"/>
        <v>0.12983146912741061</v>
      </c>
      <c r="G329" s="36">
        <f t="shared" ca="1" si="46"/>
        <v>57318.565295825123</v>
      </c>
      <c r="H329" s="37">
        <f t="shared" ca="1" si="47"/>
        <v>8.8967013059443489E-2</v>
      </c>
      <c r="I329" s="37">
        <f t="shared" ca="1" si="48"/>
        <v>8.9265191094225871E-2</v>
      </c>
      <c r="J329" s="38">
        <f t="shared" ca="1" si="49"/>
        <v>2.3364851282316905E-2</v>
      </c>
      <c r="K329" s="36">
        <f t="shared" ca="1" si="50"/>
        <v>764.35699190453397</v>
      </c>
      <c r="L329" s="36">
        <f ca="1">Assumptions!$C$10*Assumptions!$C$13*I329*Assumptions!$C$15</f>
        <v>6190.8843300426179</v>
      </c>
      <c r="M329" s="36">
        <f ca="1">G329*(1+H329*Assumptions!$C$6)*(1+J329)+L329+K329</f>
        <v>66656.768313203604</v>
      </c>
    </row>
    <row r="330" spans="1:13" x14ac:dyDescent="0.25">
      <c r="A330" s="3">
        <v>317</v>
      </c>
      <c r="B330" s="3">
        <f t="shared" ca="1" si="56"/>
        <v>0.7289725998466613</v>
      </c>
      <c r="C330" s="3">
        <f t="shared" ca="1" si="56"/>
        <v>0.53016235485400953</v>
      </c>
      <c r="D330" s="3">
        <f t="shared" ca="1" si="56"/>
        <v>0.98072747467186328</v>
      </c>
      <c r="E330" s="3">
        <f t="shared" ca="1" si="56"/>
        <v>0.54682315330310904</v>
      </c>
      <c r="F330" s="3">
        <f t="shared" ca="1" si="56"/>
        <v>0.20511743652068981</v>
      </c>
      <c r="G330" s="36">
        <f t="shared" ca="1" si="46"/>
        <v>58093.624478301943</v>
      </c>
      <c r="H330" s="37">
        <f t="shared" ca="1" si="47"/>
        <v>0.13649976662186417</v>
      </c>
      <c r="I330" s="37">
        <f t="shared" ca="1" si="48"/>
        <v>0.11214684260631193</v>
      </c>
      <c r="J330" s="38">
        <f t="shared" ca="1" si="49"/>
        <v>3.0959478017724598E-2</v>
      </c>
      <c r="K330" s="36">
        <f t="shared" ca="1" si="50"/>
        <v>960.74370377489549</v>
      </c>
      <c r="L330" s="36">
        <f ca="1">Assumptions!$C$10*Assumptions!$C$13*I330*Assumptions!$C$15</f>
        <v>7777.8148687577559</v>
      </c>
      <c r="M330" s="36">
        <f ca="1">G330*(1+H330*Assumptions!$C$6)*(1+J330)+L330+K330</f>
        <v>70265.784861910608</v>
      </c>
    </row>
    <row r="331" spans="1:13" x14ac:dyDescent="0.25">
      <c r="A331" s="3">
        <v>318</v>
      </c>
      <c r="B331" s="3">
        <f t="shared" ca="1" si="56"/>
        <v>0.15713314850284432</v>
      </c>
      <c r="C331" s="3">
        <f t="shared" ca="1" si="56"/>
        <v>0.81240790449135636</v>
      </c>
      <c r="D331" s="3">
        <f t="shared" ca="1" si="56"/>
        <v>0.17211880368555654</v>
      </c>
      <c r="E331" s="3">
        <f t="shared" ca="1" si="56"/>
        <v>8.516238591063674E-2</v>
      </c>
      <c r="F331" s="3">
        <f t="shared" ca="1" si="56"/>
        <v>0.42477462248805953</v>
      </c>
      <c r="G331" s="36">
        <f t="shared" ca="1" si="46"/>
        <v>57522.088510801397</v>
      </c>
      <c r="H331" s="37">
        <f t="shared" ca="1" si="47"/>
        <v>0.17460046041754518</v>
      </c>
      <c r="I331" s="37">
        <f t="shared" ca="1" si="48"/>
        <v>6.3468706223262089E-2</v>
      </c>
      <c r="J331" s="38">
        <f t="shared" ca="1" si="49"/>
        <v>1.8254084366452126E-2</v>
      </c>
      <c r="K331" s="36">
        <f t="shared" ca="1" si="50"/>
        <v>1382.564935616504</v>
      </c>
      <c r="L331" s="36">
        <f ca="1">Assumptions!$C$10*Assumptions!$C$13*I331*Assumptions!$C$15</f>
        <v>4401.7988869917763</v>
      </c>
      <c r="M331" s="36">
        <f ca="1">G331*(1+H331*Assumptions!$C$6)*(1+J331)+L331+K331</f>
        <v>66401.808570279041</v>
      </c>
    </row>
    <row r="332" spans="1:13" x14ac:dyDescent="0.25">
      <c r="A332" s="3">
        <v>319</v>
      </c>
      <c r="B332" s="3">
        <f t="shared" ca="1" si="56"/>
        <v>0.53466218982494274</v>
      </c>
      <c r="C332" s="3">
        <f t="shared" ca="1" si="56"/>
        <v>0.50278634621727203</v>
      </c>
      <c r="D332" s="3">
        <f t="shared" ca="1" si="56"/>
        <v>3.4220955481527371E-2</v>
      </c>
      <c r="E332" s="3">
        <f t="shared" ca="1" si="56"/>
        <v>0.47921050391789322</v>
      </c>
      <c r="F332" s="3">
        <f t="shared" ca="1" si="56"/>
        <v>0.28607153878634928</v>
      </c>
      <c r="G332" s="36">
        <f t="shared" ca="1" si="46"/>
        <v>57890.122942480637</v>
      </c>
      <c r="H332" s="37">
        <f t="shared" ca="1" si="47"/>
        <v>0.13352713347408082</v>
      </c>
      <c r="I332" s="37">
        <f t="shared" ca="1" si="48"/>
        <v>5.0464561985142403E-2</v>
      </c>
      <c r="J332" s="38">
        <f t="shared" ca="1" si="49"/>
        <v>2.9579795788881827E-2</v>
      </c>
      <c r="K332" s="36">
        <f t="shared" ca="1" si="50"/>
        <v>1134.6020996536943</v>
      </c>
      <c r="L332" s="36">
        <f ca="1">Assumptions!$C$10*Assumptions!$C$13*I332*Assumptions!$C$15</f>
        <v>3499.9114681387987</v>
      </c>
      <c r="M332" s="36">
        <f ca="1">G332*(1+H332*Assumptions!$C$6)*(1+J332)+L332+K332</f>
        <v>65828.724745248197</v>
      </c>
    </row>
    <row r="333" spans="1:13" x14ac:dyDescent="0.25">
      <c r="A333" s="3">
        <v>320</v>
      </c>
      <c r="B333" s="3">
        <f t="shared" ca="1" si="56"/>
        <v>0.98161598268840378</v>
      </c>
      <c r="C333" s="3">
        <f t="shared" ca="1" si="56"/>
        <v>0.15989494971068685</v>
      </c>
      <c r="D333" s="3">
        <f t="shared" ca="1" si="56"/>
        <v>0.62837160774237033</v>
      </c>
      <c r="E333" s="3">
        <f t="shared" ca="1" si="56"/>
        <v>0.36963522407259308</v>
      </c>
      <c r="F333" s="3">
        <f t="shared" ca="1" si="56"/>
        <v>0.74592953699732478</v>
      </c>
      <c r="G333" s="36">
        <f t="shared" ca="1" si="46"/>
        <v>58578.609584491496</v>
      </c>
      <c r="H333" s="37">
        <f t="shared" ca="1" si="47"/>
        <v>9.611510415419372E-2</v>
      </c>
      <c r="I333" s="37">
        <f t="shared" ca="1" si="48"/>
        <v>8.5515063357685939E-2</v>
      </c>
      <c r="J333" s="38">
        <f t="shared" ca="1" si="49"/>
        <v>2.7196167574726482E-2</v>
      </c>
      <c r="K333" s="36">
        <f t="shared" ca="1" si="50"/>
        <v>1930.7399364457501</v>
      </c>
      <c r="L333" s="36">
        <f ca="1">Assumptions!$C$10*Assumptions!$C$13*I333*Assumptions!$C$15</f>
        <v>5930.7985479453555</v>
      </c>
      <c r="M333" s="36">
        <f ca="1">G333*(1+H333*Assumptions!$C$6)*(1+J333)+L333+K333</f>
        <v>69189.944041226801</v>
      </c>
    </row>
    <row r="334" spans="1:13" x14ac:dyDescent="0.25">
      <c r="A334" s="3">
        <v>321</v>
      </c>
      <c r="B334" s="3">
        <f t="shared" ref="B334:F343" ca="1" si="57">RAND()</f>
        <v>0.32485550396909701</v>
      </c>
      <c r="C334" s="3">
        <f t="shared" ca="1" si="57"/>
        <v>0.60586869157370582</v>
      </c>
      <c r="D334" s="3">
        <f t="shared" ca="1" si="57"/>
        <v>8.702915557226687E-3</v>
      </c>
      <c r="E334" s="3">
        <f t="shared" ca="1" si="57"/>
        <v>0.11812027179761897</v>
      </c>
      <c r="F334" s="3">
        <f t="shared" ca="1" si="57"/>
        <v>0.15993280602479332</v>
      </c>
      <c r="G334" s="36">
        <f t="shared" ref="G334:G397" ca="1" si="58">IF(B334&lt;($F$5-$E$5)/($G$5-$E$5),$E$5+SQRT(B334*($G$5-$E$5)*($F$5-$E$5)),$G$5-SQRT((1-B334)*($G$5-$E$5)*($G$5-$F$5)))</f>
        <v>57706.896648585702</v>
      </c>
      <c r="H334" s="37">
        <f t="shared" ref="H334:H397" ca="1" si="59">IF(C334&lt;($F$6-$E$6)/($G$6-$E$6),$E$6+SQRT(C334*($G$6-$E$6)*($F$6-$E$6)),$G$6-SQRT((1-C334)*($G$6-$E$6)*($G$6-$F$6)))</f>
        <v>0.14520446301581752</v>
      </c>
      <c r="I334" s="37">
        <f t="shared" ref="I334:I397" ca="1" si="60">IF(D334&lt;($F$7-$E$7)/($G$7-$E$7),$E$7+SQRT(D334*($G$7-$E$7)*($F$7-$E$7)),$G$7-SQRT((1-D334)*($G$7-$E$7)*($G$7-$F$7)))</f>
        <v>4.5277246420542192E-2</v>
      </c>
      <c r="J334" s="38">
        <f t="shared" ref="J334:J397" ca="1" si="61">IF(E334&lt;($F$8-$E$8)/($G$8-$E$8),$E$8+SQRT(E334*($G$8-$E$8)*($F$8-$E$8)),$G$8-SQRT((1-E334)*($G$8-$E$8)*($G$8-$F$8)))</f>
        <v>1.9720916491673776E-2</v>
      </c>
      <c r="K334" s="36">
        <f t="shared" ref="K334:K397" ca="1" si="62">IF(F334&lt;($F$9-$E$9)/($G$9-$E$9),$E$9+SQRT(F334*($G$9-$E$9)*($F$9-$E$9)),$G$9-SQRT((1-F334)*($G$9-$E$9)*($G$9-$F$9)))</f>
        <v>848.34994378002398</v>
      </c>
      <c r="L334" s="36">
        <f ca="1">Assumptions!$C$10*Assumptions!$C$13*I334*Assumptions!$C$15</f>
        <v>3140.1511825200641</v>
      </c>
      <c r="M334" s="36">
        <f ca="1">G334*(1+H334*Assumptions!$C$6)*(1+J334)+L334+K334</f>
        <v>64542.339943651205</v>
      </c>
    </row>
    <row r="335" spans="1:13" x14ac:dyDescent="0.25">
      <c r="A335" s="3">
        <v>322</v>
      </c>
      <c r="B335" s="3">
        <f t="shared" ca="1" si="57"/>
        <v>0.3222193064991371</v>
      </c>
      <c r="C335" s="3">
        <f t="shared" ca="1" si="57"/>
        <v>0.83243570936131994</v>
      </c>
      <c r="D335" s="3">
        <f t="shared" ca="1" si="57"/>
        <v>0.37009323168626418</v>
      </c>
      <c r="E335" s="3">
        <f t="shared" ca="1" si="57"/>
        <v>0.55701101693152688</v>
      </c>
      <c r="F335" s="3">
        <f t="shared" ca="1" si="57"/>
        <v>0.22266100507327991</v>
      </c>
      <c r="G335" s="36">
        <f t="shared" ca="1" si="58"/>
        <v>57704.429153935424</v>
      </c>
      <c r="H335" s="37">
        <f t="shared" ca="1" si="59"/>
        <v>0.17819008310503964</v>
      </c>
      <c r="I335" s="37">
        <f t="shared" ca="1" si="60"/>
        <v>7.4413635980466311E-2</v>
      </c>
      <c r="J335" s="38">
        <f t="shared" ca="1" si="61"/>
        <v>3.1174719485362816E-2</v>
      </c>
      <c r="K335" s="36">
        <f t="shared" ca="1" si="62"/>
        <v>1000.9867745528707</v>
      </c>
      <c r="L335" s="36">
        <f ca="1">Assumptions!$C$10*Assumptions!$C$13*I335*Assumptions!$C$15</f>
        <v>5160.871861537571</v>
      </c>
      <c r="M335" s="36">
        <f ca="1">G335*(1+H335*Assumptions!$C$6)*(1+J335)+L335+K335</f>
        <v>67785.788506446232</v>
      </c>
    </row>
    <row r="336" spans="1:13" x14ac:dyDescent="0.25">
      <c r="A336" s="3">
        <v>323</v>
      </c>
      <c r="B336" s="3">
        <f t="shared" ca="1" si="57"/>
        <v>9.3083691478943686E-2</v>
      </c>
      <c r="C336" s="3">
        <f t="shared" ca="1" si="57"/>
        <v>0.82975564241101951</v>
      </c>
      <c r="D336" s="3">
        <f t="shared" ca="1" si="57"/>
        <v>0.26558599403798722</v>
      </c>
      <c r="E336" s="3">
        <f t="shared" ca="1" si="57"/>
        <v>0.5067117557714157</v>
      </c>
      <c r="F336" s="3">
        <f t="shared" ca="1" si="57"/>
        <v>0.7689812526825307</v>
      </c>
      <c r="G336" s="36">
        <f t="shared" ca="1" si="58"/>
        <v>57424.867617611526</v>
      </c>
      <c r="H336" s="37">
        <f t="shared" ca="1" si="59"/>
        <v>0.17769774199092978</v>
      </c>
      <c r="I336" s="37">
        <f t="shared" ca="1" si="60"/>
        <v>6.9152618766099877E-2</v>
      </c>
      <c r="J336" s="38">
        <f t="shared" ca="1" si="61"/>
        <v>3.0134688641179887E-2</v>
      </c>
      <c r="K336" s="36">
        <f t="shared" ca="1" si="62"/>
        <v>1980.3999004861703</v>
      </c>
      <c r="L336" s="36">
        <f ca="1">Assumptions!$C$10*Assumptions!$C$13*I336*Assumptions!$C$15</f>
        <v>4796.0000830396648</v>
      </c>
      <c r="M336" s="36">
        <f ca="1">G336*(1+H336*Assumptions!$C$6)*(1+J336)+L336+K336</f>
        <v>68034.102464702766</v>
      </c>
    </row>
    <row r="337" spans="1:13" x14ac:dyDescent="0.25">
      <c r="A337" s="3">
        <v>324</v>
      </c>
      <c r="B337" s="3">
        <f t="shared" ca="1" si="57"/>
        <v>0.91481889176734976</v>
      </c>
      <c r="C337" s="3">
        <f t="shared" ca="1" si="57"/>
        <v>0.5413432592763272</v>
      </c>
      <c r="D337" s="3">
        <f t="shared" ca="1" si="57"/>
        <v>0.32428648401078253</v>
      </c>
      <c r="E337" s="3">
        <f t="shared" ca="1" si="57"/>
        <v>0.26658433117455738</v>
      </c>
      <c r="F337" s="3">
        <f t="shared" ca="1" si="57"/>
        <v>1.8244115827471652E-2</v>
      </c>
      <c r="G337" s="36">
        <f t="shared" ca="1" si="58"/>
        <v>58381.763369053042</v>
      </c>
      <c r="H337" s="37">
        <f t="shared" ca="1" si="59"/>
        <v>0.13773869896925944</v>
      </c>
      <c r="I337" s="37">
        <f t="shared" ca="1" si="60"/>
        <v>7.2213611235539932E-2</v>
      </c>
      <c r="J337" s="38">
        <f t="shared" ca="1" si="61"/>
        <v>2.4603679842411155E-2</v>
      </c>
      <c r="K337" s="36">
        <f t="shared" ca="1" si="62"/>
        <v>286.52839514369674</v>
      </c>
      <c r="L337" s="36">
        <f ca="1">Assumptions!$C$10*Assumptions!$C$13*I337*Assumptions!$C$15</f>
        <v>5008.2916838432911</v>
      </c>
      <c r="M337" s="36">
        <f ca="1">G337*(1+H337*Assumptions!$C$6)*(1+J337)+L337+K337</f>
        <v>66760.845033241712</v>
      </c>
    </row>
    <row r="338" spans="1:13" x14ac:dyDescent="0.25">
      <c r="A338" s="3">
        <v>325</v>
      </c>
      <c r="B338" s="3">
        <f t="shared" ca="1" si="57"/>
        <v>0.92068474386982901</v>
      </c>
      <c r="C338" s="3">
        <f t="shared" ca="1" si="57"/>
        <v>0.56867932698873136</v>
      </c>
      <c r="D338" s="3">
        <f t="shared" ca="1" si="57"/>
        <v>0.25866597731581054</v>
      </c>
      <c r="E338" s="3">
        <f t="shared" ca="1" si="57"/>
        <v>0.62498898102635048</v>
      </c>
      <c r="F338" s="3">
        <f t="shared" ca="1" si="57"/>
        <v>0.22819079485857185</v>
      </c>
      <c r="G338" s="36">
        <f t="shared" ca="1" si="58"/>
        <v>58394.64757023321</v>
      </c>
      <c r="H338" s="37">
        <f t="shared" ca="1" si="59"/>
        <v>0.1408329119886193</v>
      </c>
      <c r="I338" s="37">
        <f t="shared" ca="1" si="60"/>
        <v>6.8770316776333801E-2</v>
      </c>
      <c r="J338" s="38">
        <f t="shared" ca="1" si="61"/>
        <v>3.2679237453884444E-2</v>
      </c>
      <c r="K338" s="36">
        <f t="shared" ca="1" si="62"/>
        <v>1013.3403065424632</v>
      </c>
      <c r="L338" s="36">
        <f ca="1">Assumptions!$C$10*Assumptions!$C$13*I338*Assumptions!$C$15</f>
        <v>4769.4859696571193</v>
      </c>
      <c r="M338" s="36">
        <f ca="1">G338*(1+H338*Assumptions!$C$6)*(1+J338)+L338+K338</f>
        <v>67784.294132250114</v>
      </c>
    </row>
    <row r="339" spans="1:13" x14ac:dyDescent="0.25">
      <c r="A339" s="3">
        <v>326</v>
      </c>
      <c r="B339" s="3">
        <f t="shared" ca="1" si="57"/>
        <v>0.56176805935824958</v>
      </c>
      <c r="C339" s="3">
        <f t="shared" ca="1" si="57"/>
        <v>0.30111391536600951</v>
      </c>
      <c r="D339" s="3">
        <f t="shared" ca="1" si="57"/>
        <v>0.99493881658972816</v>
      </c>
      <c r="E339" s="3">
        <f t="shared" ca="1" si="57"/>
        <v>0.10662305488797574</v>
      </c>
      <c r="F339" s="3">
        <f t="shared" ca="1" si="57"/>
        <v>0.8012116893285991</v>
      </c>
      <c r="G339" s="36">
        <f t="shared" ca="1" si="58"/>
        <v>57915.524880313445</v>
      </c>
      <c r="H339" s="37">
        <f t="shared" ca="1" si="59"/>
        <v>0.11328360825970597</v>
      </c>
      <c r="I339" s="37">
        <f t="shared" ca="1" si="60"/>
        <v>0.11597560104948951</v>
      </c>
      <c r="J339" s="38">
        <f t="shared" ca="1" si="61"/>
        <v>1.9235715668554365E-2</v>
      </c>
      <c r="K339" s="36">
        <f t="shared" ca="1" si="62"/>
        <v>2054.1948414069079</v>
      </c>
      <c r="L339" s="36">
        <f ca="1">Assumptions!$C$10*Assumptions!$C$13*I339*Assumptions!$C$15</f>
        <v>8043.3539927861329</v>
      </c>
      <c r="M339" s="36">
        <f ca="1">G339*(1+H339*Assumptions!$C$6)*(1+J339)+L339+K339</f>
        <v>70464.536853468642</v>
      </c>
    </row>
    <row r="340" spans="1:13" x14ac:dyDescent="0.25">
      <c r="A340" s="3">
        <v>327</v>
      </c>
      <c r="B340" s="3">
        <f t="shared" ca="1" si="57"/>
        <v>0.16221423305108917</v>
      </c>
      <c r="C340" s="3">
        <f t="shared" ca="1" si="57"/>
        <v>0.17904690965685655</v>
      </c>
      <c r="D340" s="3">
        <f t="shared" ca="1" si="57"/>
        <v>0.49573414960989381</v>
      </c>
      <c r="E340" s="3">
        <f t="shared" ca="1" si="57"/>
        <v>0.2354594626034836</v>
      </c>
      <c r="F340" s="3">
        <f t="shared" ca="1" si="57"/>
        <v>0.37504518711415158</v>
      </c>
      <c r="G340" s="36">
        <f t="shared" ca="1" si="58"/>
        <v>57528.858580078202</v>
      </c>
      <c r="H340" s="37">
        <f t="shared" ca="1" si="59"/>
        <v>9.8798810420298089E-2</v>
      </c>
      <c r="I340" s="37">
        <f t="shared" ca="1" si="60"/>
        <v>7.9829000473921774E-2</v>
      </c>
      <c r="J340" s="38">
        <f t="shared" ca="1" si="61"/>
        <v>2.3724706557256038E-2</v>
      </c>
      <c r="K340" s="36">
        <f t="shared" ca="1" si="62"/>
        <v>1299.1163696966034</v>
      </c>
      <c r="L340" s="36">
        <f ca="1">Assumptions!$C$10*Assumptions!$C$13*I340*Assumptions!$C$15</f>
        <v>5536.4482174836812</v>
      </c>
      <c r="M340" s="36">
        <f ca="1">G340*(1+H340*Assumptions!$C$6)*(1+J340)+L340+K340</f>
        <v>66893.004229932281</v>
      </c>
    </row>
    <row r="341" spans="1:13" x14ac:dyDescent="0.25">
      <c r="A341" s="3">
        <v>328</v>
      </c>
      <c r="B341" s="3">
        <f t="shared" ca="1" si="57"/>
        <v>9.0883237826446472E-2</v>
      </c>
      <c r="C341" s="3">
        <f t="shared" ca="1" si="57"/>
        <v>0.93650453044434923</v>
      </c>
      <c r="D341" s="3">
        <f t="shared" ca="1" si="57"/>
        <v>0.47185493436810633</v>
      </c>
      <c r="E341" s="3">
        <f t="shared" ca="1" si="57"/>
        <v>0.69359039762832675</v>
      </c>
      <c r="F341" s="3">
        <f t="shared" ca="1" si="57"/>
        <v>0.73539370248167946</v>
      </c>
      <c r="G341" s="36">
        <f t="shared" ca="1" si="58"/>
        <v>57421.004795223671</v>
      </c>
      <c r="H341" s="37">
        <f t="shared" ca="1" si="59"/>
        <v>0.20195139022422975</v>
      </c>
      <c r="I341" s="37">
        <f t="shared" ca="1" si="60"/>
        <v>7.8857892248267142E-2</v>
      </c>
      <c r="J341" s="38">
        <f t="shared" ca="1" si="61"/>
        <v>3.4343446040161374E-2</v>
      </c>
      <c r="K341" s="36">
        <f t="shared" ca="1" si="62"/>
        <v>1908.7950060449491</v>
      </c>
      <c r="L341" s="36">
        <f ca="1">Assumptions!$C$10*Assumptions!$C$13*I341*Assumptions!$C$15</f>
        <v>5469.098127002896</v>
      </c>
      <c r="M341" s="36">
        <f ca="1">G341*(1+H341*Assumptions!$C$6)*(1+J341)+L341+K341</f>
        <v>69169.834506546234</v>
      </c>
    </row>
    <row r="342" spans="1:13" x14ac:dyDescent="0.25">
      <c r="A342" s="3">
        <v>329</v>
      </c>
      <c r="B342" s="3">
        <f t="shared" ca="1" si="57"/>
        <v>0.15218684910847835</v>
      </c>
      <c r="C342" s="3">
        <f t="shared" ca="1" si="57"/>
        <v>0.62240792301339676</v>
      </c>
      <c r="D342" s="3">
        <f t="shared" ca="1" si="57"/>
        <v>0.79023923210670555</v>
      </c>
      <c r="E342" s="3">
        <f t="shared" ca="1" si="57"/>
        <v>0.19739139402818695</v>
      </c>
      <c r="F342" s="3">
        <f t="shared" ca="1" si="57"/>
        <v>0.60582209405536747</v>
      </c>
      <c r="G342" s="36">
        <f t="shared" ca="1" si="58"/>
        <v>57515.392056479039</v>
      </c>
      <c r="H342" s="37">
        <f t="shared" ca="1" si="59"/>
        <v>0.14721476757967056</v>
      </c>
      <c r="I342" s="37">
        <f t="shared" ca="1" si="60"/>
        <v>9.4091807140239556E-2</v>
      </c>
      <c r="J342" s="38">
        <f t="shared" ca="1" si="61"/>
        <v>2.2566348523837366E-2</v>
      </c>
      <c r="K342" s="36">
        <f t="shared" ca="1" si="62"/>
        <v>1668.158952145247</v>
      </c>
      <c r="L342" s="36">
        <f ca="1">Assumptions!$C$10*Assumptions!$C$13*I342*Assumptions!$C$15</f>
        <v>6525.6287167415367</v>
      </c>
      <c r="M342" s="36">
        <f ca="1">G342*(1+H342*Assumptions!$C$6)*(1+J342)+L342+K342</f>
        <v>68738.729496716696</v>
      </c>
    </row>
    <row r="343" spans="1:13" x14ac:dyDescent="0.25">
      <c r="A343" s="3">
        <v>330</v>
      </c>
      <c r="B343" s="3">
        <f t="shared" ca="1" si="57"/>
        <v>0.61615814168470284</v>
      </c>
      <c r="C343" s="3">
        <f t="shared" ca="1" si="57"/>
        <v>0.91021905552625226</v>
      </c>
      <c r="D343" s="3">
        <f t="shared" ca="1" si="57"/>
        <v>0.55434329551775718</v>
      </c>
      <c r="E343" s="3">
        <f t="shared" ca="1" si="57"/>
        <v>0.30882845728770991</v>
      </c>
      <c r="F343" s="3">
        <f t="shared" ca="1" si="57"/>
        <v>0.86451952262472465</v>
      </c>
      <c r="G343" s="36">
        <f t="shared" ca="1" si="58"/>
        <v>57968.985971216804</v>
      </c>
      <c r="H343" s="37">
        <f t="shared" ca="1" si="59"/>
        <v>0.19475615473899849</v>
      </c>
      <c r="I343" s="37">
        <f t="shared" ca="1" si="60"/>
        <v>8.2236241522549991E-2</v>
      </c>
      <c r="J343" s="38">
        <f t="shared" ca="1" si="61"/>
        <v>2.5718230365730357E-2</v>
      </c>
      <c r="K343" s="36">
        <f t="shared" ca="1" si="62"/>
        <v>2219.1913498245945</v>
      </c>
      <c r="L343" s="36">
        <f ca="1">Assumptions!$C$10*Assumptions!$C$13*I343*Assumptions!$C$15</f>
        <v>5703.3996428254659</v>
      </c>
      <c r="M343" s="36">
        <f ca="1">G343*(1+H343*Assumptions!$C$6)*(1+J343)+L343+K343</f>
        <v>69698.470881376532</v>
      </c>
    </row>
    <row r="344" spans="1:13" x14ac:dyDescent="0.25">
      <c r="A344" s="3">
        <v>331</v>
      </c>
      <c r="B344" s="3">
        <f t="shared" ref="B344:F353" ca="1" si="63">RAND()</f>
        <v>0.79651479191232921</v>
      </c>
      <c r="C344" s="3">
        <f t="shared" ca="1" si="63"/>
        <v>0.96388255890234142</v>
      </c>
      <c r="D344" s="3">
        <f t="shared" ca="1" si="63"/>
        <v>0.34795000501166151</v>
      </c>
      <c r="E344" s="3">
        <f t="shared" ca="1" si="63"/>
        <v>0.14789929209011921</v>
      </c>
      <c r="F344" s="3">
        <f t="shared" ca="1" si="63"/>
        <v>0.50578698132056965</v>
      </c>
      <c r="G344" s="36">
        <f t="shared" ca="1" si="58"/>
        <v>58181.182328850402</v>
      </c>
      <c r="H344" s="37">
        <f t="shared" ca="1" si="59"/>
        <v>0.21130369959338632</v>
      </c>
      <c r="I344" s="37">
        <f t="shared" ca="1" si="60"/>
        <v>7.3368248621066653E-2</v>
      </c>
      <c r="J344" s="38">
        <f t="shared" ca="1" si="61"/>
        <v>2.0877473680597683E-2</v>
      </c>
      <c r="K344" s="36">
        <f t="shared" ca="1" si="62"/>
        <v>1508.7057352563054</v>
      </c>
      <c r="L344" s="36">
        <f ca="1">Assumptions!$C$10*Assumptions!$C$13*I344*Assumptions!$C$15</f>
        <v>5088.3702274425914</v>
      </c>
      <c r="M344" s="36">
        <f ca="1">G344*(1+H344*Assumptions!$C$6)*(1+J344)+L344+K344</f>
        <v>68503.04731975148</v>
      </c>
    </row>
    <row r="345" spans="1:13" x14ac:dyDescent="0.25">
      <c r="A345" s="3">
        <v>332</v>
      </c>
      <c r="B345" s="3">
        <f t="shared" ca="1" si="63"/>
        <v>0.5685192879103248</v>
      </c>
      <c r="C345" s="3">
        <f t="shared" ca="1" si="63"/>
        <v>0.26946153888665669</v>
      </c>
      <c r="D345" s="3">
        <f t="shared" ca="1" si="63"/>
        <v>0.49170858548150143</v>
      </c>
      <c r="E345" s="3">
        <f t="shared" ca="1" si="63"/>
        <v>0.76583373703081181</v>
      </c>
      <c r="F345" s="3">
        <f t="shared" ca="1" si="63"/>
        <v>0.3965402282168401</v>
      </c>
      <c r="G345" s="36">
        <f t="shared" ca="1" si="58"/>
        <v>57921.973008528097</v>
      </c>
      <c r="H345" s="37">
        <f t="shared" ca="1" si="59"/>
        <v>0.10986516906509605</v>
      </c>
      <c r="I345" s="37">
        <f t="shared" ca="1" si="60"/>
        <v>7.9666956948331757E-2</v>
      </c>
      <c r="J345" s="38">
        <f t="shared" ca="1" si="61"/>
        <v>3.6313035019576091E-2</v>
      </c>
      <c r="K345" s="36">
        <f t="shared" ca="1" si="62"/>
        <v>1335.8259718151091</v>
      </c>
      <c r="L345" s="36">
        <f ca="1">Assumptions!$C$10*Assumptions!$C$13*I345*Assumptions!$C$15</f>
        <v>5525.2098757396852</v>
      </c>
      <c r="M345" s="36">
        <f ca="1">G345*(1+H345*Assumptions!$C$6)*(1+J345)+L345+K345</f>
        <v>68205.269341140011</v>
      </c>
    </row>
    <row r="346" spans="1:13" x14ac:dyDescent="0.25">
      <c r="A346" s="3">
        <v>333</v>
      </c>
      <c r="B346" s="3">
        <f t="shared" ca="1" si="63"/>
        <v>0.26295493981231843</v>
      </c>
      <c r="C346" s="3">
        <f t="shared" ca="1" si="63"/>
        <v>0.72830204431683121</v>
      </c>
      <c r="D346" s="3">
        <f t="shared" ca="1" si="63"/>
        <v>0.81950528148050306</v>
      </c>
      <c r="E346" s="3">
        <f t="shared" ca="1" si="63"/>
        <v>0.49065913807527661</v>
      </c>
      <c r="F346" s="3">
        <f t="shared" ca="1" si="63"/>
        <v>0.59082676361623143</v>
      </c>
      <c r="G346" s="36">
        <f t="shared" ca="1" si="58"/>
        <v>57646.022188658768</v>
      </c>
      <c r="H346" s="37">
        <f t="shared" ca="1" si="59"/>
        <v>0.16129349842880672</v>
      </c>
      <c r="I346" s="37">
        <f t="shared" ca="1" si="60"/>
        <v>9.5967041395983096E-2</v>
      </c>
      <c r="J346" s="38">
        <f t="shared" ca="1" si="61"/>
        <v>2.9812301998006725E-2</v>
      </c>
      <c r="K346" s="36">
        <f t="shared" ca="1" si="62"/>
        <v>1643.0624318978569</v>
      </c>
      <c r="L346" s="36">
        <f ca="1">Assumptions!$C$10*Assumptions!$C$13*I346*Assumptions!$C$15</f>
        <v>6655.6834248167961</v>
      </c>
      <c r="M346" s="36">
        <f ca="1">G346*(1+H346*Assumptions!$C$6)*(1+J346)+L346+K346</f>
        <v>69578.352916720294</v>
      </c>
    </row>
    <row r="347" spans="1:13" x14ac:dyDescent="0.25">
      <c r="A347" s="3">
        <v>334</v>
      </c>
      <c r="B347" s="3">
        <f t="shared" ca="1" si="63"/>
        <v>0.94334690844511426</v>
      </c>
      <c r="C347" s="3">
        <f t="shared" ca="1" si="63"/>
        <v>0.33836850985753908</v>
      </c>
      <c r="D347" s="3">
        <f t="shared" ca="1" si="63"/>
        <v>0.39793177299382565</v>
      </c>
      <c r="E347" s="3">
        <f t="shared" ca="1" si="63"/>
        <v>0.70149800941927554</v>
      </c>
      <c r="F347" s="3">
        <f t="shared" ca="1" si="63"/>
        <v>0.54515958954334554</v>
      </c>
      <c r="G347" s="36">
        <f t="shared" ca="1" si="58"/>
        <v>58449.581666318874</v>
      </c>
      <c r="H347" s="37">
        <f t="shared" ca="1" si="59"/>
        <v>0.11708428415884953</v>
      </c>
      <c r="I347" s="37">
        <f t="shared" ca="1" si="60"/>
        <v>7.5684473844800371E-2</v>
      </c>
      <c r="J347" s="38">
        <f t="shared" ca="1" si="61"/>
        <v>3.4546793456871824E-2</v>
      </c>
      <c r="K347" s="36">
        <f t="shared" ca="1" si="62"/>
        <v>1569.3421628303486</v>
      </c>
      <c r="L347" s="36">
        <f ca="1">Assumptions!$C$10*Assumptions!$C$13*I347*Assumptions!$C$15</f>
        <v>5249.0093552670769</v>
      </c>
      <c r="M347" s="36">
        <f ca="1">G347*(1+H347*Assumptions!$C$6)*(1+J347)+L347+K347</f>
        <v>68703.168681359937</v>
      </c>
    </row>
    <row r="348" spans="1:13" x14ac:dyDescent="0.25">
      <c r="A348" s="3">
        <v>335</v>
      </c>
      <c r="B348" s="3">
        <f t="shared" ca="1" si="63"/>
        <v>0.88545378028768496</v>
      </c>
      <c r="C348" s="3">
        <f t="shared" ca="1" si="63"/>
        <v>0.32649532713400864</v>
      </c>
      <c r="D348" s="3">
        <f t="shared" ca="1" si="63"/>
        <v>0.48396013289100792</v>
      </c>
      <c r="E348" s="3">
        <f t="shared" ca="1" si="63"/>
        <v>0.61216039857344096</v>
      </c>
      <c r="F348" s="3">
        <f t="shared" ca="1" si="63"/>
        <v>0.49756050872184199</v>
      </c>
      <c r="G348" s="36">
        <f t="shared" ca="1" si="58"/>
        <v>58323.077774070196</v>
      </c>
      <c r="H348" s="37">
        <f t="shared" ca="1" si="59"/>
        <v>0.11589679696982483</v>
      </c>
      <c r="I348" s="37">
        <f t="shared" ca="1" si="60"/>
        <v>7.9353175542149393E-2</v>
      </c>
      <c r="J348" s="38">
        <f t="shared" ca="1" si="61"/>
        <v>3.2385469602023244E-2</v>
      </c>
      <c r="K348" s="36">
        <f t="shared" ca="1" si="62"/>
        <v>1496.3362888228999</v>
      </c>
      <c r="L348" s="36">
        <f ca="1">Assumptions!$C$10*Assumptions!$C$13*I348*Assumptions!$C$15</f>
        <v>5503.4479283693754</v>
      </c>
      <c r="M348" s="36">
        <f ca="1">G348*(1+H348*Assumptions!$C$6)*(1+J348)+L348+K348</f>
        <v>68607.355477989986</v>
      </c>
    </row>
    <row r="349" spans="1:13" x14ac:dyDescent="0.25">
      <c r="A349" s="3">
        <v>336</v>
      </c>
      <c r="B349" s="3">
        <f t="shared" ca="1" si="63"/>
        <v>0.39470864270892869</v>
      </c>
      <c r="C349" s="3">
        <f t="shared" ca="1" si="63"/>
        <v>0.4480483560777333</v>
      </c>
      <c r="D349" s="3">
        <f t="shared" ca="1" si="63"/>
        <v>0.34847440097126259</v>
      </c>
      <c r="E349" s="3">
        <f t="shared" ca="1" si="63"/>
        <v>0.81023787507998357</v>
      </c>
      <c r="F349" s="3">
        <f t="shared" ca="1" si="63"/>
        <v>0.85611970501717816</v>
      </c>
      <c r="G349" s="36">
        <f t="shared" ca="1" si="58"/>
        <v>57768.972002958886</v>
      </c>
      <c r="H349" s="37">
        <f t="shared" ca="1" si="59"/>
        <v>0.12781935335617073</v>
      </c>
      <c r="I349" s="37">
        <f t="shared" ca="1" si="60"/>
        <v>7.3393383822368763E-2</v>
      </c>
      <c r="J349" s="38">
        <f t="shared" ca="1" si="61"/>
        <v>3.7678892097866637E-2</v>
      </c>
      <c r="K349" s="36">
        <f t="shared" ca="1" si="62"/>
        <v>2195.3501833575688</v>
      </c>
      <c r="L349" s="36">
        <f ca="1">Assumptions!$C$10*Assumptions!$C$13*I349*Assumptions!$C$15</f>
        <v>5090.113450326744</v>
      </c>
      <c r="M349" s="36">
        <f ca="1">G349*(1+H349*Assumptions!$C$6)*(1+J349)+L349+K349</f>
        <v>68763.549160869166</v>
      </c>
    </row>
    <row r="350" spans="1:13" x14ac:dyDescent="0.25">
      <c r="A350" s="3">
        <v>337</v>
      </c>
      <c r="B350" s="3">
        <f t="shared" ca="1" si="63"/>
        <v>0.80778109289267119</v>
      </c>
      <c r="C350" s="3">
        <f t="shared" ca="1" si="63"/>
        <v>0.66412743512484695</v>
      </c>
      <c r="D350" s="3">
        <f t="shared" ca="1" si="63"/>
        <v>0.81828592906327535</v>
      </c>
      <c r="E350" s="3">
        <f t="shared" ca="1" si="63"/>
        <v>0.83774297969789235</v>
      </c>
      <c r="F350" s="3">
        <f t="shared" ca="1" si="63"/>
        <v>0.19409409170413372</v>
      </c>
      <c r="G350" s="36">
        <f t="shared" ca="1" si="58"/>
        <v>58197.136548332521</v>
      </c>
      <c r="H350" s="37">
        <f t="shared" ca="1" si="59"/>
        <v>0.15249060348080617</v>
      </c>
      <c r="I350" s="37">
        <f t="shared" ca="1" si="60"/>
        <v>9.5885999357271323E-2</v>
      </c>
      <c r="J350" s="38">
        <f t="shared" ca="1" si="61"/>
        <v>3.8606773229603208E-2</v>
      </c>
      <c r="K350" s="36">
        <f t="shared" ca="1" si="62"/>
        <v>934.57124536795038</v>
      </c>
      <c r="L350" s="36">
        <f ca="1">Assumptions!$C$10*Assumptions!$C$13*I350*Assumptions!$C$15</f>
        <v>6650.0628477319851</v>
      </c>
      <c r="M350" s="36">
        <f ca="1">G350*(1+H350*Assumptions!$C$6)*(1+J350)+L350+K350</f>
        <v>69872.000878388135</v>
      </c>
    </row>
    <row r="351" spans="1:13" x14ac:dyDescent="0.25">
      <c r="A351" s="3">
        <v>338</v>
      </c>
      <c r="B351" s="3">
        <f t="shared" ca="1" si="63"/>
        <v>6.4046913056229782E-2</v>
      </c>
      <c r="C351" s="3">
        <f t="shared" ca="1" si="63"/>
        <v>0.7263769803178548</v>
      </c>
      <c r="D351" s="3">
        <f t="shared" ca="1" si="63"/>
        <v>0.58481685134040606</v>
      </c>
      <c r="E351" s="3">
        <f t="shared" ca="1" si="63"/>
        <v>0.12086195389455534</v>
      </c>
      <c r="F351" s="3">
        <f t="shared" ca="1" si="63"/>
        <v>0.54465797916623326</v>
      </c>
      <c r="G351" s="36">
        <f t="shared" ca="1" si="58"/>
        <v>57369.475152117666</v>
      </c>
      <c r="H351" s="37">
        <f t="shared" ca="1" si="59"/>
        <v>0.16101516063982335</v>
      </c>
      <c r="I351" s="37">
        <f t="shared" ca="1" si="60"/>
        <v>8.355022529958929E-2</v>
      </c>
      <c r="J351" s="38">
        <f t="shared" ca="1" si="61"/>
        <v>1.9833085127041475E-2</v>
      </c>
      <c r="K351" s="36">
        <f t="shared" ca="1" si="62"/>
        <v>1568.5534960216116</v>
      </c>
      <c r="L351" s="36">
        <f ca="1">Assumptions!$C$10*Assumptions!$C$13*I351*Assumptions!$C$15</f>
        <v>5794.5294715468999</v>
      </c>
      <c r="M351" s="36">
        <f ca="1">G351*(1+H351*Assumptions!$C$6)*(1+J351)+L351+K351</f>
        <v>67754.48390619384</v>
      </c>
    </row>
    <row r="352" spans="1:13" x14ac:dyDescent="0.25">
      <c r="A352" s="3">
        <v>339</v>
      </c>
      <c r="B352" s="3">
        <f t="shared" ca="1" si="63"/>
        <v>0.94587960921994263</v>
      </c>
      <c r="C352" s="3">
        <f t="shared" ca="1" si="63"/>
        <v>0.54453981115204675</v>
      </c>
      <c r="D352" s="3">
        <f t="shared" ca="1" si="63"/>
        <v>0.53853664387336664</v>
      </c>
      <c r="E352" s="3">
        <f t="shared" ca="1" si="63"/>
        <v>0.4052687872389088</v>
      </c>
      <c r="F352" s="3">
        <f t="shared" ca="1" si="63"/>
        <v>0.11731022084561282</v>
      </c>
      <c r="G352" s="36">
        <f t="shared" ca="1" si="58"/>
        <v>58456.360107622502</v>
      </c>
      <c r="H352" s="37">
        <f t="shared" ca="1" si="59"/>
        <v>0.13809567081947238</v>
      </c>
      <c r="I352" s="37">
        <f t="shared" ca="1" si="60"/>
        <v>8.1572370101641367E-2</v>
      </c>
      <c r="J352" s="38">
        <f t="shared" ca="1" si="61"/>
        <v>2.8005972059045495E-2</v>
      </c>
      <c r="K352" s="36">
        <f t="shared" ca="1" si="62"/>
        <v>726.56451455136289</v>
      </c>
      <c r="L352" s="36">
        <f ca="1">Assumptions!$C$10*Assumptions!$C$13*I352*Assumptions!$C$15</f>
        <v>5657.357606433834</v>
      </c>
      <c r="M352" s="36">
        <f ca="1">G352*(1+H352*Assumptions!$C$6)*(1+J352)+L352+K352</f>
        <v>68137.139504445164</v>
      </c>
    </row>
    <row r="353" spans="1:13" x14ac:dyDescent="0.25">
      <c r="A353" s="3">
        <v>340</v>
      </c>
      <c r="B353" s="3">
        <f t="shared" ca="1" si="63"/>
        <v>0.55721448158308751</v>
      </c>
      <c r="C353" s="3">
        <f t="shared" ca="1" si="63"/>
        <v>0.69176577433860642</v>
      </c>
      <c r="D353" s="3">
        <f t="shared" ca="1" si="63"/>
        <v>0.80972052816738616</v>
      </c>
      <c r="E353" s="3">
        <f t="shared" ca="1" si="63"/>
        <v>0.10834665910769281</v>
      </c>
      <c r="F353" s="3">
        <f t="shared" ca="1" si="63"/>
        <v>0.26633981808493667</v>
      </c>
      <c r="G353" s="36">
        <f t="shared" ca="1" si="58"/>
        <v>57911.203749357628</v>
      </c>
      <c r="H353" s="37">
        <f t="shared" ca="1" si="59"/>
        <v>0.15616838099452107</v>
      </c>
      <c r="I353" s="37">
        <f t="shared" ca="1" si="60"/>
        <v>9.532421612462201E-2</v>
      </c>
      <c r="J353" s="38">
        <f t="shared" ca="1" si="61"/>
        <v>1.9310065912019864E-2</v>
      </c>
      <c r="K353" s="36">
        <f t="shared" ca="1" si="62"/>
        <v>1094.7735753945722</v>
      </c>
      <c r="L353" s="36">
        <f ca="1">Assumptions!$C$10*Assumptions!$C$13*I353*Assumptions!$C$15</f>
        <v>6611.1010198430149</v>
      </c>
      <c r="M353" s="36">
        <f ca="1">G353*(1+H353*Assumptions!$C$6)*(1+J353)+L353+K353</f>
        <v>68579.054949127705</v>
      </c>
    </row>
    <row r="354" spans="1:13" x14ac:dyDescent="0.25">
      <c r="A354" s="3">
        <v>341</v>
      </c>
      <c r="B354" s="3">
        <f t="shared" ref="B354:F363" ca="1" si="64">RAND()</f>
        <v>0.27205306602411439</v>
      </c>
      <c r="C354" s="3">
        <f t="shared" ca="1" si="64"/>
        <v>0.65347028719559408</v>
      </c>
      <c r="D354" s="3">
        <f t="shared" ca="1" si="64"/>
        <v>0.54573885783961573</v>
      </c>
      <c r="E354" s="3">
        <f t="shared" ca="1" si="64"/>
        <v>0.72882013321622119</v>
      </c>
      <c r="F354" s="3">
        <f t="shared" ca="1" si="64"/>
        <v>0.69225878984073608</v>
      </c>
      <c r="G354" s="36">
        <f t="shared" ca="1" si="58"/>
        <v>57655.38792967538</v>
      </c>
      <c r="H354" s="37">
        <f t="shared" ca="1" si="59"/>
        <v>0.15111311991108892</v>
      </c>
      <c r="I354" s="37">
        <f t="shared" ca="1" si="60"/>
        <v>8.1873425869700422E-2</v>
      </c>
      <c r="J354" s="38">
        <f t="shared" ca="1" si="61"/>
        <v>3.5270984641632593E-2</v>
      </c>
      <c r="K354" s="36">
        <f t="shared" ca="1" si="62"/>
        <v>1823.2096848985</v>
      </c>
      <c r="L354" s="36">
        <f ca="1">Assumptions!$C$10*Assumptions!$C$13*I354*Assumptions!$C$15</f>
        <v>5678.2369818555308</v>
      </c>
      <c r="M354" s="36">
        <f ca="1">G354*(1+H354*Assumptions!$C$6)*(1+J354)+L354+K354</f>
        <v>68994.353597354871</v>
      </c>
    </row>
    <row r="355" spans="1:13" x14ac:dyDescent="0.25">
      <c r="A355" s="3">
        <v>342</v>
      </c>
      <c r="B355" s="3">
        <f t="shared" ca="1" si="64"/>
        <v>0.43345253318552646</v>
      </c>
      <c r="C355" s="3">
        <f t="shared" ca="1" si="64"/>
        <v>0.77922925761715001</v>
      </c>
      <c r="D355" s="3">
        <f t="shared" ca="1" si="64"/>
        <v>0.282871458656894</v>
      </c>
      <c r="E355" s="3">
        <f t="shared" ca="1" si="64"/>
        <v>0.44352066707584159</v>
      </c>
      <c r="F355" s="3">
        <f t="shared" ca="1" si="64"/>
        <v>0.46015849093042804</v>
      </c>
      <c r="G355" s="36">
        <f t="shared" ca="1" si="58"/>
        <v>57801.271218112233</v>
      </c>
      <c r="H355" s="37">
        <f t="shared" ca="1" si="59"/>
        <v>0.16905232261497927</v>
      </c>
      <c r="I355" s="37">
        <f t="shared" ca="1" si="60"/>
        <v>7.0086353512881228E-2</v>
      </c>
      <c r="J355" s="38">
        <f t="shared" ca="1" si="61"/>
        <v>2.8836574361084694E-2</v>
      </c>
      <c r="K355" s="36">
        <f t="shared" ca="1" si="62"/>
        <v>1438.9972929741482</v>
      </c>
      <c r="L355" s="36">
        <f ca="1">Assumptions!$C$10*Assumptions!$C$13*I355*Assumptions!$C$15</f>
        <v>4860.7581790164386</v>
      </c>
      <c r="M355" s="36">
        <f ca="1">G355*(1+H355*Assumptions!$C$6)*(1+J355)+L355+K355</f>
        <v>67778.460141983189</v>
      </c>
    </row>
    <row r="356" spans="1:13" x14ac:dyDescent="0.25">
      <c r="A356" s="3">
        <v>343</v>
      </c>
      <c r="B356" s="3">
        <f t="shared" ca="1" si="64"/>
        <v>0.60734070592936051</v>
      </c>
      <c r="C356" s="3">
        <f t="shared" ca="1" si="64"/>
        <v>0.66236555633816618</v>
      </c>
      <c r="D356" s="3">
        <f t="shared" ca="1" si="64"/>
        <v>0.74236011139784019</v>
      </c>
      <c r="E356" s="3">
        <f t="shared" ca="1" si="64"/>
        <v>0.44972112103015172</v>
      </c>
      <c r="F356" s="3">
        <f t="shared" ca="1" si="64"/>
        <v>0.96524895408147771</v>
      </c>
      <c r="G356" s="36">
        <f t="shared" ca="1" si="58"/>
        <v>57960.073180092862</v>
      </c>
      <c r="H356" s="37">
        <f t="shared" ca="1" si="59"/>
        <v>0.15226138070672748</v>
      </c>
      <c r="I356" s="37">
        <f t="shared" ca="1" si="60"/>
        <v>9.1286803669272359E-2</v>
      </c>
      <c r="J356" s="38">
        <f t="shared" ca="1" si="61"/>
        <v>2.8967785764925785E-2</v>
      </c>
      <c r="K356" s="36">
        <f t="shared" ca="1" si="62"/>
        <v>2604.5512591582187</v>
      </c>
      <c r="L356" s="36">
        <f ca="1">Assumptions!$C$10*Assumptions!$C$13*I356*Assumptions!$C$15</f>
        <v>6331.0909375550727</v>
      </c>
      <c r="M356" s="36">
        <f ca="1">G356*(1+H356*Assumptions!$C$6)*(1+J356)+L356+K356</f>
        <v>70390.835123069934</v>
      </c>
    </row>
    <row r="357" spans="1:13" x14ac:dyDescent="0.25">
      <c r="A357" s="3">
        <v>344</v>
      </c>
      <c r="B357" s="3">
        <f t="shared" ca="1" si="64"/>
        <v>0.34387921944062816</v>
      </c>
      <c r="C357" s="3">
        <f t="shared" ca="1" si="64"/>
        <v>0.80616083381597747</v>
      </c>
      <c r="D357" s="3">
        <f t="shared" ca="1" si="64"/>
        <v>0.66981945492997363</v>
      </c>
      <c r="E357" s="3">
        <f t="shared" ca="1" si="64"/>
        <v>0.72107553803908275</v>
      </c>
      <c r="F357" s="3">
        <f t="shared" ca="1" si="64"/>
        <v>0.41911101196716005</v>
      </c>
      <c r="G357" s="36">
        <f t="shared" ca="1" si="58"/>
        <v>57724.413940869468</v>
      </c>
      <c r="H357" s="37">
        <f t="shared" ca="1" si="59"/>
        <v>0.17352043179295074</v>
      </c>
      <c r="I357" s="37">
        <f t="shared" ca="1" si="60"/>
        <v>8.7494958172245271E-2</v>
      </c>
      <c r="J357" s="38">
        <f t="shared" ca="1" si="61"/>
        <v>3.5062143073093327E-2</v>
      </c>
      <c r="K357" s="36">
        <f t="shared" ca="1" si="62"/>
        <v>1373.3169895738638</v>
      </c>
      <c r="L357" s="36">
        <f ca="1">Assumptions!$C$10*Assumptions!$C$13*I357*Assumptions!$C$15</f>
        <v>6068.1118683151017</v>
      </c>
      <c r="M357" s="36">
        <f ca="1">G357*(1+H357*Assumptions!$C$6)*(1+J357)+L357+K357</f>
        <v>69263.296551734049</v>
      </c>
    </row>
    <row r="358" spans="1:13" x14ac:dyDescent="0.25">
      <c r="A358" s="3">
        <v>345</v>
      </c>
      <c r="B358" s="3">
        <f t="shared" ca="1" si="64"/>
        <v>0.90332149719478383</v>
      </c>
      <c r="C358" s="3">
        <f t="shared" ca="1" si="64"/>
        <v>0.81184049407880998</v>
      </c>
      <c r="D358" s="3">
        <f t="shared" ca="1" si="64"/>
        <v>0.18885868787087645</v>
      </c>
      <c r="E358" s="3">
        <f t="shared" ca="1" si="64"/>
        <v>4.7682172681462798E-2</v>
      </c>
      <c r="F358" s="3">
        <f t="shared" ca="1" si="64"/>
        <v>0.17220633195007429</v>
      </c>
      <c r="G358" s="36">
        <f t="shared" ca="1" si="58"/>
        <v>58357.73722425507</v>
      </c>
      <c r="H358" s="37">
        <f t="shared" ca="1" si="59"/>
        <v>0.17450162799730717</v>
      </c>
      <c r="I358" s="37">
        <f t="shared" ca="1" si="60"/>
        <v>6.4583486351345781E-2</v>
      </c>
      <c r="J358" s="38">
        <f t="shared" ca="1" si="61"/>
        <v>1.6176223615217492E-2</v>
      </c>
      <c r="K358" s="36">
        <f t="shared" ca="1" si="62"/>
        <v>880.30022933958981</v>
      </c>
      <c r="L358" s="36">
        <f ca="1">Assumptions!$C$10*Assumptions!$C$13*I358*Assumptions!$C$15</f>
        <v>4479.1131764902575</v>
      </c>
      <c r="M358" s="36">
        <f ca="1">G358*(1+H358*Assumptions!$C$6)*(1+J358)+L358+K358</f>
        <v>66730.80864731023</v>
      </c>
    </row>
    <row r="359" spans="1:13" x14ac:dyDescent="0.25">
      <c r="A359" s="3">
        <v>346</v>
      </c>
      <c r="B359" s="3">
        <f t="shared" ca="1" si="64"/>
        <v>0.47766535604685589</v>
      </c>
      <c r="C359" s="3">
        <f t="shared" ca="1" si="64"/>
        <v>0.80543084691306488</v>
      </c>
      <c r="D359" s="3">
        <f t="shared" ca="1" si="64"/>
        <v>4.7762052580987424E-2</v>
      </c>
      <c r="E359" s="3">
        <f t="shared" ca="1" si="64"/>
        <v>9.6646241694308022E-2</v>
      </c>
      <c r="F359" s="3">
        <f t="shared" ca="1" si="64"/>
        <v>0.17025667152628965</v>
      </c>
      <c r="G359" s="36">
        <f t="shared" ca="1" si="58"/>
        <v>57839.018253314265</v>
      </c>
      <c r="H359" s="37">
        <f t="shared" ca="1" si="59"/>
        <v>0.17339537035323954</v>
      </c>
      <c r="I359" s="37">
        <f t="shared" ca="1" si="60"/>
        <v>5.2362789663306569E-2</v>
      </c>
      <c r="J359" s="38">
        <f t="shared" ca="1" si="61"/>
        <v>1.8793008208539692E-2</v>
      </c>
      <c r="K359" s="36">
        <f t="shared" ca="1" si="62"/>
        <v>875.30281724001293</v>
      </c>
      <c r="L359" s="36">
        <f ca="1">Assumptions!$C$10*Assumptions!$C$13*I359*Assumptions!$C$15</f>
        <v>3631.5608584951688</v>
      </c>
      <c r="M359" s="36">
        <f ca="1">G359*(1+H359*Assumptions!$C$6)*(1+J359)+L359+K359</f>
        <v>65476.349755523428</v>
      </c>
    </row>
    <row r="360" spans="1:13" x14ac:dyDescent="0.25">
      <c r="A360" s="3">
        <v>347</v>
      </c>
      <c r="B360" s="3">
        <f t="shared" ca="1" si="64"/>
        <v>0.78541621319545885</v>
      </c>
      <c r="C360" s="3">
        <f t="shared" ca="1" si="64"/>
        <v>0.98340875175511067</v>
      </c>
      <c r="D360" s="3">
        <f t="shared" ca="1" si="64"/>
        <v>0.98201248837111332</v>
      </c>
      <c r="E360" s="3">
        <f t="shared" ca="1" si="64"/>
        <v>0.50560940980101088</v>
      </c>
      <c r="F360" s="3">
        <f t="shared" ca="1" si="64"/>
        <v>0.86943072569885826</v>
      </c>
      <c r="G360" s="36">
        <f t="shared" ca="1" si="58"/>
        <v>58165.891989215554</v>
      </c>
      <c r="H360" s="37">
        <f t="shared" ca="1" si="59"/>
        <v>0.22055056658965416</v>
      </c>
      <c r="I360" s="37">
        <f t="shared" ca="1" si="60"/>
        <v>0.11241316685220787</v>
      </c>
      <c r="J360" s="38">
        <f t="shared" ca="1" si="61"/>
        <v>3.0112504628304969E-2</v>
      </c>
      <c r="K360" s="36">
        <f t="shared" ca="1" si="62"/>
        <v>2233.4742441671397</v>
      </c>
      <c r="L360" s="36">
        <f ca="1">Assumptions!$C$10*Assumptions!$C$13*I360*Assumptions!$C$15</f>
        <v>7796.285479534662</v>
      </c>
      <c r="M360" s="36">
        <f ca="1">G360*(1+H360*Assumptions!$C$6)*(1+J360)+L360+K360</f>
        <v>72590.136267726048</v>
      </c>
    </row>
    <row r="361" spans="1:13" x14ac:dyDescent="0.25">
      <c r="A361" s="3">
        <v>348</v>
      </c>
      <c r="B361" s="3">
        <f t="shared" ca="1" si="64"/>
        <v>0.11885211966780995</v>
      </c>
      <c r="C361" s="3">
        <f t="shared" ca="1" si="64"/>
        <v>0.63387486835534712</v>
      </c>
      <c r="D361" s="3">
        <f t="shared" ca="1" si="64"/>
        <v>0.39740447043913441</v>
      </c>
      <c r="E361" s="3">
        <f t="shared" ca="1" si="64"/>
        <v>0.93617942636838292</v>
      </c>
      <c r="F361" s="3">
        <f t="shared" ca="1" si="64"/>
        <v>0.57949260204201536</v>
      </c>
      <c r="G361" s="36">
        <f t="shared" ca="1" si="58"/>
        <v>57467.090453403573</v>
      </c>
      <c r="H361" s="37">
        <f t="shared" ca="1" si="59"/>
        <v>0.14863450869448527</v>
      </c>
      <c r="I361" s="37">
        <f t="shared" ca="1" si="60"/>
        <v>7.5660823117326248E-2</v>
      </c>
      <c r="J361" s="38">
        <f t="shared" ca="1" si="61"/>
        <v>4.2854619750825454E-2</v>
      </c>
      <c r="K361" s="36">
        <f t="shared" ca="1" si="62"/>
        <v>1624.3971173296666</v>
      </c>
      <c r="L361" s="36">
        <f ca="1">Assumptions!$C$10*Assumptions!$C$13*I361*Assumptions!$C$15</f>
        <v>5247.3690863524107</v>
      </c>
      <c r="M361" s="36">
        <f ca="1">G361*(1+H361*Assumptions!$C$6)*(1+J361)+L361+K361</f>
        <v>68583.114859703084</v>
      </c>
    </row>
    <row r="362" spans="1:13" x14ac:dyDescent="0.25">
      <c r="A362" s="3">
        <v>349</v>
      </c>
      <c r="B362" s="3">
        <f t="shared" ca="1" si="64"/>
        <v>0.67614150600936063</v>
      </c>
      <c r="C362" s="3">
        <f t="shared" ca="1" si="64"/>
        <v>0.10607489876167997</v>
      </c>
      <c r="D362" s="3">
        <f t="shared" ca="1" si="64"/>
        <v>0.31507267280126727</v>
      </c>
      <c r="E362" s="3">
        <f t="shared" ca="1" si="64"/>
        <v>0.62173814097897406</v>
      </c>
      <c r="F362" s="3">
        <f t="shared" ca="1" si="64"/>
        <v>0.68513963600309125</v>
      </c>
      <c r="G362" s="36">
        <f t="shared" ca="1" si="58"/>
        <v>58032.553106445434</v>
      </c>
      <c r="H362" s="37">
        <f t="shared" ca="1" si="59"/>
        <v>8.7560566469774434E-2</v>
      </c>
      <c r="I362" s="37">
        <f t="shared" ca="1" si="60"/>
        <v>7.1752677886503607E-2</v>
      </c>
      <c r="J362" s="38">
        <f t="shared" ca="1" si="61"/>
        <v>3.2604325617647908E-2</v>
      </c>
      <c r="K362" s="36">
        <f t="shared" ca="1" si="62"/>
        <v>1809.6758265135966</v>
      </c>
      <c r="L362" s="36">
        <f ca="1">Assumptions!$C$10*Assumptions!$C$13*I362*Assumptions!$C$15</f>
        <v>4976.3241832670492</v>
      </c>
      <c r="M362" s="36">
        <f ca="1">G362*(1+H362*Assumptions!$C$6)*(1+J362)+L362+K362</f>
        <v>67760.07290309493</v>
      </c>
    </row>
    <row r="363" spans="1:13" x14ac:dyDescent="0.25">
      <c r="A363" s="3">
        <v>350</v>
      </c>
      <c r="B363" s="3">
        <f t="shared" ca="1" si="64"/>
        <v>0.31995385595899761</v>
      </c>
      <c r="C363" s="3">
        <f t="shared" ca="1" si="64"/>
        <v>0.7715029900324174</v>
      </c>
      <c r="D363" s="3">
        <f t="shared" ca="1" si="64"/>
        <v>0.15595258609068696</v>
      </c>
      <c r="E363" s="3">
        <f t="shared" ca="1" si="64"/>
        <v>0.34521494564248234</v>
      </c>
      <c r="F363" s="3">
        <f t="shared" ca="1" si="64"/>
        <v>0.21194890684661205</v>
      </c>
      <c r="G363" s="36">
        <f t="shared" ca="1" si="58"/>
        <v>57702.300604154909</v>
      </c>
      <c r="H363" s="37">
        <f t="shared" ca="1" si="59"/>
        <v>0.16782152795146682</v>
      </c>
      <c r="I363" s="37">
        <f t="shared" ca="1" si="60"/>
        <v>6.2339388431427528E-2</v>
      </c>
      <c r="J363" s="38">
        <f t="shared" ca="1" si="61"/>
        <v>2.6618422202904397E-2</v>
      </c>
      <c r="K363" s="36">
        <f t="shared" ca="1" si="62"/>
        <v>976.61153014376919</v>
      </c>
      <c r="L363" s="36">
        <f ca="1">Assumptions!$C$10*Assumptions!$C$13*I363*Assumptions!$C$15</f>
        <v>4323.4763545980813</v>
      </c>
      <c r="M363" s="36">
        <f ca="1">G363*(1+H363*Assumptions!$C$6)*(1+J363)+L363+K363</f>
        <v>66526.623239681561</v>
      </c>
    </row>
    <row r="364" spans="1:13" x14ac:dyDescent="0.25">
      <c r="A364" s="3">
        <v>351</v>
      </c>
      <c r="B364" s="3">
        <f t="shared" ref="B364:F373" ca="1" si="65">RAND()</f>
        <v>0.38422395067872528</v>
      </c>
      <c r="C364" s="3">
        <f t="shared" ca="1" si="65"/>
        <v>0.86548727052769747</v>
      </c>
      <c r="D364" s="3">
        <f t="shared" ca="1" si="65"/>
        <v>0.42307105259658784</v>
      </c>
      <c r="E364" s="3">
        <f t="shared" ca="1" si="65"/>
        <v>0.75566967228445137</v>
      </c>
      <c r="F364" s="3">
        <f t="shared" ca="1" si="65"/>
        <v>0.74994211696732682</v>
      </c>
      <c r="G364" s="36">
        <f t="shared" ca="1" si="58"/>
        <v>57760.027211843313</v>
      </c>
      <c r="H364" s="37">
        <f t="shared" ca="1" si="59"/>
        <v>0.18462048905986531</v>
      </c>
      <c r="I364" s="37">
        <f t="shared" ca="1" si="60"/>
        <v>7.6794393164028141E-2</v>
      </c>
      <c r="J364" s="38">
        <f t="shared" ca="1" si="61"/>
        <v>3.6019146586404718E-2</v>
      </c>
      <c r="K364" s="36">
        <f t="shared" ca="1" si="62"/>
        <v>1939.2170468719678</v>
      </c>
      <c r="L364" s="36">
        <f ca="1">Assumptions!$C$10*Assumptions!$C$13*I364*Assumptions!$C$15</f>
        <v>5325.9865289759819</v>
      </c>
      <c r="M364" s="36">
        <f ca="1">G364*(1+H364*Assumptions!$C$6)*(1+J364)+L364+K364</f>
        <v>69315.253931891071</v>
      </c>
    </row>
    <row r="365" spans="1:13" x14ac:dyDescent="0.25">
      <c r="A365" s="3">
        <v>352</v>
      </c>
      <c r="B365" s="3">
        <f t="shared" ca="1" si="65"/>
        <v>0.9345200591684063</v>
      </c>
      <c r="C365" s="3">
        <f t="shared" ca="1" si="65"/>
        <v>0.71654374384779007</v>
      </c>
      <c r="D365" s="3">
        <f t="shared" ca="1" si="65"/>
        <v>0.14702401785774732</v>
      </c>
      <c r="E365" s="3">
        <f t="shared" ca="1" si="65"/>
        <v>0.22142076068230676</v>
      </c>
      <c r="F365" s="3">
        <f t="shared" ca="1" si="65"/>
        <v>0.953627536781403</v>
      </c>
      <c r="G365" s="36">
        <f t="shared" ca="1" si="58"/>
        <v>58427.069943597213</v>
      </c>
      <c r="H365" s="37">
        <f t="shared" ca="1" si="59"/>
        <v>0.159608441735028</v>
      </c>
      <c r="I365" s="37">
        <f t="shared" ca="1" si="60"/>
        <v>6.1690478490452699E-2</v>
      </c>
      <c r="J365" s="38">
        <f t="shared" ca="1" si="61"/>
        <v>2.3309267768958794E-2</v>
      </c>
      <c r="K365" s="36">
        <f t="shared" ca="1" si="62"/>
        <v>2543.1892246414427</v>
      </c>
      <c r="L365" s="36">
        <f ca="1">Assumptions!$C$10*Assumptions!$C$13*I365*Assumptions!$C$15</f>
        <v>4278.471954384011</v>
      </c>
      <c r="M365" s="36">
        <f ca="1">G365*(1+H365*Assumptions!$C$6)*(1+J365)+L365+K365</f>
        <v>68519.187957615737</v>
      </c>
    </row>
    <row r="366" spans="1:13" x14ac:dyDescent="0.25">
      <c r="A366" s="3">
        <v>353</v>
      </c>
      <c r="B366" s="3">
        <f t="shared" ca="1" si="65"/>
        <v>0.25643436847444578</v>
      </c>
      <c r="C366" s="3">
        <f t="shared" ca="1" si="65"/>
        <v>0.75071522175908789</v>
      </c>
      <c r="D366" s="3">
        <f t="shared" ca="1" si="65"/>
        <v>0.33748389814258273</v>
      </c>
      <c r="E366" s="3">
        <f t="shared" ca="1" si="65"/>
        <v>0.75374341352830032</v>
      </c>
      <c r="F366" s="3">
        <f t="shared" ca="1" si="65"/>
        <v>0.75715494365094016</v>
      </c>
      <c r="G366" s="36">
        <f t="shared" ca="1" si="58"/>
        <v>57639.209754288866</v>
      </c>
      <c r="H366" s="37">
        <f t="shared" ca="1" si="59"/>
        <v>0.16460972911646493</v>
      </c>
      <c r="I366" s="37">
        <f t="shared" ca="1" si="60"/>
        <v>7.2862569498690521E-2</v>
      </c>
      <c r="J366" s="38">
        <f t="shared" ca="1" si="61"/>
        <v>3.5964143446965566E-2</v>
      </c>
      <c r="K366" s="36">
        <f t="shared" ca="1" si="62"/>
        <v>1954.627935340355</v>
      </c>
      <c r="L366" s="36">
        <f ca="1">Assumptions!$C$10*Assumptions!$C$13*I366*Assumptions!$C$15</f>
        <v>5053.299435386105</v>
      </c>
      <c r="M366" s="36">
        <f ca="1">G366*(1+H366*Assumptions!$C$6)*(1+J366)+L366+K366</f>
        <v>68685.92225027259</v>
      </c>
    </row>
    <row r="367" spans="1:13" x14ac:dyDescent="0.25">
      <c r="A367" s="3">
        <v>354</v>
      </c>
      <c r="B367" s="3">
        <f t="shared" ca="1" si="65"/>
        <v>0.78276473263087587</v>
      </c>
      <c r="C367" s="3">
        <f t="shared" ca="1" si="65"/>
        <v>0.64116564355256978</v>
      </c>
      <c r="D367" s="3">
        <f t="shared" ca="1" si="65"/>
        <v>0.89540338773563299</v>
      </c>
      <c r="E367" s="3">
        <f t="shared" ca="1" si="65"/>
        <v>0.4501305642502722</v>
      </c>
      <c r="F367" s="3">
        <f t="shared" ca="1" si="65"/>
        <v>0.18201905168119159</v>
      </c>
      <c r="G367" s="36">
        <f t="shared" ca="1" si="58"/>
        <v>58162.298014059561</v>
      </c>
      <c r="H367" s="37">
        <f t="shared" ca="1" si="59"/>
        <v>0.1495487792951283</v>
      </c>
      <c r="I367" s="37">
        <f t="shared" ca="1" si="60"/>
        <v>0.10170494167142465</v>
      </c>
      <c r="J367" s="38">
        <f t="shared" ca="1" si="61"/>
        <v>2.8976418297461136E-2</v>
      </c>
      <c r="K367" s="36">
        <f t="shared" ca="1" si="62"/>
        <v>905.03355328151349</v>
      </c>
      <c r="L367" s="36">
        <f ca="1">Assumptions!$C$10*Assumptions!$C$13*I367*Assumptions!$C$15</f>
        <v>7053.6288777658801</v>
      </c>
      <c r="M367" s="36">
        <f ca="1">G367*(1+H367*Assumptions!$C$6)*(1+J367)+L367+K367</f>
        <v>69596.323615980029</v>
      </c>
    </row>
    <row r="368" spans="1:13" x14ac:dyDescent="0.25">
      <c r="A368" s="3">
        <v>355</v>
      </c>
      <c r="B368" s="3">
        <f t="shared" ca="1" si="65"/>
        <v>0.71912622728428377</v>
      </c>
      <c r="C368" s="3">
        <f t="shared" ca="1" si="65"/>
        <v>0.74285028509633955</v>
      </c>
      <c r="D368" s="3">
        <f t="shared" ca="1" si="65"/>
        <v>0.36850937818149543</v>
      </c>
      <c r="E368" s="3">
        <f t="shared" ca="1" si="65"/>
        <v>0.88013349597309631</v>
      </c>
      <c r="F368" s="3">
        <f t="shared" ca="1" si="65"/>
        <v>0.82478125816330927</v>
      </c>
      <c r="G368" s="36">
        <f t="shared" ca="1" si="58"/>
        <v>58081.81859832113</v>
      </c>
      <c r="H368" s="37">
        <f t="shared" ca="1" si="59"/>
        <v>0.16342968264527397</v>
      </c>
      <c r="I368" s="37">
        <f t="shared" ca="1" si="60"/>
        <v>7.4339918610573111E-2</v>
      </c>
      <c r="J368" s="38">
        <f t="shared" ca="1" si="61"/>
        <v>4.0207492495712704E-2</v>
      </c>
      <c r="K368" s="36">
        <f t="shared" ca="1" si="62"/>
        <v>2112.0335939546426</v>
      </c>
      <c r="L368" s="36">
        <f ca="1">Assumptions!$C$10*Assumptions!$C$13*I368*Assumptions!$C$15</f>
        <v>5155.7592784071312</v>
      </c>
      <c r="M368" s="36">
        <f ca="1">G368*(1+H368*Assumptions!$C$6)*(1+J368)+L368+K368</f>
        <v>69659.726653677368</v>
      </c>
    </row>
    <row r="369" spans="1:13" x14ac:dyDescent="0.25">
      <c r="A369" s="3">
        <v>356</v>
      </c>
      <c r="B369" s="3">
        <f t="shared" ca="1" si="65"/>
        <v>0.12576737431289942</v>
      </c>
      <c r="C369" s="3">
        <f t="shared" ca="1" si="65"/>
        <v>0.21441833055687642</v>
      </c>
      <c r="D369" s="3">
        <f t="shared" ca="1" si="65"/>
        <v>0.21052943021553772</v>
      </c>
      <c r="E369" s="3">
        <f t="shared" ca="1" si="65"/>
        <v>0.90347655611558242</v>
      </c>
      <c r="F369" s="3">
        <f t="shared" ca="1" si="65"/>
        <v>0.48329151897903688</v>
      </c>
      <c r="G369" s="36">
        <f t="shared" ca="1" si="58"/>
        <v>57477.618812008441</v>
      </c>
      <c r="H369" s="37">
        <f t="shared" ca="1" si="59"/>
        <v>0.10340190817196007</v>
      </c>
      <c r="I369" s="37">
        <f t="shared" ca="1" si="60"/>
        <v>6.5955619366328377E-2</v>
      </c>
      <c r="J369" s="38">
        <f t="shared" ca="1" si="61"/>
        <v>4.1212579723972798E-2</v>
      </c>
      <c r="K369" s="36">
        <f t="shared" ca="1" si="62"/>
        <v>1474.7243252234182</v>
      </c>
      <c r="L369" s="36">
        <f ca="1">Assumptions!$C$10*Assumptions!$C$13*I369*Assumptions!$C$15</f>
        <v>4574.2758785139731</v>
      </c>
      <c r="M369" s="36">
        <f ca="1">G369*(1+H369*Assumptions!$C$6)*(1+J369)+L369+K369</f>
        <v>67133.066763461276</v>
      </c>
    </row>
    <row r="370" spans="1:13" x14ac:dyDescent="0.25">
      <c r="A370" s="3">
        <v>357</v>
      </c>
      <c r="B370" s="3">
        <f t="shared" ca="1" si="65"/>
        <v>0.47209818061380038</v>
      </c>
      <c r="C370" s="3">
        <f t="shared" ca="1" si="65"/>
        <v>9.0218312454614646E-2</v>
      </c>
      <c r="D370" s="3">
        <f t="shared" ca="1" si="65"/>
        <v>0.26218205724103649</v>
      </c>
      <c r="E370" s="3">
        <f t="shared" ca="1" si="65"/>
        <v>0.10132389871679726</v>
      </c>
      <c r="F370" s="3">
        <f t="shared" ca="1" si="65"/>
        <v>0.79336109298241164</v>
      </c>
      <c r="G370" s="36">
        <f t="shared" ca="1" si="58"/>
        <v>57834.179557032832</v>
      </c>
      <c r="H370" s="37">
        <f t="shared" ca="1" si="59"/>
        <v>8.4639624069068289E-2</v>
      </c>
      <c r="I370" s="37">
        <f t="shared" ca="1" si="60"/>
        <v>6.8965196066509138E-2</v>
      </c>
      <c r="J370" s="38">
        <f t="shared" ca="1" si="61"/>
        <v>1.9003283788342887E-2</v>
      </c>
      <c r="K370" s="36">
        <f t="shared" ca="1" si="62"/>
        <v>2035.6996932598499</v>
      </c>
      <c r="L370" s="36">
        <f ca="1">Assumptions!$C$10*Assumptions!$C$13*I370*Assumptions!$C$15</f>
        <v>4783.0015979665104</v>
      </c>
      <c r="M370" s="36">
        <f ca="1">G370*(1+H370*Assumptions!$C$6)*(1+J370)+L370+K370</f>
        <v>66749.537273348818</v>
      </c>
    </row>
    <row r="371" spans="1:13" x14ac:dyDescent="0.25">
      <c r="A371" s="3">
        <v>358</v>
      </c>
      <c r="B371" s="3">
        <f t="shared" ca="1" si="65"/>
        <v>0.66908618020976462</v>
      </c>
      <c r="C371" s="3">
        <f t="shared" ca="1" si="65"/>
        <v>0.99489763108904672</v>
      </c>
      <c r="D371" s="3">
        <f t="shared" ca="1" si="65"/>
        <v>0.73579622260901645</v>
      </c>
      <c r="E371" s="3">
        <f t="shared" ca="1" si="65"/>
        <v>0.77912192258806134</v>
      </c>
      <c r="F371" s="3">
        <f t="shared" ca="1" si="65"/>
        <v>0.83943599540305813</v>
      </c>
      <c r="G371" s="36">
        <f t="shared" ca="1" si="58"/>
        <v>58024.786814727202</v>
      </c>
      <c r="H371" s="37">
        <f t="shared" ca="1" si="59"/>
        <v>0.22921417545248696</v>
      </c>
      <c r="I371" s="37">
        <f t="shared" ca="1" si="60"/>
        <v>9.0923341188314855E-2</v>
      </c>
      <c r="J371" s="38">
        <f t="shared" ca="1" si="61"/>
        <v>3.6707052173067446E-2</v>
      </c>
      <c r="K371" s="36">
        <f t="shared" ca="1" si="62"/>
        <v>2149.9776351846745</v>
      </c>
      <c r="L371" s="36">
        <f ca="1">Assumptions!$C$10*Assumptions!$C$13*I371*Assumptions!$C$15</f>
        <v>6305.883416568051</v>
      </c>
      <c r="M371" s="36">
        <f ca="1">G371*(1+H371*Assumptions!$C$6)*(1+J371)+L371+K371</f>
        <v>71368.228996359714</v>
      </c>
    </row>
    <row r="372" spans="1:13" x14ac:dyDescent="0.25">
      <c r="A372" s="3">
        <v>359</v>
      </c>
      <c r="B372" s="3">
        <f t="shared" ca="1" si="65"/>
        <v>0.75364503501595836</v>
      </c>
      <c r="C372" s="3">
        <f t="shared" ca="1" si="65"/>
        <v>0.74932544734454665</v>
      </c>
      <c r="D372" s="3">
        <f t="shared" ca="1" si="65"/>
        <v>0.96588308108802201</v>
      </c>
      <c r="E372" s="3">
        <f t="shared" ca="1" si="65"/>
        <v>0.56209222149552995</v>
      </c>
      <c r="F372" s="3">
        <f t="shared" ca="1" si="65"/>
        <v>0.57510905730773665</v>
      </c>
      <c r="G372" s="36">
        <f t="shared" ca="1" si="58"/>
        <v>58124.185314899842</v>
      </c>
      <c r="H372" s="37">
        <f t="shared" ca="1" si="59"/>
        <v>0.16439986904413234</v>
      </c>
      <c r="I372" s="37">
        <f t="shared" ca="1" si="60"/>
        <v>0.10955135700110634</v>
      </c>
      <c r="J372" s="38">
        <f t="shared" ca="1" si="61"/>
        <v>3.1282996425614065E-2</v>
      </c>
      <c r="K372" s="36">
        <f t="shared" ca="1" si="62"/>
        <v>1617.2457766778707</v>
      </c>
      <c r="L372" s="36">
        <f ca="1">Assumptions!$C$10*Assumptions!$C$13*I372*Assumptions!$C$15</f>
        <v>7597.8079593998045</v>
      </c>
      <c r="M372" s="36">
        <f ca="1">G372*(1+H372*Assumptions!$C$6)*(1+J372)+L372+K372</f>
        <v>71128.445036261182</v>
      </c>
    </row>
    <row r="373" spans="1:13" x14ac:dyDescent="0.25">
      <c r="A373" s="3">
        <v>360</v>
      </c>
      <c r="B373" s="3">
        <f t="shared" ca="1" si="65"/>
        <v>0.14064721397649516</v>
      </c>
      <c r="C373" s="3">
        <f t="shared" ca="1" si="65"/>
        <v>0.56375609194835996</v>
      </c>
      <c r="D373" s="3">
        <f t="shared" ca="1" si="65"/>
        <v>0.72926141444649972</v>
      </c>
      <c r="E373" s="3">
        <f t="shared" ca="1" si="65"/>
        <v>0.58696709437191597</v>
      </c>
      <c r="F373" s="3">
        <f t="shared" ca="1" si="65"/>
        <v>0.99871562236760392</v>
      </c>
      <c r="G373" s="36">
        <f t="shared" ca="1" si="58"/>
        <v>57499.332991407071</v>
      </c>
      <c r="H373" s="37">
        <f t="shared" ca="1" si="59"/>
        <v>0.14026855509129832</v>
      </c>
      <c r="I373" s="37">
        <f t="shared" ca="1" si="60"/>
        <v>9.056594703797656E-2</v>
      </c>
      <c r="J373" s="38">
        <f t="shared" ca="1" si="61"/>
        <v>3.1822367467063614E-2</v>
      </c>
      <c r="K373" s="36">
        <f t="shared" ca="1" si="62"/>
        <v>2923.9756660944513</v>
      </c>
      <c r="L373" s="36">
        <f ca="1">Assumptions!$C$10*Assumptions!$C$13*I373*Assumptions!$C$15</f>
        <v>6281.0967576492039</v>
      </c>
      <c r="M373" s="36">
        <f ca="1">G373*(1+H373*Assumptions!$C$6)*(1+J373)+L373+K373</f>
        <v>70198.571686033887</v>
      </c>
    </row>
    <row r="374" spans="1:13" x14ac:dyDescent="0.25">
      <c r="A374" s="3">
        <v>361</v>
      </c>
      <c r="B374" s="3">
        <f t="shared" ref="B374:F383" ca="1" si="66">RAND()</f>
        <v>0.37740111140428578</v>
      </c>
      <c r="C374" s="3">
        <f t="shared" ca="1" si="66"/>
        <v>0.1484408525718075</v>
      </c>
      <c r="D374" s="3">
        <f t="shared" ca="1" si="66"/>
        <v>0.56664227815962909</v>
      </c>
      <c r="E374" s="3">
        <f t="shared" ca="1" si="66"/>
        <v>0.89302334915320813</v>
      </c>
      <c r="F374" s="3">
        <f t="shared" ca="1" si="66"/>
        <v>0.27155526300228361</v>
      </c>
      <c r="G374" s="36">
        <f t="shared" ca="1" si="58"/>
        <v>57754.140761146227</v>
      </c>
      <c r="H374" s="37">
        <f t="shared" ca="1" si="59"/>
        <v>9.4432683232110126E-2</v>
      </c>
      <c r="I374" s="37">
        <f t="shared" ca="1" si="60"/>
        <v>8.2760978666334611E-2</v>
      </c>
      <c r="J374" s="38">
        <f t="shared" ca="1" si="61"/>
        <v>4.0748982722022757E-2</v>
      </c>
      <c r="K374" s="36">
        <f t="shared" ca="1" si="62"/>
        <v>1105.4404929756627</v>
      </c>
      <c r="L374" s="36">
        <f ca="1">Assumptions!$C$10*Assumptions!$C$13*I374*Assumptions!$C$15</f>
        <v>5739.7921819667135</v>
      </c>
      <c r="M374" s="36">
        <f ca="1">G374*(1+H374*Assumptions!$C$6)*(1+J374)+L374+K374</f>
        <v>68088.019616046411</v>
      </c>
    </row>
    <row r="375" spans="1:13" x14ac:dyDescent="0.25">
      <c r="A375" s="3">
        <v>362</v>
      </c>
      <c r="B375" s="3">
        <f t="shared" ca="1" si="66"/>
        <v>5.9336774938684278E-2</v>
      </c>
      <c r="C375" s="3">
        <f t="shared" ca="1" si="66"/>
        <v>4.0108216320823287E-2</v>
      </c>
      <c r="D375" s="3">
        <f t="shared" ca="1" si="66"/>
        <v>0.45515342537593417</v>
      </c>
      <c r="E375" s="3">
        <f t="shared" ca="1" si="66"/>
        <v>5.9406907355221583E-2</v>
      </c>
      <c r="F375" s="3">
        <f t="shared" ca="1" si="66"/>
        <v>0.57412701138226463</v>
      </c>
      <c r="G375" s="36">
        <f t="shared" ca="1" si="58"/>
        <v>57359.377078061996</v>
      </c>
      <c r="H375" s="37">
        <f t="shared" ca="1" si="59"/>
        <v>7.3096304402803264E-2</v>
      </c>
      <c r="I375" s="37">
        <f t="shared" ca="1" si="60"/>
        <v>7.8164000854247309E-2</v>
      </c>
      <c r="J375" s="38">
        <f t="shared" ca="1" si="61"/>
        <v>1.6893875969596295E-2</v>
      </c>
      <c r="K375" s="36">
        <f t="shared" ca="1" si="62"/>
        <v>1615.6487263776548</v>
      </c>
      <c r="L375" s="36">
        <f ca="1">Assumptions!$C$10*Assumptions!$C$13*I375*Assumptions!$C$15</f>
        <v>5420.9740900145662</v>
      </c>
      <c r="M375" s="36">
        <f ca="1">G375*(1+H375*Assumptions!$C$6)*(1+J375)+L375+K375</f>
        <v>66217.740182325753</v>
      </c>
    </row>
    <row r="376" spans="1:13" x14ac:dyDescent="0.25">
      <c r="A376" s="3">
        <v>363</v>
      </c>
      <c r="B376" s="3">
        <f t="shared" ca="1" si="66"/>
        <v>9.7896558596923255E-2</v>
      </c>
      <c r="C376" s="3">
        <f t="shared" ca="1" si="66"/>
        <v>0.8521018602943764</v>
      </c>
      <c r="D376" s="3">
        <f t="shared" ca="1" si="66"/>
        <v>0.43300601723802901</v>
      </c>
      <c r="E376" s="3">
        <f t="shared" ca="1" si="66"/>
        <v>9.0975237064775283E-2</v>
      </c>
      <c r="F376" s="3">
        <f t="shared" ca="1" si="66"/>
        <v>0.51262366505321766</v>
      </c>
      <c r="G376" s="36">
        <f t="shared" ca="1" si="58"/>
        <v>57433.160371064943</v>
      </c>
      <c r="H376" s="37">
        <f t="shared" ca="1" si="59"/>
        <v>0.18193040739519331</v>
      </c>
      <c r="I376" s="37">
        <f t="shared" ca="1" si="60"/>
        <v>7.7223907037839171E-2</v>
      </c>
      <c r="J376" s="38">
        <f t="shared" ca="1" si="61"/>
        <v>1.8531130619784238E-2</v>
      </c>
      <c r="K376" s="36">
        <f t="shared" ca="1" si="62"/>
        <v>1519.0565482569834</v>
      </c>
      <c r="L376" s="36">
        <f ca="1">Assumptions!$C$10*Assumptions!$C$13*I376*Assumptions!$C$15</f>
        <v>5355.7749681012147</v>
      </c>
      <c r="M376" s="36">
        <f ca="1">G376*(1+H376*Assumptions!$C$6)*(1+J376)+L376+K376</f>
        <v>67500.786694366776</v>
      </c>
    </row>
    <row r="377" spans="1:13" x14ac:dyDescent="0.25">
      <c r="A377" s="3">
        <v>364</v>
      </c>
      <c r="B377" s="3">
        <f t="shared" ca="1" si="66"/>
        <v>0.98908371087015867</v>
      </c>
      <c r="C377" s="3">
        <f t="shared" ca="1" si="66"/>
        <v>0.14542393006663867</v>
      </c>
      <c r="D377" s="3">
        <f t="shared" ca="1" si="66"/>
        <v>0.838614778623896</v>
      </c>
      <c r="E377" s="3">
        <f t="shared" ca="1" si="66"/>
        <v>0.33382586697180394</v>
      </c>
      <c r="F377" s="3">
        <f t="shared" ca="1" si="66"/>
        <v>0.88197530177895578</v>
      </c>
      <c r="G377" s="36">
        <f t="shared" ca="1" si="58"/>
        <v>58617.79310001916</v>
      </c>
      <c r="H377" s="37">
        <f t="shared" ca="1" si="59"/>
        <v>9.3978838887427377E-2</v>
      </c>
      <c r="I377" s="37">
        <f t="shared" ca="1" si="60"/>
        <v>9.7274844150071649E-2</v>
      </c>
      <c r="J377" s="38">
        <f t="shared" ca="1" si="61"/>
        <v>2.6341991726146576E-2</v>
      </c>
      <c r="K377" s="36">
        <f t="shared" ca="1" si="62"/>
        <v>2271.2262751754156</v>
      </c>
      <c r="L377" s="36">
        <f ca="1">Assumptions!$C$10*Assumptions!$C$13*I377*Assumptions!$C$15</f>
        <v>6746.3845758234302</v>
      </c>
      <c r="M377" s="36">
        <f ca="1">G377*(1+H377*Assumptions!$C$6)*(1+J377)+L377+K377</f>
        <v>70310.302520697573</v>
      </c>
    </row>
    <row r="378" spans="1:13" x14ac:dyDescent="0.25">
      <c r="A378" s="3">
        <v>365</v>
      </c>
      <c r="B378" s="3">
        <f t="shared" ca="1" si="66"/>
        <v>0.90273168152638728</v>
      </c>
      <c r="C378" s="3">
        <f t="shared" ca="1" si="66"/>
        <v>0.34367640125317123</v>
      </c>
      <c r="D378" s="3">
        <f t="shared" ca="1" si="66"/>
        <v>0.92380574025209838</v>
      </c>
      <c r="E378" s="3">
        <f t="shared" ca="1" si="66"/>
        <v>0.73353106717653005</v>
      </c>
      <c r="F378" s="3">
        <f t="shared" ca="1" si="66"/>
        <v>0.82452350153649268</v>
      </c>
      <c r="G378" s="36">
        <f t="shared" ca="1" si="58"/>
        <v>58356.544305267977</v>
      </c>
      <c r="H378" s="37">
        <f t="shared" ca="1" si="59"/>
        <v>0.11760840285546743</v>
      </c>
      <c r="I378" s="37">
        <f t="shared" ca="1" si="60"/>
        <v>0.10438521113836997</v>
      </c>
      <c r="J378" s="38">
        <f t="shared" ca="1" si="61"/>
        <v>3.5399481301721644E-2</v>
      </c>
      <c r="K378" s="36">
        <f t="shared" ca="1" si="62"/>
        <v>2111.3807097042159</v>
      </c>
      <c r="L378" s="36">
        <f ca="1">Assumptions!$C$10*Assumptions!$C$13*I378*Assumptions!$C$15</f>
        <v>7239.5158740272582</v>
      </c>
      <c r="M378" s="36">
        <f ca="1">G378*(1+H378*Assumptions!$C$6)*(1+J378)+L378+K378</f>
        <v>71194.467167761264</v>
      </c>
    </row>
    <row r="379" spans="1:13" x14ac:dyDescent="0.25">
      <c r="A379" s="3">
        <v>366</v>
      </c>
      <c r="B379" s="3">
        <f t="shared" ca="1" si="66"/>
        <v>0.36819265086997366</v>
      </c>
      <c r="C379" s="3">
        <f t="shared" ca="1" si="66"/>
        <v>0.25599664064945882</v>
      </c>
      <c r="D379" s="3">
        <f t="shared" ca="1" si="66"/>
        <v>0.97961000566767542</v>
      </c>
      <c r="E379" s="3">
        <f t="shared" ca="1" si="66"/>
        <v>0.34323175194422073</v>
      </c>
      <c r="F379" s="3">
        <f t="shared" ca="1" si="66"/>
        <v>0.25125654513495677</v>
      </c>
      <c r="G379" s="36">
        <f t="shared" ca="1" si="58"/>
        <v>57746.111070645893</v>
      </c>
      <c r="H379" s="37">
        <f t="shared" ca="1" si="59"/>
        <v>0.1083502812387207</v>
      </c>
      <c r="I379" s="37">
        <f t="shared" ca="1" si="60"/>
        <v>0.11192237770978125</v>
      </c>
      <c r="J379" s="38">
        <f t="shared" ca="1" si="61"/>
        <v>2.6570618623194986E-2</v>
      </c>
      <c r="K379" s="36">
        <f t="shared" ca="1" si="62"/>
        <v>1063.3223655633815</v>
      </c>
      <c r="L379" s="36">
        <f ca="1">Assumptions!$C$10*Assumptions!$C$13*I379*Assumptions!$C$15</f>
        <v>7762.2473648568275</v>
      </c>
      <c r="M379" s="36">
        <f ca="1">G379*(1+H379*Assumptions!$C$6)*(1+J379)+L379+K379</f>
        <v>69390.641618797963</v>
      </c>
    </row>
    <row r="380" spans="1:13" x14ac:dyDescent="0.25">
      <c r="A380" s="3">
        <v>367</v>
      </c>
      <c r="B380" s="3">
        <f t="shared" ca="1" si="66"/>
        <v>5.3942668881505451E-2</v>
      </c>
      <c r="C380" s="3">
        <f t="shared" ca="1" si="66"/>
        <v>0.70449093380231442</v>
      </c>
      <c r="D380" s="3">
        <f t="shared" ca="1" si="66"/>
        <v>0.74672660985753092</v>
      </c>
      <c r="E380" s="3">
        <f t="shared" ca="1" si="66"/>
        <v>0.39608469369749433</v>
      </c>
      <c r="F380" s="3">
        <f t="shared" ca="1" si="66"/>
        <v>0.29983528114157332</v>
      </c>
      <c r="G380" s="36">
        <f t="shared" ca="1" si="58"/>
        <v>57347.306675598811</v>
      </c>
      <c r="H380" s="37">
        <f t="shared" ca="1" si="59"/>
        <v>0.15791707419135675</v>
      </c>
      <c r="I380" s="37">
        <f t="shared" ca="1" si="60"/>
        <v>9.1531160043726745E-2</v>
      </c>
      <c r="J380" s="38">
        <f t="shared" ca="1" si="61"/>
        <v>2.7800779616578467E-2</v>
      </c>
      <c r="K380" s="36">
        <f t="shared" ca="1" si="62"/>
        <v>1161.5759833678896</v>
      </c>
      <c r="L380" s="36">
        <f ca="1">Assumptions!$C$10*Assumptions!$C$13*I380*Assumptions!$C$15</f>
        <v>6348.0379919556935</v>
      </c>
      <c r="M380" s="36">
        <f ca="1">G380*(1+H380*Assumptions!$C$6)*(1+J380)+L380+K380</f>
        <v>68312.797695057438</v>
      </c>
    </row>
    <row r="381" spans="1:13" x14ac:dyDescent="0.25">
      <c r="A381" s="3">
        <v>368</v>
      </c>
      <c r="B381" s="3">
        <f t="shared" ca="1" si="66"/>
        <v>0.92732128452066331</v>
      </c>
      <c r="C381" s="3">
        <f t="shared" ca="1" si="66"/>
        <v>0.92650201650040487</v>
      </c>
      <c r="D381" s="3">
        <f t="shared" ca="1" si="66"/>
        <v>0.19660849694322913</v>
      </c>
      <c r="E381" s="3">
        <f t="shared" ca="1" si="66"/>
        <v>0.91632614083547925</v>
      </c>
      <c r="F381" s="3">
        <f t="shared" ca="1" si="66"/>
        <v>0.91097014567433887</v>
      </c>
      <c r="G381" s="36">
        <f t="shared" ca="1" si="58"/>
        <v>58409.813450550995</v>
      </c>
      <c r="H381" s="37">
        <f t="shared" ca="1" si="59"/>
        <v>0.19906402531036094</v>
      </c>
      <c r="I381" s="37">
        <f t="shared" ca="1" si="60"/>
        <v>6.508280666548967E-2</v>
      </c>
      <c r="J381" s="38">
        <f t="shared" ca="1" si="61"/>
        <v>4.1818368907631159E-2</v>
      </c>
      <c r="K381" s="36">
        <f t="shared" ca="1" si="62"/>
        <v>2367.0431733005203</v>
      </c>
      <c r="L381" s="36">
        <f ca="1">Assumptions!$C$10*Assumptions!$C$13*I381*Assumptions!$C$15</f>
        <v>4513.7429607388831</v>
      </c>
      <c r="M381" s="36">
        <f ca="1">G381*(1+H381*Assumptions!$C$6)*(1+J381)+L381+K381</f>
        <v>70155.908110037606</v>
      </c>
    </row>
    <row r="382" spans="1:13" x14ac:dyDescent="0.25">
      <c r="A382" s="3">
        <v>369</v>
      </c>
      <c r="B382" s="3">
        <f t="shared" ca="1" si="66"/>
        <v>0.88041375417760837</v>
      </c>
      <c r="C382" s="3">
        <f t="shared" ca="1" si="66"/>
        <v>6.9827652174755062E-2</v>
      </c>
      <c r="D382" s="3">
        <f t="shared" ca="1" si="66"/>
        <v>0.34218259394631034</v>
      </c>
      <c r="E382" s="3">
        <f t="shared" ca="1" si="66"/>
        <v>0.52461212980271088</v>
      </c>
      <c r="F382" s="3">
        <f t="shared" ca="1" si="66"/>
        <v>0.5053903479264622</v>
      </c>
      <c r="G382" s="36">
        <f t="shared" ca="1" si="58"/>
        <v>58313.799598126636</v>
      </c>
      <c r="H382" s="37">
        <f t="shared" ca="1" si="59"/>
        <v>8.0474707117940317E-2</v>
      </c>
      <c r="I382" s="37">
        <f t="shared" ca="1" si="60"/>
        <v>7.3090546998020339E-2</v>
      </c>
      <c r="J382" s="38">
        <f t="shared" ca="1" si="61"/>
        <v>3.0498454005955546E-2</v>
      </c>
      <c r="K382" s="36">
        <f t="shared" ca="1" si="62"/>
        <v>1508.1074320411271</v>
      </c>
      <c r="L382" s="36">
        <f ca="1">Assumptions!$C$10*Assumptions!$C$13*I382*Assumptions!$C$15</f>
        <v>5069.1105518011636</v>
      </c>
      <c r="M382" s="36">
        <f ca="1">G382*(1+H382*Assumptions!$C$6)*(1+J382)+L382+K382</f>
        <v>67636.680048895694</v>
      </c>
    </row>
    <row r="383" spans="1:13" x14ac:dyDescent="0.25">
      <c r="A383" s="3">
        <v>370</v>
      </c>
      <c r="B383" s="3">
        <f t="shared" ca="1" si="66"/>
        <v>0.85025615701261648</v>
      </c>
      <c r="C383" s="3">
        <f t="shared" ca="1" si="66"/>
        <v>0.14672542760442198</v>
      </c>
      <c r="D383" s="3">
        <f t="shared" ca="1" si="66"/>
        <v>0.42521638983504295</v>
      </c>
      <c r="E383" s="3">
        <f t="shared" ca="1" si="66"/>
        <v>0.19427451313558608</v>
      </c>
      <c r="F383" s="3">
        <f t="shared" ca="1" si="66"/>
        <v>0.45239278848660847</v>
      </c>
      <c r="G383" s="36">
        <f t="shared" ca="1" si="58"/>
        <v>58261.958566079826</v>
      </c>
      <c r="H383" s="37">
        <f t="shared" ca="1" si="59"/>
        <v>9.4175198778713068E-2</v>
      </c>
      <c r="I383" s="37">
        <f t="shared" ca="1" si="60"/>
        <v>7.6887564943651912E-2</v>
      </c>
      <c r="J383" s="38">
        <f t="shared" ca="1" si="61"/>
        <v>2.246674017169159E-2</v>
      </c>
      <c r="K383" s="36">
        <f t="shared" ca="1" si="62"/>
        <v>1426.8032619074497</v>
      </c>
      <c r="L383" s="36">
        <f ca="1">Assumptions!$C$10*Assumptions!$C$13*I383*Assumptions!$C$15</f>
        <v>5332.4483502458888</v>
      </c>
      <c r="M383" s="36">
        <f ca="1">G383*(1+H383*Assumptions!$C$6)*(1+J383)+L383+K383</f>
        <v>67452.187012737151</v>
      </c>
    </row>
    <row r="384" spans="1:13" x14ac:dyDescent="0.25">
      <c r="A384" s="3">
        <v>371</v>
      </c>
      <c r="B384" s="3">
        <f t="shared" ref="B384:F393" ca="1" si="67">RAND()</f>
        <v>0.35525410550870373</v>
      </c>
      <c r="C384" s="3">
        <f t="shared" ca="1" si="67"/>
        <v>0.99261963190726299</v>
      </c>
      <c r="D384" s="3">
        <f t="shared" ca="1" si="67"/>
        <v>0.85179557725456323</v>
      </c>
      <c r="E384" s="3">
        <f t="shared" ca="1" si="67"/>
        <v>0.78830382908763219</v>
      </c>
      <c r="F384" s="3">
        <f t="shared" ca="1" si="67"/>
        <v>0.59642062422211473</v>
      </c>
      <c r="G384" s="36">
        <f t="shared" ca="1" si="58"/>
        <v>57734.657150294915</v>
      </c>
      <c r="H384" s="37">
        <f t="shared" ca="1" si="59"/>
        <v>0.22702801508964784</v>
      </c>
      <c r="I384" s="37">
        <f t="shared" ca="1" si="60"/>
        <v>9.8222622913091723E-2</v>
      </c>
      <c r="J384" s="38">
        <f t="shared" ca="1" si="61"/>
        <v>3.6986278905328643E-2</v>
      </c>
      <c r="K384" s="36">
        <f t="shared" ca="1" si="62"/>
        <v>1652.3697869962682</v>
      </c>
      <c r="L384" s="36">
        <f ca="1">Assumptions!$C$10*Assumptions!$C$13*I384*Assumptions!$C$15</f>
        <v>6812.1166783418066</v>
      </c>
      <c r="M384" s="36">
        <f ca="1">G384*(1+H384*Assumptions!$C$6)*(1+J384)+L384+K384</f>
        <v>71052.96934705571</v>
      </c>
    </row>
    <row r="385" spans="1:13" x14ac:dyDescent="0.25">
      <c r="A385" s="3">
        <v>372</v>
      </c>
      <c r="B385" s="3">
        <f t="shared" ca="1" si="67"/>
        <v>0.34965734649134628</v>
      </c>
      <c r="C385" s="3">
        <f t="shared" ca="1" si="67"/>
        <v>2.5999599086338199E-2</v>
      </c>
      <c r="D385" s="3">
        <f t="shared" ca="1" si="67"/>
        <v>0.27058746965751956</v>
      </c>
      <c r="E385" s="3">
        <f t="shared" ca="1" si="67"/>
        <v>0.44449968919168292</v>
      </c>
      <c r="F385" s="3">
        <f t="shared" ca="1" si="67"/>
        <v>0.15218991849296759</v>
      </c>
      <c r="G385" s="36">
        <f t="shared" ca="1" si="58"/>
        <v>57729.638032671523</v>
      </c>
      <c r="H385" s="37">
        <f t="shared" ca="1" si="59"/>
        <v>6.8595555056203572E-2</v>
      </c>
      <c r="I385" s="37">
        <f t="shared" ca="1" si="60"/>
        <v>6.9425837335648791E-2</v>
      </c>
      <c r="J385" s="38">
        <f t="shared" ca="1" si="61"/>
        <v>2.8857352713287897E-2</v>
      </c>
      <c r="K385" s="36">
        <f t="shared" ca="1" si="62"/>
        <v>827.55944391829291</v>
      </c>
      <c r="L385" s="36">
        <f ca="1">Assumptions!$C$10*Assumptions!$C$13*I385*Assumptions!$C$15</f>
        <v>4814.9488416785334</v>
      </c>
      <c r="M385" s="36">
        <f ca="1">G385*(1+H385*Assumptions!$C$6)*(1+J385)+L385+K385</f>
        <v>65852.925161314954</v>
      </c>
    </row>
    <row r="386" spans="1:13" x14ac:dyDescent="0.25">
      <c r="A386" s="3">
        <v>373</v>
      </c>
      <c r="B386" s="3">
        <f t="shared" ca="1" si="67"/>
        <v>0.81401707269874202</v>
      </c>
      <c r="C386" s="3">
        <f t="shared" ca="1" si="67"/>
        <v>0.93470642371513313</v>
      </c>
      <c r="D386" s="3">
        <f t="shared" ca="1" si="67"/>
        <v>0.91708565304069345</v>
      </c>
      <c r="E386" s="3">
        <f t="shared" ca="1" si="67"/>
        <v>0.22448775668128829</v>
      </c>
      <c r="F386" s="3">
        <f t="shared" ca="1" si="67"/>
        <v>0.90179214767195548</v>
      </c>
      <c r="G386" s="36">
        <f t="shared" ca="1" si="58"/>
        <v>58206.168739519017</v>
      </c>
      <c r="H386" s="37">
        <f t="shared" ca="1" si="59"/>
        <v>0.20141640841892805</v>
      </c>
      <c r="I386" s="37">
        <f t="shared" ca="1" si="60"/>
        <v>0.10371117222542453</v>
      </c>
      <c r="J386" s="38">
        <f t="shared" ca="1" si="61"/>
        <v>2.3401127017718716E-2</v>
      </c>
      <c r="K386" s="36">
        <f t="shared" ca="1" si="62"/>
        <v>2335.2178285511859</v>
      </c>
      <c r="L386" s="36">
        <f ca="1">Assumptions!$C$10*Assumptions!$C$13*I386*Assumptions!$C$15</f>
        <v>7192.7686829571348</v>
      </c>
      <c r="M386" s="36">
        <f ca="1">G386*(1+H386*Assumptions!$C$6)*(1+J386)+L386+K386</f>
        <v>71495.850143033051</v>
      </c>
    </row>
    <row r="387" spans="1:13" x14ac:dyDescent="0.25">
      <c r="A387" s="3">
        <v>374</v>
      </c>
      <c r="B387" s="3">
        <f t="shared" ca="1" si="67"/>
        <v>0.2494269150481685</v>
      </c>
      <c r="C387" s="3">
        <f t="shared" ca="1" si="67"/>
        <v>0.22545890144692549</v>
      </c>
      <c r="D387" s="3">
        <f t="shared" ca="1" si="67"/>
        <v>0.13925245897103222</v>
      </c>
      <c r="E387" s="3">
        <f t="shared" ca="1" si="67"/>
        <v>1.2673548592821993E-3</v>
      </c>
      <c r="F387" s="3">
        <f t="shared" ca="1" si="67"/>
        <v>0.11278011849464786</v>
      </c>
      <c r="G387" s="36">
        <f t="shared" ca="1" si="58"/>
        <v>57631.791366295474</v>
      </c>
      <c r="H387" s="37">
        <f t="shared" ca="1" si="59"/>
        <v>0.10475950501277481</v>
      </c>
      <c r="I387" s="37">
        <f t="shared" ca="1" si="60"/>
        <v>6.110942606295356E-2</v>
      </c>
      <c r="J387" s="38">
        <f t="shared" ca="1" si="61"/>
        <v>1.1006918014252283E-2</v>
      </c>
      <c r="K387" s="36">
        <f t="shared" ca="1" si="62"/>
        <v>712.39773527567831</v>
      </c>
      <c r="L387" s="36">
        <f ca="1">Assumptions!$C$10*Assumptions!$C$13*I387*Assumptions!$C$15</f>
        <v>4238.1737337199174</v>
      </c>
      <c r="M387" s="36">
        <f ca="1">G387*(1+H387*Assumptions!$C$6)*(1+J387)+L387+K387</f>
        <v>64437.49763011295</v>
      </c>
    </row>
    <row r="388" spans="1:13" x14ac:dyDescent="0.25">
      <c r="A388" s="3">
        <v>375</v>
      </c>
      <c r="B388" s="3">
        <f t="shared" ca="1" si="67"/>
        <v>0.53205169792588669</v>
      </c>
      <c r="C388" s="3">
        <f t="shared" ca="1" si="67"/>
        <v>0.90984302581658605</v>
      </c>
      <c r="D388" s="3">
        <f t="shared" ca="1" si="67"/>
        <v>0.78975970014402186</v>
      </c>
      <c r="E388" s="3">
        <f t="shared" ca="1" si="67"/>
        <v>0.43833393812303645</v>
      </c>
      <c r="F388" s="3">
        <f t="shared" ca="1" si="67"/>
        <v>0.13402022038335926</v>
      </c>
      <c r="G388" s="36">
        <f t="shared" ca="1" si="58"/>
        <v>57887.716082368701</v>
      </c>
      <c r="H388" s="37">
        <f t="shared" ca="1" si="59"/>
        <v>0.19466150629562293</v>
      </c>
      <c r="I388" s="37">
        <f t="shared" ca="1" si="60"/>
        <v>9.40622098177364E-2</v>
      </c>
      <c r="J388" s="38">
        <f t="shared" ca="1" si="61"/>
        <v>2.8726108792229879E-2</v>
      </c>
      <c r="K388" s="36">
        <f t="shared" ca="1" si="62"/>
        <v>776.58933273971559</v>
      </c>
      <c r="L388" s="36">
        <f ca="1">Assumptions!$C$10*Assumptions!$C$13*I388*Assumptions!$C$15</f>
        <v>6523.576028590086</v>
      </c>
      <c r="M388" s="36">
        <f ca="1">G388*(1+H388*Assumptions!$C$6)*(1+J388)+L388+K388</f>
        <v>69169.212364222505</v>
      </c>
    </row>
    <row r="389" spans="1:13" x14ac:dyDescent="0.25">
      <c r="A389" s="3">
        <v>376</v>
      </c>
      <c r="B389" s="3">
        <f t="shared" ca="1" si="67"/>
        <v>0.43751446063084276</v>
      </c>
      <c r="C389" s="3">
        <f t="shared" ca="1" si="67"/>
        <v>0.7189868272966784</v>
      </c>
      <c r="D389" s="3">
        <f t="shared" ca="1" si="67"/>
        <v>0.67577019915017222</v>
      </c>
      <c r="E389" s="3">
        <f t="shared" ca="1" si="67"/>
        <v>0.48433096480686233</v>
      </c>
      <c r="F389" s="3">
        <f t="shared" ca="1" si="67"/>
        <v>0.59113647414104542</v>
      </c>
      <c r="G389" s="36">
        <f t="shared" ca="1" si="58"/>
        <v>57804.676201692098</v>
      </c>
      <c r="H389" s="37">
        <f t="shared" ca="1" si="59"/>
        <v>0.15995563519125328</v>
      </c>
      <c r="I389" s="37">
        <f t="shared" ca="1" si="60"/>
        <v>8.7789204251998848E-2</v>
      </c>
      <c r="J389" s="38">
        <f t="shared" ca="1" si="61"/>
        <v>2.9684124868672467E-2</v>
      </c>
      <c r="K389" s="36">
        <f t="shared" ca="1" si="62"/>
        <v>1643.5760742432713</v>
      </c>
      <c r="L389" s="36">
        <f ca="1">Assumptions!$C$10*Assumptions!$C$13*I389*Assumptions!$C$15</f>
        <v>6088.518965661704</v>
      </c>
      <c r="M389" s="36">
        <f ca="1">G389*(1+H389*Assumptions!$C$6)*(1+J389)+L389+K389</f>
        <v>69156.782182029739</v>
      </c>
    </row>
    <row r="390" spans="1:13" x14ac:dyDescent="0.25">
      <c r="A390" s="3">
        <v>377</v>
      </c>
      <c r="B390" s="3">
        <f t="shared" ca="1" si="67"/>
        <v>0.96404207620091109</v>
      </c>
      <c r="C390" s="3">
        <f t="shared" ca="1" si="67"/>
        <v>0.50480687878162067</v>
      </c>
      <c r="D390" s="3">
        <f t="shared" ca="1" si="67"/>
        <v>0.28689088040893973</v>
      </c>
      <c r="E390" s="3">
        <f t="shared" ca="1" si="67"/>
        <v>0.89160738579589505</v>
      </c>
      <c r="F390" s="3">
        <f t="shared" ca="1" si="67"/>
        <v>0.30415729097902677</v>
      </c>
      <c r="G390" s="36">
        <f t="shared" ca="1" si="58"/>
        <v>58510.540434663664</v>
      </c>
      <c r="H390" s="37">
        <f t="shared" ca="1" si="59"/>
        <v>0.13374369118128066</v>
      </c>
      <c r="I390" s="37">
        <f t="shared" ca="1" si="60"/>
        <v>7.0299353414035204E-2</v>
      </c>
      <c r="J390" s="38">
        <f t="shared" ca="1" si="61"/>
        <v>4.0687959871044156E-2</v>
      </c>
      <c r="K390" s="36">
        <f t="shared" ca="1" si="62"/>
        <v>1169.9178643843422</v>
      </c>
      <c r="L390" s="36">
        <f ca="1">Assumptions!$C$10*Assumptions!$C$13*I390*Assumptions!$C$15</f>
        <v>4875.5305413918568</v>
      </c>
      <c r="M390" s="36">
        <f ca="1">G390*(1+H390*Assumptions!$C$6)*(1+J390)+L390+K390</f>
        <v>68565.426531421603</v>
      </c>
    </row>
    <row r="391" spans="1:13" x14ac:dyDescent="0.25">
      <c r="A391" s="3">
        <v>378</v>
      </c>
      <c r="B391" s="3">
        <f t="shared" ca="1" si="67"/>
        <v>0.42208425425935525</v>
      </c>
      <c r="C391" s="3">
        <f t="shared" ca="1" si="67"/>
        <v>6.5000212198400797E-2</v>
      </c>
      <c r="D391" s="3">
        <f t="shared" ca="1" si="67"/>
        <v>0.30149700472854457</v>
      </c>
      <c r="E391" s="3">
        <f t="shared" ca="1" si="67"/>
        <v>0.77388255560363473</v>
      </c>
      <c r="F391" s="3">
        <f t="shared" ca="1" si="67"/>
        <v>0.72335363090701454</v>
      </c>
      <c r="G391" s="36">
        <f t="shared" ca="1" si="58"/>
        <v>57791.805912619617</v>
      </c>
      <c r="H391" s="37">
        <f t="shared" ca="1" si="59"/>
        <v>7.9402428849309897E-2</v>
      </c>
      <c r="I391" s="37">
        <f t="shared" ca="1" si="60"/>
        <v>7.1061075563015247E-2</v>
      </c>
      <c r="J391" s="38">
        <f t="shared" ca="1" si="61"/>
        <v>3.6550317642520619E-2</v>
      </c>
      <c r="K391" s="36">
        <f t="shared" ca="1" si="62"/>
        <v>1884.2452505508056</v>
      </c>
      <c r="L391" s="36">
        <f ca="1">Assumptions!$C$10*Assumptions!$C$13*I391*Assumptions!$C$15</f>
        <v>4928.3589021241951</v>
      </c>
      <c r="M391" s="36">
        <f ca="1">G391*(1+H391*Assumptions!$C$6)*(1+J391)+L391+K391</f>
        <v>67668.025370790012</v>
      </c>
    </row>
    <row r="392" spans="1:13" x14ac:dyDescent="0.25">
      <c r="A392" s="3">
        <v>379</v>
      </c>
      <c r="B392" s="3">
        <f t="shared" ca="1" si="67"/>
        <v>0.46247070580876071</v>
      </c>
      <c r="C392" s="3">
        <f t="shared" ca="1" si="67"/>
        <v>0.70165163528019814</v>
      </c>
      <c r="D392" s="3">
        <f t="shared" ca="1" si="67"/>
        <v>0.70526946568767146</v>
      </c>
      <c r="E392" s="3">
        <f t="shared" ca="1" si="67"/>
        <v>0.9406542179642351</v>
      </c>
      <c r="F392" s="3">
        <f t="shared" ca="1" si="67"/>
        <v>0.71467244125665919</v>
      </c>
      <c r="G392" s="36">
        <f t="shared" ca="1" si="58"/>
        <v>57825.871688553743</v>
      </c>
      <c r="H392" s="37">
        <f t="shared" ca="1" si="59"/>
        <v>0.15752368391100702</v>
      </c>
      <c r="I392" s="37">
        <f t="shared" ca="1" si="60"/>
        <v>8.928945279224984E-2</v>
      </c>
      <c r="J392" s="38">
        <f t="shared" ca="1" si="61"/>
        <v>4.3109671587753459E-2</v>
      </c>
      <c r="K392" s="36">
        <f t="shared" ca="1" si="62"/>
        <v>1866.8742283642855</v>
      </c>
      <c r="L392" s="36">
        <f ca="1">Assumptions!$C$10*Assumptions!$C$13*I392*Assumptions!$C$15</f>
        <v>6192.5669721148033</v>
      </c>
      <c r="M392" s="36">
        <f ca="1">G392*(1+H392*Assumptions!$C$6)*(1+J392)+L392+K392</f>
        <v>70278.492813298973</v>
      </c>
    </row>
    <row r="393" spans="1:13" x14ac:dyDescent="0.25">
      <c r="A393" s="3">
        <v>380</v>
      </c>
      <c r="B393" s="3">
        <f t="shared" ca="1" si="67"/>
        <v>0.75273599163083083</v>
      </c>
      <c r="C393" s="3">
        <f t="shared" ca="1" si="67"/>
        <v>0.47896375442026407</v>
      </c>
      <c r="D393" s="3">
        <f t="shared" ca="1" si="67"/>
        <v>0.54087724141269644</v>
      </c>
      <c r="E393" s="3">
        <f t="shared" ca="1" si="67"/>
        <v>0.91551635883401949</v>
      </c>
      <c r="F393" s="3">
        <f t="shared" ca="1" si="67"/>
        <v>0.88225115830360501</v>
      </c>
      <c r="G393" s="36">
        <f t="shared" ca="1" si="58"/>
        <v>58123.032858909944</v>
      </c>
      <c r="H393" s="37">
        <f t="shared" ca="1" si="59"/>
        <v>0.13100630110314643</v>
      </c>
      <c r="I393" s="37">
        <f t="shared" ca="1" si="60"/>
        <v>8.1669948767587444E-2</v>
      </c>
      <c r="J393" s="38">
        <f t="shared" ca="1" si="61"/>
        <v>4.1778873986321317E-2</v>
      </c>
      <c r="K393" s="36">
        <f t="shared" ca="1" si="62"/>
        <v>2272.078446785797</v>
      </c>
      <c r="L393" s="36">
        <f ca="1">Assumptions!$C$10*Assumptions!$C$13*I393*Assumptions!$C$15</f>
        <v>5664.1250622197567</v>
      </c>
      <c r="M393" s="36">
        <f ca="1">G393*(1+H393*Assumptions!$C$6)*(1+J393)+L393+K393</f>
        <v>70074.072851868186</v>
      </c>
    </row>
    <row r="394" spans="1:13" x14ac:dyDescent="0.25">
      <c r="A394" s="3">
        <v>381</v>
      </c>
      <c r="B394" s="3">
        <f t="shared" ref="B394:F403" ca="1" si="68">RAND()</f>
        <v>0.22111839138709444</v>
      </c>
      <c r="C394" s="3">
        <f t="shared" ca="1" si="68"/>
        <v>0.2158295716073112</v>
      </c>
      <c r="D394" s="3">
        <f t="shared" ca="1" si="68"/>
        <v>3.8707639799827498E-2</v>
      </c>
      <c r="E394" s="3">
        <f t="shared" ca="1" si="68"/>
        <v>0.95960401453824495</v>
      </c>
      <c r="F394" s="3">
        <f t="shared" ca="1" si="68"/>
        <v>0.43297884949317245</v>
      </c>
      <c r="G394" s="36">
        <f t="shared" ca="1" si="58"/>
        <v>57600.705149232715</v>
      </c>
      <c r="H394" s="37">
        <f t="shared" ca="1" si="59"/>
        <v>0.10357735811308019</v>
      </c>
      <c r="I394" s="37">
        <f t="shared" ca="1" si="60"/>
        <v>5.1129440568125961E-2</v>
      </c>
      <c r="J394" s="38">
        <f t="shared" ca="1" si="61"/>
        <v>4.4315214307521875E-2</v>
      </c>
      <c r="K394" s="36">
        <f t="shared" ca="1" si="62"/>
        <v>1395.8527224314448</v>
      </c>
      <c r="L394" s="36">
        <f ca="1">Assumptions!$C$10*Assumptions!$C$13*I394*Assumptions!$C$15</f>
        <v>3546.0233550940275</v>
      </c>
      <c r="M394" s="36">
        <f ca="1">G394*(1+H394*Assumptions!$C$6)*(1+J394)+L394+K394</f>
        <v>66341.272648518468</v>
      </c>
    </row>
    <row r="395" spans="1:13" x14ac:dyDescent="0.25">
      <c r="A395" s="3">
        <v>382</v>
      </c>
      <c r="B395" s="3">
        <f t="shared" ca="1" si="68"/>
        <v>0.4681195460568417</v>
      </c>
      <c r="C395" s="3">
        <f t="shared" ca="1" si="68"/>
        <v>0.86511613004028731</v>
      </c>
      <c r="D395" s="3">
        <f t="shared" ca="1" si="68"/>
        <v>9.0362915161768642E-2</v>
      </c>
      <c r="E395" s="3">
        <f t="shared" ca="1" si="68"/>
        <v>7.6398644191713827E-2</v>
      </c>
      <c r="F395" s="3">
        <f t="shared" ca="1" si="68"/>
        <v>0.23972265792981029</v>
      </c>
      <c r="G395" s="36">
        <f t="shared" ca="1" si="58"/>
        <v>57830.73715200978</v>
      </c>
      <c r="H395" s="37">
        <f t="shared" ca="1" si="59"/>
        <v>0.18454414156212665</v>
      </c>
      <c r="I395" s="37">
        <f t="shared" ca="1" si="60"/>
        <v>5.7004744294392069E-2</v>
      </c>
      <c r="J395" s="38">
        <f t="shared" ca="1" si="61"/>
        <v>1.7817858744782429E-2</v>
      </c>
      <c r="K395" s="36">
        <f t="shared" ca="1" si="62"/>
        <v>1038.6298477726057</v>
      </c>
      <c r="L395" s="36">
        <f ca="1">Assumptions!$C$10*Assumptions!$C$13*I395*Assumptions!$C$15</f>
        <v>3953.4982658326062</v>
      </c>
      <c r="M395" s="36">
        <f ca="1">G395*(1+H395*Assumptions!$C$6)*(1+J395)+L395+K395</f>
        <v>66025.78151140915</v>
      </c>
    </row>
    <row r="396" spans="1:13" x14ac:dyDescent="0.25">
      <c r="A396" s="3">
        <v>383</v>
      </c>
      <c r="B396" s="3">
        <f t="shared" ca="1" si="68"/>
        <v>0.48758620297442712</v>
      </c>
      <c r="C396" s="3">
        <f t="shared" ca="1" si="68"/>
        <v>0.88227787679315273</v>
      </c>
      <c r="D396" s="3">
        <f t="shared" ca="1" si="68"/>
        <v>0.59452750819468114</v>
      </c>
      <c r="E396" s="3">
        <f t="shared" ca="1" si="68"/>
        <v>0.38083116727292132</v>
      </c>
      <c r="F396" s="3">
        <f t="shared" ca="1" si="68"/>
        <v>0.70539966347964833</v>
      </c>
      <c r="G396" s="36">
        <f t="shared" ca="1" si="58"/>
        <v>57847.705293399915</v>
      </c>
      <c r="H396" s="37">
        <f t="shared" ca="1" si="59"/>
        <v>0.18819204299418749</v>
      </c>
      <c r="I396" s="37">
        <f t="shared" ca="1" si="60"/>
        <v>8.3979006485425473E-2</v>
      </c>
      <c r="J396" s="38">
        <f t="shared" ca="1" si="61"/>
        <v>2.7454653643608544E-2</v>
      </c>
      <c r="K396" s="36">
        <f t="shared" ca="1" si="62"/>
        <v>1848.6088786421956</v>
      </c>
      <c r="L396" s="36">
        <f ca="1">Assumptions!$C$10*Assumptions!$C$13*I396*Assumptions!$C$15</f>
        <v>5824.2670959430452</v>
      </c>
      <c r="M396" s="36">
        <f ca="1">G396*(1+H396*Assumptions!$C$6)*(1+J396)+L396+K396</f>
        <v>69345.842444939582</v>
      </c>
    </row>
    <row r="397" spans="1:13" x14ac:dyDescent="0.25">
      <c r="A397" s="3">
        <v>384</v>
      </c>
      <c r="B397" s="3">
        <f t="shared" ca="1" si="68"/>
        <v>0.45393992458008958</v>
      </c>
      <c r="C397" s="3">
        <f t="shared" ca="1" si="68"/>
        <v>0.78872467665701806</v>
      </c>
      <c r="D397" s="3">
        <f t="shared" ca="1" si="68"/>
        <v>0.74788961567853962</v>
      </c>
      <c r="E397" s="3">
        <f t="shared" ca="1" si="68"/>
        <v>0.54669960974928522</v>
      </c>
      <c r="F397" s="3">
        <f t="shared" ca="1" si="68"/>
        <v>0.15156508954115189</v>
      </c>
      <c r="G397" s="36">
        <f t="shared" ca="1" si="58"/>
        <v>57818.572152160319</v>
      </c>
      <c r="H397" s="37">
        <f t="shared" ca="1" si="59"/>
        <v>0.17059483180468482</v>
      </c>
      <c r="I397" s="37">
        <f t="shared" ca="1" si="60"/>
        <v>9.1596598270124868E-2</v>
      </c>
      <c r="J397" s="38">
        <f t="shared" ca="1" si="61"/>
        <v>3.0956882812927612E-2</v>
      </c>
      <c r="K397" s="36">
        <f t="shared" ca="1" si="62"/>
        <v>825.85888802820512</v>
      </c>
      <c r="L397" s="36">
        <f ca="1">Assumptions!$C$10*Assumptions!$C$13*I397*Assumptions!$C$15</f>
        <v>6352.5763846418904</v>
      </c>
      <c r="M397" s="36">
        <f ca="1">G397*(1+H397*Assumptions!$C$6)*(1+J397)+L397+K397</f>
        <v>68820.669055417224</v>
      </c>
    </row>
    <row r="398" spans="1:13" x14ac:dyDescent="0.25">
      <c r="A398" s="3">
        <v>385</v>
      </c>
      <c r="B398" s="3">
        <f t="shared" ca="1" si="68"/>
        <v>0.79183274492314215</v>
      </c>
      <c r="C398" s="3">
        <f t="shared" ca="1" si="68"/>
        <v>0.92984817030036704</v>
      </c>
      <c r="D398" s="3">
        <f t="shared" ca="1" si="68"/>
        <v>0.68770590269318221</v>
      </c>
      <c r="E398" s="3">
        <f t="shared" ca="1" si="68"/>
        <v>0.89776517357418473</v>
      </c>
      <c r="F398" s="3">
        <f t="shared" ca="1" si="68"/>
        <v>0.27583069240336988</v>
      </c>
      <c r="G398" s="36">
        <f t="shared" ref="G398:G461" ca="1" si="69">IF(B398&lt;($F$5-$E$5)/($G$5-$E$5),$E$5+SQRT(B398*($G$5-$E$5)*($F$5-$E$5)),$G$5-SQRT((1-B398)*($G$5-$E$5)*($G$5-$F$5)))</f>
        <v>58174.682335557525</v>
      </c>
      <c r="H398" s="37">
        <f t="shared" ref="H398:H461" ca="1" si="70">IF(C398&lt;($F$6-$E$6)/($G$6-$E$6),$E$6+SQRT(C398*($G$6-$E$6)*($F$6-$E$6)),$G$6-SQRT((1-C398)*($G$6-$E$6)*($G$6-$F$6)))</f>
        <v>0.20000672910161471</v>
      </c>
      <c r="I398" s="37">
        <f t="shared" ref="I398:I461" ca="1" si="71">IF(D398&lt;($F$7-$E$7)/($G$7-$E$7),$E$7+SQRT(D398*($G$7-$E$7)*($F$7-$E$7)),$G$7-SQRT((1-D398)*($G$7-$E$7)*($G$7-$F$7)))</f>
        <v>8.8387643058737031E-2</v>
      </c>
      <c r="J398" s="38">
        <f t="shared" ref="J398:J461" ca="1" si="72">IF(E398&lt;($F$8-$E$8)/($G$8-$E$8),$E$8+SQRT(E398*($G$8-$E$8)*($F$8-$E$8)),$G$8-SQRT((1-E398)*($G$8-$E$8)*($G$8-$F$8)))</f>
        <v>4.0956335856487586E-2</v>
      </c>
      <c r="K398" s="36">
        <f t="shared" ref="K398:K461" ca="1" si="73">IF(F398&lt;($F$9-$E$9)/($G$9-$E$9),$E$9+SQRT(F398*($G$9-$E$9)*($F$9-$E$9)),$G$9-SQRT((1-F398)*($G$9-$E$9)*($G$9-$F$9)))</f>
        <v>1114.10866427614</v>
      </c>
      <c r="L398" s="36">
        <f ca="1">Assumptions!$C$10*Assumptions!$C$13*I398*Assumptions!$C$15</f>
        <v>6130.0229985967153</v>
      </c>
      <c r="M398" s="36">
        <f ca="1">G398*(1+H398*Assumptions!$C$6)*(1+J398)+L398+K398</f>
        <v>70223.809492306071</v>
      </c>
    </row>
    <row r="399" spans="1:13" x14ac:dyDescent="0.25">
      <c r="A399" s="3">
        <v>386</v>
      </c>
      <c r="B399" s="3">
        <f t="shared" ca="1" si="68"/>
        <v>0.46925323334494728</v>
      </c>
      <c r="C399" s="3">
        <f t="shared" ca="1" si="68"/>
        <v>0.85895972876360938</v>
      </c>
      <c r="D399" s="3">
        <f t="shared" ca="1" si="68"/>
        <v>0.71709283672733803</v>
      </c>
      <c r="E399" s="3">
        <f t="shared" ca="1" si="68"/>
        <v>0.35485229991577738</v>
      </c>
      <c r="F399" s="3">
        <f t="shared" ca="1" si="68"/>
        <v>0.63415886917177822</v>
      </c>
      <c r="G399" s="36">
        <f t="shared" ca="1" si="69"/>
        <v>57831.716728485437</v>
      </c>
      <c r="H399" s="37">
        <f t="shared" ca="1" si="70"/>
        <v>0.18329269725873301</v>
      </c>
      <c r="I399" s="37">
        <f t="shared" ca="1" si="71"/>
        <v>8.9911747766403607E-2</v>
      </c>
      <c r="J399" s="38">
        <f t="shared" ca="1" si="72"/>
        <v>2.6848793426611353E-2</v>
      </c>
      <c r="K399" s="36">
        <f t="shared" ca="1" si="73"/>
        <v>1716.9235842215016</v>
      </c>
      <c r="L399" s="36">
        <f ca="1">Assumptions!$C$10*Assumptions!$C$13*I399*Assumptions!$C$15</f>
        <v>6235.7255220145762</v>
      </c>
      <c r="M399" s="36">
        <f ca="1">G399*(1+H399*Assumptions!$C$6)*(1+J399)+L399+K399</f>
        <v>69514.024067286518</v>
      </c>
    </row>
    <row r="400" spans="1:13" x14ac:dyDescent="0.25">
      <c r="A400" s="3">
        <v>387</v>
      </c>
      <c r="B400" s="3">
        <f t="shared" ca="1" si="68"/>
        <v>0.7197578361860395</v>
      </c>
      <c r="C400" s="3">
        <f t="shared" ca="1" si="68"/>
        <v>0.80914207146323014</v>
      </c>
      <c r="D400" s="3">
        <f t="shared" ca="1" si="68"/>
        <v>0.59177401635903415</v>
      </c>
      <c r="E400" s="3">
        <f t="shared" ca="1" si="68"/>
        <v>0.46813151764731731</v>
      </c>
      <c r="F400" s="3">
        <f t="shared" ca="1" si="68"/>
        <v>0.47825876559783664</v>
      </c>
      <c r="G400" s="36">
        <f t="shared" ca="1" si="69"/>
        <v>58082.56962866812</v>
      </c>
      <c r="H400" s="37">
        <f t="shared" ca="1" si="70"/>
        <v>0.17403363909811037</v>
      </c>
      <c r="I400" s="37">
        <f t="shared" ca="1" si="71"/>
        <v>8.3856907331398833E-2</v>
      </c>
      <c r="J400" s="38">
        <f t="shared" ca="1" si="72"/>
        <v>2.9352137197680615E-2</v>
      </c>
      <c r="K400" s="36">
        <f t="shared" ca="1" si="73"/>
        <v>1467.0257138817522</v>
      </c>
      <c r="L400" s="36">
        <f ca="1">Assumptions!$C$10*Assumptions!$C$13*I400*Assumptions!$C$15</f>
        <v>5815.7990499991674</v>
      </c>
      <c r="M400" s="36">
        <f ca="1">G400*(1+H400*Assumptions!$C$6)*(1+J400)+L400+K400</f>
        <v>69151.24630194786</v>
      </c>
    </row>
    <row r="401" spans="1:13" x14ac:dyDescent="0.25">
      <c r="A401" s="3">
        <v>388</v>
      </c>
      <c r="B401" s="3">
        <f t="shared" ca="1" si="68"/>
        <v>0.83326328048467835</v>
      </c>
      <c r="C401" s="3">
        <f t="shared" ca="1" si="68"/>
        <v>0.37506380727866884</v>
      </c>
      <c r="D401" s="3">
        <f t="shared" ca="1" si="68"/>
        <v>0.69158309781813554</v>
      </c>
      <c r="E401" s="3">
        <f t="shared" ca="1" si="68"/>
        <v>0.6401778416934748</v>
      </c>
      <c r="F401" s="3">
        <f t="shared" ca="1" si="68"/>
        <v>0.416511599045019</v>
      </c>
      <c r="G401" s="36">
        <f t="shared" ca="1" si="69"/>
        <v>58235.044114545366</v>
      </c>
      <c r="H401" s="37">
        <f t="shared" ca="1" si="70"/>
        <v>0.12063272980399378</v>
      </c>
      <c r="I401" s="37">
        <f t="shared" ca="1" si="71"/>
        <v>8.8584492889944202E-2</v>
      </c>
      <c r="J401" s="38">
        <f t="shared" ca="1" si="72"/>
        <v>3.3033629538253617E-2</v>
      </c>
      <c r="K401" s="36">
        <f t="shared" ca="1" si="73"/>
        <v>1369.0515679486239</v>
      </c>
      <c r="L401" s="36">
        <f ca="1">Assumptions!$C$10*Assumptions!$C$13*I401*Assumptions!$C$15</f>
        <v>6143.6752915056677</v>
      </c>
      <c r="M401" s="36">
        <f ca="1">G401*(1+H401*Assumptions!$C$6)*(1+J401)+L401+K401</f>
        <v>69122.908911091261</v>
      </c>
    </row>
    <row r="402" spans="1:13" x14ac:dyDescent="0.25">
      <c r="A402" s="3">
        <v>389</v>
      </c>
      <c r="B402" s="3">
        <f t="shared" ca="1" si="68"/>
        <v>0.91301428870696</v>
      </c>
      <c r="C402" s="3">
        <f t="shared" ca="1" si="68"/>
        <v>0.20715832182810257</v>
      </c>
      <c r="D402" s="3">
        <f t="shared" ca="1" si="68"/>
        <v>0.1555498059254905</v>
      </c>
      <c r="E402" s="3">
        <f t="shared" ca="1" si="68"/>
        <v>0.54472407539425904</v>
      </c>
      <c r="F402" s="3">
        <f t="shared" ca="1" si="68"/>
        <v>8.3259529713481717E-2</v>
      </c>
      <c r="G402" s="36">
        <f t="shared" ca="1" si="69"/>
        <v>58377.88946908286</v>
      </c>
      <c r="H402" s="37">
        <f t="shared" ca="1" si="70"/>
        <v>0.10249005315594339</v>
      </c>
      <c r="I402" s="37">
        <f t="shared" ca="1" si="71"/>
        <v>6.2310521709757698E-2</v>
      </c>
      <c r="J402" s="38">
        <f t="shared" ca="1" si="72"/>
        <v>3.0915431896828455E-2</v>
      </c>
      <c r="K402" s="36">
        <f t="shared" ca="1" si="73"/>
        <v>612.10120381409786</v>
      </c>
      <c r="L402" s="36">
        <f ca="1">Assumptions!$C$10*Assumptions!$C$13*I402*Assumptions!$C$15</f>
        <v>4321.4743364244259</v>
      </c>
      <c r="M402" s="36">
        <f ca="1">G402*(1+H402*Assumptions!$C$6)*(1+J402)+L402+K402</f>
        <v>66349.867626234933</v>
      </c>
    </row>
    <row r="403" spans="1:13" x14ac:dyDescent="0.25">
      <c r="A403" s="3">
        <v>390</v>
      </c>
      <c r="B403" s="3">
        <f t="shared" ca="1" si="68"/>
        <v>0.27075378403099526</v>
      </c>
      <c r="C403" s="3">
        <f t="shared" ca="1" si="68"/>
        <v>0.59927222551505055</v>
      </c>
      <c r="D403" s="3">
        <f t="shared" ca="1" si="68"/>
        <v>0.44396877934618661</v>
      </c>
      <c r="E403" s="3">
        <f t="shared" ca="1" si="68"/>
        <v>0.35053919931936006</v>
      </c>
      <c r="F403" s="3">
        <f t="shared" ca="1" si="68"/>
        <v>0.34280310067837383</v>
      </c>
      <c r="G403" s="36">
        <f t="shared" ca="1" si="69"/>
        <v>57654.060120401817</v>
      </c>
      <c r="H403" s="37">
        <f t="shared" ca="1" si="70"/>
        <v>0.14441447150192216</v>
      </c>
      <c r="I403" s="37">
        <f t="shared" ca="1" si="71"/>
        <v>7.7692175499800981E-2</v>
      </c>
      <c r="J403" s="38">
        <f t="shared" ca="1" si="72"/>
        <v>2.6746084899327602E-2</v>
      </c>
      <c r="K403" s="36">
        <f t="shared" ca="1" si="73"/>
        <v>1242.0201097617874</v>
      </c>
      <c r="L403" s="36">
        <f ca="1">Assumptions!$C$10*Assumptions!$C$13*I403*Assumptions!$C$15</f>
        <v>5388.2511869708123</v>
      </c>
      <c r="M403" s="36">
        <f ca="1">G403*(1+H403*Assumptions!$C$6)*(1+J403)+L403+K403</f>
        <v>67536.105940191337</v>
      </c>
    </row>
    <row r="404" spans="1:13" x14ac:dyDescent="0.25">
      <c r="A404" s="3">
        <v>391</v>
      </c>
      <c r="B404" s="3">
        <f t="shared" ref="B404:F413" ca="1" si="74">RAND()</f>
        <v>0.35831872517958563</v>
      </c>
      <c r="C404" s="3">
        <f t="shared" ca="1" si="74"/>
        <v>0.52775792946042055</v>
      </c>
      <c r="D404" s="3">
        <f t="shared" ca="1" si="74"/>
        <v>0.52630286463895504</v>
      </c>
      <c r="E404" s="3">
        <f t="shared" ca="1" si="74"/>
        <v>0.2712567526641021</v>
      </c>
      <c r="F404" s="3">
        <f t="shared" ca="1" si="74"/>
        <v>0.68409447153150404</v>
      </c>
      <c r="G404" s="36">
        <f t="shared" ca="1" si="69"/>
        <v>57737.388724858778</v>
      </c>
      <c r="H404" s="37">
        <f t="shared" ca="1" si="70"/>
        <v>0.13623526992131474</v>
      </c>
      <c r="I404" s="37">
        <f t="shared" ca="1" si="71"/>
        <v>8.1066327772025618E-2</v>
      </c>
      <c r="J404" s="38">
        <f t="shared" ca="1" si="72"/>
        <v>2.4731103221798483E-2</v>
      </c>
      <c r="K404" s="36">
        <f t="shared" ca="1" si="73"/>
        <v>1807.7018501615328</v>
      </c>
      <c r="L404" s="36">
        <f ca="1">Assumptions!$C$10*Assumptions!$C$13*I404*Assumptions!$C$15</f>
        <v>5622.2616245583295</v>
      </c>
      <c r="M404" s="36">
        <f ca="1">G404*(1+H404*Assumptions!$C$6)*(1+J404)+L404+K404</f>
        <v>68207.341589721997</v>
      </c>
    </row>
    <row r="405" spans="1:13" x14ac:dyDescent="0.25">
      <c r="A405" s="3">
        <v>392</v>
      </c>
      <c r="B405" s="3">
        <f t="shared" ca="1" si="74"/>
        <v>0.230608243798335</v>
      </c>
      <c r="C405" s="3">
        <f t="shared" ca="1" si="74"/>
        <v>0.95399576707267497</v>
      </c>
      <c r="D405" s="3">
        <f t="shared" ca="1" si="74"/>
        <v>0.39158360125706015</v>
      </c>
      <c r="E405" s="3">
        <f t="shared" ca="1" si="74"/>
        <v>0.49232175337154294</v>
      </c>
      <c r="F405" s="3">
        <f t="shared" ca="1" si="74"/>
        <v>0.98278636963541521</v>
      </c>
      <c r="G405" s="36">
        <f t="shared" ca="1" si="69"/>
        <v>57611.3367876599</v>
      </c>
      <c r="H405" s="37">
        <f t="shared" ca="1" si="70"/>
        <v>0.20761332819286596</v>
      </c>
      <c r="I405" s="37">
        <f t="shared" ca="1" si="71"/>
        <v>7.5398693818029383E-2</v>
      </c>
      <c r="J405" s="38">
        <f t="shared" ca="1" si="72"/>
        <v>2.9845840942052171E-2</v>
      </c>
      <c r="K405" s="36">
        <f t="shared" ca="1" si="73"/>
        <v>2721.6812319647997</v>
      </c>
      <c r="L405" s="36">
        <f ca="1">Assumptions!$C$10*Assumptions!$C$13*I405*Assumptions!$C$15</f>
        <v>5229.1894112565597</v>
      </c>
      <c r="M405" s="36">
        <f ca="1">G405*(1+H405*Assumptions!$C$6)*(1+J405)+L405+K405</f>
        <v>69745.239012121834</v>
      </c>
    </row>
    <row r="406" spans="1:13" x14ac:dyDescent="0.25">
      <c r="A406" s="3">
        <v>393</v>
      </c>
      <c r="B406" s="3">
        <f t="shared" ca="1" si="74"/>
        <v>0.37732219794024668</v>
      </c>
      <c r="C406" s="3">
        <f t="shared" ca="1" si="74"/>
        <v>0.17581215646845527</v>
      </c>
      <c r="D406" s="3">
        <f t="shared" ca="1" si="74"/>
        <v>0.49344898879720833</v>
      </c>
      <c r="E406" s="3">
        <f t="shared" ca="1" si="74"/>
        <v>0.41177291075492461</v>
      </c>
      <c r="F406" s="3">
        <f t="shared" ca="1" si="74"/>
        <v>0.92348655815028724</v>
      </c>
      <c r="G406" s="36">
        <f t="shared" ca="1" si="69"/>
        <v>57754.072368114808</v>
      </c>
      <c r="H406" s="37">
        <f t="shared" ca="1" si="70"/>
        <v>9.835598909163637E-2</v>
      </c>
      <c r="I406" s="37">
        <f t="shared" ca="1" si="71"/>
        <v>7.9737095567631339E-2</v>
      </c>
      <c r="J406" s="38">
        <f t="shared" ca="1" si="72"/>
        <v>2.814988508514419E-2</v>
      </c>
      <c r="K406" s="36">
        <f t="shared" ca="1" si="73"/>
        <v>2413.2202386553304</v>
      </c>
      <c r="L406" s="36">
        <f ca="1">Assumptions!$C$10*Assumptions!$C$13*I406*Assumptions!$C$15</f>
        <v>5530.0742587520308</v>
      </c>
      <c r="M406" s="36">
        <f ca="1">G406*(1+H406*Assumptions!$C$6)*(1+J406)+L406+K406</f>
        <v>68491.210001370695</v>
      </c>
    </row>
    <row r="407" spans="1:13" x14ac:dyDescent="0.25">
      <c r="A407" s="3">
        <v>394</v>
      </c>
      <c r="B407" s="3">
        <f t="shared" ca="1" si="74"/>
        <v>9.9165918055145075E-2</v>
      </c>
      <c r="C407" s="3">
        <f t="shared" ca="1" si="74"/>
        <v>0.24582555419381991</v>
      </c>
      <c r="D407" s="3">
        <f t="shared" ca="1" si="74"/>
        <v>0.70526212863353155</v>
      </c>
      <c r="E407" s="3">
        <f t="shared" ca="1" si="74"/>
        <v>5.1859729045150904E-2</v>
      </c>
      <c r="F407" s="3">
        <f t="shared" ca="1" si="74"/>
        <v>0.55584269116102103</v>
      </c>
      <c r="G407" s="36">
        <f t="shared" ca="1" si="69"/>
        <v>57435.313348778487</v>
      </c>
      <c r="H407" s="37">
        <f t="shared" ca="1" si="70"/>
        <v>0.1071793657780305</v>
      </c>
      <c r="I407" s="37">
        <f t="shared" ca="1" si="71"/>
        <v>8.9289070538769111E-2</v>
      </c>
      <c r="J407" s="38">
        <f t="shared" ca="1" si="72"/>
        <v>1.6441101088798461E-2</v>
      </c>
      <c r="K407" s="36">
        <f t="shared" ca="1" si="73"/>
        <v>1586.243341386006</v>
      </c>
      <c r="L407" s="36">
        <f ca="1">Assumptions!$C$10*Assumptions!$C$13*I407*Assumptions!$C$15</f>
        <v>6192.5404613657092</v>
      </c>
      <c r="M407" s="36">
        <f ca="1">G407*(1+H407*Assumptions!$C$6)*(1+J407)+L407+K407</f>
        <v>67409.81492654125</v>
      </c>
    </row>
    <row r="408" spans="1:13" x14ac:dyDescent="0.25">
      <c r="A408" s="3">
        <v>395</v>
      </c>
      <c r="B408" s="3">
        <f t="shared" ca="1" si="74"/>
        <v>0.64597271189962135</v>
      </c>
      <c r="C408" s="3">
        <f t="shared" ca="1" si="74"/>
        <v>0.26674525575733565</v>
      </c>
      <c r="D408" s="3">
        <f t="shared" ca="1" si="74"/>
        <v>0.15119174930019508</v>
      </c>
      <c r="E408" s="3">
        <f t="shared" ca="1" si="74"/>
        <v>0.77575213729500592</v>
      </c>
      <c r="F408" s="3">
        <f t="shared" ca="1" si="74"/>
        <v>0.89894263789852413</v>
      </c>
      <c r="G408" s="36">
        <f t="shared" ca="1" si="69"/>
        <v>57999.90764835239</v>
      </c>
      <c r="H408" s="37">
        <f t="shared" ca="1" si="70"/>
        <v>0.10956267204862928</v>
      </c>
      <c r="I408" s="37">
        <f t="shared" ca="1" si="71"/>
        <v>6.1995763177499073E-2</v>
      </c>
      <c r="J408" s="38">
        <f t="shared" ca="1" si="72"/>
        <v>3.6606035308244418E-2</v>
      </c>
      <c r="K408" s="36">
        <f t="shared" ca="1" si="73"/>
        <v>2325.6424320461429</v>
      </c>
      <c r="L408" s="36">
        <f ca="1">Assumptions!$C$10*Assumptions!$C$13*I408*Assumptions!$C$15</f>
        <v>4299.6446216025506</v>
      </c>
      <c r="M408" s="36">
        <f ca="1">G408*(1+H408*Assumptions!$C$6)*(1+J408)+L408+K408</f>
        <v>68065.78986576006</v>
      </c>
    </row>
    <row r="409" spans="1:13" x14ac:dyDescent="0.25">
      <c r="A409" s="3">
        <v>396</v>
      </c>
      <c r="B409" s="3">
        <f t="shared" ca="1" si="74"/>
        <v>0.516264101761579</v>
      </c>
      <c r="C409" s="3">
        <f t="shared" ca="1" si="74"/>
        <v>0.57575906866693094</v>
      </c>
      <c r="D409" s="3">
        <f t="shared" ca="1" si="74"/>
        <v>0.91587403687091917</v>
      </c>
      <c r="E409" s="3">
        <f t="shared" ca="1" si="74"/>
        <v>0.2748713693370326</v>
      </c>
      <c r="F409" s="3">
        <f t="shared" ca="1" si="74"/>
        <v>0.21005333248405844</v>
      </c>
      <c r="G409" s="36">
        <f t="shared" ca="1" si="69"/>
        <v>57873.300904777381</v>
      </c>
      <c r="H409" s="37">
        <f t="shared" ca="1" si="70"/>
        <v>0.14165014878306131</v>
      </c>
      <c r="I409" s="37">
        <f t="shared" ca="1" si="71"/>
        <v>0.10359259063675624</v>
      </c>
      <c r="J409" s="38">
        <f t="shared" ca="1" si="72"/>
        <v>2.4828927657441248E-2</v>
      </c>
      <c r="K409" s="36">
        <f t="shared" ca="1" si="73"/>
        <v>972.23453763907344</v>
      </c>
      <c r="L409" s="36">
        <f ca="1">Assumptions!$C$10*Assumptions!$C$13*I409*Assumptions!$C$15</f>
        <v>7184.5445936999558</v>
      </c>
      <c r="M409" s="36">
        <f ca="1">G409*(1+H409*Assumptions!$C$6)*(1+J409)+L409+K409</f>
        <v>69147.272700683825</v>
      </c>
    </row>
    <row r="410" spans="1:13" x14ac:dyDescent="0.25">
      <c r="A410" s="3">
        <v>397</v>
      </c>
      <c r="B410" s="3">
        <f t="shared" ca="1" si="74"/>
        <v>0.94690476449234073</v>
      </c>
      <c r="C410" s="3">
        <f t="shared" ca="1" si="74"/>
        <v>0.65478591903050265</v>
      </c>
      <c r="D410" s="3">
        <f t="shared" ca="1" si="74"/>
        <v>9.0855046778891779E-2</v>
      </c>
      <c r="E410" s="3">
        <f t="shared" ca="1" si="74"/>
        <v>0.85211987669283207</v>
      </c>
      <c r="F410" s="3">
        <f t="shared" ca="1" si="74"/>
        <v>8.766504225161964E-2</v>
      </c>
      <c r="G410" s="36">
        <f t="shared" ca="1" si="69"/>
        <v>58459.148802803691</v>
      </c>
      <c r="H410" s="37">
        <f t="shared" ca="1" si="70"/>
        <v>0.15128201396501079</v>
      </c>
      <c r="I410" s="37">
        <f t="shared" ca="1" si="71"/>
        <v>5.7050986765945652E-2</v>
      </c>
      <c r="J410" s="38">
        <f t="shared" ca="1" si="72"/>
        <v>3.9123231240587378E-2</v>
      </c>
      <c r="K410" s="36">
        <f t="shared" ca="1" si="73"/>
        <v>628.0865307680848</v>
      </c>
      <c r="L410" s="36">
        <f ca="1">Assumptions!$C$10*Assumptions!$C$13*I410*Assumptions!$C$15</f>
        <v>3956.7053590905075</v>
      </c>
      <c r="M410" s="36">
        <f ca="1">G410*(1+H410*Assumptions!$C$6)*(1+J410)+L410+K410</f>
        <v>67169.014788014334</v>
      </c>
    </row>
    <row r="411" spans="1:13" x14ac:dyDescent="0.25">
      <c r="A411" s="3">
        <v>398</v>
      </c>
      <c r="B411" s="3">
        <f t="shared" ca="1" si="74"/>
        <v>0.57770142197469299</v>
      </c>
      <c r="C411" s="3">
        <f t="shared" ca="1" si="74"/>
        <v>0.70636366797463268</v>
      </c>
      <c r="D411" s="3">
        <f t="shared" ca="1" si="74"/>
        <v>0.57490546618744454</v>
      </c>
      <c r="E411" s="3">
        <f t="shared" ca="1" si="74"/>
        <v>0.89314068419775483</v>
      </c>
      <c r="F411" s="3">
        <f t="shared" ca="1" si="74"/>
        <v>0.17087836624735409</v>
      </c>
      <c r="G411" s="36">
        <f t="shared" ca="1" si="69"/>
        <v>57930.824420963538</v>
      </c>
      <c r="H411" s="37">
        <f t="shared" ca="1" si="70"/>
        <v>0.15817758027179607</v>
      </c>
      <c r="I411" s="37">
        <f t="shared" ca="1" si="71"/>
        <v>8.3117720946229781E-2</v>
      </c>
      <c r="J411" s="38">
        <f t="shared" ca="1" si="72"/>
        <v>4.0754057503867111E-2</v>
      </c>
      <c r="K411" s="36">
        <f t="shared" ca="1" si="73"/>
        <v>876.89945154110649</v>
      </c>
      <c r="L411" s="36">
        <f ca="1">Assumptions!$C$10*Assumptions!$C$13*I411*Assumptions!$C$15</f>
        <v>5764.5336311631354</v>
      </c>
      <c r="M411" s="36">
        <f ca="1">G411*(1+H411*Assumptions!$C$6)*(1+J411)+L411+K411</f>
        <v>68840.533980134598</v>
      </c>
    </row>
    <row r="412" spans="1:13" x14ac:dyDescent="0.25">
      <c r="A412" s="3">
        <v>399</v>
      </c>
      <c r="B412" s="3">
        <f t="shared" ca="1" si="74"/>
        <v>0.45864131577212019</v>
      </c>
      <c r="C412" s="3">
        <f t="shared" ca="1" si="74"/>
        <v>0.38552064703249389</v>
      </c>
      <c r="D412" s="3">
        <f t="shared" ca="1" si="74"/>
        <v>0.99447669181704235</v>
      </c>
      <c r="E412" s="3">
        <f t="shared" ca="1" si="74"/>
        <v>7.6301570492625315E-2</v>
      </c>
      <c r="F412" s="3">
        <f t="shared" ca="1" si="74"/>
        <v>0.46309017145983711</v>
      </c>
      <c r="G412" s="36">
        <f t="shared" ca="1" si="69"/>
        <v>57822.587881838685</v>
      </c>
      <c r="H412" s="37">
        <f t="shared" ca="1" si="70"/>
        <v>0.12163560819376826</v>
      </c>
      <c r="I412" s="37">
        <f t="shared" ca="1" si="71"/>
        <v>0.11579588461320761</v>
      </c>
      <c r="J412" s="38">
        <f t="shared" ca="1" si="72"/>
        <v>1.7812890399468064E-2</v>
      </c>
      <c r="K412" s="36">
        <f t="shared" ca="1" si="73"/>
        <v>1443.5739577760701</v>
      </c>
      <c r="L412" s="36">
        <f ca="1">Assumptions!$C$10*Assumptions!$C$13*I412*Assumptions!$C$15</f>
        <v>8030.8899667129199</v>
      </c>
      <c r="M412" s="36">
        <f ca="1">G412*(1+H412*Assumptions!$C$6)*(1+J412)+L412+K412</f>
        <v>69758.752985015672</v>
      </c>
    </row>
    <row r="413" spans="1:13" x14ac:dyDescent="0.25">
      <c r="A413" s="3">
        <v>400</v>
      </c>
      <c r="B413" s="3">
        <f t="shared" ca="1" si="74"/>
        <v>0.57470052454532095</v>
      </c>
      <c r="C413" s="3">
        <f t="shared" ca="1" si="74"/>
        <v>0.16694754939003786</v>
      </c>
      <c r="D413" s="3">
        <f t="shared" ca="1" si="74"/>
        <v>0.25461447488355071</v>
      </c>
      <c r="E413" s="3">
        <f t="shared" ca="1" si="74"/>
        <v>0.70880299772211153</v>
      </c>
      <c r="F413" s="3">
        <f t="shared" ca="1" si="74"/>
        <v>0.49742778536150523</v>
      </c>
      <c r="G413" s="36">
        <f t="shared" ca="1" si="69"/>
        <v>57927.921118160921</v>
      </c>
      <c r="H413" s="37">
        <f t="shared" ca="1" si="70"/>
        <v>9.7121146069333919E-2</v>
      </c>
      <c r="I413" s="37">
        <f t="shared" ca="1" si="71"/>
        <v>6.8544111820607809E-2</v>
      </c>
      <c r="J413" s="38">
        <f t="shared" ca="1" si="72"/>
        <v>3.4737051339196912E-2</v>
      </c>
      <c r="K413" s="36">
        <f t="shared" ca="1" si="73"/>
        <v>1496.1367030210754</v>
      </c>
      <c r="L413" s="36">
        <f ca="1">Assumptions!$C$10*Assumptions!$C$13*I413*Assumptions!$C$15</f>
        <v>4753.7977859584607</v>
      </c>
      <c r="M413" s="36">
        <f ca="1">G413*(1+H413*Assumptions!$C$6)*(1+J413)+L413+K413</f>
        <v>67354.392306090682</v>
      </c>
    </row>
    <row r="414" spans="1:13" x14ac:dyDescent="0.25">
      <c r="A414" s="3">
        <v>401</v>
      </c>
      <c r="B414" s="3">
        <f t="shared" ref="B414:F423" ca="1" si="75">RAND()</f>
        <v>0.98580546720340378</v>
      </c>
      <c r="C414" s="3">
        <f t="shared" ca="1" si="75"/>
        <v>0.24104500473909862</v>
      </c>
      <c r="D414" s="3">
        <f t="shared" ca="1" si="75"/>
        <v>0.86759831801127463</v>
      </c>
      <c r="E414" s="3">
        <f t="shared" ca="1" si="75"/>
        <v>0.26421855057921528</v>
      </c>
      <c r="F414" s="3">
        <f t="shared" ca="1" si="75"/>
        <v>0.20403192725519226</v>
      </c>
      <c r="G414" s="36">
        <f t="shared" ca="1" si="69"/>
        <v>58599.326903429552</v>
      </c>
      <c r="H414" s="37">
        <f t="shared" ca="1" si="70"/>
        <v>0.10662065491523399</v>
      </c>
      <c r="I414" s="37">
        <f t="shared" ca="1" si="71"/>
        <v>9.9416380727288964E-2</v>
      </c>
      <c r="J414" s="38">
        <f t="shared" ca="1" si="72"/>
        <v>2.4538735861943849E-2</v>
      </c>
      <c r="K414" s="36">
        <f t="shared" ca="1" si="73"/>
        <v>958.19813851226263</v>
      </c>
      <c r="L414" s="36">
        <f ca="1">Assumptions!$C$10*Assumptions!$C$13*I414*Assumptions!$C$15</f>
        <v>6894.908374132594</v>
      </c>
      <c r="M414" s="36">
        <f ca="1">G414*(1+H414*Assumptions!$C$6)*(1+J414)+L414+K414</f>
        <v>69170.629649799055</v>
      </c>
    </row>
    <row r="415" spans="1:13" x14ac:dyDescent="0.25">
      <c r="A415" s="3">
        <v>402</v>
      </c>
      <c r="B415" s="3">
        <f t="shared" ca="1" si="75"/>
        <v>0.51951261286107198</v>
      </c>
      <c r="C415" s="3">
        <f t="shared" ca="1" si="75"/>
        <v>0.63247063348918442</v>
      </c>
      <c r="D415" s="3">
        <f t="shared" ca="1" si="75"/>
        <v>0.72411898314511713</v>
      </c>
      <c r="E415" s="3">
        <f t="shared" ca="1" si="75"/>
        <v>0.38322110972205248</v>
      </c>
      <c r="F415" s="3">
        <f t="shared" ca="1" si="75"/>
        <v>0.59640568815479367</v>
      </c>
      <c r="G415" s="36">
        <f t="shared" ca="1" si="69"/>
        <v>57876.247575718371</v>
      </c>
      <c r="H415" s="37">
        <f t="shared" ca="1" si="70"/>
        <v>0.14845946495433515</v>
      </c>
      <c r="I415" s="37">
        <f t="shared" ca="1" si="71"/>
        <v>9.0287725534122676E-2</v>
      </c>
      <c r="J415" s="38">
        <f t="shared" ca="1" si="72"/>
        <v>2.7509337159859648E-2</v>
      </c>
      <c r="K415" s="36">
        <f t="shared" ca="1" si="73"/>
        <v>1652.3448500067132</v>
      </c>
      <c r="L415" s="36">
        <f ca="1">Assumptions!$C$10*Assumptions!$C$13*I415*Assumptions!$C$15</f>
        <v>6261.80102627423</v>
      </c>
      <c r="M415" s="36">
        <f ca="1">G415*(1+H415*Assumptions!$C$6)*(1+J415)+L415+K415</f>
        <v>69148.259577448334</v>
      </c>
    </row>
    <row r="416" spans="1:13" x14ac:dyDescent="0.25">
      <c r="A416" s="3">
        <v>403</v>
      </c>
      <c r="B416" s="3">
        <f t="shared" ca="1" si="75"/>
        <v>0.85552260950225256</v>
      </c>
      <c r="C416" s="3">
        <f t="shared" ca="1" si="75"/>
        <v>0.19044427626011662</v>
      </c>
      <c r="D416" s="3">
        <f t="shared" ca="1" si="75"/>
        <v>0.78662939324921755</v>
      </c>
      <c r="E416" s="3">
        <f t="shared" ca="1" si="75"/>
        <v>0.95818061744295735</v>
      </c>
      <c r="F416" s="3">
        <f t="shared" ca="1" si="75"/>
        <v>0.78208711883523319</v>
      </c>
      <c r="G416" s="36">
        <f t="shared" ca="1" si="69"/>
        <v>58270.606931603099</v>
      </c>
      <c r="H416" s="37">
        <f t="shared" ca="1" si="70"/>
        <v>0.10032801281850448</v>
      </c>
      <c r="I416" s="37">
        <f t="shared" ca="1" si="71"/>
        <v>9.3869826988661101E-2</v>
      </c>
      <c r="J416" s="38">
        <f t="shared" ca="1" si="72"/>
        <v>4.4215926517960365E-2</v>
      </c>
      <c r="K416" s="36">
        <f t="shared" ca="1" si="73"/>
        <v>2009.743485130519</v>
      </c>
      <c r="L416" s="36">
        <f ca="1">Assumptions!$C$10*Assumptions!$C$13*I416*Assumptions!$C$15</f>
        <v>6510.2335394597567</v>
      </c>
      <c r="M416" s="36">
        <f ca="1">G416*(1+H416*Assumptions!$C$6)*(1+J416)+L416+K416</f>
        <v>70588.006472033667</v>
      </c>
    </row>
    <row r="417" spans="1:13" x14ac:dyDescent="0.25">
      <c r="A417" s="3">
        <v>404</v>
      </c>
      <c r="B417" s="3">
        <f t="shared" ca="1" si="75"/>
        <v>0.68910089330000268</v>
      </c>
      <c r="C417" s="3">
        <f t="shared" ca="1" si="75"/>
        <v>0.66367571133393022</v>
      </c>
      <c r="D417" s="3">
        <f t="shared" ca="1" si="75"/>
        <v>0.42585979577846944</v>
      </c>
      <c r="E417" s="3">
        <f t="shared" ca="1" si="75"/>
        <v>0.83258923877882052</v>
      </c>
      <c r="F417" s="3">
        <f t="shared" ca="1" si="75"/>
        <v>0.94521208616029762</v>
      </c>
      <c r="G417" s="36">
        <f t="shared" ca="1" si="69"/>
        <v>58047.042113446514</v>
      </c>
      <c r="H417" s="37">
        <f t="shared" ca="1" si="70"/>
        <v>0.15243177641640554</v>
      </c>
      <c r="I417" s="37">
        <f t="shared" ca="1" si="71"/>
        <v>7.6915462160063799E-2</v>
      </c>
      <c r="J417" s="38">
        <f t="shared" ca="1" si="72"/>
        <v>3.842724713056813E-2</v>
      </c>
      <c r="K417" s="36">
        <f t="shared" ca="1" si="73"/>
        <v>2503.4664036757827</v>
      </c>
      <c r="L417" s="36">
        <f ca="1">Assumptions!$C$10*Assumptions!$C$13*I417*Assumptions!$C$15</f>
        <v>5334.3831295010395</v>
      </c>
      <c r="M417" s="36">
        <f ca="1">G417*(1+H417*Assumptions!$C$6)*(1+J417)+L417+K417</f>
        <v>69953.124927378551</v>
      </c>
    </row>
    <row r="418" spans="1:13" x14ac:dyDescent="0.25">
      <c r="A418" s="3">
        <v>405</v>
      </c>
      <c r="B418" s="3">
        <f t="shared" ca="1" si="75"/>
        <v>0.71154433768117997</v>
      </c>
      <c r="C418" s="3">
        <f t="shared" ca="1" si="75"/>
        <v>0.91475418770064465</v>
      </c>
      <c r="D418" s="3">
        <f t="shared" ca="1" si="75"/>
        <v>0.21216505112189876</v>
      </c>
      <c r="E418" s="3">
        <f t="shared" ca="1" si="75"/>
        <v>0.50679922536461874</v>
      </c>
      <c r="F418" s="3">
        <f t="shared" ca="1" si="75"/>
        <v>0.93523342684378852</v>
      </c>
      <c r="G418" s="36">
        <f t="shared" ca="1" si="69"/>
        <v>58072.868233399895</v>
      </c>
      <c r="H418" s="37">
        <f t="shared" ca="1" si="70"/>
        <v>0.19591366968747226</v>
      </c>
      <c r="I418" s="37">
        <f t="shared" ca="1" si="71"/>
        <v>6.605624999093454E-2</v>
      </c>
      <c r="J418" s="38">
        <f t="shared" ca="1" si="72"/>
        <v>3.0136449972164973E-2</v>
      </c>
      <c r="K418" s="36">
        <f t="shared" ca="1" si="73"/>
        <v>2460.1392964819984</v>
      </c>
      <c r="L418" s="36">
        <f ca="1">Assumptions!$C$10*Assumptions!$C$13*I418*Assumptions!$C$15</f>
        <v>4581.2549993712755</v>
      </c>
      <c r="M418" s="36">
        <f ca="1">G418*(1+H418*Assumptions!$C$6)*(1+J418)+L418+K418</f>
        <v>69208.400460435092</v>
      </c>
    </row>
    <row r="419" spans="1:13" x14ac:dyDescent="0.25">
      <c r="A419" s="3">
        <v>406</v>
      </c>
      <c r="B419" s="3">
        <f t="shared" ca="1" si="75"/>
        <v>0.38809977478616309</v>
      </c>
      <c r="C419" s="3">
        <f t="shared" ca="1" si="75"/>
        <v>0.60956395429711285</v>
      </c>
      <c r="D419" s="3">
        <f t="shared" ca="1" si="75"/>
        <v>0.67687063852640761</v>
      </c>
      <c r="E419" s="3">
        <f t="shared" ca="1" si="75"/>
        <v>0.25567164626673078</v>
      </c>
      <c r="F419" s="3">
        <f t="shared" ca="1" si="75"/>
        <v>0.44950915748171505</v>
      </c>
      <c r="G419" s="36">
        <f t="shared" ca="1" si="69"/>
        <v>57763.347840912138</v>
      </c>
      <c r="H419" s="37">
        <f t="shared" ca="1" si="70"/>
        <v>0.14564989749859394</v>
      </c>
      <c r="I419" s="37">
        <f t="shared" ca="1" si="71"/>
        <v>8.784391260250253E-2</v>
      </c>
      <c r="J419" s="38">
        <f t="shared" ca="1" si="72"/>
        <v>2.430165434533308E-2</v>
      </c>
      <c r="K419" s="36">
        <f t="shared" ca="1" si="73"/>
        <v>1422.2486451629045</v>
      </c>
      <c r="L419" s="36">
        <f ca="1">Assumptions!$C$10*Assumptions!$C$13*I419*Assumptions!$C$15</f>
        <v>6092.3132001858676</v>
      </c>
      <c r="M419" s="36">
        <f ca="1">G419*(1+H419*Assumptions!$C$6)*(1+J419)+L419+K419</f>
        <v>68405.190798301148</v>
      </c>
    </row>
    <row r="420" spans="1:13" x14ac:dyDescent="0.25">
      <c r="A420" s="3">
        <v>407</v>
      </c>
      <c r="B420" s="3">
        <f t="shared" ca="1" si="75"/>
        <v>0.73634601942026667</v>
      </c>
      <c r="C420" s="3">
        <f t="shared" ca="1" si="75"/>
        <v>0.12240500573594582</v>
      </c>
      <c r="D420" s="3">
        <f t="shared" ca="1" si="75"/>
        <v>0.14226132005694925</v>
      </c>
      <c r="E420" s="3">
        <f t="shared" ca="1" si="75"/>
        <v>0.95237966923448247</v>
      </c>
      <c r="F420" s="3">
        <f t="shared" ca="1" si="75"/>
        <v>0.14059478741471743</v>
      </c>
      <c r="G420" s="36">
        <f t="shared" ca="1" si="69"/>
        <v>58102.606357678349</v>
      </c>
      <c r="H420" s="37">
        <f t="shared" ca="1" si="70"/>
        <v>9.0348315656147038E-2</v>
      </c>
      <c r="I420" s="37">
        <f t="shared" ca="1" si="71"/>
        <v>6.1336265469435783E-2</v>
      </c>
      <c r="J420" s="38">
        <f t="shared" ca="1" si="72"/>
        <v>4.3827782844681015E-2</v>
      </c>
      <c r="K420" s="36">
        <f t="shared" ca="1" si="73"/>
        <v>795.40967014880357</v>
      </c>
      <c r="L420" s="36">
        <f ca="1">Assumptions!$C$10*Assumptions!$C$13*I420*Assumptions!$C$15</f>
        <v>4253.9059190187154</v>
      </c>
      <c r="M420" s="36">
        <f ca="1">G420*(1+H420*Assumptions!$C$6)*(1+J420)+L420+K420</f>
        <v>66794.339434134454</v>
      </c>
    </row>
    <row r="421" spans="1:13" x14ac:dyDescent="0.25">
      <c r="A421" s="3">
        <v>408</v>
      </c>
      <c r="B421" s="3">
        <f t="shared" ca="1" si="75"/>
        <v>8.0696466617947382E-2</v>
      </c>
      <c r="C421" s="3">
        <f t="shared" ca="1" si="75"/>
        <v>0.35596716175466236</v>
      </c>
      <c r="D421" s="3">
        <f t="shared" ca="1" si="75"/>
        <v>0.10492965488546013</v>
      </c>
      <c r="E421" s="3">
        <f t="shared" ca="1" si="75"/>
        <v>0.23662801106533293</v>
      </c>
      <c r="F421" s="3">
        <f t="shared" ca="1" si="75"/>
        <v>0.50455640898449272</v>
      </c>
      <c r="G421" s="36">
        <f t="shared" ca="1" si="69"/>
        <v>57402.480153051547</v>
      </c>
      <c r="H421" s="37">
        <f t="shared" ca="1" si="70"/>
        <v>0.11880670934826784</v>
      </c>
      <c r="I421" s="37">
        <f t="shared" ca="1" si="71"/>
        <v>5.8324161526069139E-2</v>
      </c>
      <c r="J421" s="38">
        <f t="shared" ca="1" si="72"/>
        <v>2.3758721192475206E-2</v>
      </c>
      <c r="K421" s="36">
        <f t="shared" ca="1" si="73"/>
        <v>1506.8502554767715</v>
      </c>
      <c r="L421" s="36">
        <f ca="1">Assumptions!$C$10*Assumptions!$C$13*I421*Assumptions!$C$15</f>
        <v>4045.0049255310714</v>
      </c>
      <c r="M421" s="36">
        <f ca="1">G421*(1+H421*Assumptions!$C$6)*(1+J421)+L421+K421</f>
        <v>65714.510755145515</v>
      </c>
    </row>
    <row r="422" spans="1:13" x14ac:dyDescent="0.25">
      <c r="A422" s="3">
        <v>409</v>
      </c>
      <c r="B422" s="3">
        <f t="shared" ca="1" si="75"/>
        <v>0.40688716797856894</v>
      </c>
      <c r="C422" s="3">
        <f t="shared" ca="1" si="75"/>
        <v>0.99450820234598269</v>
      </c>
      <c r="D422" s="3">
        <f t="shared" ca="1" si="75"/>
        <v>0.85997075919608712</v>
      </c>
      <c r="E422" s="3">
        <f t="shared" ca="1" si="75"/>
        <v>0.29172047066858597</v>
      </c>
      <c r="F422" s="3">
        <f t="shared" ca="1" si="75"/>
        <v>0.2545058440178628</v>
      </c>
      <c r="G422" s="36">
        <f t="shared" ca="1" si="69"/>
        <v>57779.213988081072</v>
      </c>
      <c r="H422" s="37">
        <f t="shared" ca="1" si="70"/>
        <v>0.22881013912009651</v>
      </c>
      <c r="I422" s="37">
        <f t="shared" ca="1" si="71"/>
        <v>9.8831779229880429E-2</v>
      </c>
      <c r="J422" s="38">
        <f t="shared" ca="1" si="72"/>
        <v>2.5276661171043519E-2</v>
      </c>
      <c r="K422" s="36">
        <f t="shared" ca="1" si="73"/>
        <v>1070.1758257783542</v>
      </c>
      <c r="L422" s="36">
        <f ca="1">Assumptions!$C$10*Assumptions!$C$13*I422*Assumptions!$C$15</f>
        <v>6854.3640118200137</v>
      </c>
      <c r="M422" s="36">
        <f ca="1">G422*(1+H422*Assumptions!$C$6)*(1+J422)+L422+K422</f>
        <v>69875.147306654122</v>
      </c>
    </row>
    <row r="423" spans="1:13" x14ac:dyDescent="0.25">
      <c r="A423" s="3">
        <v>410</v>
      </c>
      <c r="B423" s="3">
        <f t="shared" ca="1" si="75"/>
        <v>6.8331555367476482E-2</v>
      </c>
      <c r="C423" s="3">
        <f t="shared" ca="1" si="75"/>
        <v>0.98190134371487581</v>
      </c>
      <c r="D423" s="3">
        <f t="shared" ca="1" si="75"/>
        <v>0.84854345493227024</v>
      </c>
      <c r="E423" s="3">
        <f t="shared" ca="1" si="75"/>
        <v>0.16522332557336217</v>
      </c>
      <c r="F423" s="3">
        <f t="shared" ca="1" si="75"/>
        <v>0.49397453964083959</v>
      </c>
      <c r="G423" s="36">
        <f t="shared" ca="1" si="69"/>
        <v>57378.342983281618</v>
      </c>
      <c r="H423" s="37">
        <f t="shared" ca="1" si="70"/>
        <v>0.21968622725093068</v>
      </c>
      <c r="I423" s="37">
        <f t="shared" ca="1" si="71"/>
        <v>9.7984983665308459E-2</v>
      </c>
      <c r="J423" s="38">
        <f t="shared" ca="1" si="72"/>
        <v>2.1496897862410089E-2</v>
      </c>
      <c r="K423" s="36">
        <f t="shared" ca="1" si="73"/>
        <v>1490.9344145145278</v>
      </c>
      <c r="L423" s="36">
        <f ca="1">Assumptions!$C$10*Assumptions!$C$13*I423*Assumptions!$C$15</f>
        <v>6795.6354825109302</v>
      </c>
      <c r="M423" s="36">
        <f ca="1">G423*(1+H423*Assumptions!$C$6)*(1+J423)+L423+K423</f>
        <v>69473.610273774204</v>
      </c>
    </row>
    <row r="424" spans="1:13" x14ac:dyDescent="0.25">
      <c r="A424" s="3">
        <v>411</v>
      </c>
      <c r="B424" s="3">
        <f t="shared" ref="B424:F433" ca="1" si="76">RAND()</f>
        <v>0.58533301022652506</v>
      </c>
      <c r="C424" s="3">
        <f t="shared" ca="1" si="76"/>
        <v>0.84885265466971072</v>
      </c>
      <c r="D424" s="3">
        <f t="shared" ca="1" si="76"/>
        <v>0.89667107292698423</v>
      </c>
      <c r="E424" s="3">
        <f t="shared" ca="1" si="76"/>
        <v>0.82375698697730693</v>
      </c>
      <c r="F424" s="3">
        <f t="shared" ca="1" si="76"/>
        <v>0.8315221490583703</v>
      </c>
      <c r="G424" s="36">
        <f t="shared" ca="1" si="69"/>
        <v>57938.254631592645</v>
      </c>
      <c r="H424" s="37">
        <f t="shared" ca="1" si="70"/>
        <v>0.18129600121345568</v>
      </c>
      <c r="I424" s="37">
        <f t="shared" ca="1" si="71"/>
        <v>0.10181614544070343</v>
      </c>
      <c r="J424" s="38">
        <f t="shared" ca="1" si="72"/>
        <v>3.8125893279149184E-2</v>
      </c>
      <c r="K424" s="36">
        <f t="shared" ca="1" si="73"/>
        <v>2129.2817164907274</v>
      </c>
      <c r="L424" s="36">
        <f ca="1">Assumptions!$C$10*Assumptions!$C$13*I424*Assumptions!$C$15</f>
        <v>7061.3412868721698</v>
      </c>
      <c r="M424" s="36">
        <f ca="1">G424*(1+H424*Assumptions!$C$6)*(1+J424)+L424+K424</f>
        <v>71518.714801665148</v>
      </c>
    </row>
    <row r="425" spans="1:13" x14ac:dyDescent="0.25">
      <c r="A425" s="3">
        <v>412</v>
      </c>
      <c r="B425" s="3">
        <f t="shared" ca="1" si="76"/>
        <v>0.54253312078325833</v>
      </c>
      <c r="C425" s="3">
        <f t="shared" ca="1" si="76"/>
        <v>0.32270141694497068</v>
      </c>
      <c r="D425" s="3">
        <f t="shared" ca="1" si="76"/>
        <v>0.58594701111223713</v>
      </c>
      <c r="E425" s="3">
        <f t="shared" ca="1" si="76"/>
        <v>0.24776940764946287</v>
      </c>
      <c r="F425" s="3">
        <f t="shared" ca="1" si="76"/>
        <v>0.65325738394984156</v>
      </c>
      <c r="G425" s="36">
        <f t="shared" ca="1" si="69"/>
        <v>57897.421056307372</v>
      </c>
      <c r="H425" s="37">
        <f t="shared" ca="1" si="70"/>
        <v>0.1155128143600022</v>
      </c>
      <c r="I425" s="37">
        <f t="shared" ca="1" si="71"/>
        <v>8.3599868620555212E-2</v>
      </c>
      <c r="J425" s="38">
        <f t="shared" ca="1" si="72"/>
        <v>2.4078903583715963E-2</v>
      </c>
      <c r="K425" s="36">
        <f t="shared" ca="1" si="73"/>
        <v>1750.8635894243923</v>
      </c>
      <c r="L425" s="36">
        <f ca="1">Assumptions!$C$10*Assumptions!$C$13*I425*Assumptions!$C$15</f>
        <v>5797.9724267917363</v>
      </c>
      <c r="M425" s="36">
        <f ca="1">G425*(1+H425*Assumptions!$C$6)*(1+J425)+L425+K425</f>
        <v>68210.149733167695</v>
      </c>
    </row>
    <row r="426" spans="1:13" x14ac:dyDescent="0.25">
      <c r="A426" s="3">
        <v>413</v>
      </c>
      <c r="B426" s="3">
        <f t="shared" ca="1" si="76"/>
        <v>0.69296114943463383</v>
      </c>
      <c r="C426" s="3">
        <f t="shared" ca="1" si="76"/>
        <v>1.8016449633084686E-2</v>
      </c>
      <c r="D426" s="3">
        <f t="shared" ca="1" si="76"/>
        <v>0.44029125087139476</v>
      </c>
      <c r="E426" s="3">
        <f t="shared" ca="1" si="76"/>
        <v>0.47336903080946025</v>
      </c>
      <c r="F426" s="3">
        <f t="shared" ca="1" si="76"/>
        <v>0.18551077886290823</v>
      </c>
      <c r="G426" s="36">
        <f t="shared" ca="1" si="69"/>
        <v>58051.41613864484</v>
      </c>
      <c r="H426" s="37">
        <f t="shared" ca="1" si="70"/>
        <v>6.5479624676329409E-2</v>
      </c>
      <c r="I426" s="37">
        <f t="shared" ca="1" si="71"/>
        <v>7.7535743003015981E-2</v>
      </c>
      <c r="J426" s="38">
        <f t="shared" ca="1" si="72"/>
        <v>2.946009313049576E-2</v>
      </c>
      <c r="K426" s="36">
        <f t="shared" ca="1" si="73"/>
        <v>913.67308425009821</v>
      </c>
      <c r="L426" s="36">
        <f ca="1">Assumptions!$C$10*Assumptions!$C$13*I426*Assumptions!$C$15</f>
        <v>5377.4019916553225</v>
      </c>
      <c r="M426" s="36">
        <f ca="1">G426*(1+H426*Assumptions!$C$6)*(1+J426)+L426+K426</f>
        <v>66835.324980961246</v>
      </c>
    </row>
    <row r="427" spans="1:13" x14ac:dyDescent="0.25">
      <c r="A427" s="3">
        <v>414</v>
      </c>
      <c r="B427" s="3">
        <f t="shared" ca="1" si="76"/>
        <v>9.6398468790093284E-2</v>
      </c>
      <c r="C427" s="3">
        <f t="shared" ca="1" si="76"/>
        <v>0.8858016185205555</v>
      </c>
      <c r="D427" s="3">
        <f t="shared" ca="1" si="76"/>
        <v>0.2170642338074722</v>
      </c>
      <c r="E427" s="3">
        <f t="shared" ca="1" si="76"/>
        <v>0.79518666911631297</v>
      </c>
      <c r="F427" s="3">
        <f t="shared" ca="1" si="76"/>
        <v>0.92461402256218583</v>
      </c>
      <c r="G427" s="36">
        <f t="shared" ca="1" si="69"/>
        <v>57430.601403034045</v>
      </c>
      <c r="H427" s="37">
        <f t="shared" ca="1" si="70"/>
        <v>0.18897330994732919</v>
      </c>
      <c r="I427" s="37">
        <f t="shared" ca="1" si="71"/>
        <v>6.6355370386012621E-2</v>
      </c>
      <c r="J427" s="38">
        <f t="shared" ca="1" si="72"/>
        <v>3.7199583416663753E-2</v>
      </c>
      <c r="K427" s="36">
        <f t="shared" ca="1" si="73"/>
        <v>2417.5595322522963</v>
      </c>
      <c r="L427" s="36">
        <f ca="1">Assumptions!$C$10*Assumptions!$C$13*I427*Assumptions!$C$15</f>
        <v>4602.0001492329975</v>
      </c>
      <c r="M427" s="36">
        <f ca="1">G427*(1+H427*Assumptions!$C$6)*(1+J427)+L427+K427</f>
        <v>68837.870005981837</v>
      </c>
    </row>
    <row r="428" spans="1:13" x14ac:dyDescent="0.25">
      <c r="A428" s="3">
        <v>415</v>
      </c>
      <c r="B428" s="3">
        <f t="shared" ca="1" si="76"/>
        <v>0.37410108430361821</v>
      </c>
      <c r="C428" s="3">
        <f t="shared" ca="1" si="76"/>
        <v>0.29344615320726453</v>
      </c>
      <c r="D428" s="3">
        <f t="shared" ca="1" si="76"/>
        <v>0.50079931413283141</v>
      </c>
      <c r="E428" s="3">
        <f t="shared" ca="1" si="76"/>
        <v>0.61788609503438707</v>
      </c>
      <c r="F428" s="3">
        <f t="shared" ca="1" si="76"/>
        <v>0.40686041221608582</v>
      </c>
      <c r="G428" s="36">
        <f t="shared" ca="1" si="69"/>
        <v>57751.274550841503</v>
      </c>
      <c r="H428" s="37">
        <f t="shared" ca="1" si="70"/>
        <v>0.11247266472351422</v>
      </c>
      <c r="I428" s="37">
        <f t="shared" ca="1" si="71"/>
        <v>8.0031985353598817E-2</v>
      </c>
      <c r="J428" s="38">
        <f t="shared" ca="1" si="72"/>
        <v>3.2515975178109294E-2</v>
      </c>
      <c r="K428" s="36">
        <f t="shared" ca="1" si="73"/>
        <v>1353.0971343449021</v>
      </c>
      <c r="L428" s="36">
        <f ca="1">Assumptions!$C$10*Assumptions!$C$13*I428*Assumptions!$C$15</f>
        <v>5550.5259996003597</v>
      </c>
      <c r="M428" s="36">
        <f ca="1">G428*(1+H428*Assumptions!$C$6)*(1+J428)+L428+K428</f>
        <v>67874.065754039359</v>
      </c>
    </row>
    <row r="429" spans="1:13" x14ac:dyDescent="0.25">
      <c r="A429" s="3">
        <v>416</v>
      </c>
      <c r="B429" s="3">
        <f t="shared" ca="1" si="76"/>
        <v>0.79192712918034713</v>
      </c>
      <c r="C429" s="3">
        <f t="shared" ca="1" si="76"/>
        <v>0.92141927879176555</v>
      </c>
      <c r="D429" s="3">
        <f t="shared" ca="1" si="76"/>
        <v>0.84415376302343814</v>
      </c>
      <c r="E429" s="3">
        <f t="shared" ca="1" si="76"/>
        <v>0.1525205441724895</v>
      </c>
      <c r="F429" s="3">
        <f t="shared" ca="1" si="76"/>
        <v>0.35080271832769905</v>
      </c>
      <c r="G429" s="36">
        <f t="shared" ca="1" si="69"/>
        <v>58174.812641154334</v>
      </c>
      <c r="H429" s="37">
        <f t="shared" ca="1" si="70"/>
        <v>0.19767222609742219</v>
      </c>
      <c r="I429" s="37">
        <f t="shared" ca="1" si="71"/>
        <v>9.7668229843449528E-2</v>
      </c>
      <c r="J429" s="38">
        <f t="shared" ca="1" si="72"/>
        <v>2.1046104984925301E-2</v>
      </c>
      <c r="K429" s="36">
        <f t="shared" ca="1" si="73"/>
        <v>1256.4283634472145</v>
      </c>
      <c r="L429" s="36">
        <f ca="1">Assumptions!$C$10*Assumptions!$C$13*I429*Assumptions!$C$15</f>
        <v>6773.6673866810834</v>
      </c>
      <c r="M429" s="36">
        <f ca="1">G429*(1+H429*Assumptions!$C$6)*(1+J429)+L429+K429</f>
        <v>69777.574674203206</v>
      </c>
    </row>
    <row r="430" spans="1:13" x14ac:dyDescent="0.25">
      <c r="A430" s="3">
        <v>417</v>
      </c>
      <c r="B430" s="3">
        <f t="shared" ca="1" si="76"/>
        <v>0.69810460079646275</v>
      </c>
      <c r="C430" s="3">
        <f t="shared" ca="1" si="76"/>
        <v>0.78767710548288739</v>
      </c>
      <c r="D430" s="3">
        <f t="shared" ca="1" si="76"/>
        <v>0.33237462295753317</v>
      </c>
      <c r="E430" s="3">
        <f t="shared" ca="1" si="76"/>
        <v>0.78384702524921701</v>
      </c>
      <c r="F430" s="3">
        <f t="shared" ca="1" si="76"/>
        <v>0.44244675923801202</v>
      </c>
      <c r="G430" s="36">
        <f t="shared" ca="1" si="69"/>
        <v>58057.287094115105</v>
      </c>
      <c r="H430" s="37">
        <f t="shared" ca="1" si="70"/>
        <v>0.17042297796693101</v>
      </c>
      <c r="I430" s="37">
        <f t="shared" ca="1" si="71"/>
        <v>7.2612862392990071E-2</v>
      </c>
      <c r="J430" s="38">
        <f t="shared" ca="1" si="72"/>
        <v>3.6850004570319186E-2</v>
      </c>
      <c r="K430" s="36">
        <f t="shared" ca="1" si="73"/>
        <v>1411.0316851761529</v>
      </c>
      <c r="L430" s="36">
        <f ca="1">Assumptions!$C$10*Assumptions!$C$13*I430*Assumptions!$C$15</f>
        <v>5035.9812871938329</v>
      </c>
      <c r="M430" s="36">
        <f ca="1">G430*(1+H430*Assumptions!$C$6)*(1+J430)+L430+K430</f>
        <v>68695.491481885372</v>
      </c>
    </row>
    <row r="431" spans="1:13" x14ac:dyDescent="0.25">
      <c r="A431" s="3">
        <v>418</v>
      </c>
      <c r="B431" s="3">
        <f t="shared" ca="1" si="76"/>
        <v>0.84200518352212728</v>
      </c>
      <c r="C431" s="3">
        <f t="shared" ca="1" si="76"/>
        <v>0.6312034281410791</v>
      </c>
      <c r="D431" s="3">
        <f t="shared" ca="1" si="76"/>
        <v>0.66665324752654176</v>
      </c>
      <c r="E431" s="3">
        <f t="shared" ca="1" si="76"/>
        <v>0.76187065392555875</v>
      </c>
      <c r="F431" s="3">
        <f t="shared" ca="1" si="76"/>
        <v>0.22235056439193823</v>
      </c>
      <c r="G431" s="36">
        <f t="shared" ca="1" si="69"/>
        <v>58248.709396006518</v>
      </c>
      <c r="H431" s="37">
        <f t="shared" ca="1" si="70"/>
        <v>0.14830178933924937</v>
      </c>
      <c r="I431" s="37">
        <f t="shared" ca="1" si="71"/>
        <v>8.7339479368585285E-2</v>
      </c>
      <c r="J431" s="38">
        <f t="shared" ca="1" si="72"/>
        <v>3.619770030540008E-2</v>
      </c>
      <c r="K431" s="36">
        <f t="shared" ca="1" si="73"/>
        <v>1000.2887281998743</v>
      </c>
      <c r="L431" s="36">
        <f ca="1">Assumptions!$C$10*Assumptions!$C$13*I431*Assumptions!$C$15</f>
        <v>6057.3288152858831</v>
      </c>
      <c r="M431" s="36">
        <f ca="1">G431*(1+H431*Assumptions!$C$6)*(1+J431)+L431+K431</f>
        <v>69205.011786170566</v>
      </c>
    </row>
    <row r="432" spans="1:13" x14ac:dyDescent="0.25">
      <c r="A432" s="3">
        <v>419</v>
      </c>
      <c r="B432" s="3">
        <f t="shared" ca="1" si="76"/>
        <v>0.3290668508191098</v>
      </c>
      <c r="C432" s="3">
        <f t="shared" ca="1" si="76"/>
        <v>0.35229734345694008</v>
      </c>
      <c r="D432" s="3">
        <f t="shared" ca="1" si="76"/>
        <v>0.3699247523724658</v>
      </c>
      <c r="E432" s="3">
        <f t="shared" ca="1" si="76"/>
        <v>0.29541686433324366</v>
      </c>
      <c r="F432" s="3">
        <f t="shared" ca="1" si="76"/>
        <v>0.81285657357536012</v>
      </c>
      <c r="G432" s="36">
        <f t="shared" ca="1" si="69"/>
        <v>57710.817810700355</v>
      </c>
      <c r="H432" s="37">
        <f t="shared" ca="1" si="70"/>
        <v>0.11845111151747138</v>
      </c>
      <c r="I432" s="37">
        <f t="shared" ca="1" si="71"/>
        <v>7.4405801946646893E-2</v>
      </c>
      <c r="J432" s="38">
        <f t="shared" ca="1" si="72"/>
        <v>2.5373141886634459E-2</v>
      </c>
      <c r="K432" s="36">
        <f t="shared" ca="1" si="73"/>
        <v>2082.3151854199182</v>
      </c>
      <c r="L432" s="36">
        <f ca="1">Assumptions!$C$10*Assumptions!$C$13*I432*Assumptions!$C$15</f>
        <v>5160.3285411612951</v>
      </c>
      <c r="M432" s="36">
        <f ca="1">G432*(1+H432*Assumptions!$C$6)*(1+J432)+L432+K432</f>
        <v>67819.638114728819</v>
      </c>
    </row>
    <row r="433" spans="1:13" x14ac:dyDescent="0.25">
      <c r="A433" s="3">
        <v>420</v>
      </c>
      <c r="B433" s="3">
        <f t="shared" ca="1" si="76"/>
        <v>0.81955161507391427</v>
      </c>
      <c r="C433" s="3">
        <f t="shared" ca="1" si="76"/>
        <v>9.2306962569166151E-2</v>
      </c>
      <c r="D433" s="3">
        <f t="shared" ca="1" si="76"/>
        <v>0.7231529878618872</v>
      </c>
      <c r="E433" s="3">
        <f t="shared" ca="1" si="76"/>
        <v>0.2492081169557413</v>
      </c>
      <c r="F433" s="3">
        <f t="shared" ca="1" si="76"/>
        <v>0.7368075849852801</v>
      </c>
      <c r="G433" s="36">
        <f t="shared" ca="1" si="69"/>
        <v>58214.312655605594</v>
      </c>
      <c r="H433" s="37">
        <f t="shared" ca="1" si="70"/>
        <v>8.503830193045761E-2</v>
      </c>
      <c r="I433" s="37">
        <f t="shared" ca="1" si="71"/>
        <v>9.0235752338720859E-2</v>
      </c>
      <c r="J433" s="38">
        <f t="shared" ca="1" si="72"/>
        <v>2.4119720024299102E-2</v>
      </c>
      <c r="K433" s="36">
        <f t="shared" ca="1" si="73"/>
        <v>1911.7142527965186</v>
      </c>
      <c r="L433" s="36">
        <f ca="1">Assumptions!$C$10*Assumptions!$C$13*I433*Assumptions!$C$15</f>
        <v>6258.1964852762085</v>
      </c>
      <c r="M433" s="36">
        <f ca="1">G433*(1+H433*Assumptions!$C$6)*(1+J433)+L433+K433</f>
        <v>68802.306251327158</v>
      </c>
    </row>
    <row r="434" spans="1:13" x14ac:dyDescent="0.25">
      <c r="A434" s="3">
        <v>421</v>
      </c>
      <c r="B434" s="3">
        <f t="shared" ref="B434:F443" ca="1" si="77">RAND()</f>
        <v>0.99827083877009848</v>
      </c>
      <c r="C434" s="3">
        <f t="shared" ca="1" si="77"/>
        <v>0.98670866348771591</v>
      </c>
      <c r="D434" s="3">
        <f t="shared" ca="1" si="77"/>
        <v>0.77102231982902225</v>
      </c>
      <c r="E434" s="3">
        <f t="shared" ca="1" si="77"/>
        <v>0.3508439663604157</v>
      </c>
      <c r="F434" s="3">
        <f t="shared" ca="1" si="77"/>
        <v>0.14567930876958457</v>
      </c>
      <c r="G434" s="36">
        <f t="shared" ca="1" si="69"/>
        <v>58697.022498703045</v>
      </c>
      <c r="H434" s="37">
        <f t="shared" ca="1" si="70"/>
        <v>0.22259188486710646</v>
      </c>
      <c r="I434" s="37">
        <f t="shared" ca="1" si="71"/>
        <v>9.2931040349745087E-2</v>
      </c>
      <c r="J434" s="38">
        <f t="shared" ca="1" si="72"/>
        <v>2.6753363038158416E-2</v>
      </c>
      <c r="K434" s="36">
        <f t="shared" ca="1" si="73"/>
        <v>809.66467717390913</v>
      </c>
      <c r="L434" s="36">
        <f ca="1">Assumptions!$C$10*Assumptions!$C$13*I434*Assumptions!$C$15</f>
        <v>6445.1250753330896</v>
      </c>
      <c r="M434" s="36">
        <f ca="1">G434*(1+H434*Assumptions!$C$6)*(1+J434)+L434+K434</f>
        <v>70205.160288809886</v>
      </c>
    </row>
    <row r="435" spans="1:13" x14ac:dyDescent="0.25">
      <c r="A435" s="3">
        <v>422</v>
      </c>
      <c r="B435" s="3">
        <f t="shared" ca="1" si="77"/>
        <v>0.99797483638916862</v>
      </c>
      <c r="C435" s="3">
        <f t="shared" ca="1" si="77"/>
        <v>0.68578286364202745</v>
      </c>
      <c r="D435" s="3">
        <f t="shared" ca="1" si="77"/>
        <v>0.69887234529384357</v>
      </c>
      <c r="E435" s="3">
        <f t="shared" ca="1" si="77"/>
        <v>6.2755356701029941E-2</v>
      </c>
      <c r="F435" s="3">
        <f t="shared" ca="1" si="77"/>
        <v>0.99094386886503594</v>
      </c>
      <c r="G435" s="36">
        <f t="shared" ca="1" si="69"/>
        <v>58692.716211354076</v>
      </c>
      <c r="H435" s="37">
        <f t="shared" ca="1" si="70"/>
        <v>0.15535869383709999</v>
      </c>
      <c r="I435" s="37">
        <f t="shared" ca="1" si="71"/>
        <v>8.895795601028017E-2</v>
      </c>
      <c r="J435" s="38">
        <f t="shared" ca="1" si="72"/>
        <v>1.7085498243654001E-2</v>
      </c>
      <c r="K435" s="36">
        <f t="shared" ca="1" si="73"/>
        <v>2798.1272923168208</v>
      </c>
      <c r="L435" s="36">
        <f ca="1">Assumptions!$C$10*Assumptions!$C$13*I435*Assumptions!$C$15</f>
        <v>6169.5763952975831</v>
      </c>
      <c r="M435" s="36">
        <f ca="1">G435*(1+H435*Assumptions!$C$6)*(1+J435)+L435+K435</f>
        <v>70518.057506901474</v>
      </c>
    </row>
    <row r="436" spans="1:13" x14ac:dyDescent="0.25">
      <c r="A436" s="3">
        <v>423</v>
      </c>
      <c r="B436" s="3">
        <f t="shared" ca="1" si="77"/>
        <v>0.13353067215819636</v>
      </c>
      <c r="C436" s="3">
        <f t="shared" ca="1" si="77"/>
        <v>0.36348883386874131</v>
      </c>
      <c r="D436" s="3">
        <f t="shared" ca="1" si="77"/>
        <v>0.15185075514824053</v>
      </c>
      <c r="E436" s="3">
        <f t="shared" ca="1" si="77"/>
        <v>0.23731255161122378</v>
      </c>
      <c r="F436" s="3">
        <f t="shared" ca="1" si="77"/>
        <v>0.21217711054615374</v>
      </c>
      <c r="G436" s="36">
        <f t="shared" ca="1" si="69"/>
        <v>57489.099024615811</v>
      </c>
      <c r="H436" s="37">
        <f t="shared" ca="1" si="70"/>
        <v>0.11952986042308915</v>
      </c>
      <c r="I436" s="37">
        <f t="shared" ca="1" si="71"/>
        <v>6.2043647984722713E-2</v>
      </c>
      <c r="J436" s="38">
        <f t="shared" ca="1" si="72"/>
        <v>2.3778608104194666E-2</v>
      </c>
      <c r="K436" s="36">
        <f t="shared" ca="1" si="73"/>
        <v>977.13714362810492</v>
      </c>
      <c r="L436" s="36">
        <f ca="1">Assumptions!$C$10*Assumptions!$C$13*I436*Assumptions!$C$15</f>
        <v>4302.9656171558454</v>
      </c>
      <c r="M436" s="36">
        <f ca="1">G436*(1+H436*Assumptions!$C$6)*(1+J436)+L436+K436</f>
        <v>65543.225058793207</v>
      </c>
    </row>
    <row r="437" spans="1:13" x14ac:dyDescent="0.25">
      <c r="A437" s="3">
        <v>424</v>
      </c>
      <c r="B437" s="3">
        <f t="shared" ca="1" si="77"/>
        <v>0.1521124181344875</v>
      </c>
      <c r="C437" s="3">
        <f t="shared" ca="1" si="77"/>
        <v>0.95180596514521909</v>
      </c>
      <c r="D437" s="3">
        <f t="shared" ca="1" si="77"/>
        <v>0.946503633536389</v>
      </c>
      <c r="E437" s="3">
        <f t="shared" ca="1" si="77"/>
        <v>0.26983028520103003</v>
      </c>
      <c r="F437" s="3">
        <f t="shared" ca="1" si="77"/>
        <v>0.70480079393869721</v>
      </c>
      <c r="G437" s="36">
        <f t="shared" ca="1" si="69"/>
        <v>57515.290464860656</v>
      </c>
      <c r="H437" s="37">
        <f t="shared" ca="1" si="70"/>
        <v>0.20685148578459353</v>
      </c>
      <c r="I437" s="37">
        <f t="shared" ca="1" si="71"/>
        <v>0.10691610254230204</v>
      </c>
      <c r="J437" s="38">
        <f t="shared" ca="1" si="72"/>
        <v>2.4692318678847937E-2</v>
      </c>
      <c r="K437" s="36">
        <f t="shared" ca="1" si="73"/>
        <v>1847.4391871680425</v>
      </c>
      <c r="L437" s="36">
        <f ca="1">Assumptions!$C$10*Assumptions!$C$13*I437*Assumptions!$C$15</f>
        <v>7415.0429270876539</v>
      </c>
      <c r="M437" s="36">
        <f ca="1">G437*(1+H437*Assumptions!$C$6)*(1+J437)+L437+K437</f>
        <v>70636.136629696688</v>
      </c>
    </row>
    <row r="438" spans="1:13" x14ac:dyDescent="0.25">
      <c r="A438" s="3">
        <v>425</v>
      </c>
      <c r="B438" s="3">
        <f t="shared" ca="1" si="77"/>
        <v>0.79228350583541829</v>
      </c>
      <c r="C438" s="3">
        <f t="shared" ca="1" si="77"/>
        <v>4.908511185782527E-2</v>
      </c>
      <c r="D438" s="3">
        <f t="shared" ca="1" si="77"/>
        <v>0.4376927663979201</v>
      </c>
      <c r="E438" s="3">
        <f t="shared" ca="1" si="77"/>
        <v>0.37549888593310909</v>
      </c>
      <c r="F438" s="3">
        <f t="shared" ca="1" si="77"/>
        <v>0.30476379101247186</v>
      </c>
      <c r="G438" s="36">
        <f t="shared" ca="1" si="69"/>
        <v>58175.30491648824</v>
      </c>
      <c r="H438" s="37">
        <f t="shared" ca="1" si="70"/>
        <v>7.5550577052369602E-2</v>
      </c>
      <c r="I438" s="37">
        <f t="shared" ca="1" si="71"/>
        <v>7.7424815997855542E-2</v>
      </c>
      <c r="J438" s="38">
        <f t="shared" ca="1" si="72"/>
        <v>2.733202552347784E-2</v>
      </c>
      <c r="K438" s="36">
        <f t="shared" ca="1" si="73"/>
        <v>1171.0837115920122</v>
      </c>
      <c r="L438" s="36">
        <f ca="1">Assumptions!$C$10*Assumptions!$C$13*I438*Assumptions!$C$15</f>
        <v>5369.7087772051191</v>
      </c>
      <c r="M438" s="36">
        <f ca="1">G438*(1+H438*Assumptions!$C$6)*(1+J438)+L438+K438</f>
        <v>67209.207718098158</v>
      </c>
    </row>
    <row r="439" spans="1:13" x14ac:dyDescent="0.25">
      <c r="A439" s="3">
        <v>426</v>
      </c>
      <c r="B439" s="3">
        <f t="shared" ca="1" si="77"/>
        <v>6.5267394976336157E-2</v>
      </c>
      <c r="C439" s="3">
        <f t="shared" ca="1" si="77"/>
        <v>0.47847144695863253</v>
      </c>
      <c r="D439" s="3">
        <f t="shared" ca="1" si="77"/>
        <v>0.47247263567910047</v>
      </c>
      <c r="E439" s="3">
        <f t="shared" ca="1" si="77"/>
        <v>3.2863805622763698E-3</v>
      </c>
      <c r="F439" s="3">
        <f t="shared" ca="1" si="77"/>
        <v>0.92688041126942622</v>
      </c>
      <c r="G439" s="36">
        <f t="shared" ca="1" si="69"/>
        <v>57372.030602911138</v>
      </c>
      <c r="H439" s="37">
        <f t="shared" ca="1" si="70"/>
        <v>0.13095482124668151</v>
      </c>
      <c r="I439" s="37">
        <f t="shared" ca="1" si="71"/>
        <v>7.8883318199108488E-2</v>
      </c>
      <c r="J439" s="38">
        <f t="shared" ca="1" si="72"/>
        <v>1.1621451340565327E-2</v>
      </c>
      <c r="K439" s="36">
        <f t="shared" ca="1" si="73"/>
        <v>2426.3815298584068</v>
      </c>
      <c r="L439" s="36">
        <f ca="1">Assumptions!$C$10*Assumptions!$C$13*I439*Assumptions!$C$15</f>
        <v>5470.8615144858622</v>
      </c>
      <c r="M439" s="36">
        <f ca="1">G439*(1+H439*Assumptions!$C$6)*(1+J439)+L439+K439</f>
        <v>67456.111439159635</v>
      </c>
    </row>
    <row r="440" spans="1:13" x14ac:dyDescent="0.25">
      <c r="A440" s="3">
        <v>427</v>
      </c>
      <c r="B440" s="3">
        <f t="shared" ca="1" si="77"/>
        <v>0.97617604658631818</v>
      </c>
      <c r="C440" s="3">
        <f t="shared" ca="1" si="77"/>
        <v>0.95030185450589633</v>
      </c>
      <c r="D440" s="3">
        <f t="shared" ca="1" si="77"/>
        <v>0.24025794601995432</v>
      </c>
      <c r="E440" s="3">
        <f t="shared" ca="1" si="77"/>
        <v>0.65339902176063513</v>
      </c>
      <c r="F440" s="3">
        <f t="shared" ca="1" si="77"/>
        <v>1.9461193645719854E-2</v>
      </c>
      <c r="G440" s="36">
        <f t="shared" ca="1" si="69"/>
        <v>58554.975462512404</v>
      </c>
      <c r="H440" s="37">
        <f t="shared" ca="1" si="70"/>
        <v>0.20633818606691606</v>
      </c>
      <c r="I440" s="37">
        <f t="shared" ca="1" si="71"/>
        <v>6.7727701442129196E-2</v>
      </c>
      <c r="J440" s="38">
        <f t="shared" ca="1" si="72"/>
        <v>3.3348249864008528E-2</v>
      </c>
      <c r="K440" s="36">
        <f t="shared" ca="1" si="73"/>
        <v>295.93136265989</v>
      </c>
      <c r="L440" s="36">
        <f ca="1">Assumptions!$C$10*Assumptions!$C$13*I440*Assumptions!$C$15</f>
        <v>4697.1765861710519</v>
      </c>
      <c r="M440" s="36">
        <f ca="1">G440*(1+H440*Assumptions!$C$6)*(1+J440)+L440+K440</f>
        <v>67997.798409105992</v>
      </c>
    </row>
    <row r="441" spans="1:13" x14ac:dyDescent="0.25">
      <c r="A441" s="3">
        <v>428</v>
      </c>
      <c r="B441" s="3">
        <f t="shared" ca="1" si="77"/>
        <v>0.99254034313868122</v>
      </c>
      <c r="C441" s="3">
        <f t="shared" ca="1" si="77"/>
        <v>0.46484051672736582</v>
      </c>
      <c r="D441" s="3">
        <f t="shared" ca="1" si="77"/>
        <v>0.19339759999522788</v>
      </c>
      <c r="E441" s="3">
        <f t="shared" ca="1" si="77"/>
        <v>8.5777531354210623E-2</v>
      </c>
      <c r="F441" s="3">
        <f t="shared" ca="1" si="77"/>
        <v>0.86997283378516566</v>
      </c>
      <c r="G441" s="36">
        <f t="shared" ca="1" si="69"/>
        <v>58640.607586056758</v>
      </c>
      <c r="H441" s="37">
        <f t="shared" ca="1" si="70"/>
        <v>0.12953898326279964</v>
      </c>
      <c r="I441" s="37">
        <f t="shared" ca="1" si="71"/>
        <v>6.4877144530366207E-2</v>
      </c>
      <c r="J441" s="38">
        <f t="shared" ca="1" si="72"/>
        <v>1.8283841203413337E-2</v>
      </c>
      <c r="K441" s="36">
        <f t="shared" ca="1" si="73"/>
        <v>2235.0671611397802</v>
      </c>
      <c r="L441" s="36">
        <f ca="1">Assumptions!$C$10*Assumptions!$C$13*I441*Assumptions!$C$15</f>
        <v>4499.4795006598588</v>
      </c>
      <c r="M441" s="36">
        <f ca="1">G441*(1+H441*Assumptions!$C$6)*(1+J441)+L441+K441</f>
        <v>67994.356448264793</v>
      </c>
    </row>
    <row r="442" spans="1:13" x14ac:dyDescent="0.25">
      <c r="A442" s="3">
        <v>429</v>
      </c>
      <c r="B442" s="3">
        <f t="shared" ca="1" si="77"/>
        <v>0.36595652496148912</v>
      </c>
      <c r="C442" s="3">
        <f t="shared" ca="1" si="77"/>
        <v>0.90775293524687939</v>
      </c>
      <c r="D442" s="3">
        <f t="shared" ca="1" si="77"/>
        <v>0.40749203037283233</v>
      </c>
      <c r="E442" s="3">
        <f t="shared" ca="1" si="77"/>
        <v>0.40556954020845126</v>
      </c>
      <c r="F442" s="3">
        <f t="shared" ca="1" si="77"/>
        <v>0.60010061360660905</v>
      </c>
      <c r="G442" s="36">
        <f t="shared" ca="1" si="69"/>
        <v>57744.14608570643</v>
      </c>
      <c r="H442" s="37">
        <f t="shared" ca="1" si="70"/>
        <v>0.19413898086205289</v>
      </c>
      <c r="I442" s="37">
        <f t="shared" ca="1" si="71"/>
        <v>7.6110587051349127E-2</v>
      </c>
      <c r="J442" s="38">
        <f t="shared" ca="1" si="72"/>
        <v>2.801265200259976E-2</v>
      </c>
      <c r="K442" s="36">
        <f t="shared" ca="1" si="73"/>
        <v>1658.5279582599348</v>
      </c>
      <c r="L442" s="36">
        <f ca="1">Assumptions!$C$10*Assumptions!$C$13*I442*Assumptions!$C$15</f>
        <v>5278.5619450381819</v>
      </c>
      <c r="M442" s="36">
        <f ca="1">G442*(1+H442*Assumptions!$C$6)*(1+J442)+L442+K442</f>
        <v>68603.687141794537</v>
      </c>
    </row>
    <row r="443" spans="1:13" x14ac:dyDescent="0.25">
      <c r="A443" s="3">
        <v>430</v>
      </c>
      <c r="B443" s="3">
        <f t="shared" ca="1" si="77"/>
        <v>0.12574972861785239</v>
      </c>
      <c r="C443" s="3">
        <f t="shared" ca="1" si="77"/>
        <v>0.29030075823086565</v>
      </c>
      <c r="D443" s="3">
        <f t="shared" ca="1" si="77"/>
        <v>0.69442410680612254</v>
      </c>
      <c r="E443" s="3">
        <f t="shared" ca="1" si="77"/>
        <v>0.87263058319059983</v>
      </c>
      <c r="F443" s="3">
        <f t="shared" ca="1" si="77"/>
        <v>0.7037694013538196</v>
      </c>
      <c r="G443" s="36">
        <f t="shared" ca="1" si="69"/>
        <v>57477.592320320204</v>
      </c>
      <c r="H443" s="37">
        <f t="shared" ca="1" si="70"/>
        <v>0.11213694621133641</v>
      </c>
      <c r="I443" s="37">
        <f t="shared" ca="1" si="71"/>
        <v>8.8729520978718474E-2</v>
      </c>
      <c r="J443" s="38">
        <f t="shared" ca="1" si="72"/>
        <v>3.9905668251562165E-2</v>
      </c>
      <c r="K443" s="36">
        <f t="shared" ca="1" si="73"/>
        <v>1845.4274843441788</v>
      </c>
      <c r="L443" s="36">
        <f ca="1">Assumptions!$C$10*Assumptions!$C$13*I443*Assumptions!$C$15</f>
        <v>6153.7335472625045</v>
      </c>
      <c r="M443" s="36">
        <f ca="1">G443*(1+H443*Assumptions!$C$6)*(1+J443)+L443+K443</f>
        <v>69110.94871161606</v>
      </c>
    </row>
    <row r="444" spans="1:13" x14ac:dyDescent="0.25">
      <c r="A444" s="3">
        <v>431</v>
      </c>
      <c r="B444" s="3">
        <f t="shared" ref="B444:F453" ca="1" si="78">RAND()</f>
        <v>0.95886006790787581</v>
      </c>
      <c r="C444" s="3">
        <f t="shared" ca="1" si="78"/>
        <v>0.19118406332818638</v>
      </c>
      <c r="D444" s="3">
        <f t="shared" ca="1" si="78"/>
        <v>0.18176957643579328</v>
      </c>
      <c r="E444" s="3">
        <f t="shared" ca="1" si="78"/>
        <v>0.17297059352626043</v>
      </c>
      <c r="F444" s="3">
        <f t="shared" ca="1" si="78"/>
        <v>4.8015240981270635E-2</v>
      </c>
      <c r="G444" s="36">
        <f t="shared" ca="1" si="69"/>
        <v>58493.907913108531</v>
      </c>
      <c r="H444" s="37">
        <f t="shared" ca="1" si="70"/>
        <v>0.10042566848604864</v>
      </c>
      <c r="I444" s="37">
        <f t="shared" ca="1" si="71"/>
        <v>6.4117683234393361E-2</v>
      </c>
      <c r="J444" s="38">
        <f t="shared" ca="1" si="72"/>
        <v>2.176335304328695E-2</v>
      </c>
      <c r="K444" s="36">
        <f t="shared" ca="1" si="73"/>
        <v>464.83178077205292</v>
      </c>
      <c r="L444" s="36">
        <f ca="1">Assumptions!$C$10*Assumptions!$C$13*I444*Assumptions!$C$15</f>
        <v>4446.8079387791577</v>
      </c>
      <c r="M444" s="36">
        <f ca="1">G444*(1+H444*Assumptions!$C$6)*(1+J444)+L444+K444</f>
        <v>65878.998010940239</v>
      </c>
    </row>
    <row r="445" spans="1:13" x14ac:dyDescent="0.25">
      <c r="A445" s="3">
        <v>432</v>
      </c>
      <c r="B445" s="3">
        <f t="shared" ca="1" si="78"/>
        <v>0.76714580864269066</v>
      </c>
      <c r="C445" s="3">
        <f t="shared" ca="1" si="78"/>
        <v>5.2443682077868425E-2</v>
      </c>
      <c r="D445" s="3">
        <f t="shared" ca="1" si="78"/>
        <v>0.78311889995412876</v>
      </c>
      <c r="E445" s="3">
        <f t="shared" ca="1" si="78"/>
        <v>9.9594814753576122E-2</v>
      </c>
      <c r="F445" s="3">
        <f t="shared" ca="1" si="78"/>
        <v>0.85431081648826557</v>
      </c>
      <c r="G445" s="36">
        <f t="shared" ca="1" si="69"/>
        <v>58141.558309295004</v>
      </c>
      <c r="H445" s="37">
        <f t="shared" ca="1" si="70"/>
        <v>7.6410243687547647E-2</v>
      </c>
      <c r="I445" s="37">
        <f t="shared" ca="1" si="71"/>
        <v>9.3655749770646571E-2</v>
      </c>
      <c r="J445" s="38">
        <f t="shared" ca="1" si="72"/>
        <v>1.8926133082296098E-2</v>
      </c>
      <c r="K445" s="36">
        <f t="shared" ca="1" si="73"/>
        <v>2190.3078820917144</v>
      </c>
      <c r="L445" s="36">
        <f ca="1">Assumptions!$C$10*Assumptions!$C$13*I445*Assumptions!$C$15</f>
        <v>6495.3864610165338</v>
      </c>
      <c r="M445" s="36">
        <f ca="1">G445*(1+H445*Assumptions!$C$6)*(1+J445)+L445+K445</f>
        <v>68832.985938370955</v>
      </c>
    </row>
    <row r="446" spans="1:13" x14ac:dyDescent="0.25">
      <c r="A446" s="3">
        <v>433</v>
      </c>
      <c r="B446" s="3">
        <f t="shared" ca="1" si="78"/>
        <v>0.6574681341775791</v>
      </c>
      <c r="C446" s="3">
        <f t="shared" ca="1" si="78"/>
        <v>0.56530409705668516</v>
      </c>
      <c r="D446" s="3">
        <f t="shared" ca="1" si="78"/>
        <v>0.10594719586213019</v>
      </c>
      <c r="E446" s="3">
        <f t="shared" ca="1" si="78"/>
        <v>0.64529173486570945</v>
      </c>
      <c r="F446" s="3">
        <f t="shared" ca="1" si="78"/>
        <v>0.25909941924887137</v>
      </c>
      <c r="G446" s="36">
        <f t="shared" ca="1" si="69"/>
        <v>58012.17628179364</v>
      </c>
      <c r="H446" s="37">
        <f t="shared" ca="1" si="70"/>
        <v>0.14044566012921594</v>
      </c>
      <c r="I446" s="37">
        <f t="shared" ca="1" si="71"/>
        <v>5.8412795191355837E-2</v>
      </c>
      <c r="J446" s="38">
        <f t="shared" ca="1" si="72"/>
        <v>3.3154626388606501E-2</v>
      </c>
      <c r="K446" s="36">
        <f t="shared" ca="1" si="73"/>
        <v>1079.7904364365897</v>
      </c>
      <c r="L446" s="36">
        <f ca="1">Assumptions!$C$10*Assumptions!$C$13*I446*Assumptions!$C$15</f>
        <v>4051.1520111174164</v>
      </c>
      <c r="M446" s="36">
        <f ca="1">G446*(1+H446*Assumptions!$C$6)*(1+J446)+L446+K446</f>
        <v>66750.02828954898</v>
      </c>
    </row>
    <row r="447" spans="1:13" x14ac:dyDescent="0.25">
      <c r="A447" s="3">
        <v>434</v>
      </c>
      <c r="B447" s="3">
        <f t="shared" ca="1" si="78"/>
        <v>0.59084534087617546</v>
      </c>
      <c r="C447" s="3">
        <f t="shared" ca="1" si="78"/>
        <v>0.39911564457476578</v>
      </c>
      <c r="D447" s="3">
        <f t="shared" ca="1" si="78"/>
        <v>0.4687190499555709</v>
      </c>
      <c r="E447" s="3">
        <f t="shared" ca="1" si="78"/>
        <v>0.4838925377866673</v>
      </c>
      <c r="F447" s="3">
        <f t="shared" ca="1" si="78"/>
        <v>0.89999734968785139</v>
      </c>
      <c r="G447" s="36">
        <f t="shared" ca="1" si="69"/>
        <v>57943.66412464407</v>
      </c>
      <c r="H447" s="37">
        <f t="shared" ca="1" si="70"/>
        <v>0.12295230329606933</v>
      </c>
      <c r="I447" s="37">
        <f t="shared" ca="1" si="71"/>
        <v>7.8728554838230491E-2</v>
      </c>
      <c r="J447" s="38">
        <f t="shared" ca="1" si="72"/>
        <v>2.9675213600602504E-2</v>
      </c>
      <c r="K447" s="36">
        <f t="shared" ca="1" si="73"/>
        <v>2329.170717391773</v>
      </c>
      <c r="L447" s="36">
        <f ca="1">Assumptions!$C$10*Assumptions!$C$13*I447*Assumptions!$C$15</f>
        <v>5460.1280801652765</v>
      </c>
      <c r="M447" s="36">
        <f ca="1">G447*(1+H447*Assumptions!$C$6)*(1+J447)+L447+K447</f>
        <v>68919.597991200979</v>
      </c>
    </row>
    <row r="448" spans="1:13" x14ac:dyDescent="0.25">
      <c r="A448" s="3">
        <v>435</v>
      </c>
      <c r="B448" s="3">
        <f t="shared" ca="1" si="78"/>
        <v>0.63308028570578256</v>
      </c>
      <c r="C448" s="3">
        <f t="shared" ca="1" si="78"/>
        <v>0.86617827985144691</v>
      </c>
      <c r="D448" s="3">
        <f t="shared" ca="1" si="78"/>
        <v>0.8951660623744746</v>
      </c>
      <c r="E448" s="3">
        <f t="shared" ca="1" si="78"/>
        <v>0.15505061908289663</v>
      </c>
      <c r="F448" s="3">
        <f t="shared" ca="1" si="78"/>
        <v>0.69698891440958899</v>
      </c>
      <c r="G448" s="36">
        <f t="shared" ca="1" si="69"/>
        <v>57986.382693542662</v>
      </c>
      <c r="H448" s="37">
        <f t="shared" ca="1" si="70"/>
        <v>0.18476291807682985</v>
      </c>
      <c r="I448" s="37">
        <f t="shared" ca="1" si="71"/>
        <v>0.10168419806828864</v>
      </c>
      <c r="J448" s="38">
        <f t="shared" ca="1" si="72"/>
        <v>2.1137346868366692E-2</v>
      </c>
      <c r="K448" s="36">
        <f t="shared" ca="1" si="73"/>
        <v>1832.2886122175353</v>
      </c>
      <c r="L448" s="36">
        <f ca="1">Assumptions!$C$10*Assumptions!$C$13*I448*Assumptions!$C$15</f>
        <v>7052.1902291053102</v>
      </c>
      <c r="M448" s="36">
        <f ca="1">G448*(1+H448*Assumptions!$C$6)*(1+J448)+L448+K448</f>
        <v>70284.578453835042</v>
      </c>
    </row>
    <row r="449" spans="1:13" x14ac:dyDescent="0.25">
      <c r="A449" s="3">
        <v>436</v>
      </c>
      <c r="B449" s="3">
        <f t="shared" ca="1" si="78"/>
        <v>0.60382718563315552</v>
      </c>
      <c r="C449" s="3">
        <f t="shared" ca="1" si="78"/>
        <v>0.41212129477495019</v>
      </c>
      <c r="D449" s="3">
        <f t="shared" ca="1" si="78"/>
        <v>0.15677109269550382</v>
      </c>
      <c r="E449" s="3">
        <f t="shared" ca="1" si="78"/>
        <v>0.16411521139765084</v>
      </c>
      <c r="F449" s="3">
        <f t="shared" ca="1" si="78"/>
        <v>0.53305098117243022</v>
      </c>
      <c r="G449" s="36">
        <f t="shared" ca="1" si="69"/>
        <v>57956.549579045131</v>
      </c>
      <c r="H449" s="37">
        <f t="shared" ca="1" si="70"/>
        <v>0.12422593347760848</v>
      </c>
      <c r="I449" s="37">
        <f t="shared" ca="1" si="71"/>
        <v>6.2397935097361371E-2</v>
      </c>
      <c r="J449" s="38">
        <f t="shared" ca="1" si="72"/>
        <v>2.1458279500785476E-2</v>
      </c>
      <c r="K449" s="36">
        <f t="shared" ca="1" si="73"/>
        <v>1550.423998293272</v>
      </c>
      <c r="L449" s="36">
        <f ca="1">Assumptions!$C$10*Assumptions!$C$13*I449*Assumptions!$C$15</f>
        <v>4327.5367910600771</v>
      </c>
      <c r="M449" s="36">
        <f ca="1">G449*(1+H449*Assumptions!$C$6)*(1+J449)+L449+K449</f>
        <v>66548.998165448924</v>
      </c>
    </row>
    <row r="450" spans="1:13" x14ac:dyDescent="0.25">
      <c r="A450" s="3">
        <v>437</v>
      </c>
      <c r="B450" s="3">
        <f t="shared" ca="1" si="78"/>
        <v>0.2831917707128363</v>
      </c>
      <c r="C450" s="3">
        <f t="shared" ca="1" si="78"/>
        <v>0.30103328496462223</v>
      </c>
      <c r="D450" s="3">
        <f t="shared" ca="1" si="78"/>
        <v>0.30086848865327698</v>
      </c>
      <c r="E450" s="3">
        <f t="shared" ca="1" si="78"/>
        <v>0.62807821310095846</v>
      </c>
      <c r="F450" s="3">
        <f t="shared" ca="1" si="78"/>
        <v>0.62112218483861514</v>
      </c>
      <c r="G450" s="36">
        <f t="shared" ca="1" si="69"/>
        <v>57666.643536207055</v>
      </c>
      <c r="H450" s="37">
        <f t="shared" ca="1" si="70"/>
        <v>0.11327513484797544</v>
      </c>
      <c r="I450" s="37">
        <f t="shared" ca="1" si="71"/>
        <v>7.1028682919042602E-2</v>
      </c>
      <c r="J450" s="38">
        <f t="shared" ca="1" si="72"/>
        <v>3.2750726695908804E-2</v>
      </c>
      <c r="K450" s="36">
        <f t="shared" ca="1" si="73"/>
        <v>1694.2625959917393</v>
      </c>
      <c r="L450" s="36">
        <f ca="1">Assumptions!$C$10*Assumptions!$C$13*I450*Assumptions!$C$15</f>
        <v>4926.1123476776002</v>
      </c>
      <c r="M450" s="36">
        <f ca="1">G450*(1+H450*Assumptions!$C$6)*(1+J450)+L450+K450</f>
        <v>67524.869164933349</v>
      </c>
    </row>
    <row r="451" spans="1:13" x14ac:dyDescent="0.25">
      <c r="A451" s="3">
        <v>438</v>
      </c>
      <c r="B451" s="3">
        <f t="shared" ca="1" si="78"/>
        <v>0.18497863295151029</v>
      </c>
      <c r="C451" s="3">
        <f t="shared" ca="1" si="78"/>
        <v>0.36615400811403864</v>
      </c>
      <c r="D451" s="3">
        <f t="shared" ca="1" si="78"/>
        <v>0.30904261350888018</v>
      </c>
      <c r="E451" s="3">
        <f t="shared" ca="1" si="78"/>
        <v>0.68231798393228626</v>
      </c>
      <c r="F451" s="3">
        <f t="shared" ca="1" si="78"/>
        <v>0.21952050470284523</v>
      </c>
      <c r="G451" s="36">
        <f t="shared" ca="1" si="69"/>
        <v>57557.963016530011</v>
      </c>
      <c r="H451" s="37">
        <f t="shared" ca="1" si="70"/>
        <v>0.11978429843393651</v>
      </c>
      <c r="I451" s="37">
        <f t="shared" ca="1" si="71"/>
        <v>7.1447358604951494E-2</v>
      </c>
      <c r="J451" s="38">
        <f t="shared" ca="1" si="72"/>
        <v>3.4058054922495473E-2</v>
      </c>
      <c r="K451" s="36">
        <f t="shared" ca="1" si="73"/>
        <v>993.90254610942793</v>
      </c>
      <c r="L451" s="36">
        <f ca="1">Assumptions!$C$10*Assumptions!$C$13*I451*Assumptions!$C$15</f>
        <v>4955.1491167864815</v>
      </c>
      <c r="M451" s="36">
        <f ca="1">G451*(1+H451*Assumptions!$C$6)*(1+J451)+L451+K451</f>
        <v>66893.197914804477</v>
      </c>
    </row>
    <row r="452" spans="1:13" x14ac:dyDescent="0.25">
      <c r="A452" s="3">
        <v>439</v>
      </c>
      <c r="B452" s="3">
        <f t="shared" ca="1" si="78"/>
        <v>0.49551464526700439</v>
      </c>
      <c r="C452" s="3">
        <f t="shared" ca="1" si="78"/>
        <v>0.37141346319599111</v>
      </c>
      <c r="D452" s="3">
        <f t="shared" ca="1" si="78"/>
        <v>0.12033802794419945</v>
      </c>
      <c r="E452" s="3">
        <f t="shared" ca="1" si="78"/>
        <v>0.17195133733238221</v>
      </c>
      <c r="F452" s="3">
        <f t="shared" ca="1" si="78"/>
        <v>0.75217372326301124</v>
      </c>
      <c r="G452" s="36">
        <f t="shared" ca="1" si="69"/>
        <v>57854.708351085654</v>
      </c>
      <c r="H452" s="37">
        <f t="shared" ca="1" si="70"/>
        <v>0.12028461653099295</v>
      </c>
      <c r="I452" s="37">
        <f t="shared" ca="1" si="71"/>
        <v>5.9623498399149891E-2</v>
      </c>
      <c r="J452" s="38">
        <f t="shared" ca="1" si="72"/>
        <v>2.1728643138313387E-2</v>
      </c>
      <c r="K452" s="36">
        <f t="shared" ca="1" si="73"/>
        <v>1943.9610588068026</v>
      </c>
      <c r="L452" s="36">
        <f ca="1">Assumptions!$C$10*Assumptions!$C$13*I452*Assumptions!$C$15</f>
        <v>4135.118935128733</v>
      </c>
      <c r="M452" s="36">
        <f ca="1">G452*(1+H452*Assumptions!$C$6)*(1+J452)+L452+K452</f>
        <v>66612.941000370512</v>
      </c>
    </row>
    <row r="453" spans="1:13" x14ac:dyDescent="0.25">
      <c r="A453" s="3">
        <v>440</v>
      </c>
      <c r="B453" s="3">
        <f t="shared" ca="1" si="78"/>
        <v>0.93734066528988069</v>
      </c>
      <c r="C453" s="3">
        <f t="shared" ca="1" si="78"/>
        <v>7.5782571079514027E-2</v>
      </c>
      <c r="D453" s="3">
        <f t="shared" ca="1" si="78"/>
        <v>0.12952363074942119</v>
      </c>
      <c r="E453" s="3">
        <f t="shared" ca="1" si="78"/>
        <v>0.22790370574271468</v>
      </c>
      <c r="F453" s="3">
        <f t="shared" ca="1" si="78"/>
        <v>0.42116482970100044</v>
      </c>
      <c r="G453" s="36">
        <f t="shared" ca="1" si="69"/>
        <v>58434.088747307607</v>
      </c>
      <c r="H453" s="37">
        <f t="shared" ca="1" si="70"/>
        <v>8.1747569912633267E-2</v>
      </c>
      <c r="I453" s="37">
        <f t="shared" ca="1" si="71"/>
        <v>6.0358674278993413E-2</v>
      </c>
      <c r="J453" s="38">
        <f t="shared" ca="1" si="72"/>
        <v>2.3502702121952174E-2</v>
      </c>
      <c r="K453" s="36">
        <f t="shared" ca="1" si="73"/>
        <v>1376.6777886108653</v>
      </c>
      <c r="L453" s="36">
        <f ca="1">Assumptions!$C$10*Assumptions!$C$13*I453*Assumptions!$C$15</f>
        <v>4186.1062099954197</v>
      </c>
      <c r="M453" s="36">
        <f ca="1">G453*(1+H453*Assumptions!$C$6)*(1+J453)+L453+K453</f>
        <v>66348.054430412536</v>
      </c>
    </row>
    <row r="454" spans="1:13" x14ac:dyDescent="0.25">
      <c r="A454" s="3">
        <v>441</v>
      </c>
      <c r="B454" s="3">
        <f t="shared" ref="B454:F463" ca="1" si="79">RAND()</f>
        <v>0.74570855238064671</v>
      </c>
      <c r="C454" s="3">
        <f t="shared" ca="1" si="79"/>
        <v>0.30733180608819721</v>
      </c>
      <c r="D454" s="3">
        <f t="shared" ca="1" si="79"/>
        <v>0.94408174621053975</v>
      </c>
      <c r="E454" s="3">
        <f t="shared" ca="1" si="79"/>
        <v>0.67489292600164819</v>
      </c>
      <c r="F454" s="3">
        <f t="shared" ca="1" si="79"/>
        <v>0.46163800100064201</v>
      </c>
      <c r="G454" s="36">
        <f t="shared" ca="1" si="69"/>
        <v>58114.194253305461</v>
      </c>
      <c r="H454" s="37">
        <f t="shared" ca="1" si="70"/>
        <v>0.11393366109470834</v>
      </c>
      <c r="I454" s="37">
        <f t="shared" ca="1" si="71"/>
        <v>0.1066232136846598</v>
      </c>
      <c r="J454" s="38">
        <f t="shared" ca="1" si="72"/>
        <v>3.3872828543148631E-2</v>
      </c>
      <c r="K454" s="36">
        <f t="shared" ca="1" si="73"/>
        <v>1441.3087818031531</v>
      </c>
      <c r="L454" s="36">
        <f ca="1">Assumptions!$C$10*Assumptions!$C$13*I454*Assumptions!$C$15</f>
        <v>7394.7299583145577</v>
      </c>
      <c r="M454" s="36">
        <f ca="1">G454*(1+H454*Assumptions!$C$6)*(1+J454)+L454+K454</f>
        <v>70287.813217078889</v>
      </c>
    </row>
    <row r="455" spans="1:13" x14ac:dyDescent="0.25">
      <c r="A455" s="3">
        <v>442</v>
      </c>
      <c r="B455" s="3">
        <f t="shared" ca="1" si="79"/>
        <v>0.7121217609146685</v>
      </c>
      <c r="C455" s="3">
        <f t="shared" ca="1" si="79"/>
        <v>0.80769260206145166</v>
      </c>
      <c r="D455" s="3">
        <f t="shared" ca="1" si="79"/>
        <v>0.19583396004545406</v>
      </c>
      <c r="E455" s="3">
        <f t="shared" ca="1" si="79"/>
        <v>0.17969353695841228</v>
      </c>
      <c r="F455" s="3">
        <f t="shared" ca="1" si="79"/>
        <v>0.23639559953806555</v>
      </c>
      <c r="G455" s="36">
        <f t="shared" ca="1" si="69"/>
        <v>58073.545707508587</v>
      </c>
      <c r="H455" s="37">
        <f t="shared" ca="1" si="70"/>
        <v>0.17378362232046438</v>
      </c>
      <c r="I455" s="37">
        <f t="shared" ca="1" si="71"/>
        <v>6.5033351196862418E-2</v>
      </c>
      <c r="J455" s="38">
        <f t="shared" ca="1" si="72"/>
        <v>2.1989780213445526E-2</v>
      </c>
      <c r="K455" s="36">
        <f t="shared" ca="1" si="73"/>
        <v>1031.39720666739</v>
      </c>
      <c r="L455" s="36">
        <f ca="1">Assumptions!$C$10*Assumptions!$C$13*I455*Assumptions!$C$15</f>
        <v>4510.3130337762423</v>
      </c>
      <c r="M455" s="36">
        <f ca="1">G455*(1+H455*Assumptions!$C$6)*(1+J455)+L455+K455</f>
        <v>66955.111869984772</v>
      </c>
    </row>
    <row r="456" spans="1:13" x14ac:dyDescent="0.25">
      <c r="A456" s="3">
        <v>443</v>
      </c>
      <c r="B456" s="3">
        <f t="shared" ca="1" si="79"/>
        <v>0.71305331749599443</v>
      </c>
      <c r="C456" s="3">
        <f t="shared" ca="1" si="79"/>
        <v>0.43447352116045435</v>
      </c>
      <c r="D456" s="3">
        <f t="shared" ca="1" si="79"/>
        <v>0.7484838480069631</v>
      </c>
      <c r="E456" s="3">
        <f t="shared" ca="1" si="79"/>
        <v>0.22226895343531994</v>
      </c>
      <c r="F456" s="3">
        <f t="shared" ca="1" si="79"/>
        <v>0.84580386936673291</v>
      </c>
      <c r="G456" s="36">
        <f t="shared" ca="1" si="69"/>
        <v>58074.640109975437</v>
      </c>
      <c r="H456" s="37">
        <f t="shared" ca="1" si="70"/>
        <v>0.12644823331386851</v>
      </c>
      <c r="I456" s="37">
        <f t="shared" ca="1" si="71"/>
        <v>9.1630091886336362E-2</v>
      </c>
      <c r="J456" s="38">
        <f t="shared" ca="1" si="72"/>
        <v>2.3334735196030552E-2</v>
      </c>
      <c r="K456" s="36">
        <f t="shared" ca="1" si="73"/>
        <v>2167.0038488386026</v>
      </c>
      <c r="L456" s="36">
        <f ca="1">Assumptions!$C$10*Assumptions!$C$13*I456*Assumptions!$C$15</f>
        <v>6354.8992957477576</v>
      </c>
      <c r="M456" s="36">
        <f ca="1">G456*(1+H456*Assumptions!$C$6)*(1+J456)+L456+K456</f>
        <v>69454.658156810037</v>
      </c>
    </row>
    <row r="457" spans="1:13" x14ac:dyDescent="0.25">
      <c r="A457" s="3">
        <v>444</v>
      </c>
      <c r="B457" s="3">
        <f t="shared" ca="1" si="79"/>
        <v>0.69413710208623303</v>
      </c>
      <c r="C457" s="3">
        <f t="shared" ca="1" si="79"/>
        <v>1.8217017881845043E-2</v>
      </c>
      <c r="D457" s="3">
        <f t="shared" ca="1" si="79"/>
        <v>0.98701312703684796</v>
      </c>
      <c r="E457" s="3">
        <f t="shared" ca="1" si="79"/>
        <v>0.8837662867729762</v>
      </c>
      <c r="F457" s="3">
        <f t="shared" ca="1" si="79"/>
        <v>0.62607314759842536</v>
      </c>
      <c r="G457" s="36">
        <f t="shared" ca="1" si="69"/>
        <v>58052.754058448372</v>
      </c>
      <c r="H457" s="37">
        <f t="shared" ca="1" si="70"/>
        <v>6.5565549711736462E-2</v>
      </c>
      <c r="I457" s="37">
        <f t="shared" ca="1" si="71"/>
        <v>0.11355345104089896</v>
      </c>
      <c r="J457" s="38">
        <f t="shared" ca="1" si="72"/>
        <v>4.0357024806543421E-2</v>
      </c>
      <c r="K457" s="36">
        <f t="shared" ca="1" si="73"/>
        <v>1702.8219722000047</v>
      </c>
      <c r="L457" s="36">
        <f ca="1">Assumptions!$C$10*Assumptions!$C$13*I457*Assumptions!$C$15</f>
        <v>7875.368573728807</v>
      </c>
      <c r="M457" s="36">
        <f ca="1">G457*(1+H457*Assumptions!$C$6)*(1+J457)+L457+K457</f>
        <v>70765.755058183931</v>
      </c>
    </row>
    <row r="458" spans="1:13" x14ac:dyDescent="0.25">
      <c r="A458" s="3">
        <v>445</v>
      </c>
      <c r="B458" s="3">
        <f t="shared" ca="1" si="79"/>
        <v>0.52006415765111336</v>
      </c>
      <c r="C458" s="3">
        <f t="shared" ca="1" si="79"/>
        <v>0.98835438106082063</v>
      </c>
      <c r="D458" s="3">
        <f t="shared" ca="1" si="79"/>
        <v>0.84439466256107698</v>
      </c>
      <c r="E458" s="3">
        <f t="shared" ca="1" si="79"/>
        <v>0.7310445841235329</v>
      </c>
      <c r="F458" s="3">
        <f t="shared" ca="1" si="79"/>
        <v>0.38077056426876865</v>
      </c>
      <c r="G458" s="36">
        <f t="shared" ca="1" si="69"/>
        <v>57876.748860999927</v>
      </c>
      <c r="H458" s="37">
        <f t="shared" ca="1" si="70"/>
        <v>0.22370521212739208</v>
      </c>
      <c r="I458" s="37">
        <f t="shared" ca="1" si="71"/>
        <v>9.7685496200799055E-2</v>
      </c>
      <c r="J458" s="38">
        <f t="shared" ca="1" si="72"/>
        <v>3.5331519073156431E-2</v>
      </c>
      <c r="K458" s="36">
        <f t="shared" ca="1" si="73"/>
        <v>1308.9948583586793</v>
      </c>
      <c r="L458" s="36">
        <f ca="1">Assumptions!$C$10*Assumptions!$C$13*I458*Assumptions!$C$15</f>
        <v>6774.8648749723397</v>
      </c>
      <c r="M458" s="36">
        <f ca="1">G458*(1+H458*Assumptions!$C$6)*(1+J458)+L458+K458</f>
        <v>70686.437896906325</v>
      </c>
    </row>
    <row r="459" spans="1:13" x14ac:dyDescent="0.25">
      <c r="A459" s="3">
        <v>446</v>
      </c>
      <c r="B459" s="3">
        <f t="shared" ca="1" si="79"/>
        <v>0.92358444384185845</v>
      </c>
      <c r="C459" s="3">
        <f t="shared" ca="1" si="79"/>
        <v>0.20825422525961335</v>
      </c>
      <c r="D459" s="3">
        <f t="shared" ca="1" si="79"/>
        <v>0.39836386505785959</v>
      </c>
      <c r="E459" s="3">
        <f t="shared" ca="1" si="79"/>
        <v>0.87637155714978809</v>
      </c>
      <c r="F459" s="3">
        <f t="shared" ca="1" si="79"/>
        <v>0.32808172026362681</v>
      </c>
      <c r="G459" s="36">
        <f t="shared" ca="1" si="69"/>
        <v>58401.19272756359</v>
      </c>
      <c r="H459" s="37">
        <f t="shared" ca="1" si="70"/>
        <v>0.10262871075708446</v>
      </c>
      <c r="I459" s="37">
        <f t="shared" ca="1" si="71"/>
        <v>7.5703842484880407E-2</v>
      </c>
      <c r="J459" s="38">
        <f t="shared" ca="1" si="72"/>
        <v>4.0055013610860522E-2</v>
      </c>
      <c r="K459" s="36">
        <f t="shared" ca="1" si="73"/>
        <v>1215.0587398090352</v>
      </c>
      <c r="L459" s="36">
        <f ca="1">Assumptions!$C$10*Assumptions!$C$13*I459*Assumptions!$C$15</f>
        <v>5250.3526449513975</v>
      </c>
      <c r="M459" s="36">
        <f ca="1">G459*(1+H459*Assumptions!$C$6)*(1+J459)+L459+K459</f>
        <v>68452.60756445468</v>
      </c>
    </row>
    <row r="460" spans="1:13" x14ac:dyDescent="0.25">
      <c r="A460" s="3">
        <v>447</v>
      </c>
      <c r="B460" s="3">
        <f t="shared" ca="1" si="79"/>
        <v>0.64192824993478315</v>
      </c>
      <c r="C460" s="3">
        <f t="shared" ca="1" si="79"/>
        <v>0.68724522180525427</v>
      </c>
      <c r="D460" s="3">
        <f t="shared" ca="1" si="79"/>
        <v>0.21313446877791131</v>
      </c>
      <c r="E460" s="3">
        <f t="shared" ca="1" si="79"/>
        <v>0.64030187680100381</v>
      </c>
      <c r="F460" s="3">
        <f t="shared" ca="1" si="79"/>
        <v>0.24116636606203179</v>
      </c>
      <c r="G460" s="36">
        <f t="shared" ca="1" si="69"/>
        <v>57995.638632339011</v>
      </c>
      <c r="H460" s="37">
        <f t="shared" ca="1" si="70"/>
        <v>0.15555588272212087</v>
      </c>
      <c r="I460" s="37">
        <f t="shared" ca="1" si="71"/>
        <v>6.6115709833150543E-2</v>
      </c>
      <c r="J460" s="38">
        <f t="shared" ca="1" si="72"/>
        <v>3.3036554048213054E-2</v>
      </c>
      <c r="K460" s="36">
        <f t="shared" ca="1" si="73"/>
        <v>1041.7526804761019</v>
      </c>
      <c r="L460" s="36">
        <f ca="1">Assumptions!$C$10*Assumptions!$C$13*I460*Assumptions!$C$15</f>
        <v>4585.3787681206559</v>
      </c>
      <c r="M460" s="36">
        <f ca="1">G460*(1+H460*Assumptions!$C$6)*(1+J460)+L460+K460</f>
        <v>67402.66695262483</v>
      </c>
    </row>
    <row r="461" spans="1:13" x14ac:dyDescent="0.25">
      <c r="A461" s="3">
        <v>448</v>
      </c>
      <c r="B461" s="3">
        <f t="shared" ca="1" si="79"/>
        <v>0.21032776281626919</v>
      </c>
      <c r="C461" s="3">
        <f t="shared" ca="1" si="79"/>
        <v>0.97726040347542031</v>
      </c>
      <c r="D461" s="3">
        <f t="shared" ca="1" si="79"/>
        <v>1.1065174048566551E-2</v>
      </c>
      <c r="E461" s="3">
        <f t="shared" ca="1" si="79"/>
        <v>0.26538790193709516</v>
      </c>
      <c r="F461" s="3">
        <f t="shared" ca="1" si="79"/>
        <v>8.1340537200298435E-2</v>
      </c>
      <c r="G461" s="36">
        <f t="shared" ca="1" si="69"/>
        <v>57588.33508272055</v>
      </c>
      <c r="H461" s="37">
        <f t="shared" ca="1" si="70"/>
        <v>0.21723022176743004</v>
      </c>
      <c r="I461" s="37">
        <f t="shared" ca="1" si="71"/>
        <v>4.5950508966081216E-2</v>
      </c>
      <c r="J461" s="38">
        <f t="shared" ca="1" si="72"/>
        <v>2.4570872367489741E-2</v>
      </c>
      <c r="K461" s="36">
        <f t="shared" ca="1" si="73"/>
        <v>605.00613005269872</v>
      </c>
      <c r="L461" s="36">
        <f ca="1">Assumptions!$C$10*Assumptions!$C$13*I461*Assumptions!$C$15</f>
        <v>3186.8445295245247</v>
      </c>
      <c r="M461" s="36">
        <f ca="1">G461*(1+H461*Assumptions!$C$6)*(1+J461)+L461+K461</f>
        <v>65358.642696670795</v>
      </c>
    </row>
    <row r="462" spans="1:13" x14ac:dyDescent="0.25">
      <c r="A462" s="3">
        <v>449</v>
      </c>
      <c r="B462" s="3">
        <f t="shared" ca="1" si="79"/>
        <v>0.75456330478387579</v>
      </c>
      <c r="C462" s="3">
        <f t="shared" ca="1" si="79"/>
        <v>0.66650874020157713</v>
      </c>
      <c r="D462" s="3">
        <f t="shared" ca="1" si="79"/>
        <v>2.6970952461859321E-2</v>
      </c>
      <c r="E462" s="3">
        <f t="shared" ca="1" si="79"/>
        <v>0.30711731009426535</v>
      </c>
      <c r="F462" s="3">
        <f t="shared" ca="1" si="79"/>
        <v>0.74480115401208147</v>
      </c>
      <c r="G462" s="36">
        <f t="shared" ref="G462:G525" ca="1" si="80">IF(B462&lt;($F$5-$E$5)/($G$5-$E$5),$E$5+SQRT(B462*($G$5-$E$5)*($F$5-$E$5)),$G$5-SQRT((1-B462)*($G$5-$E$5)*($G$5-$F$5)))</f>
        <v>58125.351628587414</v>
      </c>
      <c r="H462" s="37">
        <f t="shared" ref="H462:H525" ca="1" si="81">IF(C462&lt;($F$6-$E$6)/($G$6-$E$6),$E$6+SQRT(C462*($G$6-$E$6)*($F$6-$E$6)),$G$6-SQRT((1-C462)*($G$6-$E$6)*($G$6-$F$6)))</f>
        <v>0.15280137200962368</v>
      </c>
      <c r="I462" s="37">
        <f t="shared" ref="I462:I525" ca="1" si="82">IF(D462&lt;($F$7-$E$7)/($G$7-$E$7),$E$7+SQRT(D462*($G$7-$E$7)*($F$7-$E$7)),$G$7-SQRT((1-D462)*($G$7-$E$7)*($G$7-$F$7)))</f>
        <v>4.9290158657307737E-2</v>
      </c>
      <c r="J462" s="38">
        <f t="shared" ref="J462:J525" ca="1" si="83">IF(E462&lt;($F$8-$E$8)/($G$8-$E$8),$E$8+SQRT(E462*($G$8-$E$8)*($F$8-$E$8)),$G$8-SQRT((1-E462)*($G$8-$E$8)*($G$8-$F$8)))</f>
        <v>2.5674624336021974E-2</v>
      </c>
      <c r="K462" s="36">
        <f t="shared" ref="K462:K525" ca="1" si="84">IF(F462&lt;($F$9-$E$9)/($G$9-$E$9),$E$9+SQRT(F462*($G$9-$E$9)*($F$9-$E$9)),$G$9-SQRT((1-F462)*($G$9-$E$9)*($G$9-$F$9)))</f>
        <v>1928.3681569934415</v>
      </c>
      <c r="L462" s="36">
        <f ca="1">Assumptions!$C$10*Assumptions!$C$13*I462*Assumptions!$C$15</f>
        <v>3418.4620804175884</v>
      </c>
      <c r="M462" s="36">
        <f ca="1">G462*(1+H462*Assumptions!$C$6)*(1+J462)+L462+K462</f>
        <v>66786.461649544042</v>
      </c>
    </row>
    <row r="463" spans="1:13" x14ac:dyDescent="0.25">
      <c r="A463" s="3">
        <v>450</v>
      </c>
      <c r="B463" s="3">
        <f t="shared" ca="1" si="79"/>
        <v>0.66379405348166076</v>
      </c>
      <c r="C463" s="3">
        <f t="shared" ca="1" si="79"/>
        <v>0.45586791002272042</v>
      </c>
      <c r="D463" s="3">
        <f t="shared" ca="1" si="79"/>
        <v>5.4404365881501549E-2</v>
      </c>
      <c r="E463" s="3">
        <f t="shared" ca="1" si="79"/>
        <v>0.77233203076188872</v>
      </c>
      <c r="F463" s="3">
        <f t="shared" ca="1" si="79"/>
        <v>0.29180284890082075</v>
      </c>
      <c r="G463" s="36">
        <f t="shared" ca="1" si="80"/>
        <v>58019.015600120736</v>
      </c>
      <c r="H463" s="37">
        <f t="shared" ca="1" si="81"/>
        <v>0.12861682509695652</v>
      </c>
      <c r="I463" s="37">
        <f t="shared" ca="1" si="82"/>
        <v>5.3194467432253756E-2</v>
      </c>
      <c r="J463" s="38">
        <f t="shared" ca="1" si="83"/>
        <v>3.6504283072378518E-2</v>
      </c>
      <c r="K463" s="36">
        <f t="shared" ca="1" si="84"/>
        <v>1145.9113491250941</v>
      </c>
      <c r="L463" s="36">
        <f ca="1">Assumptions!$C$10*Assumptions!$C$13*I463*Assumptions!$C$15</f>
        <v>3689.2409105323063</v>
      </c>
      <c r="M463" s="36">
        <f ca="1">G463*(1+H463*Assumptions!$C$6)*(1+J463)+L463+K463</f>
        <v>66519.035354967084</v>
      </c>
    </row>
    <row r="464" spans="1:13" x14ac:dyDescent="0.25">
      <c r="A464" s="3">
        <v>451</v>
      </c>
      <c r="B464" s="3">
        <f t="shared" ref="B464:F473" ca="1" si="85">RAND()</f>
        <v>0.3845952555414025</v>
      </c>
      <c r="C464" s="3">
        <f t="shared" ca="1" si="85"/>
        <v>0.25490336569921646</v>
      </c>
      <c r="D464" s="3">
        <f t="shared" ca="1" si="85"/>
        <v>0.71043141676122179</v>
      </c>
      <c r="E464" s="3">
        <f t="shared" ca="1" si="85"/>
        <v>0.74642178684505989</v>
      </c>
      <c r="F464" s="3">
        <f t="shared" ca="1" si="85"/>
        <v>0.14403060558520853</v>
      </c>
      <c r="G464" s="36">
        <f t="shared" ca="1" si="80"/>
        <v>57760.346052110355</v>
      </c>
      <c r="H464" s="37">
        <f t="shared" ca="1" si="81"/>
        <v>0.10822555078141879</v>
      </c>
      <c r="I464" s="37">
        <f t="shared" ca="1" si="82"/>
        <v>8.9559575128390689E-2</v>
      </c>
      <c r="J464" s="38">
        <f t="shared" ca="1" si="83"/>
        <v>3.5757016796894268E-2</v>
      </c>
      <c r="K464" s="36">
        <f t="shared" ca="1" si="84"/>
        <v>805.07001256626017</v>
      </c>
      <c r="L464" s="36">
        <f ca="1">Assumptions!$C$10*Assumptions!$C$13*I464*Assumptions!$C$15</f>
        <v>6211.3009950582327</v>
      </c>
      <c r="M464" s="36">
        <f ca="1">G464*(1+H464*Assumptions!$C$6)*(1+J464)+L464+K464</f>
        <v>68136.988237924335</v>
      </c>
    </row>
    <row r="465" spans="1:13" x14ac:dyDescent="0.25">
      <c r="A465" s="3">
        <v>452</v>
      </c>
      <c r="B465" s="3">
        <f t="shared" ca="1" si="85"/>
        <v>0.69114331012161023</v>
      </c>
      <c r="C465" s="3">
        <f t="shared" ca="1" si="85"/>
        <v>0.19768042576385103</v>
      </c>
      <c r="D465" s="3">
        <f t="shared" ca="1" si="85"/>
        <v>0.31817325343698288</v>
      </c>
      <c r="E465" s="3">
        <f t="shared" ca="1" si="85"/>
        <v>0.83765526359592346</v>
      </c>
      <c r="F465" s="3">
        <f t="shared" ca="1" si="85"/>
        <v>0.72799689679524615</v>
      </c>
      <c r="G465" s="36">
        <f t="shared" ca="1" si="80"/>
        <v>58049.352954882226</v>
      </c>
      <c r="H465" s="37">
        <f t="shared" ca="1" si="81"/>
        <v>0.10127523439887154</v>
      </c>
      <c r="I465" s="37">
        <f t="shared" ca="1" si="82"/>
        <v>7.1908531946774754E-2</v>
      </c>
      <c r="J465" s="38">
        <f t="shared" ca="1" si="83"/>
        <v>3.8603694058017696E-2</v>
      </c>
      <c r="K465" s="36">
        <f t="shared" ca="1" si="84"/>
        <v>1893.6483540838419</v>
      </c>
      <c r="L465" s="36">
        <f ca="1">Assumptions!$C$10*Assumptions!$C$13*I465*Assumptions!$C$15</f>
        <v>4987.1332617855469</v>
      </c>
      <c r="M465" s="36">
        <f ca="1">G465*(1+H465*Assumptions!$C$6)*(1+J465)+L465+K465</f>
        <v>68392.236326680737</v>
      </c>
    </row>
    <row r="466" spans="1:13" x14ac:dyDescent="0.25">
      <c r="A466" s="3">
        <v>453</v>
      </c>
      <c r="B466" s="3">
        <f t="shared" ca="1" si="85"/>
        <v>0.21991535477050828</v>
      </c>
      <c r="C466" s="3">
        <f t="shared" ca="1" si="85"/>
        <v>0.34428584780244065</v>
      </c>
      <c r="D466" s="3">
        <f t="shared" ca="1" si="85"/>
        <v>0.60294279996472611</v>
      </c>
      <c r="E466" s="3">
        <f t="shared" ca="1" si="85"/>
        <v>0.39514128422378758</v>
      </c>
      <c r="F466" s="3">
        <f t="shared" ca="1" si="85"/>
        <v>0.7835645177290691</v>
      </c>
      <c r="G466" s="36">
        <f t="shared" ca="1" si="80"/>
        <v>57599.341200752846</v>
      </c>
      <c r="H466" s="37">
        <f t="shared" ca="1" si="81"/>
        <v>0.11766832180402038</v>
      </c>
      <c r="I466" s="37">
        <f t="shared" ca="1" si="82"/>
        <v>8.4354761326190048E-2</v>
      </c>
      <c r="J466" s="38">
        <f t="shared" ca="1" si="83"/>
        <v>2.7779567693817252E-2</v>
      </c>
      <c r="K466" s="36">
        <f t="shared" ca="1" si="84"/>
        <v>2013.1060491526005</v>
      </c>
      <c r="L466" s="36">
        <f ca="1">Assumptions!$C$10*Assumptions!$C$13*I466*Assumptions!$C$15</f>
        <v>5850.3271393609948</v>
      </c>
      <c r="M466" s="36">
        <f ca="1">G466*(1+H466*Assumptions!$C$6)*(1+J466)+L466+K466</f>
        <v>68456.038609079071</v>
      </c>
    </row>
    <row r="467" spans="1:13" x14ac:dyDescent="0.25">
      <c r="A467" s="3">
        <v>454</v>
      </c>
      <c r="B467" s="3">
        <f t="shared" ca="1" si="85"/>
        <v>0.64645411737176883</v>
      </c>
      <c r="C467" s="3">
        <f t="shared" ca="1" si="85"/>
        <v>0.97855357892586781</v>
      </c>
      <c r="D467" s="3">
        <f t="shared" ca="1" si="85"/>
        <v>0.82223428639387464</v>
      </c>
      <c r="E467" s="3">
        <f t="shared" ca="1" si="85"/>
        <v>0.85407001828128859</v>
      </c>
      <c r="F467" s="3">
        <f t="shared" ca="1" si="85"/>
        <v>0.91428448571161736</v>
      </c>
      <c r="G467" s="36">
        <f t="shared" ca="1" si="80"/>
        <v>58000.417402591178</v>
      </c>
      <c r="H467" s="37">
        <f t="shared" ca="1" si="81"/>
        <v>0.21788714399969525</v>
      </c>
      <c r="I467" s="37">
        <f t="shared" ca="1" si="82"/>
        <v>9.6149417542969712E-2</v>
      </c>
      <c r="J467" s="38">
        <f t="shared" ca="1" si="83"/>
        <v>3.9195186934751297E-2</v>
      </c>
      <c r="K467" s="36">
        <f t="shared" ca="1" si="84"/>
        <v>2378.9365456753058</v>
      </c>
      <c r="L467" s="36">
        <f ca="1">Assumptions!$C$10*Assumptions!$C$13*I467*Assumptions!$C$15</f>
        <v>6668.3319120570368</v>
      </c>
      <c r="M467" s="36">
        <f ca="1">G467*(1+H467*Assumptions!$C$6)*(1+J467)+L467+K467</f>
        <v>71947.598312515169</v>
      </c>
    </row>
    <row r="468" spans="1:13" x14ac:dyDescent="0.25">
      <c r="A468" s="3">
        <v>455</v>
      </c>
      <c r="B468" s="3">
        <f t="shared" ca="1" si="85"/>
        <v>6.2543899749317955E-2</v>
      </c>
      <c r="C468" s="3">
        <f t="shared" ca="1" si="85"/>
        <v>0.14784817706658981</v>
      </c>
      <c r="D468" s="3">
        <f t="shared" ca="1" si="85"/>
        <v>0.79153292314416512</v>
      </c>
      <c r="E468" s="3">
        <f t="shared" ca="1" si="85"/>
        <v>0.61386477722676813</v>
      </c>
      <c r="F468" s="3">
        <f t="shared" ca="1" si="85"/>
        <v>0.48337754151878209</v>
      </c>
      <c r="G468" s="36">
        <f t="shared" ca="1" si="80"/>
        <v>57366.294442578983</v>
      </c>
      <c r="H468" s="37">
        <f t="shared" ca="1" si="81"/>
        <v>9.4343891969307841E-2</v>
      </c>
      <c r="I468" s="37">
        <f t="shared" ca="1" si="82"/>
        <v>9.4171824572016866E-2</v>
      </c>
      <c r="J468" s="38">
        <f t="shared" ca="1" si="83"/>
        <v>3.2424216142129383E-2</v>
      </c>
      <c r="K468" s="36">
        <f t="shared" ca="1" si="84"/>
        <v>1474.8555647366013</v>
      </c>
      <c r="L468" s="36">
        <f ca="1">Assumptions!$C$10*Assumptions!$C$13*I468*Assumptions!$C$15</f>
        <v>6531.1782333946458</v>
      </c>
      <c r="M468" s="36">
        <f ca="1">G468*(1+H468*Assumptions!$C$6)*(1+J468)+L468+K468</f>
        <v>68349.914273894625</v>
      </c>
    </row>
    <row r="469" spans="1:13" x14ac:dyDescent="0.25">
      <c r="A469" s="3">
        <v>456</v>
      </c>
      <c r="B469" s="3">
        <f t="shared" ca="1" si="85"/>
        <v>0.75327721275431947</v>
      </c>
      <c r="C469" s="3">
        <f t="shared" ca="1" si="85"/>
        <v>0.44816816812361659</v>
      </c>
      <c r="D469" s="3">
        <f t="shared" ca="1" si="85"/>
        <v>0.79339895453808107</v>
      </c>
      <c r="E469" s="3">
        <f t="shared" ca="1" si="85"/>
        <v>0.75630750636390442</v>
      </c>
      <c r="F469" s="3">
        <f t="shared" ca="1" si="85"/>
        <v>7.3909351473371521E-2</v>
      </c>
      <c r="G469" s="36">
        <f t="shared" ca="1" si="80"/>
        <v>58123.718745971019</v>
      </c>
      <c r="H469" s="37">
        <f t="shared" ca="1" si="81"/>
        <v>0.12783152953355589</v>
      </c>
      <c r="I469" s="37">
        <f t="shared" ca="1" si="82"/>
        <v>9.42876810559969E-2</v>
      </c>
      <c r="J469" s="38">
        <f t="shared" ca="1" si="83"/>
        <v>3.6037407299900334E-2</v>
      </c>
      <c r="K469" s="36">
        <f t="shared" ca="1" si="84"/>
        <v>576.70796910583078</v>
      </c>
      <c r="L469" s="36">
        <f ca="1">Assumptions!$C$10*Assumptions!$C$13*I469*Assumptions!$C$15</f>
        <v>6539.2133261605222</v>
      </c>
      <c r="M469" s="36">
        <f ca="1">G469*(1+H469*Assumptions!$C$6)*(1+J469)+L469+K469</f>
        <v>68873.828844802003</v>
      </c>
    </row>
    <row r="470" spans="1:13" x14ac:dyDescent="0.25">
      <c r="A470" s="3">
        <v>457</v>
      </c>
      <c r="B470" s="3">
        <f t="shared" ca="1" si="85"/>
        <v>0.32272205390865805</v>
      </c>
      <c r="C470" s="3">
        <f t="shared" ca="1" si="85"/>
        <v>0.91216457797099293</v>
      </c>
      <c r="D470" s="3">
        <f t="shared" ca="1" si="85"/>
        <v>0.24842732833477243</v>
      </c>
      <c r="E470" s="3">
        <f t="shared" ca="1" si="85"/>
        <v>0.80963094031426575</v>
      </c>
      <c r="F470" s="3">
        <f t="shared" ca="1" si="85"/>
        <v>0.84671003280759616</v>
      </c>
      <c r="G470" s="36">
        <f t="shared" ca="1" si="80"/>
        <v>57704.900504885227</v>
      </c>
      <c r="H470" s="37">
        <f t="shared" ca="1" si="81"/>
        <v>0.19524904892338754</v>
      </c>
      <c r="I470" s="37">
        <f t="shared" ca="1" si="82"/>
        <v>6.8195167150972374E-2</v>
      </c>
      <c r="J470" s="38">
        <f t="shared" ca="1" si="83"/>
        <v>3.765920392565425E-2</v>
      </c>
      <c r="K470" s="36">
        <f t="shared" ca="1" si="84"/>
        <v>2169.455087086907</v>
      </c>
      <c r="L470" s="36">
        <f ca="1">Assumptions!$C$10*Assumptions!$C$13*I470*Assumptions!$C$15</f>
        <v>4729.5971310243604</v>
      </c>
      <c r="M470" s="36">
        <f ca="1">G470*(1+H470*Assumptions!$C$6)*(1+J470)+L470+K470</f>
        <v>69115.298673658312</v>
      </c>
    </row>
    <row r="471" spans="1:13" x14ac:dyDescent="0.25">
      <c r="A471" s="3">
        <v>458</v>
      </c>
      <c r="B471" s="3">
        <f t="shared" ca="1" si="85"/>
        <v>0.89281215425029392</v>
      </c>
      <c r="C471" s="3">
        <f t="shared" ca="1" si="85"/>
        <v>5.6149533029912435E-2</v>
      </c>
      <c r="D471" s="3">
        <f t="shared" ca="1" si="85"/>
        <v>0.64759691003696251</v>
      </c>
      <c r="E471" s="3">
        <f t="shared" ca="1" si="85"/>
        <v>0.27897845523527731</v>
      </c>
      <c r="F471" s="3">
        <f t="shared" ca="1" si="85"/>
        <v>0.77132433088398122</v>
      </c>
      <c r="G471" s="36">
        <f t="shared" ca="1" si="80"/>
        <v>58336.998469514525</v>
      </c>
      <c r="H471" s="37">
        <f t="shared" ca="1" si="81"/>
        <v>7.7327436566532098E-2</v>
      </c>
      <c r="I471" s="37">
        <f t="shared" ca="1" si="82"/>
        <v>8.6418905796836809E-2</v>
      </c>
      <c r="J471" s="38">
        <f t="shared" ca="1" si="83"/>
        <v>2.4939302667401242E-2</v>
      </c>
      <c r="K471" s="36">
        <f t="shared" ca="1" si="84"/>
        <v>1985.5836599196145</v>
      </c>
      <c r="L471" s="36">
        <f ca="1">Assumptions!$C$10*Assumptions!$C$13*I471*Assumptions!$C$15</f>
        <v>5993.4834974175428</v>
      </c>
      <c r="M471" s="36">
        <f ca="1">G471*(1+H471*Assumptions!$C$6)*(1+J471)+L471+K471</f>
        <v>68695.660289113352</v>
      </c>
    </row>
    <row r="472" spans="1:13" x14ac:dyDescent="0.25">
      <c r="A472" s="3">
        <v>459</v>
      </c>
      <c r="B472" s="3">
        <f t="shared" ca="1" si="85"/>
        <v>0.99722998829187137</v>
      </c>
      <c r="C472" s="3">
        <f t="shared" ca="1" si="85"/>
        <v>0.81649079571037819</v>
      </c>
      <c r="D472" s="3">
        <f t="shared" ca="1" si="85"/>
        <v>0.91556661428288488</v>
      </c>
      <c r="E472" s="3">
        <f t="shared" ca="1" si="85"/>
        <v>0.89731338109572278</v>
      </c>
      <c r="F472" s="3">
        <f t="shared" ca="1" si="85"/>
        <v>0.13797911728359114</v>
      </c>
      <c r="G472" s="36">
        <f t="shared" ca="1" si="80"/>
        <v>58683.106224248892</v>
      </c>
      <c r="H472" s="37">
        <f t="shared" ca="1" si="81"/>
        <v>0.17531607728497461</v>
      </c>
      <c r="I472" s="37">
        <f t="shared" ca="1" si="82"/>
        <v>0.10356263907146988</v>
      </c>
      <c r="J472" s="38">
        <f t="shared" ca="1" si="83"/>
        <v>4.0936375166445729E-2</v>
      </c>
      <c r="K472" s="36">
        <f t="shared" ca="1" si="84"/>
        <v>787.97590558097659</v>
      </c>
      <c r="L472" s="36">
        <f ca="1">Assumptions!$C$10*Assumptions!$C$13*I472*Assumptions!$C$15</f>
        <v>7182.4673374490185</v>
      </c>
      <c r="M472" s="36">
        <f ca="1">G472*(1+H472*Assumptions!$C$6)*(1+J472)+L472+K472</f>
        <v>71197.672955491929</v>
      </c>
    </row>
    <row r="473" spans="1:13" x14ac:dyDescent="0.25">
      <c r="A473" s="3">
        <v>460</v>
      </c>
      <c r="B473" s="3">
        <f t="shared" ca="1" si="85"/>
        <v>0.11275473116216328</v>
      </c>
      <c r="C473" s="3">
        <f t="shared" ca="1" si="85"/>
        <v>0.11401830979656224</v>
      </c>
      <c r="D473" s="3">
        <f t="shared" ca="1" si="85"/>
        <v>0.80849261977979425</v>
      </c>
      <c r="E473" s="3">
        <f t="shared" ca="1" si="85"/>
        <v>0.87787028120564492</v>
      </c>
      <c r="F473" s="3">
        <f t="shared" ca="1" si="85"/>
        <v>0.25075818116694071</v>
      </c>
      <c r="G473" s="36">
        <f t="shared" ca="1" si="80"/>
        <v>57457.550188613131</v>
      </c>
      <c r="H473" s="37">
        <f t="shared" ca="1" si="81"/>
        <v>8.8941539778163353E-2</v>
      </c>
      <c r="I473" s="37">
        <f t="shared" ca="1" si="82"/>
        <v>9.5244725477089565E-2</v>
      </c>
      <c r="J473" s="38">
        <f t="shared" ca="1" si="83"/>
        <v>4.0115478006727691E-2</v>
      </c>
      <c r="K473" s="36">
        <f t="shared" ca="1" si="84"/>
        <v>1062.2672993419469</v>
      </c>
      <c r="L473" s="36">
        <f ca="1">Assumptions!$C$10*Assumptions!$C$13*I473*Assumptions!$C$15</f>
        <v>6605.58803770338</v>
      </c>
      <c r="M473" s="36">
        <f ca="1">G473*(1+H473*Assumptions!$C$6)*(1+J473)+L473+K473</f>
        <v>68493.416144492978</v>
      </c>
    </row>
    <row r="474" spans="1:13" x14ac:dyDescent="0.25">
      <c r="A474" s="3">
        <v>461</v>
      </c>
      <c r="B474" s="3">
        <f t="shared" ref="B474:F483" ca="1" si="86">RAND()</f>
        <v>0.81720062775972679</v>
      </c>
      <c r="C474" s="3">
        <f t="shared" ca="1" si="86"/>
        <v>0.77187665114129034</v>
      </c>
      <c r="D474" s="3">
        <f t="shared" ca="1" si="86"/>
        <v>0.89929704401511878</v>
      </c>
      <c r="E474" s="3">
        <f t="shared" ca="1" si="86"/>
        <v>0.51915802500692343</v>
      </c>
      <c r="F474" s="3">
        <f t="shared" ca="1" si="86"/>
        <v>0.75185815811917867</v>
      </c>
      <c r="G474" s="36">
        <f t="shared" ca="1" si="80"/>
        <v>58210.838201609906</v>
      </c>
      <c r="H474" s="37">
        <f t="shared" ca="1" si="81"/>
        <v>0.16788056881825411</v>
      </c>
      <c r="I474" s="37">
        <f t="shared" ca="1" si="82"/>
        <v>0.10204869199329419</v>
      </c>
      <c r="J474" s="38">
        <f t="shared" ca="1" si="83"/>
        <v>3.0386902845433585E-2</v>
      </c>
      <c r="K474" s="36">
        <f t="shared" ca="1" si="84"/>
        <v>1943.2889285790104</v>
      </c>
      <c r="L474" s="36">
        <f ca="1">Assumptions!$C$10*Assumptions!$C$13*I474*Assumptions!$C$15</f>
        <v>7077.469284704157</v>
      </c>
      <c r="M474" s="36">
        <f ca="1">G474*(1+H474*Assumptions!$C$6)*(1+J474)+L474+K474</f>
        <v>71014.328236567279</v>
      </c>
    </row>
    <row r="475" spans="1:13" x14ac:dyDescent="0.25">
      <c r="A475" s="3">
        <v>462</v>
      </c>
      <c r="B475" s="3">
        <f t="shared" ca="1" si="86"/>
        <v>0.48044901059311185</v>
      </c>
      <c r="C475" s="3">
        <f t="shared" ca="1" si="86"/>
        <v>3.9217955068621246E-2</v>
      </c>
      <c r="D475" s="3">
        <f t="shared" ca="1" si="86"/>
        <v>4.2496914151605392E-2</v>
      </c>
      <c r="E475" s="3">
        <f t="shared" ca="1" si="86"/>
        <v>0.86065307487138176</v>
      </c>
      <c r="F475" s="3">
        <f t="shared" ca="1" si="86"/>
        <v>0.11977508625671718</v>
      </c>
      <c r="G475" s="36">
        <f t="shared" ca="1" si="80"/>
        <v>57841.447329730159</v>
      </c>
      <c r="H475" s="37">
        <f t="shared" ca="1" si="81"/>
        <v>7.2838537659243044E-2</v>
      </c>
      <c r="I475" s="37">
        <f t="shared" ca="1" si="82"/>
        <v>5.1661480407098288E-2</v>
      </c>
      <c r="J475" s="38">
        <f t="shared" ca="1" si="83"/>
        <v>3.9441707519542069E-2</v>
      </c>
      <c r="K475" s="36">
        <f t="shared" ca="1" si="84"/>
        <v>734.15794496499677</v>
      </c>
      <c r="L475" s="36">
        <f ca="1">Assumptions!$C$10*Assumptions!$C$13*I475*Assumptions!$C$15</f>
        <v>3582.9223642338316</v>
      </c>
      <c r="M475" s="36">
        <f ca="1">G475*(1+H475*Assumptions!$C$6)*(1+J475)+L475+K475</f>
        <v>65315.744639554527</v>
      </c>
    </row>
    <row r="476" spans="1:13" x14ac:dyDescent="0.25">
      <c r="A476" s="3">
        <v>463</v>
      </c>
      <c r="B476" s="3">
        <f t="shared" ca="1" si="86"/>
        <v>0.39981684471156154</v>
      </c>
      <c r="C476" s="3">
        <f t="shared" ca="1" si="86"/>
        <v>0.65180021691912238</v>
      </c>
      <c r="D476" s="3">
        <f t="shared" ca="1" si="86"/>
        <v>4.7417886480582094E-2</v>
      </c>
      <c r="E476" s="3">
        <f t="shared" ca="1" si="86"/>
        <v>0.81978199892120096</v>
      </c>
      <c r="F476" s="3">
        <f t="shared" ca="1" si="86"/>
        <v>3.090416536129259E-2</v>
      </c>
      <c r="G476" s="36">
        <f t="shared" ca="1" si="80"/>
        <v>57773.286905759152</v>
      </c>
      <c r="H476" s="37">
        <f t="shared" ca="1" si="81"/>
        <v>0.15089918600683824</v>
      </c>
      <c r="I476" s="37">
        <f t="shared" ca="1" si="82"/>
        <v>5.2318166939032067E-2</v>
      </c>
      <c r="J476" s="38">
        <f t="shared" ca="1" si="83"/>
        <v>3.7992735496248979E-2</v>
      </c>
      <c r="K476" s="36">
        <f t="shared" ca="1" si="84"/>
        <v>372.91921930334541</v>
      </c>
      <c r="L476" s="36">
        <f ca="1">Assumptions!$C$10*Assumptions!$C$13*I476*Assumptions!$C$15</f>
        <v>3628.4661009408696</v>
      </c>
      <c r="M476" s="36">
        <f ca="1">G476*(1+H476*Assumptions!$C$6)*(1+J476)+L476+K476</f>
        <v>65779.469520211424</v>
      </c>
    </row>
    <row r="477" spans="1:13" x14ac:dyDescent="0.25">
      <c r="A477" s="3">
        <v>464</v>
      </c>
      <c r="B477" s="3">
        <f t="shared" ca="1" si="86"/>
        <v>7.003014247087147E-2</v>
      </c>
      <c r="C477" s="3">
        <f t="shared" ca="1" si="86"/>
        <v>0.30745364204066283</v>
      </c>
      <c r="D477" s="3">
        <f t="shared" ca="1" si="86"/>
        <v>0.78371656310802962</v>
      </c>
      <c r="E477" s="3">
        <f t="shared" ca="1" si="86"/>
        <v>0.11794659537030538</v>
      </c>
      <c r="F477" s="3">
        <f t="shared" ca="1" si="86"/>
        <v>7.2310228166719726E-2</v>
      </c>
      <c r="G477" s="36">
        <f t="shared" ca="1" si="80"/>
        <v>57381.78127475184</v>
      </c>
      <c r="H477" s="37">
        <f t="shared" ca="1" si="81"/>
        <v>0.11394633249171383</v>
      </c>
      <c r="I477" s="37">
        <f t="shared" ca="1" si="82"/>
        <v>9.3692073474819323E-2</v>
      </c>
      <c r="J477" s="38">
        <f t="shared" ca="1" si="83"/>
        <v>1.9713767358560955E-2</v>
      </c>
      <c r="K477" s="36">
        <f t="shared" ca="1" si="84"/>
        <v>570.43494523936624</v>
      </c>
      <c r="L477" s="36">
        <f ca="1">Assumptions!$C$10*Assumptions!$C$13*I477*Assumptions!$C$15</f>
        <v>6497.9056496074681</v>
      </c>
      <c r="M477" s="36">
        <f ca="1">G477*(1+H477*Assumptions!$C$6)*(1+J477)+L477+K477</f>
        <v>66914.801132808891</v>
      </c>
    </row>
    <row r="478" spans="1:13" x14ac:dyDescent="0.25">
      <c r="A478" s="3">
        <v>465</v>
      </c>
      <c r="B478" s="3">
        <f t="shared" ca="1" si="86"/>
        <v>0.18727954931049384</v>
      </c>
      <c r="C478" s="3">
        <f t="shared" ca="1" si="86"/>
        <v>0.40115990103916721</v>
      </c>
      <c r="D478" s="3">
        <f t="shared" ca="1" si="86"/>
        <v>0.80824736519083407</v>
      </c>
      <c r="E478" s="3">
        <f t="shared" ca="1" si="86"/>
        <v>9.718996701671534E-3</v>
      </c>
      <c r="F478" s="3">
        <f t="shared" ca="1" si="86"/>
        <v>0.27484055275955377</v>
      </c>
      <c r="G478" s="36">
        <f t="shared" ca="1" si="80"/>
        <v>57560.802474250435</v>
      </c>
      <c r="H478" s="37">
        <f t="shared" ca="1" si="81"/>
        <v>0.12315157572176257</v>
      </c>
      <c r="I478" s="37">
        <f t="shared" ca="1" si="82"/>
        <v>9.5228879084923695E-2</v>
      </c>
      <c r="J478" s="38">
        <f t="shared" ca="1" si="83"/>
        <v>1.2788404088602875E-2</v>
      </c>
      <c r="K478" s="36">
        <f t="shared" ca="1" si="84"/>
        <v>1112.1072283813248</v>
      </c>
      <c r="L478" s="36">
        <f ca="1">Assumptions!$C$10*Assumptions!$C$13*I478*Assumptions!$C$15</f>
        <v>6604.489029459015</v>
      </c>
      <c r="M478" s="36">
        <f ca="1">G478*(1+H478*Assumptions!$C$6)*(1+J478)+L478+K478</f>
        <v>67449.380879725504</v>
      </c>
    </row>
    <row r="479" spans="1:13" x14ac:dyDescent="0.25">
      <c r="A479" s="3">
        <v>466</v>
      </c>
      <c r="B479" s="3">
        <f t="shared" ca="1" si="86"/>
        <v>0.14472454482283292</v>
      </c>
      <c r="C479" s="3">
        <f t="shared" ca="1" si="86"/>
        <v>0.42923366465373536</v>
      </c>
      <c r="D479" s="3">
        <f t="shared" ca="1" si="86"/>
        <v>0.45800559435884824</v>
      </c>
      <c r="E479" s="3">
        <f t="shared" ca="1" si="86"/>
        <v>0.9551699422673241</v>
      </c>
      <c r="F479" s="3">
        <f t="shared" ca="1" si="86"/>
        <v>0.38693499813590393</v>
      </c>
      <c r="G479" s="36">
        <f t="shared" ca="1" si="80"/>
        <v>57505.079924838254</v>
      </c>
      <c r="H479" s="37">
        <f t="shared" ca="1" si="81"/>
        <v>0.1259233922055234</v>
      </c>
      <c r="I479" s="37">
        <f t="shared" ca="1" si="82"/>
        <v>7.8283389373830448E-2</v>
      </c>
      <c r="J479" s="38">
        <f t="shared" ca="1" si="83"/>
        <v>4.4011340201168488E-2</v>
      </c>
      <c r="K479" s="36">
        <f t="shared" ca="1" si="84"/>
        <v>1319.548214962821</v>
      </c>
      <c r="L479" s="36">
        <f ca="1">Assumptions!$C$10*Assumptions!$C$13*I479*Assumptions!$C$15</f>
        <v>5429.2541430342708</v>
      </c>
      <c r="M479" s="36">
        <f ca="1">G479*(1+H479*Assumptions!$C$6)*(1+J479)+L479+K479</f>
        <v>68296.744154403612</v>
      </c>
    </row>
    <row r="480" spans="1:13" x14ac:dyDescent="0.25">
      <c r="A480" s="3">
        <v>467</v>
      </c>
      <c r="B480" s="3">
        <f t="shared" ca="1" si="86"/>
        <v>5.519537612878711E-3</v>
      </c>
      <c r="C480" s="3">
        <f t="shared" ca="1" si="86"/>
        <v>0.3254722565318483</v>
      </c>
      <c r="D480" s="3">
        <f t="shared" ca="1" si="86"/>
        <v>0.10154645204711577</v>
      </c>
      <c r="E480" s="3">
        <f t="shared" ca="1" si="86"/>
        <v>9.8425181221023839E-2</v>
      </c>
      <c r="F480" s="3">
        <f t="shared" ca="1" si="86"/>
        <v>0.5149723101796575</v>
      </c>
      <c r="G480" s="36">
        <f t="shared" ca="1" si="80"/>
        <v>57179.108103515573</v>
      </c>
      <c r="H480" s="37">
        <f t="shared" ca="1" si="81"/>
        <v>0.1157934724108219</v>
      </c>
      <c r="I480" s="37">
        <f t="shared" ca="1" si="82"/>
        <v>5.8026332032634104E-2</v>
      </c>
      <c r="J480" s="38">
        <f t="shared" ca="1" si="83"/>
        <v>1.8873564389624897E-2</v>
      </c>
      <c r="K480" s="36">
        <f t="shared" ca="1" si="84"/>
        <v>1522.6291582031472</v>
      </c>
      <c r="L480" s="36">
        <f ca="1">Assumptions!$C$10*Assumptions!$C$13*I480*Assumptions!$C$15</f>
        <v>4024.3493046632998</v>
      </c>
      <c r="M480" s="36">
        <f ca="1">G480*(1+H480*Assumptions!$C$6)*(1+J480)+L480+K480</f>
        <v>65154.445891445495</v>
      </c>
    </row>
    <row r="481" spans="1:13" x14ac:dyDescent="0.25">
      <c r="A481" s="3">
        <v>468</v>
      </c>
      <c r="B481" s="3">
        <f t="shared" ca="1" si="86"/>
        <v>0.16903844229767095</v>
      </c>
      <c r="C481" s="3">
        <f t="shared" ca="1" si="86"/>
        <v>0.22445076869427805</v>
      </c>
      <c r="D481" s="3">
        <f t="shared" ca="1" si="86"/>
        <v>0.32357585371864983</v>
      </c>
      <c r="E481" s="3">
        <f t="shared" ca="1" si="86"/>
        <v>0.46174004177030681</v>
      </c>
      <c r="F481" s="3">
        <f t="shared" ca="1" si="86"/>
        <v>0.43351809637556005</v>
      </c>
      <c r="G481" s="36">
        <f t="shared" ca="1" si="80"/>
        <v>57537.786500444905</v>
      </c>
      <c r="H481" s="37">
        <f t="shared" ca="1" si="81"/>
        <v>0.10463694010130781</v>
      </c>
      <c r="I481" s="37">
        <f t="shared" ca="1" si="82"/>
        <v>7.2178295975698886E-2</v>
      </c>
      <c r="J481" s="38">
        <f t="shared" ca="1" si="83"/>
        <v>2.9219574225675379E-2</v>
      </c>
      <c r="K481" s="36">
        <f t="shared" ca="1" si="84"/>
        <v>1396.7216736665971</v>
      </c>
      <c r="L481" s="36">
        <f ca="1">Assumptions!$C$10*Assumptions!$C$13*I481*Assumptions!$C$15</f>
        <v>5005.8424347453938</v>
      </c>
      <c r="M481" s="36">
        <f ca="1">G481*(1+H481*Assumptions!$C$6)*(1+J481)+L481+K481</f>
        <v>66860.879560890186</v>
      </c>
    </row>
    <row r="482" spans="1:13" x14ac:dyDescent="0.25">
      <c r="A482" s="3">
        <v>469</v>
      </c>
      <c r="B482" s="3">
        <f t="shared" ca="1" si="86"/>
        <v>0.47379161981583617</v>
      </c>
      <c r="C482" s="3">
        <f t="shared" ca="1" si="86"/>
        <v>0.37154836366113853</v>
      </c>
      <c r="D482" s="3">
        <f t="shared" ca="1" si="86"/>
        <v>0.5136775242598004</v>
      </c>
      <c r="E482" s="3">
        <f t="shared" ca="1" si="86"/>
        <v>0.63475561348903065</v>
      </c>
      <c r="F482" s="3">
        <f t="shared" ca="1" si="86"/>
        <v>0.19155346394101869</v>
      </c>
      <c r="G482" s="36">
        <f t="shared" ca="1" si="80"/>
        <v>57835.648693767871</v>
      </c>
      <c r="H482" s="37">
        <f t="shared" ca="1" si="81"/>
        <v>0.1202974632327032</v>
      </c>
      <c r="I482" s="37">
        <f t="shared" ca="1" si="82"/>
        <v>8.0550894530184353E-2</v>
      </c>
      <c r="J482" s="38">
        <f t="shared" ca="1" si="83"/>
        <v>3.2906272811093082E-2</v>
      </c>
      <c r="K482" s="36">
        <f t="shared" ca="1" si="84"/>
        <v>928.43448219817003</v>
      </c>
      <c r="L482" s="36">
        <f ca="1">Assumptions!$C$10*Assumptions!$C$13*I482*Assumptions!$C$15</f>
        <v>5586.5143468010929</v>
      </c>
      <c r="M482" s="36">
        <f ca="1">G482*(1+H482*Assumptions!$C$6)*(1+J482)+L482+K482</f>
        <v>67691.038480330841</v>
      </c>
    </row>
    <row r="483" spans="1:13" x14ac:dyDescent="0.25">
      <c r="A483" s="3">
        <v>470</v>
      </c>
      <c r="B483" s="3">
        <f t="shared" ca="1" si="86"/>
        <v>0.45268539054748169</v>
      </c>
      <c r="C483" s="3">
        <f t="shared" ca="1" si="86"/>
        <v>0.83476590518414495</v>
      </c>
      <c r="D483" s="3">
        <f t="shared" ca="1" si="86"/>
        <v>0.19667284881651448</v>
      </c>
      <c r="E483" s="3">
        <f t="shared" ca="1" si="86"/>
        <v>0.68587436115325218</v>
      </c>
      <c r="F483" s="3">
        <f t="shared" ca="1" si="86"/>
        <v>6.7176020411912063E-2</v>
      </c>
      <c r="G483" s="36">
        <f t="shared" ca="1" si="80"/>
        <v>57817.503507086309</v>
      </c>
      <c r="H483" s="37">
        <f t="shared" ca="1" si="81"/>
        <v>0.17862136070421977</v>
      </c>
      <c r="I483" s="37">
        <f t="shared" ca="1" si="82"/>
        <v>6.5086911252939181E-2</v>
      </c>
      <c r="J483" s="38">
        <f t="shared" ca="1" si="83"/>
        <v>3.4147539273746863E-2</v>
      </c>
      <c r="K483" s="36">
        <f t="shared" ca="1" si="84"/>
        <v>549.81096010683916</v>
      </c>
      <c r="L483" s="36">
        <f ca="1">Assumptions!$C$10*Assumptions!$C$13*I483*Assumptions!$C$15</f>
        <v>4514.027629665381</v>
      </c>
      <c r="M483" s="36">
        <f ca="1">G483*(1+H483*Assumptions!$C$6)*(1+J483)+L483+K483</f>
        <v>66991.687138814377</v>
      </c>
    </row>
    <row r="484" spans="1:13" x14ac:dyDescent="0.25">
      <c r="A484" s="3">
        <v>471</v>
      </c>
      <c r="B484" s="3">
        <f t="shared" ref="B484:F493" ca="1" si="87">RAND()</f>
        <v>0.26200899743700923</v>
      </c>
      <c r="C484" s="3">
        <f t="shared" ca="1" si="87"/>
        <v>0.52803828455756618</v>
      </c>
      <c r="D484" s="3">
        <f t="shared" ca="1" si="87"/>
        <v>0.57323019061365088</v>
      </c>
      <c r="E484" s="3">
        <f t="shared" ca="1" si="87"/>
        <v>0.32962167114436125</v>
      </c>
      <c r="F484" s="3">
        <f t="shared" ca="1" si="87"/>
        <v>0.63835663551443422</v>
      </c>
      <c r="G484" s="36">
        <f t="shared" ca="1" si="80"/>
        <v>57645.039185872505</v>
      </c>
      <c r="H484" s="37">
        <f t="shared" ca="1" si="81"/>
        <v>0.13626607540400543</v>
      </c>
      <c r="I484" s="37">
        <f t="shared" ca="1" si="82"/>
        <v>8.3045116830974597E-2</v>
      </c>
      <c r="J484" s="38">
        <f t="shared" ca="1" si="83"/>
        <v>2.6238760325698787E-2</v>
      </c>
      <c r="K484" s="36">
        <f t="shared" ca="1" si="84"/>
        <v>1724.306016246433</v>
      </c>
      <c r="L484" s="36">
        <f ca="1">Assumptions!$C$10*Assumptions!$C$13*I484*Assumptions!$C$15</f>
        <v>5759.4982565235914</v>
      </c>
      <c r="M484" s="36">
        <f ca="1">G484*(1+H484*Assumptions!$C$6)*(1+J484)+L484+K484</f>
        <v>68253.61190150537</v>
      </c>
    </row>
    <row r="485" spans="1:13" x14ac:dyDescent="0.25">
      <c r="A485" s="3">
        <v>472</v>
      </c>
      <c r="B485" s="3">
        <f t="shared" ca="1" si="87"/>
        <v>0.39749662533892327</v>
      </c>
      <c r="C485" s="3">
        <f t="shared" ca="1" si="87"/>
        <v>0.10675700724889203</v>
      </c>
      <c r="D485" s="3">
        <f t="shared" ca="1" si="87"/>
        <v>0.17356907614607953</v>
      </c>
      <c r="E485" s="3">
        <f t="shared" ca="1" si="87"/>
        <v>0.6434963500116313</v>
      </c>
      <c r="F485" s="3">
        <f t="shared" ca="1" si="87"/>
        <v>0.85642972542550522</v>
      </c>
      <c r="G485" s="36">
        <f t="shared" ca="1" si="80"/>
        <v>57771.330452015151</v>
      </c>
      <c r="H485" s="37">
        <f t="shared" ca="1" si="81"/>
        <v>8.7681138470198372E-2</v>
      </c>
      <c r="I485" s="37">
        <f t="shared" ca="1" si="82"/>
        <v>6.3567372438764883E-2</v>
      </c>
      <c r="J485" s="38">
        <f t="shared" ca="1" si="83"/>
        <v>3.3112048081821915E-2</v>
      </c>
      <c r="K485" s="36">
        <f t="shared" ca="1" si="84"/>
        <v>2196.2175446146971</v>
      </c>
      <c r="L485" s="36">
        <f ca="1">Assumptions!$C$10*Assumptions!$C$13*I485*Assumptions!$C$15</f>
        <v>4408.6417685223396</v>
      </c>
      <c r="M485" s="36">
        <f ca="1">G485*(1+H485*Assumptions!$C$6)*(1+J485)+L485+K485</f>
        <v>67335.753566515312</v>
      </c>
    </row>
    <row r="486" spans="1:13" x14ac:dyDescent="0.25">
      <c r="A486" s="3">
        <v>473</v>
      </c>
      <c r="B486" s="3">
        <f t="shared" ca="1" si="87"/>
        <v>0.35205699190418527</v>
      </c>
      <c r="C486" s="3">
        <f t="shared" ca="1" si="87"/>
        <v>0.98627981911761198</v>
      </c>
      <c r="D486" s="3">
        <f t="shared" ca="1" si="87"/>
        <v>0.98834528328536575</v>
      </c>
      <c r="E486" s="3">
        <f t="shared" ca="1" si="87"/>
        <v>0.42063944137202036</v>
      </c>
      <c r="F486" s="3">
        <f t="shared" ca="1" si="87"/>
        <v>0.13298780635184437</v>
      </c>
      <c r="G486" s="36">
        <f t="shared" ca="1" si="80"/>
        <v>57731.794893675607</v>
      </c>
      <c r="H486" s="37">
        <f t="shared" ca="1" si="81"/>
        <v>0.22231327831059561</v>
      </c>
      <c r="I486" s="37">
        <f t="shared" ca="1" si="82"/>
        <v>0.11389302910709166</v>
      </c>
      <c r="J486" s="38">
        <f t="shared" ca="1" si="83"/>
        <v>2.8344251227499478E-2</v>
      </c>
      <c r="K486" s="36">
        <f t="shared" ca="1" si="84"/>
        <v>773.59235297622979</v>
      </c>
      <c r="L486" s="36">
        <f ca="1">Assumptions!$C$10*Assumptions!$C$13*I486*Assumptions!$C$15</f>
        <v>7898.9196186887557</v>
      </c>
      <c r="M486" s="36">
        <f ca="1">G486*(1+H486*Assumptions!$C$6)*(1+J486)+L486+K486</f>
        <v>70680.337391959765</v>
      </c>
    </row>
    <row r="487" spans="1:13" x14ac:dyDescent="0.25">
      <c r="A487" s="3">
        <v>474</v>
      </c>
      <c r="B487" s="3">
        <f t="shared" ca="1" si="87"/>
        <v>0.26718248602094463</v>
      </c>
      <c r="C487" s="3">
        <f t="shared" ca="1" si="87"/>
        <v>0.92161956151164015</v>
      </c>
      <c r="D487" s="3">
        <f t="shared" ca="1" si="87"/>
        <v>0.95735548890613076</v>
      </c>
      <c r="E487" s="3">
        <f t="shared" ca="1" si="87"/>
        <v>0.34703867652911335</v>
      </c>
      <c r="F487" s="3">
        <f t="shared" ca="1" si="87"/>
        <v>0.60910350121707391</v>
      </c>
      <c r="G487" s="36">
        <f t="shared" ca="1" si="80"/>
        <v>57650.393907363621</v>
      </c>
      <c r="H487" s="37">
        <f t="shared" ca="1" si="81"/>
        <v>0.19772620199775509</v>
      </c>
      <c r="I487" s="37">
        <f t="shared" ca="1" si="82"/>
        <v>0.10831828627724589</v>
      </c>
      <c r="J487" s="38">
        <f t="shared" ca="1" si="83"/>
        <v>2.6662260987731848E-2</v>
      </c>
      <c r="K487" s="36">
        <f t="shared" ca="1" si="84"/>
        <v>1673.7141165935727</v>
      </c>
      <c r="L487" s="36">
        <f ca="1">Assumptions!$C$10*Assumptions!$C$13*I487*Assumptions!$C$15</f>
        <v>7512.2897621203765</v>
      </c>
      <c r="M487" s="36">
        <f ca="1">G487*(1+H487*Assumptions!$C$6)*(1+J487)+L487+K487</f>
        <v>70714.070908247581</v>
      </c>
    </row>
    <row r="488" spans="1:13" x14ac:dyDescent="0.25">
      <c r="A488" s="3">
        <v>475</v>
      </c>
      <c r="B488" s="3">
        <f t="shared" ca="1" si="87"/>
        <v>0.30841239736164949</v>
      </c>
      <c r="C488" s="3">
        <f t="shared" ca="1" si="87"/>
        <v>0.42549556186244475</v>
      </c>
      <c r="D488" s="3">
        <f t="shared" ca="1" si="87"/>
        <v>0.1618936388958</v>
      </c>
      <c r="E488" s="3">
        <f t="shared" ca="1" si="87"/>
        <v>0.84540986221504622</v>
      </c>
      <c r="F488" s="3">
        <f t="shared" ca="1" si="87"/>
        <v>0.63595867599968248</v>
      </c>
      <c r="G488" s="36">
        <f t="shared" ca="1" si="80"/>
        <v>57691.337659672761</v>
      </c>
      <c r="H488" s="37">
        <f t="shared" ca="1" si="81"/>
        <v>0.12555044259790138</v>
      </c>
      <c r="I488" s="37">
        <f t="shared" ca="1" si="82"/>
        <v>6.2760923629469875E-2</v>
      </c>
      <c r="J488" s="38">
        <f t="shared" ca="1" si="83"/>
        <v>3.8879203705311255E-2</v>
      </c>
      <c r="K488" s="36">
        <f t="shared" ca="1" si="84"/>
        <v>1720.083612886596</v>
      </c>
      <c r="L488" s="36">
        <f ca="1">Assumptions!$C$10*Assumptions!$C$13*I488*Assumptions!$C$15</f>
        <v>4352.711441871541</v>
      </c>
      <c r="M488" s="36">
        <f ca="1">G488*(1+H488*Assumptions!$C$6)*(1+J488)+L488+K488</f>
        <v>67512.082338311535</v>
      </c>
    </row>
    <row r="489" spans="1:13" x14ac:dyDescent="0.25">
      <c r="A489" s="3">
        <v>476</v>
      </c>
      <c r="B489" s="3">
        <f t="shared" ca="1" si="87"/>
        <v>4.9770883166160185E-2</v>
      </c>
      <c r="C489" s="3">
        <f t="shared" ca="1" si="87"/>
        <v>0.1989545563782823</v>
      </c>
      <c r="D489" s="3">
        <f t="shared" ca="1" si="87"/>
        <v>0.16987685719289569</v>
      </c>
      <c r="E489" s="3">
        <f t="shared" ca="1" si="87"/>
        <v>6.270481647558912E-2</v>
      </c>
      <c r="F489" s="3">
        <f t="shared" ca="1" si="87"/>
        <v>0.4284148609803925</v>
      </c>
      <c r="G489" s="36">
        <f t="shared" ca="1" si="80"/>
        <v>57337.551238041029</v>
      </c>
      <c r="H489" s="37">
        <f t="shared" ca="1" si="81"/>
        <v>0.10144021383928292</v>
      </c>
      <c r="I489" s="37">
        <f t="shared" ca="1" si="82"/>
        <v>6.3315358522168741E-2</v>
      </c>
      <c r="J489" s="38">
        <f t="shared" ca="1" si="83"/>
        <v>1.7082644504736299E-2</v>
      </c>
      <c r="K489" s="36">
        <f t="shared" ca="1" si="84"/>
        <v>1388.4764579969537</v>
      </c>
      <c r="L489" s="36">
        <f ca="1">Assumptions!$C$10*Assumptions!$C$13*I489*Assumptions!$C$15</f>
        <v>4391.1636341221019</v>
      </c>
      <c r="M489" s="36">
        <f ca="1">G489*(1+H489*Assumptions!$C$6)*(1+J489)+L489+K489</f>
        <v>65279.80669781207</v>
      </c>
    </row>
    <row r="490" spans="1:13" x14ac:dyDescent="0.25">
      <c r="A490" s="3">
        <v>477</v>
      </c>
      <c r="B490" s="3">
        <f t="shared" ca="1" si="87"/>
        <v>0.46465666847835652</v>
      </c>
      <c r="C490" s="3">
        <f t="shared" ca="1" si="87"/>
        <v>0.21223802064899688</v>
      </c>
      <c r="D490" s="3">
        <f t="shared" ca="1" si="87"/>
        <v>0.49910997413233893</v>
      </c>
      <c r="E490" s="3">
        <f t="shared" ca="1" si="87"/>
        <v>0.88023589613544562</v>
      </c>
      <c r="F490" s="3">
        <f t="shared" ca="1" si="87"/>
        <v>0.50328816651299801</v>
      </c>
      <c r="G490" s="36">
        <f t="shared" ca="1" si="80"/>
        <v>57827.75145702446</v>
      </c>
      <c r="H490" s="37">
        <f t="shared" ca="1" si="81"/>
        <v>0.1031297061410249</v>
      </c>
      <c r="I490" s="37">
        <f t="shared" ca="1" si="82"/>
        <v>7.9964383108256334E-2</v>
      </c>
      <c r="J490" s="38">
        <f t="shared" ca="1" si="83"/>
        <v>4.0211676185799558E-2</v>
      </c>
      <c r="K490" s="36">
        <f t="shared" ca="1" si="84"/>
        <v>1504.9403855726994</v>
      </c>
      <c r="L490" s="36">
        <f ca="1">Assumptions!$C$10*Assumptions!$C$13*I490*Assumptions!$C$15</f>
        <v>5545.8375238772232</v>
      </c>
      <c r="M490" s="36">
        <f ca="1">G490*(1+H490*Assumptions!$C$6)*(1+J490)+L490+K490</f>
        <v>68444.59453479771</v>
      </c>
    </row>
    <row r="491" spans="1:13" x14ac:dyDescent="0.25">
      <c r="A491" s="3">
        <v>478</v>
      </c>
      <c r="B491" s="3">
        <f t="shared" ca="1" si="87"/>
        <v>0.91909372075038087</v>
      </c>
      <c r="C491" s="3">
        <f t="shared" ca="1" si="87"/>
        <v>0.77693213560182794</v>
      </c>
      <c r="D491" s="3">
        <f t="shared" ca="1" si="87"/>
        <v>0.64941236630150279</v>
      </c>
      <c r="E491" s="3">
        <f t="shared" ca="1" si="87"/>
        <v>0.49420650682048062</v>
      </c>
      <c r="F491" s="3">
        <f t="shared" ca="1" si="87"/>
        <v>0.56570848934306195</v>
      </c>
      <c r="G491" s="36">
        <f t="shared" ca="1" si="80"/>
        <v>58391.107133191508</v>
      </c>
      <c r="H491" s="37">
        <f t="shared" ca="1" si="81"/>
        <v>0.16868417210549735</v>
      </c>
      <c r="I491" s="37">
        <f t="shared" ca="1" si="82"/>
        <v>8.6505516456658257E-2</v>
      </c>
      <c r="J491" s="38">
        <f t="shared" ca="1" si="83"/>
        <v>2.9883792532019247E-2</v>
      </c>
      <c r="K491" s="36">
        <f t="shared" ca="1" si="84"/>
        <v>1602.0329767994449</v>
      </c>
      <c r="L491" s="36">
        <f ca="1">Assumptions!$C$10*Assumptions!$C$13*I491*Assumptions!$C$15</f>
        <v>5999.4902797940831</v>
      </c>
      <c r="M491" s="36">
        <f ca="1">G491*(1+H491*Assumptions!$C$6)*(1+J491)+L491+K491</f>
        <v>69766.378246769178</v>
      </c>
    </row>
    <row r="492" spans="1:13" x14ac:dyDescent="0.25">
      <c r="A492" s="3">
        <v>479</v>
      </c>
      <c r="B492" s="3">
        <f t="shared" ca="1" si="87"/>
        <v>0.95079770751104109</v>
      </c>
      <c r="C492" s="3">
        <f t="shared" ca="1" si="87"/>
        <v>0.91562164064551477</v>
      </c>
      <c r="D492" s="3">
        <f t="shared" ca="1" si="87"/>
        <v>0.35644851790737231</v>
      </c>
      <c r="E492" s="3">
        <f t="shared" ca="1" si="87"/>
        <v>0.99303115615489734</v>
      </c>
      <c r="F492" s="3">
        <f t="shared" ca="1" si="87"/>
        <v>0.15002555514060667</v>
      </c>
      <c r="G492" s="36">
        <f t="shared" ca="1" si="80"/>
        <v>58469.992056387782</v>
      </c>
      <c r="H492" s="37">
        <f t="shared" ca="1" si="81"/>
        <v>0.19613855231205582</v>
      </c>
      <c r="I492" s="37">
        <f t="shared" ca="1" si="82"/>
        <v>7.3773292070859642E-2</v>
      </c>
      <c r="J492" s="38">
        <f t="shared" ca="1" si="83"/>
        <v>4.76388403111856E-2</v>
      </c>
      <c r="K492" s="36">
        <f t="shared" ca="1" si="84"/>
        <v>821.65381891203424</v>
      </c>
      <c r="L492" s="36">
        <f ca="1">Assumptions!$C$10*Assumptions!$C$13*I492*Assumptions!$C$15</f>
        <v>5116.4615485451577</v>
      </c>
      <c r="M492" s="36">
        <f ca="1">G492*(1+H492*Assumptions!$C$6)*(1+J492)+L492+K492</f>
        <v>69596.460493937018</v>
      </c>
    </row>
    <row r="493" spans="1:13" x14ac:dyDescent="0.25">
      <c r="A493" s="3">
        <v>480</v>
      </c>
      <c r="B493" s="3">
        <f t="shared" ca="1" si="87"/>
        <v>0.48080102765055532</v>
      </c>
      <c r="C493" s="3">
        <f t="shared" ca="1" si="87"/>
        <v>0.39596501802723394</v>
      </c>
      <c r="D493" s="3">
        <f t="shared" ca="1" si="87"/>
        <v>0.72638406738490224</v>
      </c>
      <c r="E493" s="3">
        <f t="shared" ca="1" si="87"/>
        <v>0.27980018828787345</v>
      </c>
      <c r="F493" s="3">
        <f t="shared" ca="1" si="87"/>
        <v>0.94892358668529042</v>
      </c>
      <c r="G493" s="36">
        <f t="shared" ca="1" si="80"/>
        <v>57841.754970352195</v>
      </c>
      <c r="H493" s="37">
        <f t="shared" ca="1" si="81"/>
        <v>0.1226458454549688</v>
      </c>
      <c r="I493" s="37">
        <f t="shared" ca="1" si="82"/>
        <v>9.0409951261136573E-2</v>
      </c>
      <c r="J493" s="38">
        <f t="shared" ca="1" si="83"/>
        <v>2.4961288401414455E-2</v>
      </c>
      <c r="K493" s="36">
        <f t="shared" ca="1" si="84"/>
        <v>2520.5796625963881</v>
      </c>
      <c r="L493" s="36">
        <f ca="1">Assumptions!$C$10*Assumptions!$C$13*I493*Assumptions!$C$15</f>
        <v>6270.2778505415945</v>
      </c>
      <c r="M493" s="36">
        <f ca="1">G493*(1+H493*Assumptions!$C$6)*(1+J493)+L493+K493</f>
        <v>69530.642729430896</v>
      </c>
    </row>
    <row r="494" spans="1:13" x14ac:dyDescent="0.25">
      <c r="A494" s="3">
        <v>481</v>
      </c>
      <c r="B494" s="3">
        <f t="shared" ref="B494:F503" ca="1" si="88">RAND()</f>
        <v>0.35840636237997903</v>
      </c>
      <c r="C494" s="3">
        <f t="shared" ca="1" si="88"/>
        <v>0.20907863893057466</v>
      </c>
      <c r="D494" s="3">
        <f t="shared" ca="1" si="88"/>
        <v>0.43294299455118035</v>
      </c>
      <c r="E494" s="3">
        <f t="shared" ca="1" si="88"/>
        <v>0.18226840234683561</v>
      </c>
      <c r="F494" s="3">
        <f t="shared" ca="1" si="88"/>
        <v>0.12749305083361617</v>
      </c>
      <c r="G494" s="36">
        <f t="shared" ca="1" si="80"/>
        <v>57737.466666010638</v>
      </c>
      <c r="H494" s="37">
        <f t="shared" ca="1" si="81"/>
        <v>0.10273277821029955</v>
      </c>
      <c r="I494" s="37">
        <f t="shared" ca="1" si="82"/>
        <v>7.7221198026981575E-2</v>
      </c>
      <c r="J494" s="38">
        <f t="shared" ca="1" si="83"/>
        <v>2.2075376676421669E-2</v>
      </c>
      <c r="K494" s="36">
        <f t="shared" ca="1" si="84"/>
        <v>757.44222799582064</v>
      </c>
      <c r="L494" s="36">
        <f ca="1">Assumptions!$C$10*Assumptions!$C$13*I494*Assumptions!$C$15</f>
        <v>5355.5870877789675</v>
      </c>
      <c r="M494" s="36">
        <f ca="1">G494*(1+H494*Assumptions!$C$6)*(1+J494)+L494+K494</f>
        <v>66337.566531646269</v>
      </c>
    </row>
    <row r="495" spans="1:13" x14ac:dyDescent="0.25">
      <c r="A495" s="3">
        <v>482</v>
      </c>
      <c r="B495" s="3">
        <f t="shared" ca="1" si="88"/>
        <v>0.96955235447278865</v>
      </c>
      <c r="C495" s="3">
        <f t="shared" ca="1" si="88"/>
        <v>0.47260295309532707</v>
      </c>
      <c r="D495" s="3">
        <f t="shared" ca="1" si="88"/>
        <v>0.69776104532538352</v>
      </c>
      <c r="E495" s="3">
        <f t="shared" ca="1" si="88"/>
        <v>0.878740349953267</v>
      </c>
      <c r="F495" s="3">
        <f t="shared" ca="1" si="88"/>
        <v>0.12177976697123305</v>
      </c>
      <c r="G495" s="36">
        <f t="shared" ca="1" si="80"/>
        <v>58529.603007622078</v>
      </c>
      <c r="H495" s="37">
        <f t="shared" ca="1" si="81"/>
        <v>0.13034302270522619</v>
      </c>
      <c r="I495" s="37">
        <f t="shared" ca="1" si="82"/>
        <v>8.8900729028500158E-2</v>
      </c>
      <c r="J495" s="38">
        <f t="shared" ca="1" si="83"/>
        <v>4.0150750280483982E-2</v>
      </c>
      <c r="K495" s="36">
        <f t="shared" ca="1" si="84"/>
        <v>740.2762669237402</v>
      </c>
      <c r="L495" s="36">
        <f ca="1">Assumptions!$C$10*Assumptions!$C$13*I495*Assumptions!$C$15</f>
        <v>6165.6074840073634</v>
      </c>
      <c r="M495" s="36">
        <f ca="1">G495*(1+H495*Assumptions!$C$6)*(1+J495)+L495+K495</f>
        <v>69372.540723196129</v>
      </c>
    </row>
    <row r="496" spans="1:13" x14ac:dyDescent="0.25">
      <c r="A496" s="3">
        <v>483</v>
      </c>
      <c r="B496" s="3">
        <f t="shared" ca="1" si="88"/>
        <v>0.5750600297947176</v>
      </c>
      <c r="C496" s="3">
        <f t="shared" ca="1" si="88"/>
        <v>6.6165095990443734E-2</v>
      </c>
      <c r="D496" s="3">
        <f t="shared" ca="1" si="88"/>
        <v>0.70289859109826314</v>
      </c>
      <c r="E496" s="3">
        <f t="shared" ca="1" si="88"/>
        <v>0.52357794090587628</v>
      </c>
      <c r="F496" s="3">
        <f t="shared" ca="1" si="88"/>
        <v>0.87410298820637611</v>
      </c>
      <c r="G496" s="36">
        <f t="shared" ca="1" si="80"/>
        <v>57928.268390424462</v>
      </c>
      <c r="H496" s="37">
        <f t="shared" ca="1" si="81"/>
        <v>7.9664722764133528E-2</v>
      </c>
      <c r="I496" s="37">
        <f t="shared" ca="1" si="82"/>
        <v>8.916617914552985E-2</v>
      </c>
      <c r="J496" s="38">
        <f t="shared" ca="1" si="83"/>
        <v>3.0477253080693309E-2</v>
      </c>
      <c r="K496" s="36">
        <f t="shared" ca="1" si="84"/>
        <v>2247.3137751550735</v>
      </c>
      <c r="L496" s="36">
        <f ca="1">Assumptions!$C$10*Assumptions!$C$13*I496*Assumptions!$C$15</f>
        <v>6184.0174705853624</v>
      </c>
      <c r="M496" s="36">
        <f ca="1">G496*(1+H496*Assumptions!$C$6)*(1+J496)+L496+K496</f>
        <v>69076.191546649337</v>
      </c>
    </row>
    <row r="497" spans="1:13" x14ac:dyDescent="0.25">
      <c r="A497" s="3">
        <v>484</v>
      </c>
      <c r="B497" s="3">
        <f t="shared" ca="1" si="88"/>
        <v>0.97078127921250801</v>
      </c>
      <c r="C497" s="3">
        <f t="shared" ca="1" si="88"/>
        <v>0.52804431342231095</v>
      </c>
      <c r="D497" s="3">
        <f t="shared" ca="1" si="88"/>
        <v>0.97737344081164057</v>
      </c>
      <c r="E497" s="3">
        <f t="shared" ca="1" si="88"/>
        <v>0.69972552935869803</v>
      </c>
      <c r="F497" s="3">
        <f t="shared" ca="1" si="88"/>
        <v>0.790529405951516</v>
      </c>
      <c r="G497" s="36">
        <f t="shared" ca="1" si="80"/>
        <v>58534.084462231869</v>
      </c>
      <c r="H497" s="37">
        <f t="shared" ca="1" si="81"/>
        <v>0.13626673795753208</v>
      </c>
      <c r="I497" s="37">
        <f t="shared" ca="1" si="82"/>
        <v>0.11149088786049037</v>
      </c>
      <c r="J497" s="38">
        <f t="shared" ca="1" si="83"/>
        <v>3.4500981433876483E-2</v>
      </c>
      <c r="K497" s="36">
        <f t="shared" ca="1" si="84"/>
        <v>2029.1150051534537</v>
      </c>
      <c r="L497" s="36">
        <f ca="1">Assumptions!$C$10*Assumptions!$C$13*I497*Assumptions!$C$15</f>
        <v>7732.3218842321621</v>
      </c>
      <c r="M497" s="36">
        <f ca="1">G497*(1+H497*Assumptions!$C$6)*(1+J497)+L497+K497</f>
        <v>71965.292144697945</v>
      </c>
    </row>
    <row r="498" spans="1:13" x14ac:dyDescent="0.25">
      <c r="A498" s="3">
        <v>485</v>
      </c>
      <c r="B498" s="3">
        <f t="shared" ca="1" si="88"/>
        <v>0.81907693275704041</v>
      </c>
      <c r="C498" s="3">
        <f t="shared" ca="1" si="88"/>
        <v>0.80815244912961948</v>
      </c>
      <c r="D498" s="3">
        <f t="shared" ca="1" si="88"/>
        <v>0.79275293414557479</v>
      </c>
      <c r="E498" s="3">
        <f t="shared" ca="1" si="88"/>
        <v>0.60177993333654722</v>
      </c>
      <c r="F498" s="3">
        <f t="shared" ca="1" si="88"/>
        <v>0.47169473377816518</v>
      </c>
      <c r="G498" s="36">
        <f t="shared" ca="1" si="80"/>
        <v>58213.609321458054</v>
      </c>
      <c r="H498" s="37">
        <f t="shared" ca="1" si="81"/>
        <v>0.17386283828402765</v>
      </c>
      <c r="I498" s="37">
        <f t="shared" ca="1" si="82"/>
        <v>9.4247512533074396E-2</v>
      </c>
      <c r="J498" s="38">
        <f t="shared" ca="1" si="83"/>
        <v>3.2151301074566749E-2</v>
      </c>
      <c r="K498" s="36">
        <f t="shared" ca="1" si="84"/>
        <v>1456.9235745232977</v>
      </c>
      <c r="L498" s="36">
        <f ca="1">Assumptions!$C$10*Assumptions!$C$13*I498*Assumptions!$C$15</f>
        <v>6536.4274846015278</v>
      </c>
      <c r="M498" s="36">
        <f ca="1">G498*(1+H498*Assumptions!$C$6)*(1+J498)+L498+K498</f>
        <v>70167.922171772356</v>
      </c>
    </row>
    <row r="499" spans="1:13" x14ac:dyDescent="0.25">
      <c r="A499" s="3">
        <v>486</v>
      </c>
      <c r="B499" s="3">
        <f t="shared" ca="1" si="88"/>
        <v>0.97541469182273077</v>
      </c>
      <c r="C499" s="3">
        <f t="shared" ca="1" si="88"/>
        <v>0.47819030869844437</v>
      </c>
      <c r="D499" s="3">
        <f t="shared" ca="1" si="88"/>
        <v>0.35947183943339556</v>
      </c>
      <c r="E499" s="3">
        <f t="shared" ca="1" si="88"/>
        <v>0.62106805196719495</v>
      </c>
      <c r="F499" s="3">
        <f t="shared" ca="1" si="88"/>
        <v>0.98675112956362832</v>
      </c>
      <c r="G499" s="36">
        <f t="shared" ca="1" si="80"/>
        <v>58551.893184940374</v>
      </c>
      <c r="H499" s="37">
        <f t="shared" ca="1" si="81"/>
        <v>0.13092543393771638</v>
      </c>
      <c r="I499" s="37">
        <f t="shared" ca="1" si="82"/>
        <v>7.3916218630426148E-2</v>
      </c>
      <c r="J499" s="38">
        <f t="shared" ca="1" si="83"/>
        <v>3.2588924259936036E-2</v>
      </c>
      <c r="K499" s="36">
        <f t="shared" ca="1" si="84"/>
        <v>2755.828099561656</v>
      </c>
      <c r="L499" s="36">
        <f ca="1">Assumptions!$C$10*Assumptions!$C$13*I499*Assumptions!$C$15</f>
        <v>5126.3740551686315</v>
      </c>
      <c r="M499" s="36">
        <f ca="1">G499*(1+H499*Assumptions!$C$6)*(1+J499)+L499+K499</f>
        <v>69925.389852189779</v>
      </c>
    </row>
    <row r="500" spans="1:13" x14ac:dyDescent="0.25">
      <c r="A500" s="3">
        <v>487</v>
      </c>
      <c r="B500" s="3">
        <f t="shared" ca="1" si="88"/>
        <v>6.8499705176972014E-2</v>
      </c>
      <c r="C500" s="3">
        <f t="shared" ca="1" si="88"/>
        <v>0.72828616634939092</v>
      </c>
      <c r="D500" s="3">
        <f t="shared" ca="1" si="88"/>
        <v>0.23124398567846627</v>
      </c>
      <c r="E500" s="3">
        <f t="shared" ca="1" si="88"/>
        <v>0.43190547314079542</v>
      </c>
      <c r="F500" s="3">
        <f t="shared" ca="1" si="88"/>
        <v>0.70524727765585304</v>
      </c>
      <c r="G500" s="36">
        <f t="shared" ca="1" si="80"/>
        <v>57378.685245077169</v>
      </c>
      <c r="H500" s="37">
        <f t="shared" ca="1" si="81"/>
        <v>0.16129119866727809</v>
      </c>
      <c r="I500" s="37">
        <f t="shared" ca="1" si="82"/>
        <v>6.7202587269800135E-2</v>
      </c>
      <c r="J500" s="38">
        <f t="shared" ca="1" si="83"/>
        <v>2.8588286056348396E-2</v>
      </c>
      <c r="K500" s="36">
        <f t="shared" ca="1" si="84"/>
        <v>1848.3111311866121</v>
      </c>
      <c r="L500" s="36">
        <f ca="1">Assumptions!$C$10*Assumptions!$C$13*I500*Assumptions!$C$15</f>
        <v>4660.7578986501385</v>
      </c>
      <c r="M500" s="36">
        <f ca="1">G500*(1+H500*Assumptions!$C$6)*(1+J500)+L500+K500</f>
        <v>67431.962996699629</v>
      </c>
    </row>
    <row r="501" spans="1:13" x14ac:dyDescent="0.25">
      <c r="A501" s="3">
        <v>488</v>
      </c>
      <c r="B501" s="3">
        <f t="shared" ca="1" si="88"/>
        <v>0.65770452773926702</v>
      </c>
      <c r="C501" s="3">
        <f t="shared" ca="1" si="88"/>
        <v>7.9976210754407306E-2</v>
      </c>
      <c r="D501" s="3">
        <f t="shared" ca="1" si="88"/>
        <v>0.52495341092064507</v>
      </c>
      <c r="E501" s="3">
        <f t="shared" ca="1" si="88"/>
        <v>0.96773026650159699</v>
      </c>
      <c r="F501" s="3">
        <f t="shared" ca="1" si="88"/>
        <v>0.65508079584244017</v>
      </c>
      <c r="G501" s="36">
        <f t="shared" ca="1" si="80"/>
        <v>58012.430718979085</v>
      </c>
      <c r="H501" s="37">
        <f t="shared" ca="1" si="81"/>
        <v>8.2614162614324735E-2</v>
      </c>
      <c r="I501" s="37">
        <f t="shared" ca="1" si="82"/>
        <v>8.1010910692170104E-2</v>
      </c>
      <c r="J501" s="38">
        <f t="shared" ca="1" si="83"/>
        <v>4.4919076186487106E-2</v>
      </c>
      <c r="K501" s="36">
        <f t="shared" ca="1" si="84"/>
        <v>1754.1523292516781</v>
      </c>
      <c r="L501" s="36">
        <f ca="1">Assumptions!$C$10*Assumptions!$C$13*I501*Assumptions!$C$15</f>
        <v>5618.4182369277351</v>
      </c>
      <c r="M501" s="36">
        <f ca="1">G501*(1+H501*Assumptions!$C$6)*(1+J501)+L501+K501</f>
        <v>68992.452024990416</v>
      </c>
    </row>
    <row r="502" spans="1:13" x14ac:dyDescent="0.25">
      <c r="A502" s="3">
        <v>489</v>
      </c>
      <c r="B502" s="3">
        <f t="shared" ca="1" si="88"/>
        <v>0.72906335431621794</v>
      </c>
      <c r="C502" s="3">
        <f t="shared" ca="1" si="88"/>
        <v>0.77079442111747332</v>
      </c>
      <c r="D502" s="3">
        <f t="shared" ca="1" si="88"/>
        <v>0.26199505145513113</v>
      </c>
      <c r="E502" s="3">
        <f t="shared" ca="1" si="88"/>
        <v>0.85499570973089167</v>
      </c>
      <c r="F502" s="3">
        <f t="shared" ca="1" si="88"/>
        <v>0.41228610441686253</v>
      </c>
      <c r="G502" s="36">
        <f t="shared" ca="1" si="80"/>
        <v>58093.73428232767</v>
      </c>
      <c r="H502" s="37">
        <f t="shared" ca="1" si="81"/>
        <v>0.16770970190598458</v>
      </c>
      <c r="I502" s="37">
        <f t="shared" ca="1" si="82"/>
        <v>6.8954864265895283E-2</v>
      </c>
      <c r="J502" s="38">
        <f t="shared" ca="1" si="83"/>
        <v>3.9229511050315004E-2</v>
      </c>
      <c r="K502" s="36">
        <f t="shared" ca="1" si="84"/>
        <v>1362.0893766107572</v>
      </c>
      <c r="L502" s="36">
        <f ca="1">Assumptions!$C$10*Assumptions!$C$13*I502*Assumptions!$C$15</f>
        <v>4782.285047856245</v>
      </c>
      <c r="M502" s="36">
        <f ca="1">G502*(1+H502*Assumptions!$C$6)*(1+J502)+L502+K502</f>
        <v>68542.115775752798</v>
      </c>
    </row>
    <row r="503" spans="1:13" x14ac:dyDescent="0.25">
      <c r="A503" s="3">
        <v>490</v>
      </c>
      <c r="B503" s="3">
        <f t="shared" ca="1" si="88"/>
        <v>0.3931070066799679</v>
      </c>
      <c r="C503" s="3">
        <f t="shared" ca="1" si="88"/>
        <v>0.27791290412499692</v>
      </c>
      <c r="D503" s="3">
        <f t="shared" ca="1" si="88"/>
        <v>0.24053052617567194</v>
      </c>
      <c r="E503" s="3">
        <f t="shared" ca="1" si="88"/>
        <v>0.65872553510471032</v>
      </c>
      <c r="F503" s="3">
        <f t="shared" ca="1" si="88"/>
        <v>6.5768447808961628E-2</v>
      </c>
      <c r="G503" s="36">
        <f t="shared" ca="1" si="80"/>
        <v>57767.613356756861</v>
      </c>
      <c r="H503" s="37">
        <f t="shared" ca="1" si="81"/>
        <v>0.11079672380040276</v>
      </c>
      <c r="I503" s="37">
        <f t="shared" ca="1" si="82"/>
        <v>6.774342595574942E-2</v>
      </c>
      <c r="J503" s="38">
        <f t="shared" ca="1" si="83"/>
        <v>3.3476696095628103E-2</v>
      </c>
      <c r="K503" s="36">
        <f t="shared" ca="1" si="84"/>
        <v>544.02023412767221</v>
      </c>
      <c r="L503" s="36">
        <f ca="1">Assumptions!$C$10*Assumptions!$C$13*I503*Assumptions!$C$15</f>
        <v>4698.267141669513</v>
      </c>
      <c r="M503" s="36">
        <f ca="1">G503*(1+H503*Assumptions!$C$6)*(1+J503)+L503+K503</f>
        <v>66266.715295676433</v>
      </c>
    </row>
    <row r="504" spans="1:13" x14ac:dyDescent="0.25">
      <c r="A504" s="3">
        <v>491</v>
      </c>
      <c r="B504" s="3">
        <f t="shared" ref="B504:F513" ca="1" si="89">RAND()</f>
        <v>0.96251708581658768</v>
      </c>
      <c r="C504" s="3">
        <f t="shared" ca="1" si="89"/>
        <v>0.58734592920828088</v>
      </c>
      <c r="D504" s="3">
        <f t="shared" ca="1" si="89"/>
        <v>0.65251065192561553</v>
      </c>
      <c r="E504" s="3">
        <f t="shared" ca="1" si="89"/>
        <v>0.19772357264416107</v>
      </c>
      <c r="F504" s="3">
        <f t="shared" ca="1" si="89"/>
        <v>6.3838632023868858E-2</v>
      </c>
      <c r="G504" s="36">
        <f t="shared" ca="1" si="80"/>
        <v>58505.52790239625</v>
      </c>
      <c r="H504" s="37">
        <f t="shared" ca="1" si="81"/>
        <v>0.14300251130028574</v>
      </c>
      <c r="I504" s="37">
        <f t="shared" ca="1" si="82"/>
        <v>8.6653847090885722E-2</v>
      </c>
      <c r="J504" s="38">
        <f t="shared" ca="1" si="83"/>
        <v>2.2576917671485681E-2</v>
      </c>
      <c r="K504" s="36">
        <f t="shared" ca="1" si="84"/>
        <v>535.97933179126392</v>
      </c>
      <c r="L504" s="36">
        <f ca="1">Assumptions!$C$10*Assumptions!$C$13*I504*Assumptions!$C$15</f>
        <v>6009.7775797801969</v>
      </c>
      <c r="M504" s="36">
        <f ca="1">G504*(1+H504*Assumptions!$C$6)*(1+J504)+L504+K504</f>
        <v>68083.224457489618</v>
      </c>
    </row>
    <row r="505" spans="1:13" x14ac:dyDescent="0.25">
      <c r="A505" s="3">
        <v>492</v>
      </c>
      <c r="B505" s="3">
        <f t="shared" ca="1" si="89"/>
        <v>0.24733472165102621</v>
      </c>
      <c r="C505" s="3">
        <f t="shared" ca="1" si="89"/>
        <v>0.90985464659484716</v>
      </c>
      <c r="D505" s="3">
        <f t="shared" ca="1" si="89"/>
        <v>0.37352655254416978</v>
      </c>
      <c r="E505" s="3">
        <f t="shared" ca="1" si="89"/>
        <v>0.97458854346730306</v>
      </c>
      <c r="F505" s="3">
        <f t="shared" ca="1" si="89"/>
        <v>0.6969141160012402</v>
      </c>
      <c r="G505" s="36">
        <f t="shared" ca="1" si="80"/>
        <v>57629.556336113834</v>
      </c>
      <c r="H505" s="37">
        <f t="shared" ca="1" si="81"/>
        <v>0.19466442834111952</v>
      </c>
      <c r="I505" s="37">
        <f t="shared" ca="1" si="82"/>
        <v>7.4572893545975336E-2</v>
      </c>
      <c r="J505" s="38">
        <f t="shared" ca="1" si="83"/>
        <v>4.5491212443887208E-2</v>
      </c>
      <c r="K505" s="36">
        <f t="shared" ca="1" si="84"/>
        <v>1832.1444960979038</v>
      </c>
      <c r="L505" s="36">
        <f ca="1">Assumptions!$C$10*Assumptions!$C$13*I505*Assumptions!$C$15</f>
        <v>5171.9169862347198</v>
      </c>
      <c r="M505" s="36">
        <f ca="1">G505*(1+H505*Assumptions!$C$6)*(1+J505)+L505+K505</f>
        <v>69601.009084438221</v>
      </c>
    </row>
    <row r="506" spans="1:13" x14ac:dyDescent="0.25">
      <c r="A506" s="3">
        <v>493</v>
      </c>
      <c r="B506" s="3">
        <f t="shared" ca="1" si="89"/>
        <v>0.9098093871569819</v>
      </c>
      <c r="C506" s="3">
        <f t="shared" ca="1" si="89"/>
        <v>0.83509952986454195</v>
      </c>
      <c r="D506" s="3">
        <f t="shared" ca="1" si="89"/>
        <v>0.36918403608926975</v>
      </c>
      <c r="E506" s="3">
        <f t="shared" ca="1" si="89"/>
        <v>0.68102611763893706</v>
      </c>
      <c r="F506" s="3">
        <f t="shared" ca="1" si="89"/>
        <v>0.15155249908329771</v>
      </c>
      <c r="G506" s="36">
        <f t="shared" ca="1" si="80"/>
        <v>58371.10735499311</v>
      </c>
      <c r="H506" s="37">
        <f t="shared" ca="1" si="81"/>
        <v>0.17868335691601794</v>
      </c>
      <c r="I506" s="37">
        <f t="shared" ca="1" si="82"/>
        <v>7.4371338575703785E-2</v>
      </c>
      <c r="J506" s="38">
        <f t="shared" ca="1" si="83"/>
        <v>3.4025673538804514E-2</v>
      </c>
      <c r="K506" s="36">
        <f t="shared" ca="1" si="84"/>
        <v>825.82458541438427</v>
      </c>
      <c r="L506" s="36">
        <f ca="1">Assumptions!$C$10*Assumptions!$C$13*I506*Assumptions!$C$15</f>
        <v>5157.9383738349634</v>
      </c>
      <c r="M506" s="36">
        <f ca="1">G506*(1+H506*Assumptions!$C$6)*(1+J506)+L506+K506</f>
        <v>68497.952822524545</v>
      </c>
    </row>
    <row r="507" spans="1:13" x14ac:dyDescent="0.25">
      <c r="A507" s="3">
        <v>494</v>
      </c>
      <c r="B507" s="3">
        <f t="shared" ca="1" si="89"/>
        <v>0.88782029895628112</v>
      </c>
      <c r="C507" s="3">
        <f t="shared" ca="1" si="89"/>
        <v>0.54665985464692746</v>
      </c>
      <c r="D507" s="3">
        <f t="shared" ca="1" si="89"/>
        <v>0.81297954853020271</v>
      </c>
      <c r="E507" s="3">
        <f t="shared" ca="1" si="89"/>
        <v>0.55413077858586746</v>
      </c>
      <c r="F507" s="3">
        <f t="shared" ca="1" si="89"/>
        <v>8.1684833565035531E-3</v>
      </c>
      <c r="G507" s="36">
        <f t="shared" ca="1" si="80"/>
        <v>58327.504684541505</v>
      </c>
      <c r="H507" s="37">
        <f t="shared" ca="1" si="81"/>
        <v>0.13833311594206277</v>
      </c>
      <c r="I507" s="37">
        <f t="shared" ca="1" si="82"/>
        <v>9.5536446605136216E-2</v>
      </c>
      <c r="J507" s="38">
        <f t="shared" ca="1" si="83"/>
        <v>3.1113619268602413E-2</v>
      </c>
      <c r="K507" s="36">
        <f t="shared" ca="1" si="84"/>
        <v>191.72421626979204</v>
      </c>
      <c r="L507" s="36">
        <f ca="1">Assumptions!$C$10*Assumptions!$C$13*I507*Assumptions!$C$15</f>
        <v>6625.8200199377543</v>
      </c>
      <c r="M507" s="36">
        <f ca="1">G507*(1+H507*Assumptions!$C$6)*(1+J507)+L507+K507</f>
        <v>68623.762616186403</v>
      </c>
    </row>
    <row r="508" spans="1:13" x14ac:dyDescent="0.25">
      <c r="A508" s="3">
        <v>495</v>
      </c>
      <c r="B508" s="3">
        <f t="shared" ca="1" si="89"/>
        <v>0.30241971786085253</v>
      </c>
      <c r="C508" s="3">
        <f t="shared" ca="1" si="89"/>
        <v>0.46363624622647581</v>
      </c>
      <c r="D508" s="3">
        <f t="shared" ca="1" si="89"/>
        <v>0.65140813995866331</v>
      </c>
      <c r="E508" s="3">
        <f t="shared" ca="1" si="89"/>
        <v>1.5173454891880378E-2</v>
      </c>
      <c r="F508" s="3">
        <f t="shared" ca="1" si="89"/>
        <v>0.83812918357794253</v>
      </c>
      <c r="G508" s="36">
        <f t="shared" ca="1" si="80"/>
        <v>57685.564414884175</v>
      </c>
      <c r="H508" s="37">
        <f t="shared" ca="1" si="81"/>
        <v>0.12941476777599845</v>
      </c>
      <c r="I508" s="37">
        <f t="shared" ca="1" si="82"/>
        <v>8.6600988755170055E-2</v>
      </c>
      <c r="J508" s="38">
        <f t="shared" ca="1" si="83"/>
        <v>1.3484072891531447E-2</v>
      </c>
      <c r="K508" s="36">
        <f t="shared" ca="1" si="84"/>
        <v>2146.5255282673897</v>
      </c>
      <c r="L508" s="36">
        <f ca="1">Assumptions!$C$10*Assumptions!$C$13*I508*Assumptions!$C$15</f>
        <v>6006.1116508970235</v>
      </c>
      <c r="M508" s="36">
        <f ca="1">G508*(1+H508*Assumptions!$C$6)*(1+J508)+L508+K508</f>
        <v>68129.24343622326</v>
      </c>
    </row>
    <row r="509" spans="1:13" x14ac:dyDescent="0.25">
      <c r="A509" s="3">
        <v>496</v>
      </c>
      <c r="B509" s="3">
        <f t="shared" ca="1" si="89"/>
        <v>0.81761415195929066</v>
      </c>
      <c r="C509" s="3">
        <f t="shared" ca="1" si="89"/>
        <v>0.73370952998981276</v>
      </c>
      <c r="D509" s="3">
        <f t="shared" ca="1" si="89"/>
        <v>0.41759444339763707</v>
      </c>
      <c r="E509" s="3">
        <f t="shared" ca="1" si="89"/>
        <v>0.98973962872456445</v>
      </c>
      <c r="F509" s="3">
        <f t="shared" ca="1" si="89"/>
        <v>4.57299882338843E-2</v>
      </c>
      <c r="G509" s="36">
        <f t="shared" ca="1" si="80"/>
        <v>58211.447710268767</v>
      </c>
      <c r="H509" s="37">
        <f t="shared" ca="1" si="81"/>
        <v>0.16208066532475862</v>
      </c>
      <c r="I509" s="37">
        <f t="shared" ca="1" si="82"/>
        <v>7.6555467701459365E-2</v>
      </c>
      <c r="J509" s="38">
        <f t="shared" ca="1" si="83"/>
        <v>4.7134987431031339E-2</v>
      </c>
      <c r="K509" s="36">
        <f t="shared" ca="1" si="84"/>
        <v>453.63525772638019</v>
      </c>
      <c r="L509" s="36">
        <f ca="1">Assumptions!$C$10*Assumptions!$C$13*I509*Assumptions!$C$15</f>
        <v>5309.4161292027511</v>
      </c>
      <c r="M509" s="36">
        <f ca="1">G509*(1+H509*Assumptions!$C$6)*(1+J509)+L509+K509</f>
        <v>68694.228239819626</v>
      </c>
    </row>
    <row r="510" spans="1:13" x14ac:dyDescent="0.25">
      <c r="A510" s="3">
        <v>497</v>
      </c>
      <c r="B510" s="3">
        <f t="shared" ca="1" si="89"/>
        <v>0.36153981737496543</v>
      </c>
      <c r="C510" s="3">
        <f t="shared" ca="1" si="89"/>
        <v>0.69024130218038737</v>
      </c>
      <c r="D510" s="3">
        <f t="shared" ca="1" si="89"/>
        <v>0.84165702430536504</v>
      </c>
      <c r="E510" s="3">
        <f t="shared" ca="1" si="89"/>
        <v>0.46392836852379138</v>
      </c>
      <c r="F510" s="3">
        <f t="shared" ca="1" si="89"/>
        <v>0.59777356210083532</v>
      </c>
      <c r="G510" s="36">
        <f t="shared" ca="1" si="80"/>
        <v>57740.247205713837</v>
      </c>
      <c r="H510" s="37">
        <f t="shared" ca="1" si="81"/>
        <v>0.15596132848332755</v>
      </c>
      <c r="I510" s="37">
        <f t="shared" ca="1" si="82"/>
        <v>9.7490057258561677E-2</v>
      </c>
      <c r="J510" s="38">
        <f t="shared" ca="1" si="83"/>
        <v>2.926506410108809E-2</v>
      </c>
      <c r="K510" s="36">
        <f t="shared" ca="1" si="84"/>
        <v>1654.6305449631163</v>
      </c>
      <c r="L510" s="36">
        <f ca="1">Assumptions!$C$10*Assumptions!$C$13*I510*Assumptions!$C$15</f>
        <v>6761.310432639938</v>
      </c>
      <c r="M510" s="36">
        <f ca="1">G510*(1+H510*Assumptions!$C$6)*(1+J510)+L510+K510</f>
        <v>69699.717169540527</v>
      </c>
    </row>
    <row r="511" spans="1:13" x14ac:dyDescent="0.25">
      <c r="A511" s="3">
        <v>498</v>
      </c>
      <c r="B511" s="3">
        <f t="shared" ca="1" si="89"/>
        <v>0.74358432881057046</v>
      </c>
      <c r="C511" s="3">
        <f t="shared" ca="1" si="89"/>
        <v>1.7989244163705953E-2</v>
      </c>
      <c r="D511" s="3">
        <f t="shared" ca="1" si="89"/>
        <v>0.49731285201858066</v>
      </c>
      <c r="E511" s="3">
        <f t="shared" ca="1" si="89"/>
        <v>0.84636818788624413</v>
      </c>
      <c r="F511" s="3">
        <f t="shared" ca="1" si="89"/>
        <v>0.61245756506261129</v>
      </c>
      <c r="G511" s="36">
        <f t="shared" ca="1" si="80"/>
        <v>58111.546663601708</v>
      </c>
      <c r="H511" s="37">
        <f t="shared" ca="1" si="81"/>
        <v>6.5467932873441409E-2</v>
      </c>
      <c r="I511" s="37">
        <f t="shared" ca="1" si="82"/>
        <v>7.9892369276084091E-2</v>
      </c>
      <c r="J511" s="38">
        <f t="shared" ca="1" si="83"/>
        <v>3.8913726970212004E-2</v>
      </c>
      <c r="K511" s="36">
        <f t="shared" ca="1" si="84"/>
        <v>1679.4164330803412</v>
      </c>
      <c r="L511" s="36">
        <f ca="1">Assumptions!$C$10*Assumptions!$C$13*I511*Assumptions!$C$15</f>
        <v>5540.8430876398006</v>
      </c>
      <c r="M511" s="36">
        <f ca="1">G511*(1+H511*Assumptions!$C$6)*(1+J511)+L511+K511</f>
        <v>68383.640622194798</v>
      </c>
    </row>
    <row r="512" spans="1:13" x14ac:dyDescent="0.25">
      <c r="A512" s="3">
        <v>499</v>
      </c>
      <c r="B512" s="3">
        <f t="shared" ca="1" si="89"/>
        <v>0.87835632040922562</v>
      </c>
      <c r="C512" s="3">
        <f t="shared" ca="1" si="89"/>
        <v>0.78803873004552816</v>
      </c>
      <c r="D512" s="3">
        <f t="shared" ca="1" si="89"/>
        <v>0.27351370681884468</v>
      </c>
      <c r="E512" s="3">
        <f t="shared" ca="1" si="89"/>
        <v>0.82630065281092924</v>
      </c>
      <c r="F512" s="3">
        <f t="shared" ca="1" si="89"/>
        <v>0.49422260266267781</v>
      </c>
      <c r="G512" s="36">
        <f t="shared" ca="1" si="80"/>
        <v>58310.068388080545</v>
      </c>
      <c r="H512" s="37">
        <f t="shared" ca="1" si="81"/>
        <v>0.17048225438809195</v>
      </c>
      <c r="I512" s="37">
        <f t="shared" ca="1" si="82"/>
        <v>6.9584520645437256E-2</v>
      </c>
      <c r="J512" s="38">
        <f t="shared" ca="1" si="83"/>
        <v>3.8211892528855339E-2</v>
      </c>
      <c r="K512" s="36">
        <f t="shared" ca="1" si="84"/>
        <v>1491.3087245711567</v>
      </c>
      <c r="L512" s="36">
        <f ca="1">Assumptions!$C$10*Assumptions!$C$13*I512*Assumptions!$C$15</f>
        <v>4825.954139532786</v>
      </c>
      <c r="M512" s="36">
        <f ca="1">G512*(1+H512*Assumptions!$C$6)*(1+J512)+L512+K512</f>
        <v>68919.607301381009</v>
      </c>
    </row>
    <row r="513" spans="1:13" x14ac:dyDescent="0.25">
      <c r="A513" s="3">
        <v>500</v>
      </c>
      <c r="B513" s="3">
        <f t="shared" ca="1" si="89"/>
        <v>0.93340133659037405</v>
      </c>
      <c r="C513" s="3">
        <f t="shared" ca="1" si="89"/>
        <v>0.74679152455618525</v>
      </c>
      <c r="D513" s="3">
        <f t="shared" ca="1" si="89"/>
        <v>0.90828935676491374</v>
      </c>
      <c r="E513" s="3">
        <f t="shared" ca="1" si="89"/>
        <v>0.20744060112102525</v>
      </c>
      <c r="F513" s="3">
        <f t="shared" ca="1" si="89"/>
        <v>0.3133630568476542</v>
      </c>
      <c r="G513" s="36">
        <f t="shared" ca="1" si="80"/>
        <v>58424.328081934691</v>
      </c>
      <c r="H513" s="37">
        <f t="shared" ca="1" si="81"/>
        <v>0.16401873099165179</v>
      </c>
      <c r="I513" s="37">
        <f t="shared" ca="1" si="82"/>
        <v>0.10286891543561015</v>
      </c>
      <c r="J513" s="38">
        <f t="shared" ca="1" si="83"/>
        <v>2.2882254495887752E-2</v>
      </c>
      <c r="K513" s="36">
        <f t="shared" ca="1" si="84"/>
        <v>1187.4905287262059</v>
      </c>
      <c r="L513" s="36">
        <f ca="1">Assumptions!$C$10*Assumptions!$C$13*I513*Assumptions!$C$15</f>
        <v>7134.3549351343154</v>
      </c>
      <c r="M513" s="36">
        <f ca="1">G513*(1+H513*Assumptions!$C$6)*(1+J513)+L513+K513</f>
        <v>70043.445403424616</v>
      </c>
    </row>
    <row r="514" spans="1:13" x14ac:dyDescent="0.25">
      <c r="A514" s="3">
        <v>501</v>
      </c>
      <c r="B514" s="3">
        <f t="shared" ref="B514:F523" ca="1" si="90">RAND()</f>
        <v>0.66947906501584864</v>
      </c>
      <c r="C514" s="3">
        <f t="shared" ca="1" si="90"/>
        <v>0.18588580416315326</v>
      </c>
      <c r="D514" s="3">
        <f t="shared" ca="1" si="90"/>
        <v>0.93108383594414468</v>
      </c>
      <c r="E514" s="3">
        <f t="shared" ca="1" si="90"/>
        <v>0.39343442192851186</v>
      </c>
      <c r="F514" s="3">
        <f t="shared" ca="1" si="90"/>
        <v>0.18372218998260248</v>
      </c>
      <c r="G514" s="36">
        <f t="shared" ca="1" si="80"/>
        <v>58025.217100735383</v>
      </c>
      <c r="H514" s="37">
        <f t="shared" ca="1" si="81"/>
        <v>9.9722039332371892E-2</v>
      </c>
      <c r="I514" s="37">
        <f t="shared" ca="1" si="82"/>
        <v>0.10514968939790359</v>
      </c>
      <c r="J514" s="38">
        <f t="shared" ca="1" si="83"/>
        <v>2.7741125599657128E-2</v>
      </c>
      <c r="K514" s="36">
        <f t="shared" ca="1" si="84"/>
        <v>909.25785942256846</v>
      </c>
      <c r="L514" s="36">
        <f ca="1">Assumptions!$C$10*Assumptions!$C$13*I514*Assumptions!$C$15</f>
        <v>7292.5353816269126</v>
      </c>
      <c r="M514" s="36">
        <f ca="1">G514*(1+H514*Assumptions!$C$6)*(1+J514)+L514+K514</f>
        <v>69026.077984617994</v>
      </c>
    </row>
    <row r="515" spans="1:13" x14ac:dyDescent="0.25">
      <c r="A515" s="3">
        <v>502</v>
      </c>
      <c r="B515" s="3">
        <f t="shared" ca="1" si="90"/>
        <v>0.21133503002695997</v>
      </c>
      <c r="C515" s="3">
        <f t="shared" ca="1" si="90"/>
        <v>0.2370541382147684</v>
      </c>
      <c r="D515" s="3">
        <f t="shared" ca="1" si="90"/>
        <v>0.81504658473411717</v>
      </c>
      <c r="E515" s="3">
        <f t="shared" ca="1" si="90"/>
        <v>0.88983549751914959</v>
      </c>
      <c r="F515" s="3">
        <f t="shared" ca="1" si="90"/>
        <v>0.66585890366631839</v>
      </c>
      <c r="G515" s="36">
        <f t="shared" ca="1" si="80"/>
        <v>57589.503013201036</v>
      </c>
      <c r="H515" s="37">
        <f t="shared" ca="1" si="81"/>
        <v>0.10614997807885965</v>
      </c>
      <c r="I515" s="37">
        <f t="shared" ca="1" si="82"/>
        <v>9.5672013464924294E-2</v>
      </c>
      <c r="J515" s="38">
        <f t="shared" ca="1" si="83"/>
        <v>4.0612156691514273E-2</v>
      </c>
      <c r="K515" s="36">
        <f t="shared" ca="1" si="84"/>
        <v>1773.7720711460013</v>
      </c>
      <c r="L515" s="36">
        <f ca="1">Assumptions!$C$10*Assumptions!$C$13*I515*Assumptions!$C$15</f>
        <v>6635.2221030750561</v>
      </c>
      <c r="M515" s="36">
        <f ca="1">G515*(1+H515*Assumptions!$C$6)*(1+J515)+L515+K515</f>
        <v>69609.609437936379</v>
      </c>
    </row>
    <row r="516" spans="1:13" x14ac:dyDescent="0.25">
      <c r="A516" s="3">
        <v>503</v>
      </c>
      <c r="B516" s="3">
        <f t="shared" ca="1" si="90"/>
        <v>0.49750811220369562</v>
      </c>
      <c r="C516" s="3">
        <f t="shared" ca="1" si="90"/>
        <v>0.9939960688759415</v>
      </c>
      <c r="D516" s="3">
        <f t="shared" ca="1" si="90"/>
        <v>0.4898462448909322</v>
      </c>
      <c r="E516" s="3">
        <f t="shared" ca="1" si="90"/>
        <v>0.15448069131388675</v>
      </c>
      <c r="F516" s="3">
        <f t="shared" ca="1" si="90"/>
        <v>0.18958882317784953</v>
      </c>
      <c r="G516" s="36">
        <f t="shared" ca="1" si="80"/>
        <v>57856.47778724684</v>
      </c>
      <c r="H516" s="37">
        <f t="shared" ca="1" si="81"/>
        <v>0.22830001582785114</v>
      </c>
      <c r="I516" s="37">
        <f t="shared" ca="1" si="82"/>
        <v>7.9591766614423548E-2</v>
      </c>
      <c r="J516" s="38">
        <f t="shared" ca="1" si="83"/>
        <v>2.1116858956157961E-2</v>
      </c>
      <c r="K516" s="36">
        <f t="shared" ca="1" si="84"/>
        <v>923.66103322610888</v>
      </c>
      <c r="L516" s="36">
        <f ca="1">Assumptions!$C$10*Assumptions!$C$13*I516*Assumptions!$C$15</f>
        <v>5519.995136889559</v>
      </c>
      <c r="M516" s="36">
        <f ca="1">G516*(1+H516*Assumptions!$C$6)*(1+J516)+L516+K516</f>
        <v>68219.392973002396</v>
      </c>
    </row>
    <row r="517" spans="1:13" x14ac:dyDescent="0.25">
      <c r="A517" s="3">
        <v>504</v>
      </c>
      <c r="B517" s="3">
        <f t="shared" ca="1" si="90"/>
        <v>0.91644925570302793</v>
      </c>
      <c r="C517" s="3">
        <f t="shared" ca="1" si="90"/>
        <v>0.22113778621395264</v>
      </c>
      <c r="D517" s="3">
        <f t="shared" ca="1" si="90"/>
        <v>0.77034412200357461</v>
      </c>
      <c r="E517" s="3">
        <f t="shared" ca="1" si="90"/>
        <v>0.95360976409330001</v>
      </c>
      <c r="F517" s="3">
        <f t="shared" ca="1" si="90"/>
        <v>0.41663230590607647</v>
      </c>
      <c r="G517" s="36">
        <f t="shared" ca="1" si="80"/>
        <v>58385.298671451506</v>
      </c>
      <c r="H517" s="37">
        <f t="shared" ca="1" si="81"/>
        <v>0.10423220958660609</v>
      </c>
      <c r="I517" s="37">
        <f t="shared" ca="1" si="82"/>
        <v>9.2890982873063049E-2</v>
      </c>
      <c r="J517" s="38">
        <f t="shared" ca="1" si="83"/>
        <v>4.3908022593167305E-2</v>
      </c>
      <c r="K517" s="36">
        <f t="shared" ca="1" si="84"/>
        <v>1369.2499321078471</v>
      </c>
      <c r="L517" s="36">
        <f ca="1">Assumptions!$C$10*Assumptions!$C$13*I517*Assumptions!$C$15</f>
        <v>6442.3469352579723</v>
      </c>
      <c r="M517" s="36">
        <f ca="1">G517*(1+H517*Assumptions!$C$6)*(1+J517)+L517+K517</f>
        <v>70031.045873956507</v>
      </c>
    </row>
    <row r="518" spans="1:13" x14ac:dyDescent="0.25">
      <c r="A518" s="3">
        <v>505</v>
      </c>
      <c r="B518" s="3">
        <f t="shared" ca="1" si="90"/>
        <v>0.4469084659389726</v>
      </c>
      <c r="C518" s="3">
        <f t="shared" ca="1" si="90"/>
        <v>0.20820598068648921</v>
      </c>
      <c r="D518" s="3">
        <f t="shared" ca="1" si="90"/>
        <v>0.4032522366170217</v>
      </c>
      <c r="E518" s="3">
        <f t="shared" ca="1" si="90"/>
        <v>0.22065583721870174</v>
      </c>
      <c r="F518" s="3">
        <f t="shared" ca="1" si="90"/>
        <v>0.11139492409178831</v>
      </c>
      <c r="G518" s="36">
        <f t="shared" ca="1" si="80"/>
        <v>57812.598302004422</v>
      </c>
      <c r="H518" s="37">
        <f t="shared" ca="1" si="81"/>
        <v>0.10262261436996747</v>
      </c>
      <c r="I518" s="37">
        <f t="shared" ca="1" si="82"/>
        <v>7.5922237641528806E-2</v>
      </c>
      <c r="J518" s="38">
        <f t="shared" ca="1" si="83"/>
        <v>2.3286258682374109E-2</v>
      </c>
      <c r="K518" s="36">
        <f t="shared" ca="1" si="84"/>
        <v>708.00929260359806</v>
      </c>
      <c r="L518" s="36">
        <f ca="1">Assumptions!$C$10*Assumptions!$C$13*I518*Assumptions!$C$15</f>
        <v>5265.4991890463361</v>
      </c>
      <c r="M518" s="36">
        <f ca="1">G518*(1+H518*Assumptions!$C$6)*(1+J518)+L518+K518</f>
        <v>66346.552814664581</v>
      </c>
    </row>
    <row r="519" spans="1:13" x14ac:dyDescent="0.25">
      <c r="A519" s="3">
        <v>506</v>
      </c>
      <c r="B519" s="3">
        <f t="shared" ca="1" si="90"/>
        <v>0.20874028361742614</v>
      </c>
      <c r="C519" s="3">
        <f t="shared" ca="1" si="90"/>
        <v>0.82298605403409986</v>
      </c>
      <c r="D519" s="3">
        <f t="shared" ca="1" si="90"/>
        <v>0.64812947620180095</v>
      </c>
      <c r="E519" s="3">
        <f t="shared" ca="1" si="90"/>
        <v>0.52927890224261265</v>
      </c>
      <c r="F519" s="3">
        <f t="shared" ca="1" si="90"/>
        <v>0.31290542813067612</v>
      </c>
      <c r="G519" s="36">
        <f t="shared" ca="1" si="80"/>
        <v>57586.488702346076</v>
      </c>
      <c r="H519" s="37">
        <f t="shared" ca="1" si="81"/>
        <v>0.17647112492714417</v>
      </c>
      <c r="I519" s="37">
        <f t="shared" ca="1" si="82"/>
        <v>8.6444289962001444E-2</v>
      </c>
      <c r="J519" s="38">
        <f t="shared" ca="1" si="83"/>
        <v>3.0594411160546821E-2</v>
      </c>
      <c r="K519" s="36">
        <f t="shared" ca="1" si="84"/>
        <v>1186.6231190180151</v>
      </c>
      <c r="L519" s="36">
        <f ca="1">Assumptions!$C$10*Assumptions!$C$13*I519*Assumptions!$C$15</f>
        <v>5995.243986903115</v>
      </c>
      <c r="M519" s="36">
        <f ca="1">G519*(1+H519*Assumptions!$C$6)*(1+J519)+L519+K519</f>
        <v>68624.833247093629</v>
      </c>
    </row>
    <row r="520" spans="1:13" x14ac:dyDescent="0.25">
      <c r="A520" s="3">
        <v>507</v>
      </c>
      <c r="B520" s="3">
        <f t="shared" ca="1" si="90"/>
        <v>0.30750334776259081</v>
      </c>
      <c r="C520" s="3">
        <f t="shared" ca="1" si="90"/>
        <v>5.8769411976746122E-2</v>
      </c>
      <c r="D520" s="3">
        <f t="shared" ca="1" si="90"/>
        <v>4.847608416239968E-2</v>
      </c>
      <c r="E520" s="3">
        <f t="shared" ca="1" si="90"/>
        <v>0.79850283113098075</v>
      </c>
      <c r="F520" s="3">
        <f t="shared" ca="1" si="90"/>
        <v>0.75277646952755484</v>
      </c>
      <c r="G520" s="36">
        <f t="shared" ca="1" si="80"/>
        <v>57690.46552877807</v>
      </c>
      <c r="H520" s="37">
        <f t="shared" ca="1" si="81"/>
        <v>7.7957703398003272E-2</v>
      </c>
      <c r="I520" s="37">
        <f t="shared" ca="1" si="82"/>
        <v>5.2454857258101312E-2</v>
      </c>
      <c r="J520" s="38">
        <f t="shared" ca="1" si="83"/>
        <v>3.7303632996198662E-2</v>
      </c>
      <c r="K520" s="36">
        <f t="shared" ca="1" si="84"/>
        <v>1945.24605375187</v>
      </c>
      <c r="L520" s="36">
        <f ca="1">Assumptions!$C$10*Assumptions!$C$13*I520*Assumptions!$C$15</f>
        <v>3637.946100300318</v>
      </c>
      <c r="M520" s="36">
        <f ca="1">G520*(1+H520*Assumptions!$C$6)*(1+J520)+L520+K520</f>
        <v>66358.758869088226</v>
      </c>
    </row>
    <row r="521" spans="1:13" x14ac:dyDescent="0.25">
      <c r="A521" s="3">
        <v>508</v>
      </c>
      <c r="B521" s="3">
        <f t="shared" ca="1" si="90"/>
        <v>0.87093385660869682</v>
      </c>
      <c r="C521" s="3">
        <f t="shared" ca="1" si="90"/>
        <v>0.53604753721236642</v>
      </c>
      <c r="D521" s="3">
        <f t="shared" ca="1" si="90"/>
        <v>0.50068066734059102</v>
      </c>
      <c r="E521" s="3">
        <f t="shared" ca="1" si="90"/>
        <v>3.3076065795441645E-2</v>
      </c>
      <c r="F521" s="3">
        <f t="shared" ca="1" si="90"/>
        <v>0.11639087540071513</v>
      </c>
      <c r="G521" s="36">
        <f t="shared" ca="1" si="80"/>
        <v>58296.863172732687</v>
      </c>
      <c r="H521" s="37">
        <f t="shared" ca="1" si="81"/>
        <v>0.13715003086262958</v>
      </c>
      <c r="I521" s="37">
        <f t="shared" ca="1" si="82"/>
        <v>8.002723596609676E-2</v>
      </c>
      <c r="J521" s="38">
        <f t="shared" ca="1" si="83"/>
        <v>1.5144011337113607E-2</v>
      </c>
      <c r="K521" s="36">
        <f t="shared" ca="1" si="84"/>
        <v>723.71191734226545</v>
      </c>
      <c r="L521" s="36">
        <f ca="1">Assumptions!$C$10*Assumptions!$C$13*I521*Assumptions!$C$15</f>
        <v>5550.196611310218</v>
      </c>
      <c r="M521" s="36">
        <f ca="1">G521*(1+H521*Assumptions!$C$6)*(1+J521)+L521+K521</f>
        <v>67076.919910734738</v>
      </c>
    </row>
    <row r="522" spans="1:13" x14ac:dyDescent="0.25">
      <c r="A522" s="3">
        <v>509</v>
      </c>
      <c r="B522" s="3">
        <f t="shared" ca="1" si="90"/>
        <v>0.67812782312077124</v>
      </c>
      <c r="C522" s="3">
        <f t="shared" ca="1" si="90"/>
        <v>0.9865045340235653</v>
      </c>
      <c r="D522" s="3">
        <f t="shared" ca="1" si="90"/>
        <v>0.33239368455756635</v>
      </c>
      <c r="E522" s="3">
        <f t="shared" ca="1" si="90"/>
        <v>0.18435795962593293</v>
      </c>
      <c r="F522" s="3">
        <f t="shared" ca="1" si="90"/>
        <v>0.92067989886352419</v>
      </c>
      <c r="G522" s="36">
        <f t="shared" ca="1" si="80"/>
        <v>58034.754810117658</v>
      </c>
      <c r="H522" s="37">
        <f t="shared" ca="1" si="81"/>
        <v>0.22245871657310357</v>
      </c>
      <c r="I522" s="37">
        <f t="shared" ca="1" si="82"/>
        <v>7.261379754926145E-2</v>
      </c>
      <c r="J522" s="38">
        <f t="shared" ca="1" si="83"/>
        <v>2.2144396555644347E-2</v>
      </c>
      <c r="K522" s="36">
        <f t="shared" ca="1" si="84"/>
        <v>2402.5550610188911</v>
      </c>
      <c r="L522" s="36">
        <f ca="1">Assumptions!$C$10*Assumptions!$C$13*I522*Assumptions!$C$15</f>
        <v>5036.0461438780085</v>
      </c>
      <c r="M522" s="36">
        <f ca="1">G522*(1+H522*Assumptions!$C$6)*(1+J522)+L522+K522</f>
        <v>69397.74637863462</v>
      </c>
    </row>
    <row r="523" spans="1:13" x14ac:dyDescent="0.25">
      <c r="A523" s="3">
        <v>510</v>
      </c>
      <c r="B523" s="3">
        <f t="shared" ca="1" si="90"/>
        <v>0.40987837263914617</v>
      </c>
      <c r="C523" s="3">
        <f t="shared" ca="1" si="90"/>
        <v>9.5664430930565647E-2</v>
      </c>
      <c r="D523" s="3">
        <f t="shared" ca="1" si="90"/>
        <v>0.10694602647262541</v>
      </c>
      <c r="E523" s="3">
        <f t="shared" ca="1" si="90"/>
        <v>0.11522143911151184</v>
      </c>
      <c r="F523" s="3">
        <f t="shared" ca="1" si="90"/>
        <v>0.5894783827577007</v>
      </c>
      <c r="G523" s="36">
        <f t="shared" ca="1" si="80"/>
        <v>57781.706015293232</v>
      </c>
      <c r="H523" s="37">
        <f t="shared" ca="1" si="81"/>
        <v>8.5669832230843512E-2</v>
      </c>
      <c r="I523" s="37">
        <f t="shared" ca="1" si="82"/>
        <v>5.8499386063121155E-2</v>
      </c>
      <c r="J523" s="38">
        <f t="shared" ca="1" si="83"/>
        <v>1.9600893254755489E-2</v>
      </c>
      <c r="K523" s="36">
        <f t="shared" ca="1" si="84"/>
        <v>1640.8284591007848</v>
      </c>
      <c r="L523" s="36">
        <f ca="1">Assumptions!$C$10*Assumptions!$C$13*I523*Assumptions!$C$15</f>
        <v>4057.157421116156</v>
      </c>
      <c r="M523" s="36">
        <f ca="1">G523*(1+H523*Assumptions!$C$6)*(1+J523)+L523+K523</f>
        <v>65621.700227927402</v>
      </c>
    </row>
    <row r="524" spans="1:13" x14ac:dyDescent="0.25">
      <c r="A524" s="3">
        <v>511</v>
      </c>
      <c r="B524" s="3">
        <f t="shared" ref="B524:F533" ca="1" si="91">RAND()</f>
        <v>0.12946059738564486</v>
      </c>
      <c r="C524" s="3">
        <f t="shared" ca="1" si="91"/>
        <v>0.68093675426784872</v>
      </c>
      <c r="D524" s="3">
        <f t="shared" ca="1" si="91"/>
        <v>0.97063209947352691</v>
      </c>
      <c r="E524" s="3">
        <f t="shared" ca="1" si="91"/>
        <v>0.45149266787251718</v>
      </c>
      <c r="F524" s="3">
        <f t="shared" ca="1" si="91"/>
        <v>0.76221258663006364</v>
      </c>
      <c r="G524" s="36">
        <f t="shared" ca="1" si="80"/>
        <v>57483.123179232956</v>
      </c>
      <c r="H524" s="37">
        <f t="shared" ca="1" si="81"/>
        <v>0.15470848809703835</v>
      </c>
      <c r="I524" s="37">
        <f t="shared" ca="1" si="82"/>
        <v>0.11030581196361892</v>
      </c>
      <c r="J524" s="38">
        <f t="shared" ca="1" si="83"/>
        <v>2.900510811066366E-2</v>
      </c>
      <c r="K524" s="36">
        <f t="shared" ca="1" si="84"/>
        <v>1965.5709980067681</v>
      </c>
      <c r="L524" s="36">
        <f ca="1">Assumptions!$C$10*Assumptions!$C$13*I524*Assumptions!$C$15</f>
        <v>7650.1323127999085</v>
      </c>
      <c r="M524" s="36">
        <f ca="1">G524*(1+H524*Assumptions!$C$6)*(1+J524)+L524+K524</f>
        <v>70596.345330491618</v>
      </c>
    </row>
    <row r="525" spans="1:13" x14ac:dyDescent="0.25">
      <c r="A525" s="3">
        <v>512</v>
      </c>
      <c r="B525" s="3">
        <f t="shared" ca="1" si="91"/>
        <v>0.56536395008795004</v>
      </c>
      <c r="C525" s="3">
        <f t="shared" ca="1" si="91"/>
        <v>0.88138304321769956</v>
      </c>
      <c r="D525" s="3">
        <f t="shared" ca="1" si="91"/>
        <v>0.36909939178390949</v>
      </c>
      <c r="E525" s="3">
        <f t="shared" ca="1" si="91"/>
        <v>4.7994478372458071E-2</v>
      </c>
      <c r="F525" s="3">
        <f t="shared" ca="1" si="91"/>
        <v>0.15016259787187924</v>
      </c>
      <c r="G525" s="36">
        <f t="shared" ca="1" si="80"/>
        <v>57918.953099651459</v>
      </c>
      <c r="H525" s="37">
        <f t="shared" ca="1" si="81"/>
        <v>0.18799551351434712</v>
      </c>
      <c r="I525" s="37">
        <f t="shared" ca="1" si="82"/>
        <v>7.4367398122472256E-2</v>
      </c>
      <c r="J525" s="38">
        <f t="shared" ca="1" si="83"/>
        <v>1.6196416924155965E-2</v>
      </c>
      <c r="K525" s="36">
        <f t="shared" ca="1" si="84"/>
        <v>822.02900826154337</v>
      </c>
      <c r="L525" s="36">
        <f ca="1">Assumptions!$C$10*Assumptions!$C$13*I525*Assumptions!$C$15</f>
        <v>5157.665088247767</v>
      </c>
      <c r="M525" s="36">
        <f ca="1">G525*(1+H525*Assumptions!$C$6)*(1+J525)+L525+K525</f>
        <v>67049.698322332973</v>
      </c>
    </row>
    <row r="526" spans="1:13" x14ac:dyDescent="0.25">
      <c r="A526" s="3">
        <v>513</v>
      </c>
      <c r="B526" s="3">
        <f t="shared" ca="1" si="91"/>
        <v>0.78793818567264495</v>
      </c>
      <c r="C526" s="3">
        <f t="shared" ca="1" si="91"/>
        <v>0.39317442014280957</v>
      </c>
      <c r="D526" s="3">
        <f t="shared" ca="1" si="91"/>
        <v>0.79876358682611615</v>
      </c>
      <c r="E526" s="3">
        <f t="shared" ca="1" si="91"/>
        <v>0.46172331641555786</v>
      </c>
      <c r="F526" s="3">
        <f t="shared" ca="1" si="91"/>
        <v>0.42352870175263757</v>
      </c>
      <c r="G526" s="36">
        <f t="shared" ref="G526:G589" ca="1" si="92">IF(B526&lt;($F$5-$E$5)/($G$5-$E$5),$E$5+SQRT(B526*($G$5-$E$5)*($F$5-$E$5)),$G$5-SQRT((1-B526)*($G$5-$E$5)*($G$5-$F$5)))</f>
        <v>58169.331083482582</v>
      </c>
      <c r="H526" s="37">
        <f t="shared" ref="H526:H589" ca="1" si="93">IF(C526&lt;($F$6-$E$6)/($G$6-$E$6),$E$6+SQRT(C526*($G$6-$E$6)*($F$6-$E$6)),$G$6-SQRT((1-C526)*($G$6-$E$6)*($G$6-$F$6)))</f>
        <v>0.12237507398198312</v>
      </c>
      <c r="I526" s="37">
        <f t="shared" ref="I526:I589" ca="1" si="94">IF(D526&lt;($F$7-$E$7)/($G$7-$E$7),$E$7+SQRT(D526*($G$7-$E$7)*($F$7-$E$7)),$G$7-SQRT((1-D526)*($G$7-$E$7)*($G$7-$F$7)))</f>
        <v>9.4623701567083746E-2</v>
      </c>
      <c r="J526" s="38">
        <f t="shared" ref="J526:J589" ca="1" si="95">IF(E526&lt;($F$8-$E$8)/($G$8-$E$8),$E$8+SQRT(E526*($G$8-$E$8)*($F$8-$E$8)),$G$8-SQRT((1-E526)*($G$8-$E$8)*($G$8-$F$8)))</f>
        <v>2.9219226132507166E-2</v>
      </c>
      <c r="K526" s="36">
        <f t="shared" ref="K526:K589" ca="1" si="96">IF(F526&lt;($F$9-$E$9)/($G$9-$E$9),$E$9+SQRT(F526*($G$9-$E$9)*($F$9-$E$9)),$G$9-SQRT((1-F526)*($G$9-$E$9)*($G$9-$F$9)))</f>
        <v>1380.5358227466861</v>
      </c>
      <c r="L526" s="36">
        <f ca="1">Assumptions!$C$10*Assumptions!$C$13*I526*Assumptions!$C$15</f>
        <v>6562.5176409909764</v>
      </c>
      <c r="M526" s="36">
        <f ca="1">G526*(1+H526*Assumptions!$C$6)*(1+J526)+L526+K526</f>
        <v>69277.341898221028</v>
      </c>
    </row>
    <row r="527" spans="1:13" x14ac:dyDescent="0.25">
      <c r="A527" s="3">
        <v>514</v>
      </c>
      <c r="B527" s="3">
        <f t="shared" ca="1" si="91"/>
        <v>0.51824617756723623</v>
      </c>
      <c r="C527" s="3">
        <f t="shared" ca="1" si="91"/>
        <v>0.15041511983284916</v>
      </c>
      <c r="D527" s="3">
        <f t="shared" ca="1" si="91"/>
        <v>0.49843157730155185</v>
      </c>
      <c r="E527" s="3">
        <f t="shared" ca="1" si="91"/>
        <v>5.2516513568441336E-3</v>
      </c>
      <c r="F527" s="3">
        <f t="shared" ca="1" si="91"/>
        <v>0.96972895735173437</v>
      </c>
      <c r="G527" s="36">
        <f t="shared" ca="1" si="92"/>
        <v>57875.097631961478</v>
      </c>
      <c r="H527" s="37">
        <f t="shared" ca="1" si="93"/>
        <v>9.4727185176097253E-2</v>
      </c>
      <c r="I527" s="37">
        <f t="shared" ca="1" si="94"/>
        <v>7.9937213815750419E-2</v>
      </c>
      <c r="J527" s="38">
        <f t="shared" ca="1" si="95"/>
        <v>1.2049712439703509E-2</v>
      </c>
      <c r="K527" s="36">
        <f t="shared" ca="1" si="96"/>
        <v>2630.920480225202</v>
      </c>
      <c r="L527" s="36">
        <f ca="1">Assumptions!$C$10*Assumptions!$C$13*I527*Assumptions!$C$15</f>
        <v>5543.9532289446588</v>
      </c>
      <c r="M527" s="36">
        <f ca="1">G527*(1+H527*Assumptions!$C$6)*(1+J527)+L527+K527</f>
        <v>67857.030779476816</v>
      </c>
    </row>
    <row r="528" spans="1:13" x14ac:dyDescent="0.25">
      <c r="A528" s="3">
        <v>515</v>
      </c>
      <c r="B528" s="3">
        <f t="shared" ca="1" si="91"/>
        <v>0.92322607920580169</v>
      </c>
      <c r="C528" s="3">
        <f t="shared" ca="1" si="91"/>
        <v>0.32114563945467345</v>
      </c>
      <c r="D528" s="3">
        <f t="shared" ca="1" si="91"/>
        <v>0.53361827972824083</v>
      </c>
      <c r="E528" s="3">
        <f t="shared" ca="1" si="91"/>
        <v>1.665268986124735E-3</v>
      </c>
      <c r="F528" s="3">
        <f t="shared" ca="1" si="91"/>
        <v>2.0963369304886736E-2</v>
      </c>
      <c r="G528" s="36">
        <f t="shared" ca="1" si="92"/>
        <v>58400.377185335412</v>
      </c>
      <c r="H528" s="37">
        <f t="shared" ca="1" si="93"/>
        <v>0.11535470147393496</v>
      </c>
      <c r="I528" s="37">
        <f t="shared" ca="1" si="94"/>
        <v>8.1368128379929239E-2</v>
      </c>
      <c r="J528" s="38">
        <f t="shared" ca="1" si="95"/>
        <v>1.1154216266086987E-2</v>
      </c>
      <c r="K528" s="36">
        <f t="shared" ca="1" si="96"/>
        <v>307.14029672446156</v>
      </c>
      <c r="L528" s="36">
        <f ca="1">Assumptions!$C$10*Assumptions!$C$13*I528*Assumptions!$C$15</f>
        <v>5643.1926574880144</v>
      </c>
      <c r="M528" s="36">
        <f ca="1">G528*(1+H528*Assumptions!$C$6)*(1+J528)+L528+K528</f>
        <v>66364.50084323289</v>
      </c>
    </row>
    <row r="529" spans="1:13" x14ac:dyDescent="0.25">
      <c r="A529" s="3">
        <v>516</v>
      </c>
      <c r="B529" s="3">
        <f t="shared" ca="1" si="91"/>
        <v>0.28212333161606562</v>
      </c>
      <c r="C529" s="3">
        <f t="shared" ca="1" si="91"/>
        <v>0.86471918608355536</v>
      </c>
      <c r="D529" s="3">
        <f t="shared" ca="1" si="91"/>
        <v>0.31116033934685627</v>
      </c>
      <c r="E529" s="3">
        <f t="shared" ca="1" si="91"/>
        <v>0.98204166478545152</v>
      </c>
      <c r="F529" s="3">
        <f t="shared" ca="1" si="91"/>
        <v>0.20665141994247771</v>
      </c>
      <c r="G529" s="36">
        <f t="shared" ca="1" si="92"/>
        <v>57665.573596516842</v>
      </c>
      <c r="H529" s="37">
        <f t="shared" ca="1" si="93"/>
        <v>0.18446260217389604</v>
      </c>
      <c r="I529" s="37">
        <f t="shared" ca="1" si="94"/>
        <v>7.155492173829528E-2</v>
      </c>
      <c r="J529" s="38">
        <f t="shared" ca="1" si="95"/>
        <v>4.6209661206219318E-2</v>
      </c>
      <c r="K529" s="36">
        <f t="shared" ca="1" si="96"/>
        <v>964.3295026810855</v>
      </c>
      <c r="L529" s="36">
        <f ca="1">Assumptions!$C$10*Assumptions!$C$13*I529*Assumptions!$C$15</f>
        <v>4962.6090337882324</v>
      </c>
      <c r="M529" s="36">
        <f ca="1">G529*(1+H529*Assumptions!$C$6)*(1+J529)+L529+K529</f>
        <v>68482.954847836212</v>
      </c>
    </row>
    <row r="530" spans="1:13" x14ac:dyDescent="0.25">
      <c r="A530" s="3">
        <v>517</v>
      </c>
      <c r="B530" s="3">
        <f t="shared" ca="1" si="91"/>
        <v>0.31902399399225123</v>
      </c>
      <c r="C530" s="3">
        <f t="shared" ca="1" si="91"/>
        <v>0.23110515637668683</v>
      </c>
      <c r="D530" s="3">
        <f t="shared" ca="1" si="91"/>
        <v>0.61800392860359477</v>
      </c>
      <c r="E530" s="3">
        <f t="shared" ca="1" si="91"/>
        <v>0.60454026241879155</v>
      </c>
      <c r="F530" s="3">
        <f t="shared" ca="1" si="91"/>
        <v>0.48517245593400626</v>
      </c>
      <c r="G530" s="36">
        <f t="shared" ca="1" si="92"/>
        <v>57701.424752964864</v>
      </c>
      <c r="H530" s="37">
        <f t="shared" ca="1" si="93"/>
        <v>0.1054409467795233</v>
      </c>
      <c r="I530" s="37">
        <f t="shared" ca="1" si="94"/>
        <v>8.5037342371202723E-2</v>
      </c>
      <c r="J530" s="38">
        <f t="shared" ca="1" si="95"/>
        <v>3.2213269269903283E-2</v>
      </c>
      <c r="K530" s="36">
        <f t="shared" ca="1" si="96"/>
        <v>1477.5913006318858</v>
      </c>
      <c r="L530" s="36">
        <f ca="1">Assumptions!$C$10*Assumptions!$C$13*I530*Assumptions!$C$15</f>
        <v>5897.666760144336</v>
      </c>
      <c r="M530" s="36">
        <f ca="1">G530*(1+H530*Assumptions!$C$6)*(1+J530)+L530+K530</f>
        <v>68191.450622151198</v>
      </c>
    </row>
    <row r="531" spans="1:13" x14ac:dyDescent="0.25">
      <c r="A531" s="3">
        <v>518</v>
      </c>
      <c r="B531" s="3">
        <f t="shared" ca="1" si="91"/>
        <v>0.64544022981681481</v>
      </c>
      <c r="C531" s="3">
        <f t="shared" ca="1" si="91"/>
        <v>0.60670994083168139</v>
      </c>
      <c r="D531" s="3">
        <f t="shared" ca="1" si="91"/>
        <v>0.79742853929884105</v>
      </c>
      <c r="E531" s="3">
        <f t="shared" ca="1" si="91"/>
        <v>0.1152457889153039</v>
      </c>
      <c r="F531" s="3">
        <f t="shared" ca="1" si="91"/>
        <v>0.45743322645215068</v>
      </c>
      <c r="G531" s="36">
        <f t="shared" ca="1" si="92"/>
        <v>57999.344213252589</v>
      </c>
      <c r="H531" s="37">
        <f t="shared" ca="1" si="93"/>
        <v>0.14530568470579841</v>
      </c>
      <c r="I531" s="37">
        <f t="shared" ca="1" si="94"/>
        <v>9.4539664687131306E-2</v>
      </c>
      <c r="J531" s="38">
        <f t="shared" ca="1" si="95"/>
        <v>1.9601907681926708E-2</v>
      </c>
      <c r="K531" s="36">
        <f t="shared" ca="1" si="96"/>
        <v>1434.729772129469</v>
      </c>
      <c r="L531" s="36">
        <f ca="1">Assumptions!$C$10*Assumptions!$C$13*I531*Assumptions!$C$15</f>
        <v>6556.6893601475058</v>
      </c>
      <c r="M531" s="36">
        <f ca="1">G531*(1+H531*Assumptions!$C$6)*(1+J531)+L531+K531</f>
        <v>68846.227563477718</v>
      </c>
    </row>
    <row r="532" spans="1:13" x14ac:dyDescent="0.25">
      <c r="A532" s="3">
        <v>519</v>
      </c>
      <c r="B532" s="3">
        <f t="shared" ca="1" si="91"/>
        <v>0.59571879841575071</v>
      </c>
      <c r="C532" s="3">
        <f t="shared" ca="1" si="91"/>
        <v>0.94359213097202221</v>
      </c>
      <c r="D532" s="3">
        <f t="shared" ca="1" si="91"/>
        <v>0.64843126909195903</v>
      </c>
      <c r="E532" s="3">
        <f t="shared" ca="1" si="91"/>
        <v>0.84681009139405172</v>
      </c>
      <c r="F532" s="3">
        <f t="shared" ca="1" si="91"/>
        <v>0.8692541800107364</v>
      </c>
      <c r="G532" s="36">
        <f t="shared" ca="1" si="92"/>
        <v>57948.477092427107</v>
      </c>
      <c r="H532" s="37">
        <f t="shared" ca="1" si="93"/>
        <v>0.20413777176697057</v>
      </c>
      <c r="I532" s="37">
        <f t="shared" ca="1" si="94"/>
        <v>8.6458683107162732E-2</v>
      </c>
      <c r="J532" s="38">
        <f t="shared" ca="1" si="95"/>
        <v>3.8929682620414241E-2</v>
      </c>
      <c r="K532" s="36">
        <f t="shared" ca="1" si="96"/>
        <v>2232.9562007605523</v>
      </c>
      <c r="L532" s="36">
        <f ca="1">Assumptions!$C$10*Assumptions!$C$13*I532*Assumptions!$C$15</f>
        <v>5996.2422068783007</v>
      </c>
      <c r="M532" s="36">
        <f ca="1">G532*(1+H532*Assumptions!$C$6)*(1+J532)+L532+K532</f>
        <v>70891.589445618767</v>
      </c>
    </row>
    <row r="533" spans="1:13" x14ac:dyDescent="0.25">
      <c r="A533" s="3">
        <v>520</v>
      </c>
      <c r="B533" s="3">
        <f t="shared" ca="1" si="91"/>
        <v>0.37128548421795071</v>
      </c>
      <c r="C533" s="3">
        <f t="shared" ca="1" si="91"/>
        <v>9.0605218740121951E-2</v>
      </c>
      <c r="D533" s="3">
        <f t="shared" ca="1" si="91"/>
        <v>0.57040879358992735</v>
      </c>
      <c r="E533" s="3">
        <f t="shared" ca="1" si="91"/>
        <v>0.69084125728467005</v>
      </c>
      <c r="F533" s="3">
        <f t="shared" ca="1" si="91"/>
        <v>0.17480516275860225</v>
      </c>
      <c r="G533" s="36">
        <f t="shared" ca="1" si="92"/>
        <v>57748.819075429266</v>
      </c>
      <c r="H533" s="37">
        <f t="shared" ca="1" si="93"/>
        <v>8.4713821588001836E-2</v>
      </c>
      <c r="I533" s="37">
        <f t="shared" ca="1" si="94"/>
        <v>8.2923162749335907E-2</v>
      </c>
      <c r="J533" s="38">
        <f t="shared" ca="1" si="95"/>
        <v>3.4273366724811571E-2</v>
      </c>
      <c r="K533" s="36">
        <f t="shared" ca="1" si="96"/>
        <v>886.91782731756507</v>
      </c>
      <c r="L533" s="36">
        <f ca="1">Assumptions!$C$10*Assumptions!$C$13*I533*Assumptions!$C$15</f>
        <v>5751.0402719077883</v>
      </c>
      <c r="M533" s="36">
        <f ca="1">G533*(1+H533*Assumptions!$C$6)*(1+J533)+L533+K533</f>
        <v>67377.982166164555</v>
      </c>
    </row>
    <row r="534" spans="1:13" x14ac:dyDescent="0.25">
      <c r="A534" s="3">
        <v>521</v>
      </c>
      <c r="B534" s="3">
        <f t="shared" ref="B534:F543" ca="1" si="97">RAND()</f>
        <v>3.9245808701091622E-3</v>
      </c>
      <c r="C534" s="3">
        <f t="shared" ca="1" si="97"/>
        <v>0.8286062417508685</v>
      </c>
      <c r="D534" s="3">
        <f t="shared" ca="1" si="97"/>
        <v>0.33791839519203382</v>
      </c>
      <c r="E534" s="3">
        <f t="shared" ca="1" si="97"/>
        <v>0.61688368274615757</v>
      </c>
      <c r="F534" s="3">
        <f t="shared" ca="1" si="97"/>
        <v>0.43766767975413134</v>
      </c>
      <c r="G534" s="36">
        <f t="shared" ca="1" si="92"/>
        <v>57166.706209925454</v>
      </c>
      <c r="H534" s="37">
        <f t="shared" ca="1" si="93"/>
        <v>0.1774877796900462</v>
      </c>
      <c r="I534" s="37">
        <f t="shared" ca="1" si="94"/>
        <v>7.2883717317458324E-2</v>
      </c>
      <c r="J534" s="38">
        <f t="shared" ca="1" si="95"/>
        <v>3.2493056982926066E-2</v>
      </c>
      <c r="K534" s="36">
        <f t="shared" ca="1" si="96"/>
        <v>1403.3903800773294</v>
      </c>
      <c r="L534" s="36">
        <f ca="1">Assumptions!$C$10*Assumptions!$C$13*I534*Assumptions!$C$15</f>
        <v>5054.7661179554161</v>
      </c>
      <c r="M534" s="36">
        <f ca="1">G534*(1+H534*Assumptions!$C$6)*(1+J534)+L534+K534</f>
        <v>67577.599558950882</v>
      </c>
    </row>
    <row r="535" spans="1:13" x14ac:dyDescent="0.25">
      <c r="A535" s="3">
        <v>522</v>
      </c>
      <c r="B535" s="3">
        <f t="shared" ca="1" si="97"/>
        <v>0.41812356716085453</v>
      </c>
      <c r="C535" s="3">
        <f t="shared" ca="1" si="97"/>
        <v>0.41769270106225931</v>
      </c>
      <c r="D535" s="3">
        <f t="shared" ca="1" si="97"/>
        <v>0.15910091453357778</v>
      </c>
      <c r="E535" s="3">
        <f t="shared" ca="1" si="97"/>
        <v>0.98307675219450541</v>
      </c>
      <c r="F535" s="3">
        <f t="shared" ca="1" si="97"/>
        <v>0.25312375048629465</v>
      </c>
      <c r="G535" s="36">
        <f t="shared" ca="1" si="92"/>
        <v>57788.530118826493</v>
      </c>
      <c r="H535" s="37">
        <f t="shared" ca="1" si="93"/>
        <v>0.12477584274215546</v>
      </c>
      <c r="I535" s="37">
        <f t="shared" ca="1" si="94"/>
        <v>6.256375249171664E-2</v>
      </c>
      <c r="J535" s="38">
        <f t="shared" ca="1" si="95"/>
        <v>4.6320516579138361E-2</v>
      </c>
      <c r="K535" s="36">
        <f t="shared" ca="1" si="96"/>
        <v>1067.2660760973929</v>
      </c>
      <c r="L535" s="36">
        <f ca="1">Assumptions!$C$10*Assumptions!$C$13*I535*Assumptions!$C$15</f>
        <v>4339.0368651178242</v>
      </c>
      <c r="M535" s="36">
        <f ca="1">G535*(1+H535*Assumptions!$C$6)*(1+J535)+L535+K535</f>
        <v>67380.549996376561</v>
      </c>
    </row>
    <row r="536" spans="1:13" x14ac:dyDescent="0.25">
      <c r="A536" s="3">
        <v>523</v>
      </c>
      <c r="B536" s="3">
        <f t="shared" ca="1" si="97"/>
        <v>0.20160849648119339</v>
      </c>
      <c r="C536" s="3">
        <f t="shared" ca="1" si="97"/>
        <v>8.6469053173181099E-2</v>
      </c>
      <c r="D536" s="3">
        <f t="shared" ca="1" si="97"/>
        <v>0.49330263117515916</v>
      </c>
      <c r="E536" s="3">
        <f t="shared" ca="1" si="97"/>
        <v>0.67026720099442616</v>
      </c>
      <c r="F536" s="3">
        <f t="shared" ca="1" si="97"/>
        <v>0.83452034192914359</v>
      </c>
      <c r="G536" s="36">
        <f t="shared" ca="1" si="92"/>
        <v>57578.105830531742</v>
      </c>
      <c r="H536" s="37">
        <f t="shared" ca="1" si="93"/>
        <v>8.3912216194216932E-2</v>
      </c>
      <c r="I536" s="37">
        <f t="shared" ca="1" si="94"/>
        <v>7.9731202093071746E-2</v>
      </c>
      <c r="J536" s="38">
        <f t="shared" ca="1" si="95"/>
        <v>3.3758502556584906E-2</v>
      </c>
      <c r="K536" s="36">
        <f t="shared" ca="1" si="96"/>
        <v>2137.0640456448382</v>
      </c>
      <c r="L536" s="36">
        <f ca="1">Assumptions!$C$10*Assumptions!$C$13*I536*Assumptions!$C$15</f>
        <v>5529.665523624114</v>
      </c>
      <c r="M536" s="36">
        <f ca="1">G536*(1+H536*Assumptions!$C$6)*(1+J536)+L536+K536</f>
        <v>68187.508210251865</v>
      </c>
    </row>
    <row r="537" spans="1:13" x14ac:dyDescent="0.25">
      <c r="A537" s="3">
        <v>524</v>
      </c>
      <c r="B537" s="3">
        <f t="shared" ca="1" si="97"/>
        <v>0.41546058180400292</v>
      </c>
      <c r="C537" s="3">
        <f t="shared" ca="1" si="97"/>
        <v>0.79560203181256695</v>
      </c>
      <c r="D537" s="3">
        <f t="shared" ca="1" si="97"/>
        <v>0.93200584311551515</v>
      </c>
      <c r="E537" s="3">
        <f t="shared" ca="1" si="97"/>
        <v>0.24643403077806814</v>
      </c>
      <c r="F537" s="3">
        <f t="shared" ca="1" si="97"/>
        <v>0.34564315950910007</v>
      </c>
      <c r="G537" s="36">
        <f t="shared" ca="1" si="92"/>
        <v>57786.332456461139</v>
      </c>
      <c r="H537" s="37">
        <f t="shared" ca="1" si="93"/>
        <v>0.17173380284010631</v>
      </c>
      <c r="I537" s="37">
        <f t="shared" ca="1" si="94"/>
        <v>0.10524936265680863</v>
      </c>
      <c r="J537" s="38">
        <f t="shared" ca="1" si="95"/>
        <v>2.4040912528124889E-2</v>
      </c>
      <c r="K537" s="36">
        <f t="shared" ca="1" si="96"/>
        <v>1247.1544482504764</v>
      </c>
      <c r="L537" s="36">
        <f ca="1">Assumptions!$C$10*Assumptions!$C$13*I537*Assumptions!$C$15</f>
        <v>7299.4481054906655</v>
      </c>
      <c r="M537" s="36">
        <f ca="1">G537*(1+H537*Assumptions!$C$6)*(1+J537)+L537+K537</f>
        <v>69754.660260989505</v>
      </c>
    </row>
    <row r="538" spans="1:13" x14ac:dyDescent="0.25">
      <c r="A538" s="3">
        <v>525</v>
      </c>
      <c r="B538" s="3">
        <f t="shared" ca="1" si="97"/>
        <v>0.61981583731795487</v>
      </c>
      <c r="C538" s="3">
        <f t="shared" ca="1" si="97"/>
        <v>0.53657684518570092</v>
      </c>
      <c r="D538" s="3">
        <f t="shared" ca="1" si="97"/>
        <v>0.35784083591003424</v>
      </c>
      <c r="E538" s="3">
        <f t="shared" ca="1" si="97"/>
        <v>9.6002768243532488E-2</v>
      </c>
      <c r="F538" s="3">
        <f t="shared" ca="1" si="97"/>
        <v>7.9118568748581475E-2</v>
      </c>
      <c r="G538" s="36">
        <f t="shared" ca="1" si="92"/>
        <v>57972.713235689676</v>
      </c>
      <c r="H538" s="37">
        <f t="shared" ca="1" si="93"/>
        <v>0.13720871666446605</v>
      </c>
      <c r="I538" s="37">
        <f t="shared" ca="1" si="94"/>
        <v>7.383918844937197E-2</v>
      </c>
      <c r="J538" s="38">
        <f t="shared" ca="1" si="95"/>
        <v>1.8763687271624085E-2</v>
      </c>
      <c r="K538" s="36">
        <f t="shared" ca="1" si="96"/>
        <v>596.6854777591094</v>
      </c>
      <c r="L538" s="36">
        <f ca="1">Assumptions!$C$10*Assumptions!$C$13*I538*Assumptions!$C$15</f>
        <v>5121.0317158425969</v>
      </c>
      <c r="M538" s="36">
        <f ca="1">G538*(1+H538*Assumptions!$C$6)*(1+J538)+L538+K538</f>
        <v>66398.935238302496</v>
      </c>
    </row>
    <row r="539" spans="1:13" x14ac:dyDescent="0.25">
      <c r="A539" s="3">
        <v>526</v>
      </c>
      <c r="B539" s="3">
        <f t="shared" ca="1" si="97"/>
        <v>0.37102143916507391</v>
      </c>
      <c r="C539" s="3">
        <f t="shared" ca="1" si="97"/>
        <v>0.95095839153151474</v>
      </c>
      <c r="D539" s="3">
        <f t="shared" ca="1" si="97"/>
        <v>0.37523076018781165</v>
      </c>
      <c r="E539" s="3">
        <f t="shared" ca="1" si="97"/>
        <v>5.1915239648551159E-2</v>
      </c>
      <c r="F539" s="3">
        <f t="shared" ca="1" si="97"/>
        <v>0.81099421452208109</v>
      </c>
      <c r="G539" s="36">
        <f t="shared" ca="1" si="92"/>
        <v>57748.588325852565</v>
      </c>
      <c r="H539" s="37">
        <f t="shared" ca="1" si="93"/>
        <v>0.20656126986440029</v>
      </c>
      <c r="I539" s="37">
        <f t="shared" ca="1" si="94"/>
        <v>7.4651672868723054E-2</v>
      </c>
      <c r="J539" s="38">
        <f t="shared" ca="1" si="95"/>
        <v>1.6444547440964408E-2</v>
      </c>
      <c r="K539" s="36">
        <f t="shared" ca="1" si="96"/>
        <v>2077.7603160508461</v>
      </c>
      <c r="L539" s="36">
        <f ca="1">Assumptions!$C$10*Assumptions!$C$13*I539*Assumptions!$C$15</f>
        <v>5177.3806352646689</v>
      </c>
      <c r="M539" s="36">
        <f ca="1">G539*(1+H539*Assumptions!$C$6)*(1+J539)+L539+K539</f>
        <v>68378.335182247611</v>
      </c>
    </row>
    <row r="540" spans="1:13" x14ac:dyDescent="0.25">
      <c r="A540" s="3">
        <v>527</v>
      </c>
      <c r="B540" s="3">
        <f t="shared" ca="1" si="97"/>
        <v>0.65277413413730534</v>
      </c>
      <c r="C540" s="3">
        <f t="shared" ca="1" si="97"/>
        <v>0.61924430652498041</v>
      </c>
      <c r="D540" s="3">
        <f t="shared" ca="1" si="97"/>
        <v>0.72234326479053446</v>
      </c>
      <c r="E540" s="3">
        <f t="shared" ca="1" si="97"/>
        <v>5.632684018026568E-2</v>
      </c>
      <c r="F540" s="3">
        <f t="shared" ca="1" si="97"/>
        <v>0.46900486783486139</v>
      </c>
      <c r="G540" s="36">
        <f t="shared" ca="1" si="92"/>
        <v>58007.142054832773</v>
      </c>
      <c r="H540" s="37">
        <f t="shared" ca="1" si="93"/>
        <v>0.14682688257211501</v>
      </c>
      <c r="I540" s="37">
        <f t="shared" ca="1" si="94"/>
        <v>9.0192256833663345E-2</v>
      </c>
      <c r="J540" s="38">
        <f t="shared" ca="1" si="95"/>
        <v>1.6712784231912459E-2</v>
      </c>
      <c r="K540" s="36">
        <f t="shared" ca="1" si="96"/>
        <v>1452.7635407239804</v>
      </c>
      <c r="L540" s="36">
        <f ca="1">Assumptions!$C$10*Assumptions!$C$13*I540*Assumptions!$C$15</f>
        <v>6255.1799047100667</v>
      </c>
      <c r="M540" s="36">
        <f ca="1">G540*(1+H540*Assumptions!$C$6)*(1+J540)+L540+K540</f>
        <v>68416.416499153929</v>
      </c>
    </row>
    <row r="541" spans="1:13" x14ac:dyDescent="0.25">
      <c r="A541" s="3">
        <v>528</v>
      </c>
      <c r="B541" s="3">
        <f t="shared" ca="1" si="97"/>
        <v>0.31021633434988904</v>
      </c>
      <c r="C541" s="3">
        <f t="shared" ca="1" si="97"/>
        <v>0.65399662166679895</v>
      </c>
      <c r="D541" s="3">
        <f t="shared" ca="1" si="97"/>
        <v>8.838946926941349E-2</v>
      </c>
      <c r="E541" s="3">
        <f t="shared" ca="1" si="97"/>
        <v>0.72882593954783093</v>
      </c>
      <c r="F541" s="3">
        <f t="shared" ca="1" si="97"/>
        <v>0.66600372290915755</v>
      </c>
      <c r="G541" s="36">
        <f t="shared" ca="1" si="92"/>
        <v>57693.064536685917</v>
      </c>
      <c r="H541" s="37">
        <f t="shared" ca="1" si="93"/>
        <v>0.15118064948449023</v>
      </c>
      <c r="I541" s="37">
        <f t="shared" ca="1" si="94"/>
        <v>5.6818035011918698E-2</v>
      </c>
      <c r="J541" s="38">
        <f t="shared" ca="1" si="95"/>
        <v>3.5271142326652238E-2</v>
      </c>
      <c r="K541" s="36">
        <f t="shared" ca="1" si="96"/>
        <v>1774.0378281085541</v>
      </c>
      <c r="L541" s="36">
        <f ca="1">Assumptions!$C$10*Assumptions!$C$13*I541*Assumptions!$C$15</f>
        <v>3940.5492589804535</v>
      </c>
      <c r="M541" s="36">
        <f ca="1">G541*(1+H541*Assumptions!$C$6)*(1+J541)+L541+K541</f>
        <v>67248.494417302296</v>
      </c>
    </row>
    <row r="542" spans="1:13" x14ac:dyDescent="0.25">
      <c r="A542" s="3">
        <v>529</v>
      </c>
      <c r="B542" s="3">
        <f t="shared" ca="1" si="97"/>
        <v>0.99995625781663722</v>
      </c>
      <c r="C542" s="3">
        <f t="shared" ca="1" si="97"/>
        <v>0.56994406304148659</v>
      </c>
      <c r="D542" s="3">
        <f t="shared" ca="1" si="97"/>
        <v>0.58176600708291148</v>
      </c>
      <c r="E542" s="3">
        <f t="shared" ca="1" si="97"/>
        <v>9.5860886145505475E-2</v>
      </c>
      <c r="F542" s="3">
        <f t="shared" ca="1" si="97"/>
        <v>0.47609017277842414</v>
      </c>
      <c r="G542" s="36">
        <f t="shared" ca="1" si="92"/>
        <v>58741.071758934006</v>
      </c>
      <c r="H542" s="37">
        <f t="shared" ca="1" si="93"/>
        <v>0.14097840961358929</v>
      </c>
      <c r="I542" s="37">
        <f t="shared" ca="1" si="94"/>
        <v>8.3416550499786329E-2</v>
      </c>
      <c r="J542" s="38">
        <f t="shared" ca="1" si="95"/>
        <v>1.8757208968410218E-2</v>
      </c>
      <c r="K542" s="36">
        <f t="shared" ca="1" si="96"/>
        <v>1463.6959306846857</v>
      </c>
      <c r="L542" s="36">
        <f ca="1">Assumptions!$C$10*Assumptions!$C$13*I542*Assumptions!$C$15</f>
        <v>5785.2586100467188</v>
      </c>
      <c r="M542" s="36">
        <f ca="1">G542*(1+H542*Assumptions!$C$6)*(1+J542)+L542+K542</f>
        <v>68779.155958388787</v>
      </c>
    </row>
    <row r="543" spans="1:13" x14ac:dyDescent="0.25">
      <c r="A543" s="3">
        <v>530</v>
      </c>
      <c r="B543" s="3">
        <f t="shared" ca="1" si="97"/>
        <v>0.94733494944613406</v>
      </c>
      <c r="C543" s="3">
        <f t="shared" ca="1" si="97"/>
        <v>0.91135593210544175</v>
      </c>
      <c r="D543" s="3">
        <f t="shared" ca="1" si="97"/>
        <v>7.0455129074217249E-2</v>
      </c>
      <c r="E543" s="3">
        <f t="shared" ca="1" si="97"/>
        <v>0.85473729938560739</v>
      </c>
      <c r="F543" s="3">
        <f t="shared" ca="1" si="97"/>
        <v>0.15970843974656646</v>
      </c>
      <c r="G543" s="36">
        <f t="shared" ca="1" si="92"/>
        <v>58460.327033363414</v>
      </c>
      <c r="H543" s="37">
        <f t="shared" ca="1" si="93"/>
        <v>0.19504352384810472</v>
      </c>
      <c r="I543" s="37">
        <f t="shared" ca="1" si="94"/>
        <v>5.5015206060440705E-2</v>
      </c>
      <c r="J543" s="38">
        <f t="shared" ca="1" si="95"/>
        <v>3.9219918344858697E-2</v>
      </c>
      <c r="K543" s="36">
        <f t="shared" ca="1" si="96"/>
        <v>847.75466902845722</v>
      </c>
      <c r="L543" s="36">
        <f ca="1">Assumptions!$C$10*Assumptions!$C$13*I543*Assumptions!$C$15</f>
        <v>3815.5161372379489</v>
      </c>
      <c r="M543" s="36">
        <f ca="1">G543*(1+H543*Assumptions!$C$6)*(1+J543)+L543+K543</f>
        <v>67786.308249502195</v>
      </c>
    </row>
    <row r="544" spans="1:13" x14ac:dyDescent="0.25">
      <c r="A544" s="3">
        <v>531</v>
      </c>
      <c r="B544" s="3">
        <f t="shared" ref="B544:F553" ca="1" si="98">RAND()</f>
        <v>0.60655557218224931</v>
      </c>
      <c r="C544" s="3">
        <f t="shared" ca="1" si="98"/>
        <v>0.49300400760954088</v>
      </c>
      <c r="D544" s="3">
        <f t="shared" ca="1" si="98"/>
        <v>0.97080544098183874</v>
      </c>
      <c r="E544" s="3">
        <f t="shared" ca="1" si="98"/>
        <v>5.5138560484643939E-2</v>
      </c>
      <c r="F544" s="3">
        <f t="shared" ca="1" si="98"/>
        <v>0.57421824801665</v>
      </c>
      <c r="G544" s="36">
        <f t="shared" ca="1" si="92"/>
        <v>57959.284430315849</v>
      </c>
      <c r="H544" s="37">
        <f t="shared" ca="1" si="93"/>
        <v>0.1324848446659613</v>
      </c>
      <c r="I544" s="37">
        <f t="shared" ca="1" si="94"/>
        <v>0.11033446386080337</v>
      </c>
      <c r="J544" s="38">
        <f t="shared" ca="1" si="95"/>
        <v>1.6641599836463739E-2</v>
      </c>
      <c r="K544" s="36">
        <f t="shared" ca="1" si="96"/>
        <v>1615.7970221368996</v>
      </c>
      <c r="L544" s="36">
        <f ca="1">Assumptions!$C$10*Assumptions!$C$13*I544*Assumptions!$C$15</f>
        <v>7652.1194320692539</v>
      </c>
      <c r="M544" s="36">
        <f ca="1">G544*(1+H544*Assumptions!$C$6)*(1+J544)+L544+K544</f>
        <v>69753.038721473422</v>
      </c>
    </row>
    <row r="545" spans="1:13" x14ac:dyDescent="0.25">
      <c r="A545" s="3">
        <v>532</v>
      </c>
      <c r="B545" s="3">
        <f t="shared" ca="1" si="98"/>
        <v>0.62818041605999952</v>
      </c>
      <c r="C545" s="3">
        <f t="shared" ca="1" si="98"/>
        <v>7.0086499603564056E-2</v>
      </c>
      <c r="D545" s="3">
        <f t="shared" ca="1" si="98"/>
        <v>0.37637099887685066</v>
      </c>
      <c r="E545" s="3">
        <f t="shared" ca="1" si="98"/>
        <v>0.59692550716532644</v>
      </c>
      <c r="F545" s="3">
        <f t="shared" ca="1" si="98"/>
        <v>0.56229800900895954</v>
      </c>
      <c r="G545" s="36">
        <f t="shared" ca="1" si="92"/>
        <v>57981.30487952564</v>
      </c>
      <c r="H545" s="37">
        <f t="shared" ca="1" si="93"/>
        <v>8.0531138935968333E-2</v>
      </c>
      <c r="I545" s="37">
        <f t="shared" ca="1" si="94"/>
        <v>7.470428210474786E-2</v>
      </c>
      <c r="J545" s="38">
        <f t="shared" ca="1" si="95"/>
        <v>3.2042840027784493E-2</v>
      </c>
      <c r="K545" s="36">
        <f t="shared" ca="1" si="96"/>
        <v>1596.5546111587803</v>
      </c>
      <c r="L545" s="36">
        <f ca="1">Assumptions!$C$10*Assumptions!$C$13*I545*Assumptions!$C$15</f>
        <v>5181.0292881262048</v>
      </c>
      <c r="M545" s="36">
        <f ca="1">G545*(1+H545*Assumptions!$C$6)*(1+J545)+L545+K545</f>
        <v>67580.55808936985</v>
      </c>
    </row>
    <row r="546" spans="1:13" x14ac:dyDescent="0.25">
      <c r="A546" s="3">
        <v>533</v>
      </c>
      <c r="B546" s="3">
        <f t="shared" ca="1" si="98"/>
        <v>0.71892902487134036</v>
      </c>
      <c r="C546" s="3">
        <f t="shared" ca="1" si="98"/>
        <v>7.0811196811104926E-2</v>
      </c>
      <c r="D546" s="3">
        <f t="shared" ca="1" si="98"/>
        <v>0.63882799827843006</v>
      </c>
      <c r="E546" s="3">
        <f t="shared" ca="1" si="98"/>
        <v>0.45552773301625726</v>
      </c>
      <c r="F546" s="3">
        <f t="shared" ca="1" si="98"/>
        <v>0.82673055813819396</v>
      </c>
      <c r="G546" s="36">
        <f t="shared" ca="1" si="92"/>
        <v>58081.584282885036</v>
      </c>
      <c r="H546" s="37">
        <f t="shared" ca="1" si="93"/>
        <v>8.0688579595473223E-2</v>
      </c>
      <c r="I546" s="37">
        <f t="shared" ca="1" si="94"/>
        <v>8.6003670705368435E-2</v>
      </c>
      <c r="J546" s="38">
        <f t="shared" ca="1" si="95"/>
        <v>2.9089845112336712E-2</v>
      </c>
      <c r="K546" s="36">
        <f t="shared" ca="1" si="96"/>
        <v>2116.9866997728022</v>
      </c>
      <c r="L546" s="36">
        <f ca="1">Assumptions!$C$10*Assumptions!$C$13*I546*Assumptions!$C$15</f>
        <v>5964.6853467661667</v>
      </c>
      <c r="M546" s="36">
        <f ca="1">G546*(1+H546*Assumptions!$C$6)*(1+J546)+L546+K546</f>
        <v>68817.410758684593</v>
      </c>
    </row>
    <row r="547" spans="1:13" x14ac:dyDescent="0.25">
      <c r="A547" s="3">
        <v>534</v>
      </c>
      <c r="B547" s="3">
        <f t="shared" ca="1" si="98"/>
        <v>0.41047890910838136</v>
      </c>
      <c r="C547" s="3">
        <f t="shared" ca="1" si="98"/>
        <v>8.3919455285630939E-2</v>
      </c>
      <c r="D547" s="3">
        <f t="shared" ca="1" si="98"/>
        <v>0.513543266004169</v>
      </c>
      <c r="E547" s="3">
        <f t="shared" ca="1" si="98"/>
        <v>0.17172914649796223</v>
      </c>
      <c r="F547" s="3">
        <f t="shared" ca="1" si="98"/>
        <v>0.52262726564326123</v>
      </c>
      <c r="G547" s="36">
        <f t="shared" ca="1" si="92"/>
        <v>57782.205235922527</v>
      </c>
      <c r="H547" s="37">
        <f t="shared" ca="1" si="93"/>
        <v>8.3408513215928834E-2</v>
      </c>
      <c r="I547" s="37">
        <f t="shared" ca="1" si="94"/>
        <v>8.054544958073076E-2</v>
      </c>
      <c r="J547" s="38">
        <f t="shared" ca="1" si="95"/>
        <v>2.1721062972203921E-2</v>
      </c>
      <c r="K547" s="36">
        <f t="shared" ca="1" si="96"/>
        <v>1534.3338358939561</v>
      </c>
      <c r="L547" s="36">
        <f ca="1">Assumptions!$C$10*Assumptions!$C$13*I547*Assumptions!$C$15</f>
        <v>5586.1367186143725</v>
      </c>
      <c r="M547" s="36">
        <f ca="1">G547*(1+H547*Assumptions!$C$6)*(1+J547)+L547+K547</f>
        <v>67142.609328340623</v>
      </c>
    </row>
    <row r="548" spans="1:13" x14ac:dyDescent="0.25">
      <c r="A548" s="3">
        <v>535</v>
      </c>
      <c r="B548" s="3">
        <f t="shared" ca="1" si="98"/>
        <v>0.75390668681833062</v>
      </c>
      <c r="C548" s="3">
        <f t="shared" ca="1" si="98"/>
        <v>0.9821595293377311</v>
      </c>
      <c r="D548" s="3">
        <f t="shared" ca="1" si="98"/>
        <v>0.64612441791206265</v>
      </c>
      <c r="E548" s="3">
        <f t="shared" ca="1" si="98"/>
        <v>0.52286135302495607</v>
      </c>
      <c r="F548" s="3">
        <f t="shared" ca="1" si="98"/>
        <v>0.72675474222666359</v>
      </c>
      <c r="G548" s="36">
        <f t="shared" ca="1" si="92"/>
        <v>58124.517422573932</v>
      </c>
      <c r="H548" s="37">
        <f t="shared" ca="1" si="93"/>
        <v>0.21983164034682712</v>
      </c>
      <c r="I548" s="37">
        <f t="shared" ca="1" si="94"/>
        <v>8.6348820783196917E-2</v>
      </c>
      <c r="J548" s="38">
        <f t="shared" ca="1" si="95"/>
        <v>3.0462576485625462E-2</v>
      </c>
      <c r="K548" s="36">
        <f t="shared" ca="1" si="96"/>
        <v>1891.1250476361124</v>
      </c>
      <c r="L548" s="36">
        <f ca="1">Assumptions!$C$10*Assumptions!$C$13*I548*Assumptions!$C$15</f>
        <v>5988.6228321638719</v>
      </c>
      <c r="M548" s="36">
        <f ca="1">G548*(1+H548*Assumptions!$C$6)*(1+J548)+L548+K548</f>
        <v>70408.25723418135</v>
      </c>
    </row>
    <row r="549" spans="1:13" x14ac:dyDescent="0.25">
      <c r="A549" s="3">
        <v>536</v>
      </c>
      <c r="B549" s="3">
        <f t="shared" ca="1" si="98"/>
        <v>4.1144547110228302E-2</v>
      </c>
      <c r="C549" s="3">
        <f t="shared" ca="1" si="98"/>
        <v>0.61456423713747121</v>
      </c>
      <c r="D549" s="3">
        <f t="shared" ca="1" si="98"/>
        <v>0.30283895178339482</v>
      </c>
      <c r="E549" s="3">
        <f t="shared" ca="1" si="98"/>
        <v>0.98758187646906437</v>
      </c>
      <c r="F549" s="3">
        <f t="shared" ca="1" si="98"/>
        <v>0.27214477964887351</v>
      </c>
      <c r="G549" s="36">
        <f t="shared" ca="1" si="92"/>
        <v>57315.986082645468</v>
      </c>
      <c r="H549" s="37">
        <f t="shared" ca="1" si="93"/>
        <v>0.14625601142864864</v>
      </c>
      <c r="I549" s="37">
        <f t="shared" ca="1" si="94"/>
        <v>7.1130124408791934E-2</v>
      </c>
      <c r="J549" s="38">
        <f t="shared" ca="1" si="95"/>
        <v>4.6848096000074162E-2</v>
      </c>
      <c r="K549" s="36">
        <f t="shared" ca="1" si="96"/>
        <v>1106.6397374122848</v>
      </c>
      <c r="L549" s="36">
        <f ca="1">Assumptions!$C$10*Assumptions!$C$13*I549*Assumptions!$C$15</f>
        <v>4933.147705151292</v>
      </c>
      <c r="M549" s="36">
        <f ca="1">G549*(1+H549*Assumptions!$C$6)*(1+J549)+L549+K549</f>
        <v>67796.023560904971</v>
      </c>
    </row>
    <row r="550" spans="1:13" x14ac:dyDescent="0.25">
      <c r="A550" s="3">
        <v>537</v>
      </c>
      <c r="B550" s="3">
        <f t="shared" ca="1" si="98"/>
        <v>0.68478297702792923</v>
      </c>
      <c r="C550" s="3">
        <f t="shared" ca="1" si="98"/>
        <v>0.37479486466085854</v>
      </c>
      <c r="D550" s="3">
        <f t="shared" ca="1" si="98"/>
        <v>0.43886671261844246</v>
      </c>
      <c r="E550" s="3">
        <f t="shared" ca="1" si="98"/>
        <v>0.90186558633062452</v>
      </c>
      <c r="F550" s="3">
        <f t="shared" ca="1" si="98"/>
        <v>0.14118769223546179</v>
      </c>
      <c r="G550" s="36">
        <f t="shared" ca="1" si="92"/>
        <v>58042.181570001361</v>
      </c>
      <c r="H550" s="37">
        <f t="shared" ca="1" si="93"/>
        <v>0.12060704758767196</v>
      </c>
      <c r="I550" s="37">
        <f t="shared" ca="1" si="94"/>
        <v>7.7474971385966596E-2</v>
      </c>
      <c r="J550" s="38">
        <f t="shared" ca="1" si="95"/>
        <v>4.1139552441580601E-2</v>
      </c>
      <c r="K550" s="36">
        <f t="shared" ca="1" si="96"/>
        <v>797.08507391593912</v>
      </c>
      <c r="L550" s="36">
        <f ca="1">Assumptions!$C$10*Assumptions!$C$13*I550*Assumptions!$C$15</f>
        <v>5373.1872462759593</v>
      </c>
      <c r="M550" s="36">
        <f ca="1">G550*(1+H550*Assumptions!$C$6)*(1+J550)+L550+K550</f>
        <v>68057.940303809781</v>
      </c>
    </row>
    <row r="551" spans="1:13" x14ac:dyDescent="0.25">
      <c r="A551" s="3">
        <v>538</v>
      </c>
      <c r="B551" s="3">
        <f t="shared" ca="1" si="98"/>
        <v>0.35097901362197681</v>
      </c>
      <c r="C551" s="3">
        <f t="shared" ca="1" si="98"/>
        <v>0.880681637431727</v>
      </c>
      <c r="D551" s="3">
        <f t="shared" ca="1" si="98"/>
        <v>0.84781930413057949</v>
      </c>
      <c r="E551" s="3">
        <f t="shared" ca="1" si="98"/>
        <v>0.3897557110273755</v>
      </c>
      <c r="F551" s="3">
        <f t="shared" ca="1" si="98"/>
        <v>0.64577617034215684</v>
      </c>
      <c r="G551" s="36">
        <f t="shared" ca="1" si="92"/>
        <v>57730.826892283643</v>
      </c>
      <c r="H551" s="37">
        <f t="shared" ca="1" si="93"/>
        <v>0.18784198367885696</v>
      </c>
      <c r="I551" s="37">
        <f t="shared" ca="1" si="94"/>
        <v>9.7932416834140043E-2</v>
      </c>
      <c r="J551" s="38">
        <f t="shared" ca="1" si="95"/>
        <v>2.7657988810221294E-2</v>
      </c>
      <c r="K551" s="36">
        <f t="shared" ca="1" si="96"/>
        <v>1737.4600071838145</v>
      </c>
      <c r="L551" s="36">
        <f ca="1">Assumptions!$C$10*Assumptions!$C$13*I551*Assumptions!$C$15</f>
        <v>6791.9897705892818</v>
      </c>
      <c r="M551" s="36">
        <f ca="1">G551*(1+H551*Assumptions!$C$6)*(1+J551)+L551+K551</f>
        <v>70085.835999316725</v>
      </c>
    </row>
    <row r="552" spans="1:13" x14ac:dyDescent="0.25">
      <c r="A552" s="3">
        <v>539</v>
      </c>
      <c r="B552" s="3">
        <f t="shared" ca="1" si="98"/>
        <v>0.58834971418362036</v>
      </c>
      <c r="C552" s="3">
        <f t="shared" ca="1" si="98"/>
        <v>0.19375237532101364</v>
      </c>
      <c r="D552" s="3">
        <f t="shared" ca="1" si="98"/>
        <v>3.2225368143200761E-2</v>
      </c>
      <c r="E552" s="3">
        <f t="shared" ca="1" si="98"/>
        <v>0.6816015172593185</v>
      </c>
      <c r="F552" s="3">
        <f t="shared" ca="1" si="98"/>
        <v>0.92099882861277216</v>
      </c>
      <c r="G552" s="36">
        <f t="shared" ca="1" si="92"/>
        <v>57941.210570656694</v>
      </c>
      <c r="H552" s="37">
        <f t="shared" ca="1" si="93"/>
        <v>0.1007632405562281</v>
      </c>
      <c r="I552" s="37">
        <f t="shared" ca="1" si="94"/>
        <v>5.0154859824647624E-2</v>
      </c>
      <c r="J552" s="38">
        <f t="shared" ca="1" si="95"/>
        <v>3.4040088152106067E-2</v>
      </c>
      <c r="K552" s="36">
        <f t="shared" ca="1" si="96"/>
        <v>2403.7573721692443</v>
      </c>
      <c r="L552" s="36">
        <f ca="1">Assumptions!$C$10*Assumptions!$C$13*I552*Assumptions!$C$15</f>
        <v>3478.43243214633</v>
      </c>
      <c r="M552" s="36">
        <f ca="1">G552*(1+H552*Assumptions!$C$6)*(1+J552)+L552+K552</f>
        <v>67003.14066803694</v>
      </c>
    </row>
    <row r="553" spans="1:13" x14ac:dyDescent="0.25">
      <c r="A553" s="3">
        <v>540</v>
      </c>
      <c r="B553" s="3">
        <f t="shared" ca="1" si="98"/>
        <v>0.1840298313222053</v>
      </c>
      <c r="C553" s="3">
        <f t="shared" ca="1" si="98"/>
        <v>0.34268815637941441</v>
      </c>
      <c r="D553" s="3">
        <f t="shared" ca="1" si="98"/>
        <v>0.8385870994638901</v>
      </c>
      <c r="E553" s="3">
        <f t="shared" ca="1" si="98"/>
        <v>0.96742001898689045</v>
      </c>
      <c r="F553" s="3">
        <f t="shared" ca="1" si="98"/>
        <v>1.3348919952392069E-2</v>
      </c>
      <c r="G553" s="36">
        <f t="shared" ca="1" si="92"/>
        <v>57556.78700320288</v>
      </c>
      <c r="H553" s="37">
        <f t="shared" ca="1" si="93"/>
        <v>0.11751112856297258</v>
      </c>
      <c r="I553" s="37">
        <f t="shared" ca="1" si="94"/>
        <v>9.7272895439243653E-2</v>
      </c>
      <c r="J553" s="38">
        <f t="shared" ca="1" si="95"/>
        <v>4.4894710114940818E-2</v>
      </c>
      <c r="K553" s="36">
        <f t="shared" ca="1" si="96"/>
        <v>245.0921046989566</v>
      </c>
      <c r="L553" s="36">
        <f ca="1">Assumptions!$C$10*Assumptions!$C$13*I553*Assumptions!$C$15</f>
        <v>6746.2494252324668</v>
      </c>
      <c r="M553" s="36">
        <f ca="1">G553*(1+H553*Assumptions!$C$6)*(1+J553)+L553+K553</f>
        <v>68545.566040252219</v>
      </c>
    </row>
    <row r="554" spans="1:13" x14ac:dyDescent="0.25">
      <c r="A554" s="3">
        <v>541</v>
      </c>
      <c r="B554" s="3">
        <f t="shared" ref="B554:F563" ca="1" si="99">RAND()</f>
        <v>0.44459228164343323</v>
      </c>
      <c r="C554" s="3">
        <f t="shared" ca="1" si="99"/>
        <v>0.14190481368917962</v>
      </c>
      <c r="D554" s="3">
        <f t="shared" ca="1" si="99"/>
        <v>0.57571341926158326</v>
      </c>
      <c r="E554" s="3">
        <f t="shared" ca="1" si="99"/>
        <v>0.38293863611224788</v>
      </c>
      <c r="F554" s="3">
        <f t="shared" ca="1" si="99"/>
        <v>0.93932147298730917</v>
      </c>
      <c r="G554" s="36">
        <f t="shared" ca="1" si="92"/>
        <v>57810.638820700631</v>
      </c>
      <c r="H554" s="37">
        <f t="shared" ca="1" si="93"/>
        <v>9.3443457759092907E-2</v>
      </c>
      <c r="I554" s="37">
        <f t="shared" ca="1" si="94"/>
        <v>8.3152787644613702E-2</v>
      </c>
      <c r="J554" s="38">
        <f t="shared" ca="1" si="95"/>
        <v>2.7502882873681071E-2</v>
      </c>
      <c r="K554" s="36">
        <f t="shared" ca="1" si="96"/>
        <v>2477.4549095464499</v>
      </c>
      <c r="L554" s="36">
        <f ca="1">Assumptions!$C$10*Assumptions!$C$13*I554*Assumptions!$C$15</f>
        <v>5766.9656415679774</v>
      </c>
      <c r="M554" s="36">
        <f ca="1">G554*(1+H554*Assumptions!$C$6)*(1+J554)+L554+K554</f>
        <v>68755.138055085496</v>
      </c>
    </row>
    <row r="555" spans="1:13" x14ac:dyDescent="0.25">
      <c r="A555" s="3">
        <v>542</v>
      </c>
      <c r="B555" s="3">
        <f t="shared" ca="1" si="99"/>
        <v>0.1023923512193351</v>
      </c>
      <c r="C555" s="3">
        <f t="shared" ca="1" si="99"/>
        <v>0.15647149477330835</v>
      </c>
      <c r="D555" s="3">
        <f t="shared" ca="1" si="99"/>
        <v>0.5327386078102313</v>
      </c>
      <c r="E555" s="3">
        <f t="shared" ca="1" si="99"/>
        <v>5.7080412314695295E-2</v>
      </c>
      <c r="F555" s="3">
        <f t="shared" ca="1" si="99"/>
        <v>0.39054485755316237</v>
      </c>
      <c r="G555" s="36">
        <f t="shared" ca="1" si="92"/>
        <v>57440.724515328351</v>
      </c>
      <c r="H555" s="37">
        <f t="shared" ca="1" si="93"/>
        <v>9.5618755797204746E-2</v>
      </c>
      <c r="I555" s="37">
        <f t="shared" ca="1" si="94"/>
        <v>8.1331712541059448E-2</v>
      </c>
      <c r="J555" s="38">
        <f t="shared" ca="1" si="95"/>
        <v>1.6757538742157255E-2</v>
      </c>
      <c r="K555" s="36">
        <f t="shared" ca="1" si="96"/>
        <v>1325.6892015058547</v>
      </c>
      <c r="L555" s="36">
        <f ca="1">Assumptions!$C$10*Assumptions!$C$13*I555*Assumptions!$C$15</f>
        <v>5640.6670790014768</v>
      </c>
      <c r="M555" s="36">
        <f ca="1">G555*(1+H555*Assumptions!$C$6)*(1+J555)+L555+K555</f>
        <v>66486.535941045819</v>
      </c>
    </row>
    <row r="556" spans="1:13" x14ac:dyDescent="0.25">
      <c r="A556" s="3">
        <v>543</v>
      </c>
      <c r="B556" s="3">
        <f t="shared" ca="1" si="99"/>
        <v>9.2492622760307786E-2</v>
      </c>
      <c r="C556" s="3">
        <f t="shared" ca="1" si="99"/>
        <v>0.39628594349526747</v>
      </c>
      <c r="D556" s="3">
        <f t="shared" ca="1" si="99"/>
        <v>0.10250178530653731</v>
      </c>
      <c r="E556" s="3">
        <f t="shared" ca="1" si="99"/>
        <v>0.22434698653429674</v>
      </c>
      <c r="F556" s="3">
        <f t="shared" ca="1" si="99"/>
        <v>0.11944148987829828</v>
      </c>
      <c r="G556" s="36">
        <f t="shared" ca="1" si="92"/>
        <v>57423.834542543249</v>
      </c>
      <c r="H556" s="37">
        <f t="shared" ca="1" si="93"/>
        <v>0.1226770248915077</v>
      </c>
      <c r="I556" s="37">
        <f t="shared" ca="1" si="94"/>
        <v>5.8110927998888388E-2</v>
      </c>
      <c r="J556" s="38">
        <f t="shared" ca="1" si="95"/>
        <v>2.3396924618263603E-2</v>
      </c>
      <c r="K556" s="36">
        <f t="shared" ca="1" si="96"/>
        <v>733.1348473864424</v>
      </c>
      <c r="L556" s="36">
        <f ca="1">Assumptions!$C$10*Assumptions!$C$13*I556*Assumptions!$C$15</f>
        <v>4030.2163602921355</v>
      </c>
      <c r="M556" s="36">
        <f ca="1">G556*(1+H556*Assumptions!$C$6)*(1+J556)+L556+K556</f>
        <v>64972.608239896166</v>
      </c>
    </row>
    <row r="557" spans="1:13" x14ac:dyDescent="0.25">
      <c r="A557" s="3">
        <v>544</v>
      </c>
      <c r="B557" s="3">
        <f t="shared" ca="1" si="99"/>
        <v>0.24394908921626868</v>
      </c>
      <c r="C557" s="3">
        <f t="shared" ca="1" si="99"/>
        <v>0.2823454466996933</v>
      </c>
      <c r="D557" s="3">
        <f t="shared" ca="1" si="99"/>
        <v>0.71163800597530236</v>
      </c>
      <c r="E557" s="3">
        <f t="shared" ca="1" si="99"/>
        <v>0.31526679898911192</v>
      </c>
      <c r="F557" s="3">
        <f t="shared" ca="1" si="99"/>
        <v>0.19395780518263173</v>
      </c>
      <c r="G557" s="36">
        <f t="shared" ca="1" si="92"/>
        <v>57625.919440928337</v>
      </c>
      <c r="H557" s="37">
        <f t="shared" ca="1" si="93"/>
        <v>0.11127964132651171</v>
      </c>
      <c r="I557" s="37">
        <f t="shared" ca="1" si="94"/>
        <v>8.9623061693465012E-2</v>
      </c>
      <c r="J557" s="38">
        <f t="shared" ca="1" si="95"/>
        <v>2.5881229146111129E-2</v>
      </c>
      <c r="K557" s="36">
        <f t="shared" ca="1" si="96"/>
        <v>934.24307507299341</v>
      </c>
      <c r="L557" s="36">
        <f ca="1">Assumptions!$C$10*Assumptions!$C$13*I557*Assumptions!$C$15</f>
        <v>6215.7040325252337</v>
      </c>
      <c r="M557" s="36">
        <f ca="1">G557*(1+H557*Assumptions!$C$6)*(1+J557)+L557+K557</f>
        <v>67583.007654396642</v>
      </c>
    </row>
    <row r="558" spans="1:13" x14ac:dyDescent="0.25">
      <c r="A558" s="3">
        <v>545</v>
      </c>
      <c r="B558" s="3">
        <f t="shared" ca="1" si="99"/>
        <v>0.33058794897671462</v>
      </c>
      <c r="C558" s="3">
        <f t="shared" ca="1" si="99"/>
        <v>0.94109037275038576</v>
      </c>
      <c r="D558" s="3">
        <f t="shared" ca="1" si="99"/>
        <v>0.4786796336439646</v>
      </c>
      <c r="E558" s="3">
        <f t="shared" ca="1" si="99"/>
        <v>0.94489651746950798</v>
      </c>
      <c r="F558" s="3">
        <f t="shared" ca="1" si="99"/>
        <v>0.70605559749576974</v>
      </c>
      <c r="G558" s="36">
        <f t="shared" ca="1" si="92"/>
        <v>57712.227923297287</v>
      </c>
      <c r="H558" s="37">
        <f t="shared" ca="1" si="93"/>
        <v>0.20335113233275542</v>
      </c>
      <c r="I558" s="37">
        <f t="shared" ca="1" si="94"/>
        <v>7.9137895033594835E-2</v>
      </c>
      <c r="J558" s="38">
        <f t="shared" ca="1" si="95"/>
        <v>4.3360513120399014E-2</v>
      </c>
      <c r="K558" s="36">
        <f t="shared" ca="1" si="96"/>
        <v>1849.8913915333751</v>
      </c>
      <c r="L558" s="36">
        <f ca="1">Assumptions!$C$10*Assumptions!$C$13*I558*Assumptions!$C$15</f>
        <v>5488.5173970991618</v>
      </c>
      <c r="M558" s="36">
        <f ca="1">G558*(1+H558*Assumptions!$C$6)*(1+J558)+L558+K558</f>
        <v>70002.012376212006</v>
      </c>
    </row>
    <row r="559" spans="1:13" x14ac:dyDescent="0.25">
      <c r="A559" s="3">
        <v>546</v>
      </c>
      <c r="B559" s="3">
        <f t="shared" ca="1" si="99"/>
        <v>3.7794812503851083E-2</v>
      </c>
      <c r="C559" s="3">
        <f t="shared" ca="1" si="99"/>
        <v>0.16392496007629265</v>
      </c>
      <c r="D559" s="3">
        <f t="shared" ca="1" si="99"/>
        <v>0.62046627088004169</v>
      </c>
      <c r="E559" s="3">
        <f t="shared" ca="1" si="99"/>
        <v>0.66191797366399185</v>
      </c>
      <c r="F559" s="3">
        <f t="shared" ca="1" si="99"/>
        <v>0.66517682840906778</v>
      </c>
      <c r="G559" s="36">
        <f t="shared" ca="1" si="92"/>
        <v>57307.007329204796</v>
      </c>
      <c r="H559" s="37">
        <f t="shared" ca="1" si="93"/>
        <v>9.6692632920137328E-2</v>
      </c>
      <c r="I559" s="37">
        <f t="shared" ca="1" si="94"/>
        <v>8.5150208993684529E-2</v>
      </c>
      <c r="J559" s="38">
        <f t="shared" ca="1" si="95"/>
        <v>3.3554160980089634E-2</v>
      </c>
      <c r="K559" s="36">
        <f t="shared" ca="1" si="96"/>
        <v>1772.5211724191756</v>
      </c>
      <c r="L559" s="36">
        <f ca="1">Assumptions!$C$10*Assumptions!$C$13*I559*Assumptions!$C$15</f>
        <v>5905.4944945158431</v>
      </c>
      <c r="M559" s="36">
        <f ca="1">G559*(1+H559*Assumptions!$C$6)*(1+J559)+L559+K559</f>
        <v>68053.330461365054</v>
      </c>
    </row>
    <row r="560" spans="1:13" x14ac:dyDescent="0.25">
      <c r="A560" s="3">
        <v>547</v>
      </c>
      <c r="B560" s="3">
        <f t="shared" ca="1" si="99"/>
        <v>0.50506070525480096</v>
      </c>
      <c r="C560" s="3">
        <f t="shared" ca="1" si="99"/>
        <v>0.89163459277440471</v>
      </c>
      <c r="D560" s="3">
        <f t="shared" ca="1" si="99"/>
        <v>0.15778840134892591</v>
      </c>
      <c r="E560" s="3">
        <f t="shared" ca="1" si="99"/>
        <v>0.59772415394037259</v>
      </c>
      <c r="F560" s="3">
        <f t="shared" ca="1" si="99"/>
        <v>1.596165422708351E-3</v>
      </c>
      <c r="G560" s="36">
        <f t="shared" ca="1" si="92"/>
        <v>57863.213649592341</v>
      </c>
      <c r="H560" s="37">
        <f t="shared" ca="1" si="93"/>
        <v>0.19029354886190752</v>
      </c>
      <c r="I560" s="37">
        <f t="shared" ca="1" si="94"/>
        <v>6.247048918729993E-2</v>
      </c>
      <c r="J560" s="38">
        <f t="shared" ca="1" si="95"/>
        <v>3.2060638895219762E-2</v>
      </c>
      <c r="K560" s="36">
        <f t="shared" ca="1" si="96"/>
        <v>84.751073162453707</v>
      </c>
      <c r="L560" s="36">
        <f ca="1">Assumptions!$C$10*Assumptions!$C$13*I560*Assumptions!$C$15</f>
        <v>4332.5686962515083</v>
      </c>
      <c r="M560" s="36">
        <f ca="1">G560*(1+H560*Assumptions!$C$6)*(1+J560)+L560+K560</f>
        <v>66408.468187013015</v>
      </c>
    </row>
    <row r="561" spans="1:13" x14ac:dyDescent="0.25">
      <c r="A561" s="3">
        <v>548</v>
      </c>
      <c r="B561" s="3">
        <f t="shared" ca="1" si="99"/>
        <v>0.26545290139669586</v>
      </c>
      <c r="C561" s="3">
        <f t="shared" ca="1" si="99"/>
        <v>0.92229216638472078</v>
      </c>
      <c r="D561" s="3">
        <f t="shared" ca="1" si="99"/>
        <v>0.77704072734673735</v>
      </c>
      <c r="E561" s="3">
        <f t="shared" ca="1" si="99"/>
        <v>5.6761231857144212E-2</v>
      </c>
      <c r="F561" s="3">
        <f t="shared" ca="1" si="99"/>
        <v>0.95841771391479913</v>
      </c>
      <c r="G561" s="36">
        <f t="shared" ca="1" si="92"/>
        <v>57648.609549305227</v>
      </c>
      <c r="H561" s="37">
        <f t="shared" ca="1" si="93"/>
        <v>0.19790797455065429</v>
      </c>
      <c r="I561" s="37">
        <f t="shared" ca="1" si="94"/>
        <v>9.3289146915711579E-2</v>
      </c>
      <c r="J561" s="38">
        <f t="shared" ca="1" si="95"/>
        <v>1.6738618959825178E-2</v>
      </c>
      <c r="K561" s="36">
        <f t="shared" ca="1" si="96"/>
        <v>2567.4259746778548</v>
      </c>
      <c r="L561" s="36">
        <f ca="1">Assumptions!$C$10*Assumptions!$C$13*I561*Assumptions!$C$15</f>
        <v>6469.9611430158111</v>
      </c>
      <c r="M561" s="36">
        <f ca="1">G561*(1+H561*Assumptions!$C$6)*(1+J561)+L561+K561</f>
        <v>69970.973267089488</v>
      </c>
    </row>
    <row r="562" spans="1:13" x14ac:dyDescent="0.25">
      <c r="A562" s="3">
        <v>549</v>
      </c>
      <c r="B562" s="3">
        <f t="shared" ca="1" si="99"/>
        <v>0.49373266258675541</v>
      </c>
      <c r="C562" s="3">
        <f t="shared" ca="1" si="99"/>
        <v>0.26728965774102142</v>
      </c>
      <c r="D562" s="3">
        <f t="shared" ca="1" si="99"/>
        <v>0.69055953973021633</v>
      </c>
      <c r="E562" s="3">
        <f t="shared" ca="1" si="99"/>
        <v>0.92401856426055806</v>
      </c>
      <c r="F562" s="3">
        <f t="shared" ca="1" si="99"/>
        <v>0.33756666032397287</v>
      </c>
      <c r="G562" s="36">
        <f t="shared" ca="1" si="92"/>
        <v>57853.129589063486</v>
      </c>
      <c r="H562" s="37">
        <f t="shared" ca="1" si="93"/>
        <v>0.1096234219745528</v>
      </c>
      <c r="I562" s="37">
        <f t="shared" ca="1" si="94"/>
        <v>8.8532405988647506E-2</v>
      </c>
      <c r="J562" s="38">
        <f t="shared" ca="1" si="95"/>
        <v>4.2203516908788069E-2</v>
      </c>
      <c r="K562" s="36">
        <f t="shared" ca="1" si="96"/>
        <v>1232.4974529214564</v>
      </c>
      <c r="L562" s="36">
        <f ca="1">Assumptions!$C$10*Assumptions!$C$13*I562*Assumptions!$C$15</f>
        <v>6140.0628645665065</v>
      </c>
      <c r="M562" s="36">
        <f ca="1">G562*(1+H562*Assumptions!$C$6)*(1+J562)+L562+K562</f>
        <v>68989.23847761222</v>
      </c>
    </row>
    <row r="563" spans="1:13" x14ac:dyDescent="0.25">
      <c r="A563" s="3">
        <v>550</v>
      </c>
      <c r="B563" s="3">
        <f t="shared" ca="1" si="99"/>
        <v>0.70454603365363777</v>
      </c>
      <c r="C563" s="3">
        <f t="shared" ca="1" si="99"/>
        <v>0.37128538904216801</v>
      </c>
      <c r="D563" s="3">
        <f t="shared" ca="1" si="99"/>
        <v>0.28403447717744168</v>
      </c>
      <c r="E563" s="3">
        <f t="shared" ca="1" si="99"/>
        <v>0.97895709684428522</v>
      </c>
      <c r="F563" s="3">
        <f t="shared" ca="1" si="99"/>
        <v>0.72196975985966827</v>
      </c>
      <c r="G563" s="36">
        <f t="shared" ca="1" si="92"/>
        <v>58064.710617318815</v>
      </c>
      <c r="H563" s="37">
        <f t="shared" ca="1" si="93"/>
        <v>0.1202724211810889</v>
      </c>
      <c r="I563" s="37">
        <f t="shared" ca="1" si="94"/>
        <v>7.0148139693317957E-2</v>
      </c>
      <c r="J563" s="38">
        <f t="shared" ca="1" si="95"/>
        <v>4.5897034910632094E-2</v>
      </c>
      <c r="K563" s="36">
        <f t="shared" ca="1" si="96"/>
        <v>1881.4580559355438</v>
      </c>
      <c r="L563" s="36">
        <f ca="1">Assumptions!$C$10*Assumptions!$C$13*I563*Assumptions!$C$15</f>
        <v>4865.043288268882</v>
      </c>
      <c r="M563" s="36">
        <f ca="1">G563*(1+H563*Assumptions!$C$6)*(1+J563)+L563+K563</f>
        <v>68937.031831616885</v>
      </c>
    </row>
    <row r="564" spans="1:13" x14ac:dyDescent="0.25">
      <c r="A564" s="3">
        <v>551</v>
      </c>
      <c r="B564" s="3">
        <f t="shared" ref="B564:F573" ca="1" si="100">RAND()</f>
        <v>0.61700030664514005</v>
      </c>
      <c r="C564" s="3">
        <f t="shared" ca="1" si="100"/>
        <v>0.62876778287898094</v>
      </c>
      <c r="D564" s="3">
        <f t="shared" ca="1" si="100"/>
        <v>0.9796482430504434</v>
      </c>
      <c r="E564" s="3">
        <f t="shared" ca="1" si="100"/>
        <v>0.15680238727862372</v>
      </c>
      <c r="F564" s="3">
        <f t="shared" ca="1" si="100"/>
        <v>0.8202958238445851</v>
      </c>
      <c r="G564" s="36">
        <f t="shared" ca="1" si="92"/>
        <v>57969.842574809387</v>
      </c>
      <c r="H564" s="37">
        <f t="shared" ca="1" si="93"/>
        <v>0.14799948614078706</v>
      </c>
      <c r="I564" s="37">
        <f t="shared" ca="1" si="94"/>
        <v>0.11192995525176092</v>
      </c>
      <c r="J564" s="38">
        <f t="shared" ca="1" si="95"/>
        <v>2.1200085259626328E-2</v>
      </c>
      <c r="K564" s="36">
        <f t="shared" ca="1" si="96"/>
        <v>2100.7398637216443</v>
      </c>
      <c r="L564" s="36">
        <f ca="1">Assumptions!$C$10*Assumptions!$C$13*I564*Assumptions!$C$15</f>
        <v>7762.77289653751</v>
      </c>
      <c r="M564" s="36">
        <f ca="1">G564*(1+H564*Assumptions!$C$6)*(1+J564)+L564+K564</f>
        <v>70814.599578295543</v>
      </c>
    </row>
    <row r="565" spans="1:13" x14ac:dyDescent="0.25">
      <c r="A565" s="3">
        <v>552</v>
      </c>
      <c r="B565" s="3">
        <f t="shared" ca="1" si="100"/>
        <v>0.89511971022446768</v>
      </c>
      <c r="C565" s="3">
        <f t="shared" ca="1" si="100"/>
        <v>0.66954988825506978</v>
      </c>
      <c r="D565" s="3">
        <f t="shared" ca="1" si="100"/>
        <v>0.24371949616019306</v>
      </c>
      <c r="E565" s="3">
        <f t="shared" ca="1" si="100"/>
        <v>0.45083719068218031</v>
      </c>
      <c r="F565" s="3">
        <f t="shared" ca="1" si="100"/>
        <v>0.39042960339708999</v>
      </c>
      <c r="G565" s="36">
        <f t="shared" ca="1" si="92"/>
        <v>58341.461773225608</v>
      </c>
      <c r="H565" s="37">
        <f t="shared" ca="1" si="93"/>
        <v>0.15319987011654643</v>
      </c>
      <c r="I565" s="37">
        <f t="shared" ca="1" si="94"/>
        <v>6.7926732492588848E-2</v>
      </c>
      <c r="J565" s="38">
        <f t="shared" ca="1" si="95"/>
        <v>2.8991307289013682E-2</v>
      </c>
      <c r="K565" s="36">
        <f t="shared" ca="1" si="96"/>
        <v>1325.4935742156222</v>
      </c>
      <c r="L565" s="36">
        <f ca="1">Assumptions!$C$10*Assumptions!$C$13*I565*Assumptions!$C$15</f>
        <v>4710.9801550244692</v>
      </c>
      <c r="M565" s="36">
        <f ca="1">G565*(1+H565*Assumptions!$C$6)*(1+J565)+L565+K565</f>
        <v>67908.735928036345</v>
      </c>
    </row>
    <row r="566" spans="1:13" x14ac:dyDescent="0.25">
      <c r="A566" s="3">
        <v>553</v>
      </c>
      <c r="B566" s="3">
        <f t="shared" ca="1" si="100"/>
        <v>0.94234007086373683</v>
      </c>
      <c r="C566" s="3">
        <f t="shared" ca="1" si="100"/>
        <v>0.3782793055909256</v>
      </c>
      <c r="D566" s="3">
        <f t="shared" ca="1" si="100"/>
        <v>8.0850013492831274E-2</v>
      </c>
      <c r="E566" s="3">
        <f t="shared" ca="1" si="100"/>
        <v>0.63876140497438261</v>
      </c>
      <c r="F566" s="3">
        <f t="shared" ca="1" si="100"/>
        <v>0.3883143578820647</v>
      </c>
      <c r="G566" s="36">
        <f t="shared" ca="1" si="92"/>
        <v>58446.929191587129</v>
      </c>
      <c r="H566" s="37">
        <f t="shared" ca="1" si="93"/>
        <v>0.12094021740097582</v>
      </c>
      <c r="I566" s="37">
        <f t="shared" ca="1" si="94"/>
        <v>5.6084776752478104E-2</v>
      </c>
      <c r="J566" s="38">
        <f t="shared" ca="1" si="95"/>
        <v>3.3000268354456477E-2</v>
      </c>
      <c r="K566" s="36">
        <f t="shared" ca="1" si="96"/>
        <v>1321.8981089589663</v>
      </c>
      <c r="L566" s="36">
        <f ca="1">Assumptions!$C$10*Assumptions!$C$13*I566*Assumptions!$C$15</f>
        <v>3889.6949784641733</v>
      </c>
      <c r="M566" s="36">
        <f ca="1">G566*(1+H566*Assumptions!$C$6)*(1+J566)+L566+K566</f>
        <v>67047.656527304585</v>
      </c>
    </row>
    <row r="567" spans="1:13" x14ac:dyDescent="0.25">
      <c r="A567" s="3">
        <v>554</v>
      </c>
      <c r="B567" s="3">
        <f t="shared" ca="1" si="100"/>
        <v>6.9396913012179651E-2</v>
      </c>
      <c r="C567" s="3">
        <f t="shared" ca="1" si="100"/>
        <v>0.57233495901445186</v>
      </c>
      <c r="D567" s="3">
        <f t="shared" ca="1" si="100"/>
        <v>2.6030465988983065E-2</v>
      </c>
      <c r="E567" s="3">
        <f t="shared" ca="1" si="100"/>
        <v>0.83905072497256594</v>
      </c>
      <c r="F567" s="3">
        <f t="shared" ca="1" si="100"/>
        <v>0.45142326061620031</v>
      </c>
      <c r="G567" s="36">
        <f t="shared" ca="1" si="92"/>
        <v>57380.50441461322</v>
      </c>
      <c r="H567" s="37">
        <f t="shared" ca="1" si="93"/>
        <v>0.14125404851605056</v>
      </c>
      <c r="I567" s="37">
        <f t="shared" ca="1" si="94"/>
        <v>4.912674592419148E-2</v>
      </c>
      <c r="J567" s="38">
        <f t="shared" ca="1" si="95"/>
        <v>3.8652779193919455E-2</v>
      </c>
      <c r="K567" s="36">
        <f t="shared" ca="1" si="96"/>
        <v>1425.2735431393164</v>
      </c>
      <c r="L567" s="36">
        <f ca="1">Assumptions!$C$10*Assumptions!$C$13*I567*Assumptions!$C$15</f>
        <v>3407.128778865464</v>
      </c>
      <c r="M567" s="36">
        <f ca="1">G567*(1+H567*Assumptions!$C$6)*(1+J567)+L567+K567</f>
        <v>66114.526336609561</v>
      </c>
    </row>
    <row r="568" spans="1:13" x14ac:dyDescent="0.25">
      <c r="A568" s="3">
        <v>555</v>
      </c>
      <c r="B568" s="3">
        <f t="shared" ca="1" si="100"/>
        <v>0.55208527660556306</v>
      </c>
      <c r="C568" s="3">
        <f t="shared" ca="1" si="100"/>
        <v>0.81579298156074576</v>
      </c>
      <c r="D568" s="3">
        <f t="shared" ca="1" si="100"/>
        <v>0.81206805303542928</v>
      </c>
      <c r="E568" s="3">
        <f t="shared" ca="1" si="100"/>
        <v>0.2481534947838272</v>
      </c>
      <c r="F568" s="3">
        <f t="shared" ca="1" si="100"/>
        <v>0.46115319508008434</v>
      </c>
      <c r="G568" s="36">
        <f t="shared" ca="1" si="92"/>
        <v>57906.362900235777</v>
      </c>
      <c r="H568" s="37">
        <f t="shared" ca="1" si="93"/>
        <v>0.17519321007475375</v>
      </c>
      <c r="I568" s="37">
        <f t="shared" ca="1" si="94"/>
        <v>9.5476904145548297E-2</v>
      </c>
      <c r="J568" s="38">
        <f t="shared" ca="1" si="95"/>
        <v>2.4089811774011094E-2</v>
      </c>
      <c r="K568" s="36">
        <f t="shared" ca="1" si="96"/>
        <v>1440.5517616039972</v>
      </c>
      <c r="L568" s="36">
        <f ca="1">Assumptions!$C$10*Assumptions!$C$13*I568*Assumptions!$C$15</f>
        <v>6621.6905213558712</v>
      </c>
      <c r="M568" s="36">
        <f ca="1">G568*(1+H568*Assumptions!$C$6)*(1+J568)+L568+K568</f>
        <v>69441.396158236021</v>
      </c>
    </row>
    <row r="569" spans="1:13" x14ac:dyDescent="0.25">
      <c r="A569" s="3">
        <v>556</v>
      </c>
      <c r="B569" s="3">
        <f t="shared" ca="1" si="100"/>
        <v>0.75976248111140132</v>
      </c>
      <c r="C569" s="3">
        <f t="shared" ca="1" si="100"/>
        <v>0.48844875609228289</v>
      </c>
      <c r="D569" s="3">
        <f t="shared" ca="1" si="100"/>
        <v>6.6823249328269663E-2</v>
      </c>
      <c r="E569" s="3">
        <f t="shared" ca="1" si="100"/>
        <v>0.16586927068689583</v>
      </c>
      <c r="F569" s="3">
        <f t="shared" ca="1" si="100"/>
        <v>0.83132063070635376</v>
      </c>
      <c r="G569" s="36">
        <f t="shared" ca="1" si="92"/>
        <v>58131.996762261377</v>
      </c>
      <c r="H569" s="37">
        <f t="shared" ca="1" si="93"/>
        <v>0.13200292429377564</v>
      </c>
      <c r="I569" s="37">
        <f t="shared" ca="1" si="94"/>
        <v>5.4623077577940389E-2</v>
      </c>
      <c r="J569" s="38">
        <f t="shared" ca="1" si="95"/>
        <v>2.1519349658271368E-2</v>
      </c>
      <c r="K569" s="36">
        <f t="shared" ca="1" si="96"/>
        <v>2128.7611338895586</v>
      </c>
      <c r="L569" s="36">
        <f ca="1">Assumptions!$C$10*Assumptions!$C$13*I569*Assumptions!$C$15</f>
        <v>3788.3205187900808</v>
      </c>
      <c r="M569" s="36">
        <f ca="1">G569*(1+H569*Assumptions!$C$6)*(1+J569)+L569+K569</f>
        <v>66867.786041756146</v>
      </c>
    </row>
    <row r="570" spans="1:13" x14ac:dyDescent="0.25">
      <c r="A570" s="3">
        <v>557</v>
      </c>
      <c r="B570" s="3">
        <f t="shared" ca="1" si="100"/>
        <v>0.41386948618094499</v>
      </c>
      <c r="C570" s="3">
        <f t="shared" ca="1" si="100"/>
        <v>0.60445916311885772</v>
      </c>
      <c r="D570" s="3">
        <f t="shared" ca="1" si="100"/>
        <v>0.90734466970041883</v>
      </c>
      <c r="E570" s="3">
        <f t="shared" ca="1" si="100"/>
        <v>0.65177551404632816</v>
      </c>
      <c r="F570" s="3">
        <f t="shared" ca="1" si="100"/>
        <v>0.32681148974735863</v>
      </c>
      <c r="G570" s="36">
        <f t="shared" ca="1" si="92"/>
        <v>57785.016966912852</v>
      </c>
      <c r="H570" s="37">
        <f t="shared" ca="1" si="93"/>
        <v>0.14503510606076556</v>
      </c>
      <c r="I570" s="37">
        <f t="shared" ca="1" si="94"/>
        <v>0.102780910100744</v>
      </c>
      <c r="J570" s="38">
        <f t="shared" ca="1" si="95"/>
        <v>3.3309296337094188E-2</v>
      </c>
      <c r="K570" s="36">
        <f t="shared" ca="1" si="96"/>
        <v>1212.7042936607068</v>
      </c>
      <c r="L570" s="36">
        <f ca="1">Assumptions!$C$10*Assumptions!$C$13*I570*Assumptions!$C$15</f>
        <v>7128.2514266792905</v>
      </c>
      <c r="M570" s="36">
        <f ca="1">G570*(1+H570*Assumptions!$C$6)*(1+J570)+L570+K570</f>
        <v>69782.754237793954</v>
      </c>
    </row>
    <row r="571" spans="1:13" x14ac:dyDescent="0.25">
      <c r="A571" s="3">
        <v>558</v>
      </c>
      <c r="B571" s="3">
        <f t="shared" ca="1" si="100"/>
        <v>0.17838788238583392</v>
      </c>
      <c r="C571" s="3">
        <f t="shared" ca="1" si="100"/>
        <v>0.55971147181820169</v>
      </c>
      <c r="D571" s="3">
        <f t="shared" ca="1" si="100"/>
        <v>0.16136482927642692</v>
      </c>
      <c r="E571" s="3">
        <f t="shared" ca="1" si="100"/>
        <v>0.59207740050831348</v>
      </c>
      <c r="F571" s="3">
        <f t="shared" ca="1" si="100"/>
        <v>0.17870080746109218</v>
      </c>
      <c r="G571" s="36">
        <f t="shared" ca="1" si="92"/>
        <v>57549.730456385798</v>
      </c>
      <c r="H571" s="37">
        <f t="shared" ca="1" si="93"/>
        <v>0.1398072934663156</v>
      </c>
      <c r="I571" s="37">
        <f t="shared" ca="1" si="94"/>
        <v>6.2723720067026131E-2</v>
      </c>
      <c r="J571" s="38">
        <f t="shared" ca="1" si="95"/>
        <v>3.1935170092321677E-2</v>
      </c>
      <c r="K571" s="36">
        <f t="shared" ca="1" si="96"/>
        <v>896.74613663785294</v>
      </c>
      <c r="L571" s="36">
        <f ca="1">Assumptions!$C$10*Assumptions!$C$13*I571*Assumptions!$C$15</f>
        <v>4350.1312317254424</v>
      </c>
      <c r="M571" s="36">
        <f ca="1">G571*(1+H571*Assumptions!$C$6)*(1+J571)+L571+K571</f>
        <v>66295.03192512806</v>
      </c>
    </row>
    <row r="572" spans="1:13" x14ac:dyDescent="0.25">
      <c r="A572" s="3">
        <v>559</v>
      </c>
      <c r="B572" s="3">
        <f t="shared" ca="1" si="100"/>
        <v>0.11189935313139476</v>
      </c>
      <c r="C572" s="3">
        <f t="shared" ca="1" si="100"/>
        <v>0.65272067355416208</v>
      </c>
      <c r="D572" s="3">
        <f t="shared" ca="1" si="100"/>
        <v>7.1724307236231688E-2</v>
      </c>
      <c r="E572" s="3">
        <f t="shared" ca="1" si="100"/>
        <v>0.17704362044162925</v>
      </c>
      <c r="F572" s="3">
        <f t="shared" ca="1" si="100"/>
        <v>0.55701179603308881</v>
      </c>
      <c r="G572" s="36">
        <f t="shared" ca="1" si="92"/>
        <v>57456.191386085011</v>
      </c>
      <c r="H572" s="37">
        <f t="shared" ca="1" si="93"/>
        <v>0.15101703172536271</v>
      </c>
      <c r="I572" s="37">
        <f t="shared" ca="1" si="94"/>
        <v>5.5149844327779127E-2</v>
      </c>
      <c r="J572" s="38">
        <f t="shared" ca="1" si="95"/>
        <v>2.1901046019291891E-2</v>
      </c>
      <c r="K572" s="36">
        <f t="shared" ca="1" si="96"/>
        <v>1588.1052029803707</v>
      </c>
      <c r="L572" s="36">
        <f ca="1">Assumptions!$C$10*Assumptions!$C$13*I572*Assumptions!$C$15</f>
        <v>3824.8538189173582</v>
      </c>
      <c r="M572" s="36">
        <f ca="1">G572*(1+H572*Assumptions!$C$6)*(1+J572)+L572+K572</f>
        <v>65900.880272361013</v>
      </c>
    </row>
    <row r="573" spans="1:13" x14ac:dyDescent="0.25">
      <c r="A573" s="3">
        <v>560</v>
      </c>
      <c r="B573" s="3">
        <f t="shared" ca="1" si="100"/>
        <v>0.29058953705631507</v>
      </c>
      <c r="C573" s="3">
        <f t="shared" ca="1" si="100"/>
        <v>0.32846996240128623</v>
      </c>
      <c r="D573" s="3">
        <f t="shared" ca="1" si="100"/>
        <v>0.64398828578082801</v>
      </c>
      <c r="E573" s="3">
        <f t="shared" ca="1" si="100"/>
        <v>3.6254597261539678E-2</v>
      </c>
      <c r="F573" s="3">
        <f t="shared" ca="1" si="100"/>
        <v>0.55008843014314612</v>
      </c>
      <c r="G573" s="36">
        <f t="shared" ca="1" si="92"/>
        <v>57673.996984847625</v>
      </c>
      <c r="H573" s="37">
        <f t="shared" ca="1" si="93"/>
        <v>0.11609576764012282</v>
      </c>
      <c r="I573" s="37">
        <f t="shared" ca="1" si="94"/>
        <v>8.6247407721756389E-2</v>
      </c>
      <c r="J573" s="38">
        <f t="shared" ca="1" si="95"/>
        <v>1.5385506272323126E-2</v>
      </c>
      <c r="K573" s="36">
        <f t="shared" ca="1" si="96"/>
        <v>1577.114880127056</v>
      </c>
      <c r="L573" s="36">
        <f ca="1">Assumptions!$C$10*Assumptions!$C$13*I573*Assumptions!$C$15</f>
        <v>5981.5894463027344</v>
      </c>
      <c r="M573" s="36">
        <f ca="1">G573*(1+H573*Assumptions!$C$6)*(1+J573)+L573+K573</f>
        <v>67479.789712467827</v>
      </c>
    </row>
    <row r="574" spans="1:13" x14ac:dyDescent="0.25">
      <c r="A574" s="3">
        <v>561</v>
      </c>
      <c r="B574" s="3">
        <f t="shared" ref="B574:F583" ca="1" si="101">RAND()</f>
        <v>0.1789876271672779</v>
      </c>
      <c r="C574" s="3">
        <f t="shared" ca="1" si="101"/>
        <v>0.66876780421684257</v>
      </c>
      <c r="D574" s="3">
        <f t="shared" ca="1" si="101"/>
        <v>0.54503113055299102</v>
      </c>
      <c r="E574" s="3">
        <f t="shared" ca="1" si="101"/>
        <v>0.14573694508023094</v>
      </c>
      <c r="F574" s="3">
        <f t="shared" ca="1" si="101"/>
        <v>0.49759085056545027</v>
      </c>
      <c r="G574" s="36">
        <f t="shared" ca="1" si="92"/>
        <v>57550.485824874348</v>
      </c>
      <c r="H574" s="37">
        <f t="shared" ca="1" si="93"/>
        <v>0.15309721486709421</v>
      </c>
      <c r="I574" s="37">
        <f t="shared" ca="1" si="94"/>
        <v>8.1843737313116893E-2</v>
      </c>
      <c r="J574" s="38">
        <f t="shared" ca="1" si="95"/>
        <v>2.079766438004927E-2</v>
      </c>
      <c r="K574" s="36">
        <f t="shared" ca="1" si="96"/>
        <v>1496.3819123287096</v>
      </c>
      <c r="L574" s="36">
        <f ca="1">Assumptions!$C$10*Assumptions!$C$13*I574*Assumptions!$C$15</f>
        <v>5676.1779662697063</v>
      </c>
      <c r="M574" s="36">
        <f ca="1">G574*(1+H574*Assumptions!$C$6)*(1+J574)+L574+K574</f>
        <v>67718.774103060787</v>
      </c>
    </row>
    <row r="575" spans="1:13" x14ac:dyDescent="0.25">
      <c r="A575" s="3">
        <v>562</v>
      </c>
      <c r="B575" s="3">
        <f t="shared" ca="1" si="101"/>
        <v>0.86866888925423857</v>
      </c>
      <c r="C575" s="3">
        <f t="shared" ca="1" si="101"/>
        <v>0.6805283203808522</v>
      </c>
      <c r="D575" s="3">
        <f t="shared" ca="1" si="101"/>
        <v>0.98719949378296246</v>
      </c>
      <c r="E575" s="3">
        <f t="shared" ca="1" si="101"/>
        <v>0.49854470994751865</v>
      </c>
      <c r="F575" s="3">
        <f t="shared" ca="1" si="101"/>
        <v>0.45080883840341701</v>
      </c>
      <c r="G575" s="36">
        <f t="shared" ca="1" si="92"/>
        <v>58292.909658281213</v>
      </c>
      <c r="H575" s="37">
        <f t="shared" ca="1" si="93"/>
        <v>0.1546539145870382</v>
      </c>
      <c r="I575" s="37">
        <f t="shared" ca="1" si="94"/>
        <v>0.11359987344699184</v>
      </c>
      <c r="J575" s="38">
        <f t="shared" ca="1" si="95"/>
        <v>2.9970872989381683E-2</v>
      </c>
      <c r="K575" s="36">
        <f t="shared" ca="1" si="96"/>
        <v>1424.3032587252535</v>
      </c>
      <c r="L575" s="36">
        <f ca="1">Assumptions!$C$10*Assumptions!$C$13*I575*Assumptions!$C$15</f>
        <v>7878.5881461390636</v>
      </c>
      <c r="M575" s="36">
        <f ca="1">G575*(1+H575*Assumptions!$C$6)*(1+J575)+L575+K575</f>
        <v>71199.974631667064</v>
      </c>
    </row>
    <row r="576" spans="1:13" x14ac:dyDescent="0.25">
      <c r="A576" s="3">
        <v>563</v>
      </c>
      <c r="B576" s="3">
        <f t="shared" ca="1" si="101"/>
        <v>0.827674130443392</v>
      </c>
      <c r="C576" s="3">
        <f t="shared" ca="1" si="101"/>
        <v>0.14419261408200212</v>
      </c>
      <c r="D576" s="3">
        <f t="shared" ca="1" si="101"/>
        <v>0.43167069573199457</v>
      </c>
      <c r="E576" s="3">
        <f t="shared" ca="1" si="101"/>
        <v>0.62027852790433913</v>
      </c>
      <c r="F576" s="3">
        <f t="shared" ca="1" si="101"/>
        <v>0.20369945336137618</v>
      </c>
      <c r="G576" s="36">
        <f t="shared" ca="1" si="92"/>
        <v>58226.494312475363</v>
      </c>
      <c r="H576" s="37">
        <f t="shared" ca="1" si="93"/>
        <v>9.3792256933054138E-2</v>
      </c>
      <c r="I576" s="37">
        <f t="shared" ca="1" si="94"/>
        <v>7.7166466422601748E-2</v>
      </c>
      <c r="J576" s="38">
        <f t="shared" ca="1" si="95"/>
        <v>3.2570795265516886E-2</v>
      </c>
      <c r="K576" s="36">
        <f t="shared" ca="1" si="96"/>
        <v>957.41711919423756</v>
      </c>
      <c r="L576" s="36">
        <f ca="1">Assumptions!$C$10*Assumptions!$C$13*I576*Assumptions!$C$15</f>
        <v>5351.7912405090556</v>
      </c>
      <c r="M576" s="36">
        <f ca="1">G576*(1+H576*Assumptions!$C$6)*(1+J576)+L576+K576</f>
        <v>67559.999848819367</v>
      </c>
    </row>
    <row r="577" spans="1:13" x14ac:dyDescent="0.25">
      <c r="A577" s="3">
        <v>564</v>
      </c>
      <c r="B577" s="3">
        <f t="shared" ca="1" si="101"/>
        <v>0.65531404828855855</v>
      </c>
      <c r="C577" s="3">
        <f t="shared" ca="1" si="101"/>
        <v>2.1604102604220077E-2</v>
      </c>
      <c r="D577" s="3">
        <f t="shared" ca="1" si="101"/>
        <v>0.98098878173242277</v>
      </c>
      <c r="E577" s="3">
        <f t="shared" ca="1" si="101"/>
        <v>0.97661916336954246</v>
      </c>
      <c r="F577" s="3">
        <f t="shared" ca="1" si="101"/>
        <v>0.89494291556500927</v>
      </c>
      <c r="G577" s="36">
        <f t="shared" ca="1" si="92"/>
        <v>58009.8618103841</v>
      </c>
      <c r="H577" s="37">
        <f t="shared" ca="1" si="93"/>
        <v>6.6950945833083392E-2</v>
      </c>
      <c r="I577" s="37">
        <f t="shared" ca="1" si="94"/>
        <v>0.11220026292390267</v>
      </c>
      <c r="J577" s="38">
        <f t="shared" ca="1" si="95"/>
        <v>4.5675110486455638E-2</v>
      </c>
      <c r="K577" s="36">
        <f t="shared" ca="1" si="96"/>
        <v>2312.4268184713292</v>
      </c>
      <c r="L577" s="36">
        <f ca="1">Assumptions!$C$10*Assumptions!$C$13*I577*Assumptions!$C$15</f>
        <v>7781.5197732454335</v>
      </c>
      <c r="M577" s="36">
        <f ca="1">G577*(1+H577*Assumptions!$C$6)*(1+J577)+L577+K577</f>
        <v>71565.657009669609</v>
      </c>
    </row>
    <row r="578" spans="1:13" x14ac:dyDescent="0.25">
      <c r="A578" s="3">
        <v>565</v>
      </c>
      <c r="B578" s="3">
        <f t="shared" ca="1" si="101"/>
        <v>0.28419319281624855</v>
      </c>
      <c r="C578" s="3">
        <f t="shared" ca="1" si="101"/>
        <v>1.8194718468963145E-2</v>
      </c>
      <c r="D578" s="3">
        <f t="shared" ca="1" si="101"/>
        <v>0.31562799255992224</v>
      </c>
      <c r="E578" s="3">
        <f t="shared" ca="1" si="101"/>
        <v>0.94926937337892769</v>
      </c>
      <c r="F578" s="3">
        <f t="shared" ca="1" si="101"/>
        <v>7.4750243000976546E-2</v>
      </c>
      <c r="G578" s="36">
        <f t="shared" ca="1" si="92"/>
        <v>57667.644533856481</v>
      </c>
      <c r="H578" s="37">
        <f t="shared" ca="1" si="93"/>
        <v>6.5556019916328534E-2</v>
      </c>
      <c r="I578" s="37">
        <f t="shared" ca="1" si="94"/>
        <v>7.1780647825237159E-2</v>
      </c>
      <c r="J578" s="38">
        <f t="shared" ca="1" si="95"/>
        <v>4.3629403379834994E-2</v>
      </c>
      <c r="K578" s="36">
        <f t="shared" ca="1" si="96"/>
        <v>579.97939058590214</v>
      </c>
      <c r="L578" s="36">
        <f ca="1">Assumptions!$C$10*Assumptions!$C$13*I578*Assumptions!$C$15</f>
        <v>4978.2640060949097</v>
      </c>
      <c r="M578" s="36">
        <f ca="1">G578*(1+H578*Assumptions!$C$6)*(1+J578)+L578+K578</f>
        <v>66530.972960386629</v>
      </c>
    </row>
    <row r="579" spans="1:13" x14ac:dyDescent="0.25">
      <c r="A579" s="3">
        <v>566</v>
      </c>
      <c r="B579" s="3">
        <f t="shared" ca="1" si="101"/>
        <v>0.96754728069575247</v>
      </c>
      <c r="C579" s="3">
        <f t="shared" ca="1" si="101"/>
        <v>3.8919530771386102E-2</v>
      </c>
      <c r="D579" s="3">
        <f t="shared" ca="1" si="101"/>
        <v>2.686805417267879E-2</v>
      </c>
      <c r="E579" s="3">
        <f t="shared" ca="1" si="101"/>
        <v>0.38074546198285608</v>
      </c>
      <c r="F579" s="3">
        <f t="shared" ca="1" si="101"/>
        <v>0.4540561334401948</v>
      </c>
      <c r="G579" s="36">
        <f t="shared" ca="1" si="92"/>
        <v>58522.481131163535</v>
      </c>
      <c r="H579" s="37">
        <f t="shared" ca="1" si="93"/>
        <v>7.275147817745993E-2</v>
      </c>
      <c r="I579" s="37">
        <f t="shared" ca="1" si="94"/>
        <v>4.9272420037539941E-2</v>
      </c>
      <c r="J579" s="38">
        <f t="shared" ca="1" si="95"/>
        <v>2.74526894657037E-2</v>
      </c>
      <c r="K579" s="36">
        <f t="shared" ca="1" si="96"/>
        <v>1429.4238701242107</v>
      </c>
      <c r="L579" s="36">
        <f ca="1">Assumptions!$C$10*Assumptions!$C$13*I579*Assumptions!$C$15</f>
        <v>3417.2318389112311</v>
      </c>
      <c r="M579" s="36">
        <f ca="1">G579*(1+H579*Assumptions!$C$6)*(1+J579)+L579+K579</f>
        <v>65850.632240947351</v>
      </c>
    </row>
    <row r="580" spans="1:13" x14ac:dyDescent="0.25">
      <c r="A580" s="3">
        <v>567</v>
      </c>
      <c r="B580" s="3">
        <f t="shared" ca="1" si="101"/>
        <v>0.64474474885227595</v>
      </c>
      <c r="C580" s="3">
        <f t="shared" ca="1" si="101"/>
        <v>0.43405155831286968</v>
      </c>
      <c r="D580" s="3">
        <f t="shared" ca="1" si="101"/>
        <v>0.25302933192174559</v>
      </c>
      <c r="E580" s="3">
        <f t="shared" ca="1" si="101"/>
        <v>0.65692811800326034</v>
      </c>
      <c r="F580" s="3">
        <f t="shared" ca="1" si="101"/>
        <v>4.4248685774079477E-2</v>
      </c>
      <c r="G580" s="36">
        <f t="shared" ca="1" si="92"/>
        <v>57998.608940988794</v>
      </c>
      <c r="H580" s="37">
        <f t="shared" ca="1" si="93"/>
        <v>0.12640587836306594</v>
      </c>
      <c r="I580" s="37">
        <f t="shared" ca="1" si="94"/>
        <v>6.8455120139433362E-2</v>
      </c>
      <c r="J580" s="38">
        <f t="shared" ca="1" si="95"/>
        <v>3.3433240944668999E-2</v>
      </c>
      <c r="K580" s="36">
        <f t="shared" ca="1" si="96"/>
        <v>446.22761678694616</v>
      </c>
      <c r="L580" s="36">
        <f ca="1">Assumptions!$C$10*Assumptions!$C$13*I580*Assumptions!$C$15</f>
        <v>4747.625870593316</v>
      </c>
      <c r="M580" s="36">
        <f ca="1">G580*(1+H580*Assumptions!$C$6)*(1+J580)+L580+K580</f>
        <v>66646.839176168374</v>
      </c>
    </row>
    <row r="581" spans="1:13" x14ac:dyDescent="0.25">
      <c r="A581" s="3">
        <v>568</v>
      </c>
      <c r="B581" s="3">
        <f t="shared" ca="1" si="101"/>
        <v>0.32982589599066914</v>
      </c>
      <c r="C581" s="3">
        <f t="shared" ca="1" si="101"/>
        <v>0.74016593851183277</v>
      </c>
      <c r="D581" s="3">
        <f t="shared" ca="1" si="101"/>
        <v>0.15519878021241429</v>
      </c>
      <c r="E581" s="3">
        <f t="shared" ca="1" si="101"/>
        <v>0.48382463743253712</v>
      </c>
      <c r="F581" s="3">
        <f t="shared" ca="1" si="101"/>
        <v>0.27270346010156743</v>
      </c>
      <c r="G581" s="36">
        <f t="shared" ca="1" si="92"/>
        <v>57711.521879269931</v>
      </c>
      <c r="H581" s="37">
        <f t="shared" ca="1" si="93"/>
        <v>0.16303106729380865</v>
      </c>
      <c r="I581" s="37">
        <f t="shared" ca="1" si="94"/>
        <v>6.228533366767762E-2</v>
      </c>
      <c r="J581" s="38">
        <f t="shared" ca="1" si="95"/>
        <v>2.9673833127940002E-2</v>
      </c>
      <c r="K581" s="36">
        <f t="shared" ca="1" si="96"/>
        <v>1107.7750540868183</v>
      </c>
      <c r="L581" s="36">
        <f ca="1">Assumptions!$C$10*Assumptions!$C$13*I581*Assumptions!$C$15</f>
        <v>4319.7274488290877</v>
      </c>
      <c r="M581" s="36">
        <f ca="1">G581*(1+H581*Assumptions!$C$6)*(1+J581)+L581+K581</f>
        <v>66789.139513577116</v>
      </c>
    </row>
    <row r="582" spans="1:13" x14ac:dyDescent="0.25">
      <c r="A582" s="3">
        <v>569</v>
      </c>
      <c r="B582" s="3">
        <f t="shared" ca="1" si="101"/>
        <v>0.57715782968240215</v>
      </c>
      <c r="C582" s="3">
        <f t="shared" ca="1" si="101"/>
        <v>0.86598694405357068</v>
      </c>
      <c r="D582" s="3">
        <f t="shared" ca="1" si="101"/>
        <v>0.96851087498254673</v>
      </c>
      <c r="E582" s="3">
        <f t="shared" ca="1" si="101"/>
        <v>0.45957311855986105</v>
      </c>
      <c r="F582" s="3">
        <f t="shared" ca="1" si="101"/>
        <v>0.21737774962579737</v>
      </c>
      <c r="G582" s="36">
        <f t="shared" ca="1" si="92"/>
        <v>57930.297744066193</v>
      </c>
      <c r="H582" s="37">
        <f t="shared" ca="1" si="93"/>
        <v>0.18472344370731306</v>
      </c>
      <c r="I582" s="37">
        <f t="shared" ca="1" si="94"/>
        <v>0.10996181290989999</v>
      </c>
      <c r="J582" s="38">
        <f t="shared" ca="1" si="95"/>
        <v>2.9174422933895265E-2</v>
      </c>
      <c r="K582" s="36">
        <f t="shared" ca="1" si="96"/>
        <v>989.03987448236296</v>
      </c>
      <c r="L582" s="36">
        <f ca="1">Assumptions!$C$10*Assumptions!$C$13*I582*Assumptions!$C$15</f>
        <v>7626.274655351217</v>
      </c>
      <c r="M582" s="36">
        <f ca="1">G582*(1+H582*Assumptions!$C$6)*(1+J582)+L582+K582</f>
        <v>70438.351690469921</v>
      </c>
    </row>
    <row r="583" spans="1:13" x14ac:dyDescent="0.25">
      <c r="A583" s="3">
        <v>570</v>
      </c>
      <c r="B583" s="3">
        <f t="shared" ca="1" si="101"/>
        <v>0.26387540433390466</v>
      </c>
      <c r="C583" s="3">
        <f t="shared" ca="1" si="101"/>
        <v>0.52624562128609609</v>
      </c>
      <c r="D583" s="3">
        <f t="shared" ca="1" si="101"/>
        <v>0.1954230058105213</v>
      </c>
      <c r="E583" s="3">
        <f t="shared" ca="1" si="101"/>
        <v>3.054811712374339E-2</v>
      </c>
      <c r="F583" s="3">
        <f t="shared" ca="1" si="101"/>
        <v>9.9824349601646656E-2</v>
      </c>
      <c r="G583" s="36">
        <f t="shared" ca="1" si="92"/>
        <v>57646.977019537655</v>
      </c>
      <c r="H583" s="37">
        <f t="shared" ca="1" si="93"/>
        <v>0.13606925462271999</v>
      </c>
      <c r="I583" s="37">
        <f t="shared" ca="1" si="94"/>
        <v>6.5007071371787378E-2</v>
      </c>
      <c r="J583" s="38">
        <f t="shared" ca="1" si="95"/>
        <v>1.4943530489336009E-2</v>
      </c>
      <c r="K583" s="36">
        <f t="shared" ca="1" si="96"/>
        <v>670.23098496519094</v>
      </c>
      <c r="L583" s="36">
        <f ca="1">Assumptions!$C$10*Assumptions!$C$13*I583*Assumptions!$C$15</f>
        <v>4508.4904268310383</v>
      </c>
      <c r="M583" s="36">
        <f ca="1">G583*(1+H583*Assumptions!$C$6)*(1+J583)+L583+K583</f>
        <v>65279.387383330686</v>
      </c>
    </row>
    <row r="584" spans="1:13" x14ac:dyDescent="0.25">
      <c r="A584" s="3">
        <v>571</v>
      </c>
      <c r="B584" s="3">
        <f t="shared" ref="B584:F593" ca="1" si="102">RAND()</f>
        <v>9.2515737598763415E-2</v>
      </c>
      <c r="C584" s="3">
        <f t="shared" ca="1" si="102"/>
        <v>0.94887370167259744</v>
      </c>
      <c r="D584" s="3">
        <f t="shared" ca="1" si="102"/>
        <v>9.6406552634041853E-3</v>
      </c>
      <c r="E584" s="3">
        <f t="shared" ca="1" si="102"/>
        <v>0.58073128490188641</v>
      </c>
      <c r="F584" s="3">
        <f t="shared" ca="1" si="102"/>
        <v>0.87415573080237752</v>
      </c>
      <c r="G584" s="36">
        <f t="shared" ca="1" si="92"/>
        <v>57423.875004773123</v>
      </c>
      <c r="H584" s="37">
        <f t="shared" ca="1" si="93"/>
        <v>0.20585794965347309</v>
      </c>
      <c r="I584" s="37">
        <f t="shared" ca="1" si="94"/>
        <v>4.5554286348658428E-2</v>
      </c>
      <c r="J584" s="38">
        <f t="shared" ca="1" si="95"/>
        <v>3.1685662117387617E-2</v>
      </c>
      <c r="K584" s="36">
        <f t="shared" ca="1" si="96"/>
        <v>2247.4714547677931</v>
      </c>
      <c r="L584" s="36">
        <f ca="1">Assumptions!$C$10*Assumptions!$C$13*I584*Assumptions!$C$15</f>
        <v>3159.3649670731106</v>
      </c>
      <c r="M584" s="36">
        <f ca="1">G584*(1+H584*Assumptions!$C$6)*(1+J584)+L584+K584</f>
        <v>67089.369425145618</v>
      </c>
    </row>
    <row r="585" spans="1:13" x14ac:dyDescent="0.25">
      <c r="A585" s="3">
        <v>572</v>
      </c>
      <c r="B585" s="3">
        <f t="shared" ca="1" si="102"/>
        <v>0.7058604581014587</v>
      </c>
      <c r="C585" s="3">
        <f t="shared" ca="1" si="102"/>
        <v>9.0542774081417976E-2</v>
      </c>
      <c r="D585" s="3">
        <f t="shared" ca="1" si="102"/>
        <v>0.8630562131720696</v>
      </c>
      <c r="E585" s="3">
        <f t="shared" ca="1" si="102"/>
        <v>0.41372393318715894</v>
      </c>
      <c r="F585" s="3">
        <f t="shared" ca="1" si="102"/>
        <v>0.88976852374606652</v>
      </c>
      <c r="G585" s="36">
        <f t="shared" ca="1" si="92"/>
        <v>58066.235354631179</v>
      </c>
      <c r="H585" s="37">
        <f t="shared" ca="1" si="93"/>
        <v>8.4701857231031005E-2</v>
      </c>
      <c r="I585" s="37">
        <f t="shared" ca="1" si="94"/>
        <v>9.9066292305246606E-2</v>
      </c>
      <c r="J585" s="38">
        <f t="shared" ca="1" si="95"/>
        <v>2.81928322849887E-2</v>
      </c>
      <c r="K585" s="36">
        <f t="shared" ca="1" si="96"/>
        <v>2295.6977615095202</v>
      </c>
      <c r="L585" s="36">
        <f ca="1">Assumptions!$C$10*Assumptions!$C$13*I585*Assumptions!$C$15</f>
        <v>6870.6283955700255</v>
      </c>
      <c r="M585" s="36">
        <f ca="1">G585*(1+H585*Assumptions!$C$6)*(1+J585)+L585+K585</f>
        <v>69881.009004644497</v>
      </c>
    </row>
    <row r="586" spans="1:13" x14ac:dyDescent="0.25">
      <c r="A586" s="3">
        <v>573</v>
      </c>
      <c r="B586" s="3">
        <f t="shared" ca="1" si="102"/>
        <v>2.6618321338116813E-2</v>
      </c>
      <c r="C586" s="3">
        <f t="shared" ca="1" si="102"/>
        <v>0.27849764198734805</v>
      </c>
      <c r="D586" s="3">
        <f t="shared" ca="1" si="102"/>
        <v>0.94745539493803377</v>
      </c>
      <c r="E586" s="3">
        <f t="shared" ca="1" si="102"/>
        <v>0.87668443248231509</v>
      </c>
      <c r="F586" s="3">
        <f t="shared" ca="1" si="102"/>
        <v>0.73458595561642059</v>
      </c>
      <c r="G586" s="36">
        <f t="shared" ca="1" si="92"/>
        <v>57273.724054364575</v>
      </c>
      <c r="H586" s="37">
        <f t="shared" ca="1" si="93"/>
        <v>0.11086064934283671</v>
      </c>
      <c r="I586" s="37">
        <f t="shared" ca="1" si="94"/>
        <v>0.10703301360383639</v>
      </c>
      <c r="J586" s="38">
        <f t="shared" ca="1" si="95"/>
        <v>4.006760582668268E-2</v>
      </c>
      <c r="K586" s="36">
        <f t="shared" ca="1" si="96"/>
        <v>1907.1307490252518</v>
      </c>
      <c r="L586" s="36">
        <f ca="1">Assumptions!$C$10*Assumptions!$C$13*I586*Assumptions!$C$15</f>
        <v>7423.151158862991</v>
      </c>
      <c r="M586" s="36">
        <f ca="1">G586*(1+H586*Assumptions!$C$6)*(1+J586)+L586+K586</f>
        <v>70219.588478908205</v>
      </c>
    </row>
    <row r="587" spans="1:13" x14ac:dyDescent="0.25">
      <c r="A587" s="3">
        <v>574</v>
      </c>
      <c r="B587" s="3">
        <f t="shared" ca="1" si="102"/>
        <v>0.52228321381504239</v>
      </c>
      <c r="C587" s="3">
        <f t="shared" ca="1" si="102"/>
        <v>0.75627601892289831</v>
      </c>
      <c r="D587" s="3">
        <f t="shared" ca="1" si="102"/>
        <v>0.37360573021563714</v>
      </c>
      <c r="E587" s="3">
        <f t="shared" ca="1" si="102"/>
        <v>9.3666684252303622E-2</v>
      </c>
      <c r="F587" s="3">
        <f t="shared" ca="1" si="102"/>
        <v>0.85386102571279199</v>
      </c>
      <c r="G587" s="36">
        <f t="shared" ca="1" si="92"/>
        <v>57878.768622362128</v>
      </c>
      <c r="H587" s="37">
        <f t="shared" ca="1" si="93"/>
        <v>0.16545533708870958</v>
      </c>
      <c r="I587" s="37">
        <f t="shared" ca="1" si="94"/>
        <v>7.4576557617698713E-2</v>
      </c>
      <c r="J587" s="38">
        <f t="shared" ca="1" si="95"/>
        <v>1.8656404992942674E-2</v>
      </c>
      <c r="K587" s="36">
        <f t="shared" ca="1" si="96"/>
        <v>2189.0589514074181</v>
      </c>
      <c r="L587" s="36">
        <f ca="1">Assumptions!$C$10*Assumptions!$C$13*I587*Assumptions!$C$15</f>
        <v>5172.1711037013192</v>
      </c>
      <c r="M587" s="36">
        <f ca="1">G587*(1+H587*Assumptions!$C$6)*(1+J587)+L587+K587</f>
        <v>68270.810717087428</v>
      </c>
    </row>
    <row r="588" spans="1:13" x14ac:dyDescent="0.25">
      <c r="A588" s="3">
        <v>575</v>
      </c>
      <c r="B588" s="3">
        <f t="shared" ca="1" si="102"/>
        <v>0.76644709475339023</v>
      </c>
      <c r="C588" s="3">
        <f t="shared" ca="1" si="102"/>
        <v>0.18490867388287202</v>
      </c>
      <c r="D588" s="3">
        <f t="shared" ca="1" si="102"/>
        <v>9.0070387385760009E-2</v>
      </c>
      <c r="E588" s="3">
        <f t="shared" ca="1" si="102"/>
        <v>0.92829790710361071</v>
      </c>
      <c r="F588" s="3">
        <f t="shared" ca="1" si="102"/>
        <v>0.70063860306417913</v>
      </c>
      <c r="G588" s="36">
        <f t="shared" ca="1" si="92"/>
        <v>58140.647028117477</v>
      </c>
      <c r="H588" s="37">
        <f t="shared" ca="1" si="93"/>
        <v>9.9591182307363857E-2</v>
      </c>
      <c r="I588" s="37">
        <f t="shared" ca="1" si="94"/>
        <v>5.6977197637844479E-2</v>
      </c>
      <c r="J588" s="38">
        <f t="shared" ca="1" si="95"/>
        <v>4.2426250973453677E-2</v>
      </c>
      <c r="K588" s="36">
        <f t="shared" ca="1" si="96"/>
        <v>1839.3423044621666</v>
      </c>
      <c r="L588" s="36">
        <f ca="1">Assumptions!$C$10*Assumptions!$C$13*I588*Assumptions!$C$15</f>
        <v>3951.5877992523519</v>
      </c>
      <c r="M588" s="36">
        <f ca="1">G588*(1+H588*Assumptions!$C$6)*(1+J588)+L588+K588</f>
        <v>67605.45807830953</v>
      </c>
    </row>
    <row r="589" spans="1:13" x14ac:dyDescent="0.25">
      <c r="A589" s="3">
        <v>576</v>
      </c>
      <c r="B589" s="3">
        <f t="shared" ca="1" si="102"/>
        <v>3.477212979558475E-2</v>
      </c>
      <c r="C589" s="3">
        <f t="shared" ca="1" si="102"/>
        <v>0.72300323749914042</v>
      </c>
      <c r="D589" s="3">
        <f t="shared" ca="1" si="102"/>
        <v>0.53039001080562831</v>
      </c>
      <c r="E589" s="3">
        <f t="shared" ca="1" si="102"/>
        <v>0.8964696293619141</v>
      </c>
      <c r="F589" s="3">
        <f t="shared" ca="1" si="102"/>
        <v>0.41678839878308926</v>
      </c>
      <c r="G589" s="36">
        <f t="shared" ca="1" si="92"/>
        <v>57298.557031157914</v>
      </c>
      <c r="H589" s="37">
        <f t="shared" ca="1" si="93"/>
        <v>0.16052971508155015</v>
      </c>
      <c r="I589" s="37">
        <f t="shared" ca="1" si="94"/>
        <v>8.1234655097342567E-2</v>
      </c>
      <c r="J589" s="38">
        <f t="shared" ca="1" si="95"/>
        <v>4.0899214511347461E-2</v>
      </c>
      <c r="K589" s="36">
        <f t="shared" ca="1" si="96"/>
        <v>1369.5064054336881</v>
      </c>
      <c r="L589" s="36">
        <f ca="1">Assumptions!$C$10*Assumptions!$C$13*I589*Assumptions!$C$15</f>
        <v>5633.9357719818499</v>
      </c>
      <c r="M589" s="36">
        <f ca="1">G589*(1+H589*Assumptions!$C$6)*(1+J589)+L589+K589</f>
        <v>68560.328575801279</v>
      </c>
    </row>
    <row r="590" spans="1:13" x14ac:dyDescent="0.25">
      <c r="A590" s="3">
        <v>577</v>
      </c>
      <c r="B590" s="3">
        <f t="shared" ca="1" si="102"/>
        <v>0.29116619072019423</v>
      </c>
      <c r="C590" s="3">
        <f t="shared" ca="1" si="102"/>
        <v>0.93098028299008095</v>
      </c>
      <c r="D590" s="3">
        <f t="shared" ca="1" si="102"/>
        <v>0.38153657507008598</v>
      </c>
      <c r="E590" s="3">
        <f t="shared" ca="1" si="102"/>
        <v>0.48797658305528535</v>
      </c>
      <c r="F590" s="3">
        <f t="shared" ca="1" si="102"/>
        <v>0.8244634954237422</v>
      </c>
      <c r="G590" s="36">
        <f t="shared" ref="G590:G653" ca="1" si="103">IF(B590&lt;($F$5-$E$5)/($G$5-$E$5),$E$5+SQRT(B590*($G$5-$E$5)*($F$5-$E$5)),$G$5-SQRT((1-B590)*($G$5-$E$5)*($G$5-$F$5)))</f>
        <v>57674.566230079901</v>
      </c>
      <c r="H590" s="37">
        <f t="shared" ref="H590:H653" ca="1" si="104">IF(C590&lt;($F$6-$E$6)/($G$6-$E$6),$E$6+SQRT(C590*($G$6-$E$6)*($F$6-$E$6)),$G$6-SQRT((1-C590)*($G$6-$E$6)*($G$6-$F$6)))</f>
        <v>0.20033074808083526</v>
      </c>
      <c r="I590" s="37">
        <f t="shared" ref="I590:I653" ca="1" si="105">IF(D590&lt;($F$7-$E$7)/($G$7-$E$7),$E$7+SQRT(D590*($G$7-$E$7)*($F$7-$E$7)),$G$7-SQRT((1-D590)*($G$7-$E$7)*($G$7-$F$7)))</f>
        <v>7.4941623319821238E-2</v>
      </c>
      <c r="J590" s="38">
        <f t="shared" ref="J590:J653" ca="1" si="106">IF(E590&lt;($F$8-$E$8)/($G$8-$E$8),$E$8+SQRT(E590*($G$8-$E$8)*($F$8-$E$8)),$G$8-SQRT((1-E590)*($G$8-$E$8)*($G$8-$F$8)))</f>
        <v>2.9758068388489503E-2</v>
      </c>
      <c r="K590" s="36">
        <f t="shared" ref="K590:K653" ca="1" si="107">IF(F590&lt;($F$9-$E$9)/($G$9-$E$9),$E$9+SQRT(F590*($G$9-$E$9)*($F$9-$E$9)),$G$9-SQRT((1-F590)*($G$9-$E$9)*($G$9-$F$9)))</f>
        <v>2111.2287861360719</v>
      </c>
      <c r="L590" s="36">
        <f ca="1">Assumptions!$C$10*Assumptions!$C$13*I590*Assumptions!$C$15</f>
        <v>5197.4898142423708</v>
      </c>
      <c r="M590" s="36">
        <f ca="1">G590*(1+H590*Assumptions!$C$6)*(1+J590)+L590+K590</f>
        <v>69079.131195184556</v>
      </c>
    </row>
    <row r="591" spans="1:13" x14ac:dyDescent="0.25">
      <c r="A591" s="3">
        <v>578</v>
      </c>
      <c r="B591" s="3">
        <f t="shared" ca="1" si="102"/>
        <v>0.99508492757700528</v>
      </c>
      <c r="C591" s="3">
        <f t="shared" ca="1" si="102"/>
        <v>0.62585322867772908</v>
      </c>
      <c r="D591" s="3">
        <f t="shared" ca="1" si="102"/>
        <v>0.81623088978450664</v>
      </c>
      <c r="E591" s="3">
        <f t="shared" ca="1" si="102"/>
        <v>0.18026912661147276</v>
      </c>
      <c r="F591" s="3">
        <f t="shared" ca="1" si="102"/>
        <v>0.24269585273146377</v>
      </c>
      <c r="G591" s="36">
        <f t="shared" ca="1" si="103"/>
        <v>58661.091698734148</v>
      </c>
      <c r="H591" s="37">
        <f t="shared" ca="1" si="104"/>
        <v>0.14763904295565264</v>
      </c>
      <c r="I591" s="37">
        <f t="shared" ca="1" si="105"/>
        <v>9.5750027779612223E-2</v>
      </c>
      <c r="J591" s="38">
        <f t="shared" ca="1" si="106"/>
        <v>2.2008967536352914E-2</v>
      </c>
      <c r="K591" s="36">
        <f t="shared" ca="1" si="107"/>
        <v>1045.0508778483404</v>
      </c>
      <c r="L591" s="36">
        <f ca="1">Assumptions!$C$10*Assumptions!$C$13*I591*Assumptions!$C$15</f>
        <v>6640.6326958537202</v>
      </c>
      <c r="M591" s="36">
        <f ca="1">G591*(1+H591*Assumptions!$C$6)*(1+J591)+L591+K591</f>
        <v>69408.101292401057</v>
      </c>
    </row>
    <row r="592" spans="1:13" x14ac:dyDescent="0.25">
      <c r="A592" s="3">
        <v>579</v>
      </c>
      <c r="B592" s="3">
        <f t="shared" ca="1" si="102"/>
        <v>0.8179322293135376</v>
      </c>
      <c r="C592" s="3">
        <f t="shared" ca="1" si="102"/>
        <v>0.50236533056439747</v>
      </c>
      <c r="D592" s="3">
        <f t="shared" ca="1" si="102"/>
        <v>0.39163681449558119</v>
      </c>
      <c r="E592" s="3">
        <f t="shared" ca="1" si="102"/>
        <v>0.85481288164917812</v>
      </c>
      <c r="F592" s="3">
        <f t="shared" ca="1" si="102"/>
        <v>7.9355939602070436E-2</v>
      </c>
      <c r="G592" s="36">
        <f t="shared" ca="1" si="103"/>
        <v>58211.917006573902</v>
      </c>
      <c r="H592" s="37">
        <f t="shared" ca="1" si="104"/>
        <v>0.13348206506352212</v>
      </c>
      <c r="I592" s="37">
        <f t="shared" ca="1" si="105"/>
        <v>7.5401098943194689E-2</v>
      </c>
      <c r="J592" s="38">
        <f t="shared" ca="1" si="106"/>
        <v>3.9222723225199353E-2</v>
      </c>
      <c r="K592" s="36">
        <f t="shared" ca="1" si="107"/>
        <v>597.57989274181318</v>
      </c>
      <c r="L592" s="36">
        <f ca="1">Assumptions!$C$10*Assumptions!$C$13*I592*Assumptions!$C$15</f>
        <v>5229.356215937255</v>
      </c>
      <c r="M592" s="36">
        <f ca="1">G592*(1+H592*Assumptions!$C$6)*(1+J592)+L592+K592</f>
        <v>67937.086451736672</v>
      </c>
    </row>
    <row r="593" spans="1:13" x14ac:dyDescent="0.25">
      <c r="A593" s="3">
        <v>580</v>
      </c>
      <c r="B593" s="3">
        <f t="shared" ca="1" si="102"/>
        <v>0.7367881734601841</v>
      </c>
      <c r="C593" s="3">
        <f t="shared" ca="1" si="102"/>
        <v>0.76336525959317847</v>
      </c>
      <c r="D593" s="3">
        <f t="shared" ca="1" si="102"/>
        <v>0.12870735334982375</v>
      </c>
      <c r="E593" s="3">
        <f t="shared" ca="1" si="102"/>
        <v>0.6956828782161798</v>
      </c>
      <c r="F593" s="3">
        <f t="shared" ca="1" si="102"/>
        <v>0.48838312764778058</v>
      </c>
      <c r="G593" s="36">
        <f t="shared" ca="1" si="103"/>
        <v>58103.148931836469</v>
      </c>
      <c r="H593" s="37">
        <f t="shared" ca="1" si="104"/>
        <v>0.16654748417327331</v>
      </c>
      <c r="I593" s="37">
        <f t="shared" ca="1" si="105"/>
        <v>6.0294421172318174E-2</v>
      </c>
      <c r="J593" s="38">
        <f t="shared" ca="1" si="106"/>
        <v>3.4396997166344673E-2</v>
      </c>
      <c r="K593" s="36">
        <f t="shared" ca="1" si="107"/>
        <v>1482.4722845351992</v>
      </c>
      <c r="L593" s="36">
        <f ca="1">Assumptions!$C$10*Assumptions!$C$13*I593*Assumptions!$C$15</f>
        <v>4181.6500099201585</v>
      </c>
      <c r="M593" s="36">
        <f ca="1">G593*(1+H593*Assumptions!$C$6)*(1+J593)+L593+K593</f>
        <v>67767.803220186921</v>
      </c>
    </row>
    <row r="594" spans="1:13" x14ac:dyDescent="0.25">
      <c r="A594" s="3">
        <v>581</v>
      </c>
      <c r="B594" s="3">
        <f t="shared" ref="B594:F603" ca="1" si="108">RAND()</f>
        <v>0.40599519337934031</v>
      </c>
      <c r="C594" s="3">
        <f t="shared" ca="1" si="108"/>
        <v>0.57672284727661727</v>
      </c>
      <c r="D594" s="3">
        <f t="shared" ca="1" si="108"/>
        <v>6.3080533987497356E-3</v>
      </c>
      <c r="E594" s="3">
        <f t="shared" ca="1" si="108"/>
        <v>0.87376675049031749</v>
      </c>
      <c r="F594" s="3">
        <f t="shared" ca="1" si="108"/>
        <v>0.60825774756780793</v>
      </c>
      <c r="G594" s="36">
        <f t="shared" ca="1" si="103"/>
        <v>57778.469096048138</v>
      </c>
      <c r="H594" s="37">
        <f t="shared" ca="1" si="104"/>
        <v>0.14176192651475128</v>
      </c>
      <c r="I594" s="37">
        <f t="shared" ca="1" si="105"/>
        <v>4.4492857762716193E-2</v>
      </c>
      <c r="J594" s="38">
        <f t="shared" ca="1" si="106"/>
        <v>3.9950791095427166E-2</v>
      </c>
      <c r="K594" s="36">
        <f t="shared" ca="1" si="107"/>
        <v>1672.2800988367824</v>
      </c>
      <c r="L594" s="36">
        <f ca="1">Assumptions!$C$10*Assumptions!$C$13*I594*Assumptions!$C$15</f>
        <v>3085.7508122203781</v>
      </c>
      <c r="M594" s="36">
        <f ca="1">G594*(1+H594*Assumptions!$C$6)*(1+J594)+L594+K594</f>
        <v>66548.398658589853</v>
      </c>
    </row>
    <row r="595" spans="1:13" x14ac:dyDescent="0.25">
      <c r="A595" s="3">
        <v>582</v>
      </c>
      <c r="B595" s="3">
        <f t="shared" ca="1" si="108"/>
        <v>0.89206598005133575</v>
      </c>
      <c r="C595" s="3">
        <f t="shared" ca="1" si="108"/>
        <v>0.47674200479186024</v>
      </c>
      <c r="D595" s="3">
        <f t="shared" ca="1" si="108"/>
        <v>0.47915439708348306</v>
      </c>
      <c r="E595" s="3">
        <f t="shared" ca="1" si="108"/>
        <v>0.26122905742770042</v>
      </c>
      <c r="F595" s="3">
        <f t="shared" ca="1" si="108"/>
        <v>0.19976532990053464</v>
      </c>
      <c r="G595" s="36">
        <f t="shared" ca="1" si="103"/>
        <v>58335.565509473563</v>
      </c>
      <c r="H595" s="37">
        <f t="shared" ca="1" si="104"/>
        <v>0.13077416839068889</v>
      </c>
      <c r="I595" s="37">
        <f t="shared" ca="1" si="105"/>
        <v>7.9157299072677961E-2</v>
      </c>
      <c r="J595" s="38">
        <f t="shared" ca="1" si="106"/>
        <v>2.4456252831981058E-2</v>
      </c>
      <c r="K595" s="36">
        <f t="shared" ca="1" si="107"/>
        <v>948.12656568224361</v>
      </c>
      <c r="L595" s="36">
        <f ca="1">Assumptions!$C$10*Assumptions!$C$13*I595*Assumptions!$C$15</f>
        <v>5489.8631418404957</v>
      </c>
      <c r="M595" s="36">
        <f ca="1">G595*(1+H595*Assumptions!$C$6)*(1+J595)+L595+K595</f>
        <v>67763.295868893372</v>
      </c>
    </row>
    <row r="596" spans="1:13" x14ac:dyDescent="0.25">
      <c r="A596" s="3">
        <v>583</v>
      </c>
      <c r="B596" s="3">
        <f t="shared" ca="1" si="108"/>
        <v>0.74368880898796996</v>
      </c>
      <c r="C596" s="3">
        <f t="shared" ca="1" si="108"/>
        <v>0.46917729232587191</v>
      </c>
      <c r="D596" s="3">
        <f t="shared" ca="1" si="108"/>
        <v>0.89019032032132428</v>
      </c>
      <c r="E596" s="3">
        <f t="shared" ca="1" si="108"/>
        <v>0.7701110766942969</v>
      </c>
      <c r="F596" s="3">
        <f t="shared" ca="1" si="108"/>
        <v>0.14195782263341383</v>
      </c>
      <c r="G596" s="36">
        <f t="shared" ca="1" si="103"/>
        <v>58111.676628581838</v>
      </c>
      <c r="H596" s="37">
        <f t="shared" ca="1" si="104"/>
        <v>0.12998746555519175</v>
      </c>
      <c r="I596" s="37">
        <f t="shared" ca="1" si="105"/>
        <v>0.10125457455879536</v>
      </c>
      <c r="J596" s="38">
        <f t="shared" ca="1" si="106"/>
        <v>3.6438615902329052E-2</v>
      </c>
      <c r="K596" s="36">
        <f t="shared" ca="1" si="107"/>
        <v>799.25603022458472</v>
      </c>
      <c r="L596" s="36">
        <f ca="1">Assumptions!$C$10*Assumptions!$C$13*I596*Assumptions!$C$15</f>
        <v>7022.3941863238379</v>
      </c>
      <c r="M596" s="36">
        <f ca="1">G596*(1+H596*Assumptions!$C$6)*(1+J596)+L596+K596</f>
        <v>69616.643749368697</v>
      </c>
    </row>
    <row r="597" spans="1:13" x14ac:dyDescent="0.25">
      <c r="A597" s="3">
        <v>584</v>
      </c>
      <c r="B597" s="3">
        <f t="shared" ca="1" si="108"/>
        <v>0.96704982227382452</v>
      </c>
      <c r="C597" s="3">
        <f t="shared" ca="1" si="108"/>
        <v>0.44105986712918221</v>
      </c>
      <c r="D597" s="3">
        <f t="shared" ca="1" si="108"/>
        <v>0.3787549229623669</v>
      </c>
      <c r="E597" s="3">
        <f t="shared" ca="1" si="108"/>
        <v>0.69535400333369912</v>
      </c>
      <c r="F597" s="3">
        <f t="shared" ca="1" si="108"/>
        <v>2.259369959289903E-2</v>
      </c>
      <c r="G597" s="36">
        <f t="shared" ca="1" si="103"/>
        <v>58520.74853674003</v>
      </c>
      <c r="H597" s="37">
        <f t="shared" ca="1" si="104"/>
        <v>0.12711140434280066</v>
      </c>
      <c r="I597" s="37">
        <f t="shared" ca="1" si="105"/>
        <v>7.4814016623761956E-2</v>
      </c>
      <c r="J597" s="38">
        <f t="shared" ca="1" si="106"/>
        <v>3.4388568376569666E-2</v>
      </c>
      <c r="K597" s="36">
        <f t="shared" ca="1" si="107"/>
        <v>318.8599193502464</v>
      </c>
      <c r="L597" s="36">
        <f ca="1">Assumptions!$C$10*Assumptions!$C$13*I597*Assumptions!$C$15</f>
        <v>5188.639799075675</v>
      </c>
      <c r="M597" s="36">
        <f ca="1">G597*(1+H597*Assumptions!$C$6)*(1+J597)+L597+K597</f>
        <v>67579.584859593902</v>
      </c>
    </row>
    <row r="598" spans="1:13" x14ac:dyDescent="0.25">
      <c r="A598" s="3">
        <v>585</v>
      </c>
      <c r="B598" s="3">
        <f t="shared" ca="1" si="108"/>
        <v>0.12514613665018048</v>
      </c>
      <c r="C598" s="3">
        <f t="shared" ca="1" si="108"/>
        <v>4.6674071053812272E-2</v>
      </c>
      <c r="D598" s="3">
        <f t="shared" ca="1" si="108"/>
        <v>0.43206213382975533</v>
      </c>
      <c r="E598" s="3">
        <f t="shared" ca="1" si="108"/>
        <v>0.3332968068999933</v>
      </c>
      <c r="F598" s="3">
        <f t="shared" ca="1" si="108"/>
        <v>0.43490723555009081</v>
      </c>
      <c r="G598" s="36">
        <f t="shared" ca="1" si="103"/>
        <v>57476.685018795841</v>
      </c>
      <c r="H598" s="37">
        <f t="shared" ca="1" si="104"/>
        <v>7.491515894020552E-2</v>
      </c>
      <c r="I598" s="37">
        <f t="shared" ca="1" si="105"/>
        <v>7.7183313841765328E-2</v>
      </c>
      <c r="J598" s="38">
        <f t="shared" ca="1" si="106"/>
        <v>2.6329036882804649E-2</v>
      </c>
      <c r="K598" s="36">
        <f t="shared" ca="1" si="107"/>
        <v>1398.9576691149052</v>
      </c>
      <c r="L598" s="36">
        <f ca="1">Assumptions!$C$10*Assumptions!$C$13*I598*Assumptions!$C$15</f>
        <v>5352.9596738258169</v>
      </c>
      <c r="M598" s="36">
        <f ca="1">G598*(1+H598*Assumptions!$C$6)*(1+J598)+L598+K598</f>
        <v>66625.757028509164</v>
      </c>
    </row>
    <row r="599" spans="1:13" x14ac:dyDescent="0.25">
      <c r="A599" s="3">
        <v>586</v>
      </c>
      <c r="B599" s="3">
        <f t="shared" ca="1" si="108"/>
        <v>0.47378806562610865</v>
      </c>
      <c r="C599" s="3">
        <f t="shared" ca="1" si="108"/>
        <v>0.10606211252743036</v>
      </c>
      <c r="D599" s="3">
        <f t="shared" ca="1" si="108"/>
        <v>0.34836950466646999</v>
      </c>
      <c r="E599" s="3">
        <f t="shared" ca="1" si="108"/>
        <v>0.49950478791862951</v>
      </c>
      <c r="F599" s="3">
        <f t="shared" ca="1" si="108"/>
        <v>0.1500095697789271</v>
      </c>
      <c r="G599" s="36">
        <f t="shared" ca="1" si="103"/>
        <v>57835.645607870538</v>
      </c>
      <c r="H599" s="37">
        <f t="shared" ca="1" si="104"/>
        <v>8.7558302632238641E-2</v>
      </c>
      <c r="I599" s="37">
        <f t="shared" ca="1" si="105"/>
        <v>7.338835747581339E-2</v>
      </c>
      <c r="J599" s="38">
        <f t="shared" ca="1" si="106"/>
        <v>2.9990093304807348E-2</v>
      </c>
      <c r="K599" s="36">
        <f t="shared" ca="1" si="107"/>
        <v>821.61004375869936</v>
      </c>
      <c r="L599" s="36">
        <f ca="1">Assumptions!$C$10*Assumptions!$C$13*I599*Assumptions!$C$15</f>
        <v>5089.7648538610265</v>
      </c>
      <c r="M599" s="36">
        <f ca="1">G599*(1+H599*Assumptions!$C$6)*(1+J599)+L599+K599</f>
        <v>66524.689018110454</v>
      </c>
    </row>
    <row r="600" spans="1:13" x14ac:dyDescent="0.25">
      <c r="A600" s="3">
        <v>587</v>
      </c>
      <c r="B600" s="3">
        <f t="shared" ca="1" si="108"/>
        <v>9.4140681372793744E-2</v>
      </c>
      <c r="C600" s="3">
        <f t="shared" ca="1" si="108"/>
        <v>0.35477913929829707</v>
      </c>
      <c r="D600" s="3">
        <f t="shared" ca="1" si="108"/>
        <v>0.32160103819871078</v>
      </c>
      <c r="E600" s="3">
        <f t="shared" ca="1" si="108"/>
        <v>3.2839595102957087E-2</v>
      </c>
      <c r="F600" s="3">
        <f t="shared" ca="1" si="108"/>
        <v>0.10572150432416239</v>
      </c>
      <c r="G600" s="36">
        <f t="shared" ca="1" si="103"/>
        <v>57426.706889781919</v>
      </c>
      <c r="H600" s="37">
        <f t="shared" ca="1" si="104"/>
        <v>0.1186917939252379</v>
      </c>
      <c r="I600" s="37">
        <f t="shared" ca="1" si="105"/>
        <v>7.207995202982502E-2</v>
      </c>
      <c r="J600" s="38">
        <f t="shared" ca="1" si="106"/>
        <v>1.5125590315501782E-2</v>
      </c>
      <c r="K600" s="36">
        <f t="shared" ca="1" si="107"/>
        <v>689.74398834548083</v>
      </c>
      <c r="L600" s="36">
        <f ca="1">Assumptions!$C$10*Assumptions!$C$13*I600*Assumptions!$C$15</f>
        <v>4999.021903853094</v>
      </c>
      <c r="M600" s="36">
        <f ca="1">G600*(1+H600*Assumptions!$C$6)*(1+J600)+L600+K600</f>
        <v>65367.920838835948</v>
      </c>
    </row>
    <row r="601" spans="1:13" x14ac:dyDescent="0.25">
      <c r="A601" s="3">
        <v>588</v>
      </c>
      <c r="B601" s="3">
        <f t="shared" ca="1" si="108"/>
        <v>0.78925100405831261</v>
      </c>
      <c r="C601" s="3">
        <f t="shared" ca="1" si="108"/>
        <v>0.60771785996236272</v>
      </c>
      <c r="D601" s="3">
        <f t="shared" ca="1" si="108"/>
        <v>0.84093129148802148</v>
      </c>
      <c r="E601" s="3">
        <f t="shared" ca="1" si="108"/>
        <v>0.10572412798339181</v>
      </c>
      <c r="F601" s="3">
        <f t="shared" ca="1" si="108"/>
        <v>0.34972731193830342</v>
      </c>
      <c r="G601" s="36">
        <f t="shared" ca="1" si="103"/>
        <v>58171.129406110689</v>
      </c>
      <c r="H601" s="37">
        <f t="shared" ca="1" si="104"/>
        <v>0.14542710328609931</v>
      </c>
      <c r="I601" s="37">
        <f t="shared" ca="1" si="105"/>
        <v>9.7438531359010969E-2</v>
      </c>
      <c r="J601" s="38">
        <f t="shared" ca="1" si="106"/>
        <v>1.9196700625045561E-2</v>
      </c>
      <c r="K601" s="36">
        <f t="shared" ca="1" si="107"/>
        <v>1254.5010576808477</v>
      </c>
      <c r="L601" s="36">
        <f ca="1">Assumptions!$C$10*Assumptions!$C$13*I601*Assumptions!$C$15</f>
        <v>6757.7369133295606</v>
      </c>
      <c r="M601" s="36">
        <f ca="1">G601*(1+H601*Assumptions!$C$6)*(1+J601)+L601+K601</f>
        <v>69024.472409878523</v>
      </c>
    </row>
    <row r="602" spans="1:13" x14ac:dyDescent="0.25">
      <c r="A602" s="3">
        <v>589</v>
      </c>
      <c r="B602" s="3">
        <f t="shared" ca="1" si="108"/>
        <v>0.50905541637772578</v>
      </c>
      <c r="C602" s="3">
        <f t="shared" ca="1" si="108"/>
        <v>8.0425098530295114E-2</v>
      </c>
      <c r="D602" s="3">
        <f t="shared" ca="1" si="108"/>
        <v>0.10846965510076212</v>
      </c>
      <c r="E602" s="3">
        <f t="shared" ca="1" si="108"/>
        <v>0.13359525110065429</v>
      </c>
      <c r="F602" s="3">
        <f t="shared" ca="1" si="108"/>
        <v>2.620740828413104E-2</v>
      </c>
      <c r="G602" s="36">
        <f t="shared" ca="1" si="103"/>
        <v>57866.797161602582</v>
      </c>
      <c r="H602" s="37">
        <f t="shared" ca="1" si="104"/>
        <v>8.2705562377872743E-2</v>
      </c>
      <c r="I602" s="37">
        <f t="shared" ca="1" si="105"/>
        <v>5.8630697687484461E-2</v>
      </c>
      <c r="J602" s="38">
        <f t="shared" ca="1" si="106"/>
        <v>2.0338094644591111E-2</v>
      </c>
      <c r="K602" s="36">
        <f t="shared" ca="1" si="107"/>
        <v>343.41423569588619</v>
      </c>
      <c r="L602" s="36">
        <f ca="1">Assumptions!$C$10*Assumptions!$C$13*I602*Assumptions!$C$15</f>
        <v>4066.2643873104598</v>
      </c>
      <c r="M602" s="36">
        <f ca="1">G602*(1+H602*Assumptions!$C$6)*(1+J602)+L602+K602</f>
        <v>64430.024624359081</v>
      </c>
    </row>
    <row r="603" spans="1:13" x14ac:dyDescent="0.25">
      <c r="A603" s="3">
        <v>590</v>
      </c>
      <c r="B603" s="3">
        <f t="shared" ca="1" si="108"/>
        <v>0.30056295434923042</v>
      </c>
      <c r="C603" s="3">
        <f t="shared" ca="1" si="108"/>
        <v>0.31686352361658787</v>
      </c>
      <c r="D603" s="3">
        <f t="shared" ca="1" si="108"/>
        <v>0.58032190597814226</v>
      </c>
      <c r="E603" s="3">
        <f t="shared" ca="1" si="108"/>
        <v>0.62406961833172747</v>
      </c>
      <c r="F603" s="3">
        <f t="shared" ca="1" si="108"/>
        <v>0.71941899753448901</v>
      </c>
      <c r="G603" s="36">
        <f t="shared" ca="1" si="103"/>
        <v>57683.76405503726</v>
      </c>
      <c r="H603" s="37">
        <f t="shared" ca="1" si="104"/>
        <v>0.11491752355181627</v>
      </c>
      <c r="I603" s="37">
        <f t="shared" ca="1" si="105"/>
        <v>8.3353446262029701E-2</v>
      </c>
      <c r="J603" s="38">
        <f t="shared" ca="1" si="106"/>
        <v>3.2658018990478106E-2</v>
      </c>
      <c r="K603" s="36">
        <f t="shared" ca="1" si="107"/>
        <v>1876.3387916748218</v>
      </c>
      <c r="L603" s="36">
        <f ca="1">Assumptions!$C$10*Assumptions!$C$13*I603*Assumptions!$C$15</f>
        <v>5780.8820884496909</v>
      </c>
      <c r="M603" s="36">
        <f ca="1">G603*(1+H603*Assumptions!$C$6)*(1+J603)+L603+K603</f>
        <v>68593.894647164198</v>
      </c>
    </row>
    <row r="604" spans="1:13" x14ac:dyDescent="0.25">
      <c r="A604" s="3">
        <v>591</v>
      </c>
      <c r="B604" s="3">
        <f t="shared" ref="B604:F613" ca="1" si="109">RAND()</f>
        <v>0.96184577855621312</v>
      </c>
      <c r="C604" s="3">
        <f t="shared" ca="1" si="109"/>
        <v>0.16847161084758222</v>
      </c>
      <c r="D604" s="3">
        <f t="shared" ca="1" si="109"/>
        <v>0.244928506474131</v>
      </c>
      <c r="E604" s="3">
        <f t="shared" ca="1" si="109"/>
        <v>0.80980764431359742</v>
      </c>
      <c r="F604" s="3">
        <f t="shared" ca="1" si="109"/>
        <v>0.19114653219555555</v>
      </c>
      <c r="G604" s="36">
        <f t="shared" ca="1" si="103"/>
        <v>58503.353732088159</v>
      </c>
      <c r="H604" s="37">
        <f t="shared" ca="1" si="104"/>
        <v>9.7335741509696913E-2</v>
      </c>
      <c r="I604" s="37">
        <f t="shared" ca="1" si="105"/>
        <v>6.799591435758473E-2</v>
      </c>
      <c r="J604" s="38">
        <f t="shared" ca="1" si="106"/>
        <v>3.76649327302555E-2</v>
      </c>
      <c r="K604" s="36">
        <f t="shared" ca="1" si="107"/>
        <v>927.4477855275735</v>
      </c>
      <c r="L604" s="36">
        <f ca="1">Assumptions!$C$10*Assumptions!$C$13*I604*Assumptions!$C$15</f>
        <v>4715.7781834460302</v>
      </c>
      <c r="M604" s="36">
        <f ca="1">G604*(1+H604*Assumptions!$C$6)*(1+J604)+L604+K604</f>
        <v>67531.894392819318</v>
      </c>
    </row>
    <row r="605" spans="1:13" x14ac:dyDescent="0.25">
      <c r="A605" s="3">
        <v>592</v>
      </c>
      <c r="B605" s="3">
        <f t="shared" ca="1" si="109"/>
        <v>8.3254295669443756E-4</v>
      </c>
      <c r="C605" s="3">
        <f t="shared" ca="1" si="109"/>
        <v>3.2996728761056193E-2</v>
      </c>
      <c r="D605" s="3">
        <f t="shared" ca="1" si="109"/>
        <v>0.79972045119884583</v>
      </c>
      <c r="E605" s="3">
        <f t="shared" ca="1" si="109"/>
        <v>0.47156306507973078</v>
      </c>
      <c r="F605" s="3">
        <f t="shared" ca="1" si="109"/>
        <v>0.64940164796974353</v>
      </c>
      <c r="G605" s="36">
        <f t="shared" ca="1" si="103"/>
        <v>57130.723659977702</v>
      </c>
      <c r="H605" s="37">
        <f t="shared" ca="1" si="104"/>
        <v>7.0948901940723466E-2</v>
      </c>
      <c r="I605" s="37">
        <f t="shared" ca="1" si="105"/>
        <v>9.4684104673867578E-2</v>
      </c>
      <c r="J605" s="38">
        <f t="shared" ca="1" si="106"/>
        <v>2.9422936236928356E-2</v>
      </c>
      <c r="K605" s="36">
        <f t="shared" ca="1" si="107"/>
        <v>1743.937667097626</v>
      </c>
      <c r="L605" s="36">
        <f ca="1">Assumptions!$C$10*Assumptions!$C$13*I605*Assumptions!$C$15</f>
        <v>6566.7068287660768</v>
      </c>
      <c r="M605" s="36">
        <f ca="1">G605*(1+H605*Assumptions!$C$6)*(1+J605)+L605+K605</f>
        <v>67956.846580395344</v>
      </c>
    </row>
    <row r="606" spans="1:13" x14ac:dyDescent="0.25">
      <c r="A606" s="3">
        <v>593</v>
      </c>
      <c r="B606" s="3">
        <f t="shared" ca="1" si="109"/>
        <v>0.3290414254231997</v>
      </c>
      <c r="C606" s="3">
        <f t="shared" ca="1" si="109"/>
        <v>0.40286978404427609</v>
      </c>
      <c r="D606" s="3">
        <f t="shared" ca="1" si="109"/>
        <v>0.70827110063268139</v>
      </c>
      <c r="E606" s="3">
        <f t="shared" ca="1" si="109"/>
        <v>1.4216233877615947E-2</v>
      </c>
      <c r="F606" s="3">
        <f t="shared" ca="1" si="109"/>
        <v>0.83877845367232562</v>
      </c>
      <c r="G606" s="36">
        <f t="shared" ca="1" si="103"/>
        <v>57710.794212783054</v>
      </c>
      <c r="H606" s="37">
        <f t="shared" ca="1" si="104"/>
        <v>0.12331851507719613</v>
      </c>
      <c r="I606" s="37">
        <f t="shared" ca="1" si="105"/>
        <v>8.9446236271525897E-2</v>
      </c>
      <c r="J606" s="38">
        <f t="shared" ca="1" si="106"/>
        <v>1.3372385965765596E-2</v>
      </c>
      <c r="K606" s="36">
        <f t="shared" ca="1" si="107"/>
        <v>2148.2389076304703</v>
      </c>
      <c r="L606" s="36">
        <f ca="1">Assumptions!$C$10*Assumptions!$C$13*I606*Assumptions!$C$15</f>
        <v>6203.4405094159802</v>
      </c>
      <c r="M606" s="36">
        <f ca="1">G606*(1+H606*Assumptions!$C$6)*(1+J606)+L606+K606</f>
        <v>68276.600278234924</v>
      </c>
    </row>
    <row r="607" spans="1:13" x14ac:dyDescent="0.25">
      <c r="A607" s="3">
        <v>594</v>
      </c>
      <c r="B607" s="3">
        <f t="shared" ca="1" si="109"/>
        <v>0.21704044412909229</v>
      </c>
      <c r="C607" s="3">
        <f t="shared" ca="1" si="109"/>
        <v>1.4680528783690083E-2</v>
      </c>
      <c r="D607" s="3">
        <f t="shared" ca="1" si="109"/>
        <v>0.14920724926108131</v>
      </c>
      <c r="E607" s="3">
        <f t="shared" ca="1" si="109"/>
        <v>0.73352090972471973</v>
      </c>
      <c r="F607" s="3">
        <f t="shared" ca="1" si="109"/>
        <v>0.17069177069965091</v>
      </c>
      <c r="G607" s="36">
        <f t="shared" ca="1" si="103"/>
        <v>57596.066568209615</v>
      </c>
      <c r="H607" s="37">
        <f t="shared" ca="1" si="104"/>
        <v>6.3973225569748673E-2</v>
      </c>
      <c r="I607" s="37">
        <f t="shared" ca="1" si="105"/>
        <v>6.1850931276159836E-2</v>
      </c>
      <c r="J607" s="38">
        <f t="shared" ca="1" si="106"/>
        <v>3.5399203027908915E-2</v>
      </c>
      <c r="K607" s="36">
        <f t="shared" ca="1" si="107"/>
        <v>876.42054297490597</v>
      </c>
      <c r="L607" s="36">
        <f ca="1">Assumptions!$C$10*Assumptions!$C$13*I607*Assumptions!$C$15</f>
        <v>4289.5999721989001</v>
      </c>
      <c r="M607" s="36">
        <f ca="1">G607*(1+H607*Assumptions!$C$6)*(1+J607)+L607+K607</f>
        <v>65563.949593436613</v>
      </c>
    </row>
    <row r="608" spans="1:13" x14ac:dyDescent="0.25">
      <c r="A608" s="3">
        <v>595</v>
      </c>
      <c r="B608" s="3">
        <f t="shared" ca="1" si="109"/>
        <v>0.60076868736888811</v>
      </c>
      <c r="C608" s="3">
        <f t="shared" ca="1" si="109"/>
        <v>0.16679379402728323</v>
      </c>
      <c r="D608" s="3">
        <f t="shared" ca="1" si="109"/>
        <v>0.3825792413976602</v>
      </c>
      <c r="E608" s="3">
        <f t="shared" ca="1" si="109"/>
        <v>0.56438332397817625</v>
      </c>
      <c r="F608" s="3">
        <f t="shared" ca="1" si="109"/>
        <v>0.18034471346125347</v>
      </c>
      <c r="G608" s="36">
        <f t="shared" ca="1" si="103"/>
        <v>57953.495005418474</v>
      </c>
      <c r="H608" s="37">
        <f t="shared" ca="1" si="104"/>
        <v>9.7099442253203661E-2</v>
      </c>
      <c r="I608" s="37">
        <f t="shared" ca="1" si="105"/>
        <v>7.4989335124756418E-2</v>
      </c>
      <c r="J608" s="38">
        <f t="shared" ca="1" si="106"/>
        <v>3.1332023655000554E-2</v>
      </c>
      <c r="K608" s="36">
        <f t="shared" ca="1" si="107"/>
        <v>900.86137145270061</v>
      </c>
      <c r="L608" s="36">
        <f ca="1">Assumptions!$C$10*Assumptions!$C$13*I608*Assumptions!$C$15</f>
        <v>5200.7988114215677</v>
      </c>
      <c r="M608" s="36">
        <f ca="1">G608*(1+H608*Assumptions!$C$6)*(1+J608)+L608+K608</f>
        <v>67031.668511838783</v>
      </c>
    </row>
    <row r="609" spans="1:13" x14ac:dyDescent="0.25">
      <c r="A609" s="3">
        <v>596</v>
      </c>
      <c r="B609" s="3">
        <f t="shared" ca="1" si="109"/>
        <v>0.54597019189915441</v>
      </c>
      <c r="C609" s="3">
        <f t="shared" ca="1" si="109"/>
        <v>0.4768401011195833</v>
      </c>
      <c r="D609" s="3">
        <f t="shared" ca="1" si="109"/>
        <v>0.69710985913968149</v>
      </c>
      <c r="E609" s="3">
        <f t="shared" ca="1" si="109"/>
        <v>0.76948084184815524</v>
      </c>
      <c r="F609" s="3">
        <f t="shared" ca="1" si="109"/>
        <v>0.33346597416795232</v>
      </c>
      <c r="G609" s="36">
        <f t="shared" ca="1" si="103"/>
        <v>57900.627674258081</v>
      </c>
      <c r="H609" s="37">
        <f t="shared" ca="1" si="104"/>
        <v>0.13078440727408241</v>
      </c>
      <c r="I609" s="37">
        <f t="shared" ca="1" si="105"/>
        <v>8.8867244729176009E-2</v>
      </c>
      <c r="J609" s="38">
        <f t="shared" ca="1" si="106"/>
        <v>3.6420039524303623E-2</v>
      </c>
      <c r="K609" s="36">
        <f t="shared" ca="1" si="107"/>
        <v>1224.988523928198</v>
      </c>
      <c r="L609" s="36">
        <f ca="1">Assumptions!$C$10*Assumptions!$C$13*I609*Assumptions!$C$15</f>
        <v>6163.2852190634676</v>
      </c>
      <c r="M609" s="36">
        <f ca="1">G609*(1+H609*Assumptions!$C$6)*(1+J609)+L609+K609</f>
        <v>68967.302564414058</v>
      </c>
    </row>
    <row r="610" spans="1:13" x14ac:dyDescent="0.25">
      <c r="A610" s="3">
        <v>597</v>
      </c>
      <c r="B610" s="3">
        <f t="shared" ca="1" si="109"/>
        <v>1.3219724243930808E-2</v>
      </c>
      <c r="C610" s="3">
        <f t="shared" ca="1" si="109"/>
        <v>0.82724940397325597</v>
      </c>
      <c r="D610" s="3">
        <f t="shared" ca="1" si="109"/>
        <v>0.15365539475515932</v>
      </c>
      <c r="E610" s="3">
        <f t="shared" ca="1" si="109"/>
        <v>0.79241726837163406</v>
      </c>
      <c r="F610" s="3">
        <f t="shared" ca="1" si="109"/>
        <v>0.34597136232083014</v>
      </c>
      <c r="G610" s="36">
        <f t="shared" ca="1" si="103"/>
        <v>57222.428019099701</v>
      </c>
      <c r="H610" s="37">
        <f t="shared" ca="1" si="104"/>
        <v>0.17724082864305996</v>
      </c>
      <c r="I610" s="37">
        <f t="shared" ca="1" si="105"/>
        <v>6.2174247748604902E-2</v>
      </c>
      <c r="J610" s="38">
        <f t="shared" ca="1" si="106"/>
        <v>3.7113333041368192E-2</v>
      </c>
      <c r="K610" s="36">
        <f t="shared" ca="1" si="107"/>
        <v>1247.7464207296832</v>
      </c>
      <c r="L610" s="36">
        <f ca="1">Assumptions!$C$10*Assumptions!$C$13*I610*Assumptions!$C$15</f>
        <v>4312.0232130878594</v>
      </c>
      <c r="M610" s="36">
        <f ca="1">G610*(1+H610*Assumptions!$C$6)*(1+J610)+L610+K610</f>
        <v>67009.624595531364</v>
      </c>
    </row>
    <row r="611" spans="1:13" x14ac:dyDescent="0.25">
      <c r="A611" s="3">
        <v>598</v>
      </c>
      <c r="B611" s="3">
        <f t="shared" ca="1" si="109"/>
        <v>0.25425059210121315</v>
      </c>
      <c r="C611" s="3">
        <f t="shared" ca="1" si="109"/>
        <v>7.0213382768384403E-2</v>
      </c>
      <c r="D611" s="3">
        <f t="shared" ca="1" si="109"/>
        <v>0.6131955256439795</v>
      </c>
      <c r="E611" s="3">
        <f t="shared" ca="1" si="109"/>
        <v>0.31203729996276897</v>
      </c>
      <c r="F611" s="3">
        <f t="shared" ca="1" si="109"/>
        <v>0.24000793479505056</v>
      </c>
      <c r="G611" s="36">
        <f t="shared" ca="1" si="103"/>
        <v>57636.908909895566</v>
      </c>
      <c r="H611" s="37">
        <f t="shared" ca="1" si="104"/>
        <v>8.0558762913761947E-2</v>
      </c>
      <c r="I611" s="37">
        <f t="shared" ca="1" si="105"/>
        <v>8.4817983031962682E-2</v>
      </c>
      <c r="J611" s="38">
        <f t="shared" ca="1" si="106"/>
        <v>2.5799678476798669E-2</v>
      </c>
      <c r="K611" s="36">
        <f t="shared" ca="1" si="107"/>
        <v>1039.2476637345535</v>
      </c>
      <c r="L611" s="36">
        <f ca="1">Assumptions!$C$10*Assumptions!$C$13*I611*Assumptions!$C$15</f>
        <v>5882.4533462782729</v>
      </c>
      <c r="M611" s="36">
        <f ca="1">G611*(1+H611*Assumptions!$C$6)*(1+J611)+L611+K611</f>
        <v>66998.213651287049</v>
      </c>
    </row>
    <row r="612" spans="1:13" x14ac:dyDescent="0.25">
      <c r="A612" s="3">
        <v>599</v>
      </c>
      <c r="B612" s="3">
        <f t="shared" ca="1" si="109"/>
        <v>1.2773447085422163E-2</v>
      </c>
      <c r="C612" s="3">
        <f t="shared" ca="1" si="109"/>
        <v>0.56373321817772248</v>
      </c>
      <c r="D612" s="3">
        <f t="shared" ca="1" si="109"/>
        <v>5.2380619605624457E-2</v>
      </c>
      <c r="E612" s="3">
        <f t="shared" ca="1" si="109"/>
        <v>5.877480570956839E-2</v>
      </c>
      <c r="F612" s="3">
        <f t="shared" ca="1" si="109"/>
        <v>0.47897278707842594</v>
      </c>
      <c r="G612" s="36">
        <f t="shared" ca="1" si="103"/>
        <v>57220.343789038881</v>
      </c>
      <c r="H612" s="37">
        <f t="shared" ca="1" si="104"/>
        <v>0.14026594049399208</v>
      </c>
      <c r="I612" s="37">
        <f t="shared" ca="1" si="105"/>
        <v>5.2946736374005543E-2</v>
      </c>
      <c r="J612" s="38">
        <f t="shared" ca="1" si="106"/>
        <v>1.6857101761506441E-2</v>
      </c>
      <c r="K612" s="36">
        <f t="shared" ca="1" si="107"/>
        <v>1468.1204112241328</v>
      </c>
      <c r="L612" s="36">
        <f ca="1">Assumptions!$C$10*Assumptions!$C$13*I612*Assumptions!$C$15</f>
        <v>3672.0598088310298</v>
      </c>
      <c r="M612" s="36">
        <f ca="1">G612*(1+H612*Assumptions!$C$6)*(1+J612)+L612+K612</f>
        <v>64957.365474591999</v>
      </c>
    </row>
    <row r="613" spans="1:13" x14ac:dyDescent="0.25">
      <c r="A613" s="3">
        <v>600</v>
      </c>
      <c r="B613" s="3">
        <f t="shared" ca="1" si="109"/>
        <v>0.71861347473665371</v>
      </c>
      <c r="C613" s="3">
        <f t="shared" ca="1" si="109"/>
        <v>0.12976589970120056</v>
      </c>
      <c r="D613" s="3">
        <f t="shared" ca="1" si="109"/>
        <v>0.10068476890057143</v>
      </c>
      <c r="E613" s="3">
        <f t="shared" ca="1" si="109"/>
        <v>0.43395329601936439</v>
      </c>
      <c r="F613" s="3">
        <f t="shared" ca="1" si="109"/>
        <v>0.76671694468405061</v>
      </c>
      <c r="G613" s="36">
        <f t="shared" ca="1" si="103"/>
        <v>58081.209517899813</v>
      </c>
      <c r="H613" s="37">
        <f t="shared" ca="1" si="104"/>
        <v>9.1543789740777953E-2</v>
      </c>
      <c r="I613" s="37">
        <f t="shared" ca="1" si="105"/>
        <v>5.7949686918769047E-2</v>
      </c>
      <c r="J613" s="38">
        <f t="shared" ca="1" si="106"/>
        <v>2.8632300899660554E-2</v>
      </c>
      <c r="K613" s="36">
        <f t="shared" ca="1" si="107"/>
        <v>1975.4153285736838</v>
      </c>
      <c r="L613" s="36">
        <f ca="1">Assumptions!$C$10*Assumptions!$C$13*I613*Assumptions!$C$15</f>
        <v>4019.033671227859</v>
      </c>
      <c r="M613" s="36">
        <f ca="1">G613*(1+H613*Assumptions!$C$6)*(1+J613)+L613+K613</f>
        <v>66832.499431705393</v>
      </c>
    </row>
    <row r="614" spans="1:13" x14ac:dyDescent="0.25">
      <c r="A614" s="3">
        <v>601</v>
      </c>
      <c r="B614" s="3">
        <f t="shared" ref="B614:F623" ca="1" si="110">RAND()</f>
        <v>0.87178244681501682</v>
      </c>
      <c r="C614" s="3">
        <f t="shared" ca="1" si="110"/>
        <v>0.16020704479617154</v>
      </c>
      <c r="D614" s="3">
        <f t="shared" ca="1" si="110"/>
        <v>0.35007947044011989</v>
      </c>
      <c r="E614" s="3">
        <f t="shared" ca="1" si="110"/>
        <v>2.3335300066220865E-2</v>
      </c>
      <c r="F614" s="3">
        <f t="shared" ca="1" si="110"/>
        <v>0.52888669272855604</v>
      </c>
      <c r="G614" s="36">
        <f t="shared" ca="1" si="103"/>
        <v>58298.353315739478</v>
      </c>
      <c r="H614" s="37">
        <f t="shared" ca="1" si="104"/>
        <v>9.6160087692606061E-2</v>
      </c>
      <c r="I614" s="37">
        <f t="shared" ca="1" si="105"/>
        <v>7.3470200259460411E-2</v>
      </c>
      <c r="J614" s="38">
        <f t="shared" ca="1" si="106"/>
        <v>1.4320675879185649E-2</v>
      </c>
      <c r="K614" s="36">
        <f t="shared" ca="1" si="107"/>
        <v>1543.9746284073558</v>
      </c>
      <c r="L614" s="36">
        <f ca="1">Assumptions!$C$10*Assumptions!$C$13*I614*Assumptions!$C$15</f>
        <v>5095.4409656868838</v>
      </c>
      <c r="M614" s="36">
        <f ca="1">G614*(1+H614*Assumptions!$C$6)*(1+J614)+L614+K614</f>
        <v>66909.891954919396</v>
      </c>
    </row>
    <row r="615" spans="1:13" x14ac:dyDescent="0.25">
      <c r="A615" s="3">
        <v>602</v>
      </c>
      <c r="B615" s="3">
        <f t="shared" ca="1" si="110"/>
        <v>0.23287160677574925</v>
      </c>
      <c r="C615" s="3">
        <f t="shared" ca="1" si="110"/>
        <v>0.26647665480937899</v>
      </c>
      <c r="D615" s="3">
        <f t="shared" ca="1" si="110"/>
        <v>0.89037194648218065</v>
      </c>
      <c r="E615" s="3">
        <f t="shared" ca="1" si="110"/>
        <v>0.22995155234417342</v>
      </c>
      <c r="F615" s="3">
        <f t="shared" ca="1" si="110"/>
        <v>0.1706436460831382</v>
      </c>
      <c r="G615" s="36">
        <f t="shared" ca="1" si="103"/>
        <v>57613.839982759433</v>
      </c>
      <c r="H615" s="37">
        <f t="shared" ca="1" si="104"/>
        <v>0.10953267597685107</v>
      </c>
      <c r="I615" s="37">
        <f t="shared" ca="1" si="105"/>
        <v>0.1012700835224227</v>
      </c>
      <c r="J615" s="38">
        <f t="shared" ca="1" si="106"/>
        <v>2.35632312475803E-2</v>
      </c>
      <c r="K615" s="36">
        <f t="shared" ca="1" si="107"/>
        <v>876.29698582964556</v>
      </c>
      <c r="L615" s="36">
        <f ca="1">Assumptions!$C$10*Assumptions!$C$13*I615*Assumptions!$C$15</f>
        <v>7023.4697926012532</v>
      </c>
      <c r="M615" s="36">
        <f ca="1">G615*(1+H615*Assumptions!$C$6)*(1+J615)+L615+K615</f>
        <v>68163.034225398747</v>
      </c>
    </row>
    <row r="616" spans="1:13" x14ac:dyDescent="0.25">
      <c r="A616" s="3">
        <v>603</v>
      </c>
      <c r="B616" s="3">
        <f t="shared" ca="1" si="110"/>
        <v>0.71283865288319737</v>
      </c>
      <c r="C616" s="3">
        <f t="shared" ca="1" si="110"/>
        <v>0.92587692619939665</v>
      </c>
      <c r="D616" s="3">
        <f t="shared" ca="1" si="110"/>
        <v>0.92485136298526538</v>
      </c>
      <c r="E616" s="3">
        <f t="shared" ca="1" si="110"/>
        <v>0.97509576804679976</v>
      </c>
      <c r="F616" s="3">
        <f t="shared" ca="1" si="110"/>
        <v>0.30417922866851521</v>
      </c>
      <c r="G616" s="36">
        <f t="shared" ca="1" si="103"/>
        <v>58074.387762403036</v>
      </c>
      <c r="H616" s="37">
        <f t="shared" ca="1" si="104"/>
        <v>0.19889031643695421</v>
      </c>
      <c r="I616" s="37">
        <f t="shared" ca="1" si="105"/>
        <v>0.10449272304860874</v>
      </c>
      <c r="J616" s="38">
        <f t="shared" ca="1" si="106"/>
        <v>4.5536438018514792E-2</v>
      </c>
      <c r="K616" s="36">
        <f t="shared" ca="1" si="107"/>
        <v>1169.9600544498596</v>
      </c>
      <c r="L616" s="36">
        <f ca="1">Assumptions!$C$10*Assumptions!$C$13*I616*Assumptions!$C$15</f>
        <v>7246.9722385096629</v>
      </c>
      <c r="M616" s="36">
        <f ca="1">G616*(1+H616*Assumptions!$C$6)*(1+J616)+L616+K616</f>
        <v>71551.100604505089</v>
      </c>
    </row>
    <row r="617" spans="1:13" x14ac:dyDescent="0.25">
      <c r="A617" s="3">
        <v>604</v>
      </c>
      <c r="B617" s="3">
        <f t="shared" ca="1" si="110"/>
        <v>0.50978189417260489</v>
      </c>
      <c r="C617" s="3">
        <f t="shared" ca="1" si="110"/>
        <v>0.90336998333701513</v>
      </c>
      <c r="D617" s="3">
        <f t="shared" ca="1" si="110"/>
        <v>0.52127164043703722</v>
      </c>
      <c r="E617" s="3">
        <f t="shared" ca="1" si="110"/>
        <v>0.62866549002347516</v>
      </c>
      <c r="F617" s="3">
        <f t="shared" ca="1" si="110"/>
        <v>0.48707252539773038</v>
      </c>
      <c r="G617" s="36">
        <f t="shared" ca="1" si="103"/>
        <v>57867.450423515649</v>
      </c>
      <c r="H617" s="37">
        <f t="shared" ca="1" si="104"/>
        <v>0.19306212211959239</v>
      </c>
      <c r="I617" s="37">
        <f t="shared" ca="1" si="105"/>
        <v>8.0860113048177043E-2</v>
      </c>
      <c r="J617" s="38">
        <f t="shared" ca="1" si="106"/>
        <v>3.2764350665518291E-2</v>
      </c>
      <c r="K617" s="36">
        <f t="shared" ca="1" si="107"/>
        <v>1480.4818014044572</v>
      </c>
      <c r="L617" s="36">
        <f ca="1">Assumptions!$C$10*Assumptions!$C$13*I617*Assumptions!$C$15</f>
        <v>5607.9598403258778</v>
      </c>
      <c r="M617" s="36">
        <f ca="1">G617*(1+H617*Assumptions!$C$6)*(1+J617)+L617+K617</f>
        <v>69159.492807999821</v>
      </c>
    </row>
    <row r="618" spans="1:13" x14ac:dyDescent="0.25">
      <c r="A618" s="3">
        <v>605</v>
      </c>
      <c r="B618" s="3">
        <f t="shared" ca="1" si="110"/>
        <v>0.14143630075191582</v>
      </c>
      <c r="C618" s="3">
        <f t="shared" ca="1" si="110"/>
        <v>0.96440789316688991</v>
      </c>
      <c r="D618" s="3">
        <f t="shared" ca="1" si="110"/>
        <v>0.75959081590795829</v>
      </c>
      <c r="E618" s="3">
        <f t="shared" ca="1" si="110"/>
        <v>0.28298448248259678</v>
      </c>
      <c r="F618" s="3">
        <f t="shared" ca="1" si="110"/>
        <v>7.3398589444065299E-2</v>
      </c>
      <c r="G618" s="36">
        <f t="shared" ca="1" si="103"/>
        <v>57500.451633000739</v>
      </c>
      <c r="H618" s="37">
        <f t="shared" ca="1" si="104"/>
        <v>0.21151316030524075</v>
      </c>
      <c r="I618" s="37">
        <f t="shared" ca="1" si="105"/>
        <v>9.2263572885201428E-2</v>
      </c>
      <c r="J618" s="38">
        <f t="shared" ca="1" si="106"/>
        <v>2.5046181774326583E-2</v>
      </c>
      <c r="K618" s="36">
        <f t="shared" ca="1" si="107"/>
        <v>574.7117995119761</v>
      </c>
      <c r="L618" s="36">
        <f ca="1">Assumptions!$C$10*Assumptions!$C$13*I618*Assumptions!$C$15</f>
        <v>6398.83363948443</v>
      </c>
      <c r="M618" s="36">
        <f ca="1">G618*(1+H618*Assumptions!$C$6)*(1+J618)+L618+K618</f>
        <v>68407.507129189704</v>
      </c>
    </row>
    <row r="619" spans="1:13" x14ac:dyDescent="0.25">
      <c r="A619" s="3">
        <v>606</v>
      </c>
      <c r="B619" s="3">
        <f t="shared" ca="1" si="110"/>
        <v>0.42965064412717191</v>
      </c>
      <c r="C619" s="3">
        <f t="shared" ca="1" si="110"/>
        <v>0.58362943244015764</v>
      </c>
      <c r="D619" s="3">
        <f t="shared" ca="1" si="110"/>
        <v>0.94101483851521783</v>
      </c>
      <c r="E619" s="3">
        <f t="shared" ca="1" si="110"/>
        <v>0.68993139390130942</v>
      </c>
      <c r="F619" s="3">
        <f t="shared" ca="1" si="110"/>
        <v>0.78736941263053739</v>
      </c>
      <c r="G619" s="36">
        <f t="shared" ca="1" si="103"/>
        <v>57798.095258308975</v>
      </c>
      <c r="H619" s="37">
        <f t="shared" ca="1" si="104"/>
        <v>0.1425666949120353</v>
      </c>
      <c r="I619" s="37">
        <f t="shared" ca="1" si="105"/>
        <v>0.10626127674231324</v>
      </c>
      <c r="J619" s="38">
        <f t="shared" ca="1" si="106"/>
        <v>3.4250241751729887E-2</v>
      </c>
      <c r="K619" s="36">
        <f t="shared" ca="1" si="107"/>
        <v>2021.819217545866</v>
      </c>
      <c r="L619" s="36">
        <f ca="1">Assumptions!$C$10*Assumptions!$C$13*I619*Assumptions!$C$15</f>
        <v>7369.6282392976627</v>
      </c>
      <c r="M619" s="36">
        <f ca="1">G619*(1+H619*Assumptions!$C$6)*(1+J619)+L619+K619</f>
        <v>70873.603102967929</v>
      </c>
    </row>
    <row r="620" spans="1:13" x14ac:dyDescent="0.25">
      <c r="A620" s="3">
        <v>607</v>
      </c>
      <c r="B620" s="3">
        <f t="shared" ca="1" si="110"/>
        <v>0.8879438569643705</v>
      </c>
      <c r="C620" s="3">
        <f t="shared" ca="1" si="110"/>
        <v>0.65813067619438914</v>
      </c>
      <c r="D620" s="3">
        <f t="shared" ca="1" si="110"/>
        <v>0.26497851126507288</v>
      </c>
      <c r="E620" s="3">
        <f t="shared" ca="1" si="110"/>
        <v>0.52581412953243689</v>
      </c>
      <c r="F620" s="3">
        <f t="shared" ca="1" si="110"/>
        <v>0.28859864128617996</v>
      </c>
      <c r="G620" s="36">
        <f t="shared" ca="1" si="103"/>
        <v>58327.737094040036</v>
      </c>
      <c r="H620" s="37">
        <f t="shared" ca="1" si="104"/>
        <v>0.15171285154243608</v>
      </c>
      <c r="I620" s="37">
        <f t="shared" ca="1" si="105"/>
        <v>6.91192588512866E-2</v>
      </c>
      <c r="J620" s="38">
        <f t="shared" ca="1" si="106"/>
        <v>3.0523124060207952E-2</v>
      </c>
      <c r="K620" s="36">
        <f t="shared" ca="1" si="107"/>
        <v>1139.6025121891448</v>
      </c>
      <c r="L620" s="36">
        <f ca="1">Assumptions!$C$10*Assumptions!$C$13*I620*Assumptions!$C$15</f>
        <v>4793.6864446399995</v>
      </c>
      <c r="M620" s="36">
        <f ca="1">G620*(1+H620*Assumptions!$C$6)*(1+J620)+L620+K620</f>
        <v>67865.204505968897</v>
      </c>
    </row>
    <row r="621" spans="1:13" x14ac:dyDescent="0.25">
      <c r="A621" s="3">
        <v>608</v>
      </c>
      <c r="B621" s="3">
        <f t="shared" ca="1" si="110"/>
        <v>0.2550488353568463</v>
      </c>
      <c r="C621" s="3">
        <f t="shared" ca="1" si="110"/>
        <v>4.8242157556924181E-2</v>
      </c>
      <c r="D621" s="3">
        <f t="shared" ca="1" si="110"/>
        <v>0.85305391701231481</v>
      </c>
      <c r="E621" s="3">
        <f t="shared" ca="1" si="110"/>
        <v>0.629665176491364</v>
      </c>
      <c r="F621" s="3">
        <f t="shared" ca="1" si="110"/>
        <v>0.54357779073378998</v>
      </c>
      <c r="G621" s="36">
        <f t="shared" ca="1" si="103"/>
        <v>57637.75108698746</v>
      </c>
      <c r="H621" s="37">
        <f t="shared" ca="1" si="104"/>
        <v>7.53302328356273E-2</v>
      </c>
      <c r="I621" s="37">
        <f t="shared" ca="1" si="105"/>
        <v>9.8315271143945726E-2</v>
      </c>
      <c r="J621" s="38">
        <f t="shared" ca="1" si="106"/>
        <v>3.2787566737764562E-2</v>
      </c>
      <c r="K621" s="36">
        <f t="shared" ca="1" si="107"/>
        <v>1566.8566220723255</v>
      </c>
      <c r="L621" s="36">
        <f ca="1">Assumptions!$C$10*Assumptions!$C$13*I621*Assumptions!$C$15</f>
        <v>6818.5421894908814</v>
      </c>
      <c r="M621" s="36">
        <f ca="1">G621*(1+H621*Assumptions!$C$6)*(1+J621)+L621+K621</f>
        <v>68809.796389895491</v>
      </c>
    </row>
    <row r="622" spans="1:13" x14ac:dyDescent="0.25">
      <c r="A622" s="3">
        <v>609</v>
      </c>
      <c r="B622" s="3">
        <f t="shared" ca="1" si="110"/>
        <v>0.61892072676533771</v>
      </c>
      <c r="C622" s="3">
        <f t="shared" ca="1" si="110"/>
        <v>0.99659858202242779</v>
      </c>
      <c r="D622" s="3">
        <f t="shared" ca="1" si="110"/>
        <v>0.77882034833323899</v>
      </c>
      <c r="E622" s="3">
        <f t="shared" ca="1" si="110"/>
        <v>0.34791194511685541</v>
      </c>
      <c r="F622" s="3">
        <f t="shared" ca="1" si="110"/>
        <v>0.56850293706770705</v>
      </c>
      <c r="G622" s="36">
        <f t="shared" ca="1" si="103"/>
        <v>57971.799449177379</v>
      </c>
      <c r="H622" s="37">
        <f t="shared" ca="1" si="104"/>
        <v>0.23119361993276202</v>
      </c>
      <c r="I622" s="37">
        <f t="shared" ca="1" si="105"/>
        <v>9.3395961108627967E-2</v>
      </c>
      <c r="J622" s="38">
        <f t="shared" ca="1" si="106"/>
        <v>2.668321180389089E-2</v>
      </c>
      <c r="K622" s="36">
        <f t="shared" ca="1" si="107"/>
        <v>1606.53784292672</v>
      </c>
      <c r="L622" s="36">
        <f ca="1">Assumptions!$C$10*Assumptions!$C$13*I622*Assumptions!$C$15</f>
        <v>6477.3691181183813</v>
      </c>
      <c r="M622" s="36">
        <f ca="1">G622*(1+H622*Assumptions!$C$6)*(1+J622)+L622+K622</f>
        <v>70354.647718147215</v>
      </c>
    </row>
    <row r="623" spans="1:13" x14ac:dyDescent="0.25">
      <c r="A623" s="3">
        <v>610</v>
      </c>
      <c r="B623" s="3">
        <f t="shared" ca="1" si="110"/>
        <v>0.80320148567973149</v>
      </c>
      <c r="C623" s="3">
        <f t="shared" ca="1" si="110"/>
        <v>0.14427188350146791</v>
      </c>
      <c r="D623" s="3">
        <f t="shared" ca="1" si="110"/>
        <v>0.14745521710589338</v>
      </c>
      <c r="E623" s="3">
        <f t="shared" ca="1" si="110"/>
        <v>0.45380170839281175</v>
      </c>
      <c r="F623" s="3">
        <f t="shared" ca="1" si="110"/>
        <v>0.46030203752546228</v>
      </c>
      <c r="G623" s="36">
        <f t="shared" ca="1" si="103"/>
        <v>58190.596413442072</v>
      </c>
      <c r="H623" s="37">
        <f t="shared" ca="1" si="104"/>
        <v>9.3804292604372952E-2</v>
      </c>
      <c r="I623" s="37">
        <f t="shared" ca="1" si="105"/>
        <v>6.1722262652377138E-2</v>
      </c>
      <c r="J623" s="38">
        <f t="shared" ca="1" si="106"/>
        <v>2.9053644447040818E-2</v>
      </c>
      <c r="K623" s="36">
        <f t="shared" ca="1" si="107"/>
        <v>1439.2217233159665</v>
      </c>
      <c r="L623" s="36">
        <f ca="1">Assumptions!$C$10*Assumptions!$C$13*I623*Assumptions!$C$15</f>
        <v>4280.6763082602474</v>
      </c>
      <c r="M623" s="36">
        <f ca="1">G623*(1+H623*Assumptions!$C$6)*(1+J623)+L623+K623</f>
        <v>66724.566914724128</v>
      </c>
    </row>
    <row r="624" spans="1:13" x14ac:dyDescent="0.25">
      <c r="A624" s="3">
        <v>611</v>
      </c>
      <c r="B624" s="3">
        <f t="shared" ref="B624:F633" ca="1" si="111">RAND()</f>
        <v>0.94285399469296405</v>
      </c>
      <c r="C624" s="3">
        <f t="shared" ca="1" si="111"/>
        <v>0.67966425073535641</v>
      </c>
      <c r="D624" s="3">
        <f t="shared" ca="1" si="111"/>
        <v>0.985205753265188</v>
      </c>
      <c r="E624" s="3">
        <f t="shared" ca="1" si="111"/>
        <v>0.59345994403634883</v>
      </c>
      <c r="F624" s="3">
        <f t="shared" ca="1" si="111"/>
        <v>0.71339263527419994</v>
      </c>
      <c r="G624" s="36">
        <f t="shared" ca="1" si="103"/>
        <v>58448.28018474899</v>
      </c>
      <c r="H624" s="37">
        <f t="shared" ca="1" si="104"/>
        <v>0.15453857546685829</v>
      </c>
      <c r="I624" s="37">
        <f t="shared" ca="1" si="105"/>
        <v>0.11311947752337088</v>
      </c>
      <c r="J624" s="38">
        <f t="shared" ca="1" si="106"/>
        <v>3.1965809007029986E-2</v>
      </c>
      <c r="K624" s="36">
        <f t="shared" ca="1" si="107"/>
        <v>1864.3358149232229</v>
      </c>
      <c r="L624" s="36">
        <f ca="1">Assumptions!$C$10*Assumptions!$C$13*I624*Assumptions!$C$15</f>
        <v>7845.2708411593212</v>
      </c>
      <c r="M624" s="36">
        <f ca="1">G624*(1+H624*Assumptions!$C$6)*(1+J624)+L624+K624</f>
        <v>71890.482516862859</v>
      </c>
    </row>
    <row r="625" spans="1:13" x14ac:dyDescent="0.25">
      <c r="A625" s="3">
        <v>612</v>
      </c>
      <c r="B625" s="3">
        <f t="shared" ca="1" si="111"/>
        <v>2.0241269341268797E-2</v>
      </c>
      <c r="C625" s="3">
        <f t="shared" ca="1" si="111"/>
        <v>0.40978960486748495</v>
      </c>
      <c r="D625" s="3">
        <f t="shared" ca="1" si="111"/>
        <v>0.72109479026218781</v>
      </c>
      <c r="E625" s="3">
        <f t="shared" ca="1" si="111"/>
        <v>0.45043125526509098</v>
      </c>
      <c r="F625" s="3">
        <f t="shared" ca="1" si="111"/>
        <v>0.37068674671043889</v>
      </c>
      <c r="G625" s="36">
        <f t="shared" ca="1" si="103"/>
        <v>57251.491580472502</v>
      </c>
      <c r="H625" s="37">
        <f t="shared" ca="1" si="104"/>
        <v>0.12399656466715589</v>
      </c>
      <c r="I625" s="37">
        <f t="shared" ca="1" si="105"/>
        <v>9.0125317220746945E-2</v>
      </c>
      <c r="J625" s="38">
        <f t="shared" ca="1" si="106"/>
        <v>2.8982755443087621E-2</v>
      </c>
      <c r="K625" s="36">
        <f t="shared" ca="1" si="107"/>
        <v>1291.5457251669316</v>
      </c>
      <c r="L625" s="36">
        <f ca="1">Assumptions!$C$10*Assumptions!$C$13*I625*Assumptions!$C$15</f>
        <v>6250.5373850942642</v>
      </c>
      <c r="M625" s="36">
        <f ca="1">G625*(1+H625*Assumptions!$C$6)*(1+J625)+L625+K625</f>
        <v>67913.827973803578</v>
      </c>
    </row>
    <row r="626" spans="1:13" x14ac:dyDescent="0.25">
      <c r="A626" s="3">
        <v>613</v>
      </c>
      <c r="B626" s="3">
        <f t="shared" ca="1" si="111"/>
        <v>0.69178642286003922</v>
      </c>
      <c r="C626" s="3">
        <f t="shared" ca="1" si="111"/>
        <v>0.96610466167873221</v>
      </c>
      <c r="D626" s="3">
        <f t="shared" ca="1" si="111"/>
        <v>0.88173478380045855</v>
      </c>
      <c r="E626" s="3">
        <f t="shared" ca="1" si="111"/>
        <v>0.42924404877526168</v>
      </c>
      <c r="F626" s="3">
        <f t="shared" ca="1" si="111"/>
        <v>0.1049413212104443</v>
      </c>
      <c r="G626" s="36">
        <f t="shared" ca="1" si="103"/>
        <v>58050.082169451773</v>
      </c>
      <c r="H626" s="37">
        <f t="shared" ca="1" si="104"/>
        <v>0.21220047277875204</v>
      </c>
      <c r="I626" s="37">
        <f t="shared" ca="1" si="105"/>
        <v>0.10054624221805636</v>
      </c>
      <c r="J626" s="38">
        <f t="shared" ca="1" si="106"/>
        <v>2.8530926555901337E-2</v>
      </c>
      <c r="K626" s="36">
        <f t="shared" ca="1" si="107"/>
        <v>687.1942559764301</v>
      </c>
      <c r="L626" s="36">
        <f ca="1">Assumptions!$C$10*Assumptions!$C$13*I626*Assumptions!$C$15</f>
        <v>6973.2686141384311</v>
      </c>
      <c r="M626" s="36">
        <f ca="1">G626*(1+H626*Assumptions!$C$6)*(1+J626)+L626+K626</f>
        <v>69900.708891810398</v>
      </c>
    </row>
    <row r="627" spans="1:13" x14ac:dyDescent="0.25">
      <c r="A627" s="3">
        <v>614</v>
      </c>
      <c r="B627" s="3">
        <f t="shared" ca="1" si="111"/>
        <v>0.22816390190284175</v>
      </c>
      <c r="C627" s="3">
        <f t="shared" ca="1" si="111"/>
        <v>0.71955599342623522</v>
      </c>
      <c r="D627" s="3">
        <f t="shared" ca="1" si="111"/>
        <v>0.28316716308667056</v>
      </c>
      <c r="E627" s="3">
        <f t="shared" ca="1" si="111"/>
        <v>0.73806695395245048</v>
      </c>
      <c r="F627" s="3">
        <f t="shared" ca="1" si="111"/>
        <v>0.84288582591428374</v>
      </c>
      <c r="G627" s="36">
        <f t="shared" ca="1" si="103"/>
        <v>57608.619600219943</v>
      </c>
      <c r="H627" s="37">
        <f t="shared" ca="1" si="104"/>
        <v>0.16003673749851224</v>
      </c>
      <c r="I627" s="37">
        <f t="shared" ca="1" si="105"/>
        <v>7.0102075042716677E-2</v>
      </c>
      <c r="J627" s="38">
        <f t="shared" ca="1" si="106"/>
        <v>3.5524281128799177E-2</v>
      </c>
      <c r="K627" s="36">
        <f t="shared" ca="1" si="107"/>
        <v>2159.1588833877572</v>
      </c>
      <c r="L627" s="36">
        <f ca="1">Assumptions!$C$10*Assumptions!$C$13*I627*Assumptions!$C$15</f>
        <v>4861.8485275779503</v>
      </c>
      <c r="M627" s="36">
        <f ca="1">G627*(1+H627*Assumptions!$C$6)*(1+J627)+L627+K627</f>
        <v>68585.534106061576</v>
      </c>
    </row>
    <row r="628" spans="1:13" x14ac:dyDescent="0.25">
      <c r="A628" s="3">
        <v>615</v>
      </c>
      <c r="B628" s="3">
        <f t="shared" ca="1" si="111"/>
        <v>0.65447641270097157</v>
      </c>
      <c r="C628" s="3">
        <f t="shared" ca="1" si="111"/>
        <v>0.96447806863985086</v>
      </c>
      <c r="D628" s="3">
        <f t="shared" ca="1" si="111"/>
        <v>0.19277453486691398</v>
      </c>
      <c r="E628" s="3">
        <f t="shared" ca="1" si="111"/>
        <v>0.71326317083859081</v>
      </c>
      <c r="F628" s="3">
        <f t="shared" ca="1" si="111"/>
        <v>5.0496285667202434E-2</v>
      </c>
      <c r="G628" s="36">
        <f t="shared" ca="1" si="103"/>
        <v>58008.963761043196</v>
      </c>
      <c r="H628" s="37">
        <f t="shared" ca="1" si="104"/>
        <v>0.21154125731850754</v>
      </c>
      <c r="I628" s="37">
        <f t="shared" ca="1" si="105"/>
        <v>6.4837039106425798E-2</v>
      </c>
      <c r="J628" s="38">
        <f t="shared" ca="1" si="106"/>
        <v>3.4854391285619207E-2</v>
      </c>
      <c r="K628" s="36">
        <f t="shared" ca="1" si="107"/>
        <v>476.68992595020399</v>
      </c>
      <c r="L628" s="36">
        <f ca="1">Assumptions!$C$10*Assumptions!$C$13*I628*Assumptions!$C$15</f>
        <v>4496.6980352579612</v>
      </c>
      <c r="M628" s="36">
        <f ca="1">G628*(1+H628*Assumptions!$C$6)*(1+J628)+L628+K628</f>
        <v>67544.018331784522</v>
      </c>
    </row>
    <row r="629" spans="1:13" x14ac:dyDescent="0.25">
      <c r="A629" s="3">
        <v>616</v>
      </c>
      <c r="B629" s="3">
        <f t="shared" ca="1" si="111"/>
        <v>0.73234669736236002</v>
      </c>
      <c r="C629" s="3">
        <f t="shared" ca="1" si="111"/>
        <v>0.71589703517013825</v>
      </c>
      <c r="D629" s="3">
        <f t="shared" ca="1" si="111"/>
        <v>8.3884205588200977E-2</v>
      </c>
      <c r="E629" s="3">
        <f t="shared" ca="1" si="111"/>
        <v>0.98637172999316702</v>
      </c>
      <c r="F629" s="3">
        <f t="shared" ca="1" si="111"/>
        <v>0.25787690316282186</v>
      </c>
      <c r="G629" s="36">
        <f t="shared" ca="1" si="103"/>
        <v>58097.71924844171</v>
      </c>
      <c r="H629" s="37">
        <f t="shared" ca="1" si="104"/>
        <v>0.1595167868551407</v>
      </c>
      <c r="I629" s="37">
        <f t="shared" ca="1" si="105"/>
        <v>5.6383816950950197E-2</v>
      </c>
      <c r="J629" s="38">
        <f t="shared" ca="1" si="106"/>
        <v>4.6698089037319999E-2</v>
      </c>
      <c r="K629" s="36">
        <f t="shared" ca="1" si="107"/>
        <v>1077.2400216445258</v>
      </c>
      <c r="L629" s="36">
        <f ca="1">Assumptions!$C$10*Assumptions!$C$13*I629*Assumptions!$C$15</f>
        <v>3910.4345663828226</v>
      </c>
      <c r="M629" s="36">
        <f ca="1">G629*(1+H629*Assumptions!$C$6)*(1+J629)+L629+K629</f>
        <v>67738.514084822353</v>
      </c>
    </row>
    <row r="630" spans="1:13" x14ac:dyDescent="0.25">
      <c r="A630" s="3">
        <v>617</v>
      </c>
      <c r="B630" s="3">
        <f t="shared" ca="1" si="111"/>
        <v>0.89530431268313682</v>
      </c>
      <c r="C630" s="3">
        <f t="shared" ca="1" si="111"/>
        <v>0.85654425114390265</v>
      </c>
      <c r="D630" s="3">
        <f t="shared" ca="1" si="111"/>
        <v>0.72012328054545072</v>
      </c>
      <c r="E630" s="3">
        <f t="shared" ca="1" si="111"/>
        <v>0.13437297154229644</v>
      </c>
      <c r="F630" s="3">
        <f t="shared" ca="1" si="111"/>
        <v>0.92631232315249556</v>
      </c>
      <c r="G630" s="36">
        <f t="shared" ca="1" si="103"/>
        <v>58341.820945041174</v>
      </c>
      <c r="H630" s="37">
        <f t="shared" ca="1" si="104"/>
        <v>0.18280916966926411</v>
      </c>
      <c r="I630" s="37">
        <f t="shared" ca="1" si="105"/>
        <v>9.0073331253636701E-2</v>
      </c>
      <c r="J630" s="38">
        <f t="shared" ca="1" si="106"/>
        <v>2.0368142419635117E-2</v>
      </c>
      <c r="K630" s="36">
        <f t="shared" ca="1" si="107"/>
        <v>2424.1575338568978</v>
      </c>
      <c r="L630" s="36">
        <f ca="1">Assumptions!$C$10*Assumptions!$C$13*I630*Assumptions!$C$15</f>
        <v>6246.9319583291417</v>
      </c>
      <c r="M630" s="36">
        <f ca="1">G630*(1+H630*Assumptions!$C$6)*(1+J630)+L630+K630</f>
        <v>70377.755882117213</v>
      </c>
    </row>
    <row r="631" spans="1:13" x14ac:dyDescent="0.25">
      <c r="A631" s="3">
        <v>618</v>
      </c>
      <c r="B631" s="3">
        <f t="shared" ca="1" si="111"/>
        <v>0.67039601627024648</v>
      </c>
      <c r="C631" s="3">
        <f t="shared" ca="1" si="111"/>
        <v>7.0908337962753532E-2</v>
      </c>
      <c r="D631" s="3">
        <f t="shared" ca="1" si="111"/>
        <v>0.80356408370361188</v>
      </c>
      <c r="E631" s="3">
        <f t="shared" ca="1" si="111"/>
        <v>0.98892281912649171</v>
      </c>
      <c r="F631" s="3">
        <f t="shared" ca="1" si="111"/>
        <v>0.85282644038238475</v>
      </c>
      <c r="G631" s="36">
        <f t="shared" ca="1" si="103"/>
        <v>58026.222338433232</v>
      </c>
      <c r="H631" s="37">
        <f t="shared" ca="1" si="104"/>
        <v>8.0709622187591659E-2</v>
      </c>
      <c r="I631" s="37">
        <f t="shared" ca="1" si="105"/>
        <v>9.4928204449053866E-2</v>
      </c>
      <c r="J631" s="38">
        <f t="shared" ca="1" si="106"/>
        <v>4.7023131729685266E-2</v>
      </c>
      <c r="K631" s="36">
        <f t="shared" ca="1" si="107"/>
        <v>2186.1935007145321</v>
      </c>
      <c r="L631" s="36">
        <f ca="1">Assumptions!$C$10*Assumptions!$C$13*I631*Assumptions!$C$15</f>
        <v>6583.6360870205353</v>
      </c>
      <c r="M631" s="36">
        <f ca="1">G631*(1+H631*Assumptions!$C$6)*(1+J631)+L631+K631</f>
        <v>70505.325965923883</v>
      </c>
    </row>
    <row r="632" spans="1:13" x14ac:dyDescent="0.25">
      <c r="A632" s="3">
        <v>619</v>
      </c>
      <c r="B632" s="3">
        <f t="shared" ca="1" si="111"/>
        <v>0.20007619141309807</v>
      </c>
      <c r="C632" s="3">
        <f t="shared" ca="1" si="111"/>
        <v>0.51932882311955419</v>
      </c>
      <c r="D632" s="3">
        <f t="shared" ca="1" si="111"/>
        <v>0.41109451355157145</v>
      </c>
      <c r="E632" s="3">
        <f t="shared" ca="1" si="111"/>
        <v>0.75240207629434086</v>
      </c>
      <c r="F632" s="3">
        <f t="shared" ca="1" si="111"/>
        <v>0.39710487747136947</v>
      </c>
      <c r="G632" s="36">
        <f t="shared" ca="1" si="103"/>
        <v>57576.285467461879</v>
      </c>
      <c r="H632" s="37">
        <f t="shared" ca="1" si="104"/>
        <v>0.13531331109986253</v>
      </c>
      <c r="I632" s="37">
        <f t="shared" ca="1" si="105"/>
        <v>7.6269855849796647E-2</v>
      </c>
      <c r="J632" s="38">
        <f t="shared" ca="1" si="106"/>
        <v>3.5925969341921722E-2</v>
      </c>
      <c r="K632" s="36">
        <f t="shared" ca="1" si="107"/>
        <v>1336.7767011064948</v>
      </c>
      <c r="L632" s="36">
        <f ca="1">Assumptions!$C$10*Assumptions!$C$13*I632*Assumptions!$C$15</f>
        <v>5289.607848782819</v>
      </c>
      <c r="M632" s="36">
        <f ca="1">G632*(1+H632*Assumptions!$C$6)*(1+J632)+L632+K632</f>
        <v>67885.300129550858</v>
      </c>
    </row>
    <row r="633" spans="1:13" x14ac:dyDescent="0.25">
      <c r="A633" s="3">
        <v>620</v>
      </c>
      <c r="B633" s="3">
        <f t="shared" ca="1" si="111"/>
        <v>0.88598150981949697</v>
      </c>
      <c r="C633" s="3">
        <f t="shared" ca="1" si="111"/>
        <v>0.72819463494517833</v>
      </c>
      <c r="D633" s="3">
        <f t="shared" ca="1" si="111"/>
        <v>0.96976940084280838</v>
      </c>
      <c r="E633" s="3">
        <f t="shared" ca="1" si="111"/>
        <v>0.2165134395429883</v>
      </c>
      <c r="F633" s="3">
        <f t="shared" ca="1" si="111"/>
        <v>0.38561727342754537</v>
      </c>
      <c r="G633" s="36">
        <f t="shared" ca="1" si="103"/>
        <v>58324.060975668261</v>
      </c>
      <c r="H633" s="37">
        <f t="shared" ca="1" si="104"/>
        <v>0.16127794258754452</v>
      </c>
      <c r="I633" s="37">
        <f t="shared" ca="1" si="105"/>
        <v>0.11016445643072975</v>
      </c>
      <c r="J633" s="38">
        <f t="shared" ca="1" si="106"/>
        <v>2.3160955574516258E-2</v>
      </c>
      <c r="K633" s="36">
        <f t="shared" ca="1" si="107"/>
        <v>1317.2994080405388</v>
      </c>
      <c r="L633" s="36">
        <f ca="1">Assumptions!$C$10*Assumptions!$C$13*I633*Assumptions!$C$15</f>
        <v>7640.3287629189181</v>
      </c>
      <c r="M633" s="36">
        <f ca="1">G633*(1+H633*Assumptions!$C$6)*(1+J633)+L633+K633</f>
        <v>70557.379214282439</v>
      </c>
    </row>
    <row r="634" spans="1:13" x14ac:dyDescent="0.25">
      <c r="A634" s="3">
        <v>621</v>
      </c>
      <c r="B634" s="3">
        <f t="shared" ref="B634:F643" ca="1" si="112">RAND()</f>
        <v>0.56925236386963507</v>
      </c>
      <c r="C634" s="3">
        <f t="shared" ca="1" si="112"/>
        <v>0.54950123369188963</v>
      </c>
      <c r="D634" s="3">
        <f t="shared" ca="1" si="112"/>
        <v>0.47966334391312937</v>
      </c>
      <c r="E634" s="3">
        <f t="shared" ca="1" si="112"/>
        <v>0.31264390898920169</v>
      </c>
      <c r="F634" s="3">
        <f t="shared" ca="1" si="112"/>
        <v>0.76177516482355456</v>
      </c>
      <c r="G634" s="36">
        <f t="shared" ca="1" si="103"/>
        <v>57922.676199594374</v>
      </c>
      <c r="H634" s="37">
        <f t="shared" ca="1" si="104"/>
        <v>0.13865222315302167</v>
      </c>
      <c r="I634" s="37">
        <f t="shared" ca="1" si="105"/>
        <v>7.9178089546607724E-2</v>
      </c>
      <c r="J634" s="38">
        <f t="shared" ca="1" si="106"/>
        <v>2.5815028523254749E-2</v>
      </c>
      <c r="K634" s="36">
        <f t="shared" ca="1" si="107"/>
        <v>1964.6199932903839</v>
      </c>
      <c r="L634" s="36">
        <f ca="1">Assumptions!$C$10*Assumptions!$C$13*I634*Assumptions!$C$15</f>
        <v>5491.3050411708855</v>
      </c>
      <c r="M634" s="36">
        <f ca="1">G634*(1+H634*Assumptions!$C$6)*(1+J634)+L634+K634</f>
        <v>68521.562993021245</v>
      </c>
    </row>
    <row r="635" spans="1:13" x14ac:dyDescent="0.25">
      <c r="A635" s="3">
        <v>622</v>
      </c>
      <c r="B635" s="3">
        <f t="shared" ca="1" si="112"/>
        <v>0.93078076241912111</v>
      </c>
      <c r="C635" s="3">
        <f t="shared" ca="1" si="112"/>
        <v>0.21374085334224391</v>
      </c>
      <c r="D635" s="3">
        <f t="shared" ca="1" si="112"/>
        <v>0.82377187764477799</v>
      </c>
      <c r="E635" s="3">
        <f t="shared" ca="1" si="112"/>
        <v>0.46788438794259513</v>
      </c>
      <c r="F635" s="3">
        <f t="shared" ca="1" si="112"/>
        <v>0.62603355090808732</v>
      </c>
      <c r="G635" s="36">
        <f t="shared" ca="1" si="103"/>
        <v>58417.994146400197</v>
      </c>
      <c r="H635" s="37">
        <f t="shared" ca="1" si="104"/>
        <v>0.10331747696067251</v>
      </c>
      <c r="I635" s="37">
        <f t="shared" ca="1" si="105"/>
        <v>9.6252789815712864E-2</v>
      </c>
      <c r="J635" s="38">
        <f t="shared" ca="1" si="106"/>
        <v>2.934702846315361E-2</v>
      </c>
      <c r="K635" s="36">
        <f t="shared" ca="1" si="107"/>
        <v>1702.7532921939608</v>
      </c>
      <c r="L635" s="36">
        <f ca="1">Assumptions!$C$10*Assumptions!$C$13*I635*Assumptions!$C$15</f>
        <v>6675.5011767574388</v>
      </c>
      <c r="M635" s="36">
        <f ca="1">G635*(1+H635*Assumptions!$C$6)*(1+J635)+L635+K635</f>
        <v>69753.188488803295</v>
      </c>
    </row>
    <row r="636" spans="1:13" x14ac:dyDescent="0.25">
      <c r="A636" s="3">
        <v>623</v>
      </c>
      <c r="B636" s="3">
        <f t="shared" ca="1" si="112"/>
        <v>0.51678271640024365</v>
      </c>
      <c r="C636" s="3">
        <f t="shared" ca="1" si="112"/>
        <v>0.16879393025448419</v>
      </c>
      <c r="D636" s="3">
        <f t="shared" ca="1" si="112"/>
        <v>0.39231894019604818</v>
      </c>
      <c r="E636" s="3">
        <f t="shared" ca="1" si="112"/>
        <v>0.87707402122115652</v>
      </c>
      <c r="F636" s="3">
        <f t="shared" ca="1" si="112"/>
        <v>0.31297227571746433</v>
      </c>
      <c r="G636" s="36">
        <f t="shared" ca="1" si="103"/>
        <v>57873.770666406584</v>
      </c>
      <c r="H636" s="37">
        <f t="shared" ca="1" si="104"/>
        <v>9.7381001175414594E-2</v>
      </c>
      <c r="I636" s="37">
        <f t="shared" ca="1" si="105"/>
        <v>7.5431915113741088E-2</v>
      </c>
      <c r="J636" s="38">
        <f t="shared" ca="1" si="106"/>
        <v>4.0083307858813269E-2</v>
      </c>
      <c r="K636" s="36">
        <f t="shared" ca="1" si="107"/>
        <v>1186.7498644316711</v>
      </c>
      <c r="L636" s="36">
        <f ca="1">Assumptions!$C$10*Assumptions!$C$13*I636*Assumptions!$C$15</f>
        <v>5231.4934358883811</v>
      </c>
      <c r="M636" s="36">
        <f ca="1">G636*(1+H636*Assumptions!$C$6)*(1+J636)+L636+K636</f>
        <v>67784.12762637269</v>
      </c>
    </row>
    <row r="637" spans="1:13" x14ac:dyDescent="0.25">
      <c r="A637" s="3">
        <v>624</v>
      </c>
      <c r="B637" s="3">
        <f t="shared" ca="1" si="112"/>
        <v>6.537651594828997E-5</v>
      </c>
      <c r="C637" s="3">
        <f t="shared" ca="1" si="112"/>
        <v>0.36649325181346815</v>
      </c>
      <c r="D637" s="3">
        <f t="shared" ca="1" si="112"/>
        <v>0.31562021631266002</v>
      </c>
      <c r="E637" s="3">
        <f t="shared" ca="1" si="112"/>
        <v>0.85174068260445879</v>
      </c>
      <c r="F637" s="3">
        <f t="shared" ca="1" si="112"/>
        <v>0.64903765190470308</v>
      </c>
      <c r="G637" s="36">
        <f t="shared" ca="1" si="103"/>
        <v>57108.609551154084</v>
      </c>
      <c r="H637" s="37">
        <f t="shared" ca="1" si="104"/>
        <v>0.11981661871731634</v>
      </c>
      <c r="I637" s="37">
        <f t="shared" ca="1" si="105"/>
        <v>7.1780256326853503E-2</v>
      </c>
      <c r="J637" s="38">
        <f t="shared" ca="1" si="106"/>
        <v>3.9109295067975031E-2</v>
      </c>
      <c r="K637" s="36">
        <f t="shared" ca="1" si="107"/>
        <v>1743.2858055910897</v>
      </c>
      <c r="L637" s="36">
        <f ca="1">Assumptions!$C$10*Assumptions!$C$13*I637*Assumptions!$C$15</f>
        <v>4978.2368541762389</v>
      </c>
      <c r="M637" s="36">
        <f ca="1">G637*(1+H637*Assumptions!$C$6)*(1+J637)+L637+K637</f>
        <v>67485.643315484849</v>
      </c>
    </row>
    <row r="638" spans="1:13" x14ac:dyDescent="0.25">
      <c r="A638" s="3">
        <v>625</v>
      </c>
      <c r="B638" s="3">
        <f t="shared" ca="1" si="112"/>
        <v>0.20521030826573083</v>
      </c>
      <c r="C638" s="3">
        <f t="shared" ca="1" si="112"/>
        <v>0.3522971344403294</v>
      </c>
      <c r="D638" s="3">
        <f t="shared" ca="1" si="112"/>
        <v>0.98432975902226383</v>
      </c>
      <c r="E638" s="3">
        <f t="shared" ca="1" si="112"/>
        <v>0.45645145032900258</v>
      </c>
      <c r="F638" s="3">
        <f t="shared" ca="1" si="112"/>
        <v>0.4686876493876142</v>
      </c>
      <c r="G638" s="36">
        <f t="shared" ca="1" si="103"/>
        <v>57582.357694750914</v>
      </c>
      <c r="H638" s="37">
        <f t="shared" ca="1" si="104"/>
        <v>0.11845109121158245</v>
      </c>
      <c r="I638" s="37">
        <f t="shared" ca="1" si="105"/>
        <v>0.1129187027227523</v>
      </c>
      <c r="J638" s="38">
        <f t="shared" ca="1" si="106"/>
        <v>2.9109190465930315E-2</v>
      </c>
      <c r="K638" s="36">
        <f t="shared" ca="1" si="107"/>
        <v>1452.2721584621333</v>
      </c>
      <c r="L638" s="36">
        <f ca="1">Assumptions!$C$10*Assumptions!$C$13*I638*Assumptions!$C$15</f>
        <v>7831.3463365256503</v>
      </c>
      <c r="M638" s="36">
        <f ca="1">G638*(1+H638*Assumptions!$C$6)*(1+J638)+L638+K638</f>
        <v>69945.999598980081</v>
      </c>
    </row>
    <row r="639" spans="1:13" x14ac:dyDescent="0.25">
      <c r="A639" s="3">
        <v>626</v>
      </c>
      <c r="B639" s="3">
        <f t="shared" ca="1" si="112"/>
        <v>0.87672927004357371</v>
      </c>
      <c r="C639" s="3">
        <f t="shared" ca="1" si="112"/>
        <v>0.25686253502923784</v>
      </c>
      <c r="D639" s="3">
        <f t="shared" ca="1" si="112"/>
        <v>0.32544375764322575</v>
      </c>
      <c r="E639" s="3">
        <f t="shared" ca="1" si="112"/>
        <v>0.61374635296461844</v>
      </c>
      <c r="F639" s="3">
        <f t="shared" ca="1" si="112"/>
        <v>7.7164350303273288E-2</v>
      </c>
      <c r="G639" s="36">
        <f t="shared" ca="1" si="103"/>
        <v>58307.139979298263</v>
      </c>
      <c r="H639" s="37">
        <f t="shared" ca="1" si="104"/>
        <v>0.10844888122016419</v>
      </c>
      <c r="I639" s="37">
        <f t="shared" ca="1" si="105"/>
        <v>7.2271040027528127E-2</v>
      </c>
      <c r="J639" s="38">
        <f t="shared" ca="1" si="106"/>
        <v>3.2421521179911351E-2</v>
      </c>
      <c r="K639" s="36">
        <f t="shared" ca="1" si="107"/>
        <v>589.27037628301809</v>
      </c>
      <c r="L639" s="36">
        <f ca="1">Assumptions!$C$10*Assumptions!$C$13*I639*Assumptions!$C$15</f>
        <v>5012.2745914476418</v>
      </c>
      <c r="M639" s="36">
        <f ca="1">G639*(1+H639*Assumptions!$C$6)*(1+J639)+L639+K639</f>
        <v>67104.762427307884</v>
      </c>
    </row>
    <row r="640" spans="1:13" x14ac:dyDescent="0.25">
      <c r="A640" s="3">
        <v>627</v>
      </c>
      <c r="B640" s="3">
        <f t="shared" ca="1" si="112"/>
        <v>0.92175599175081191</v>
      </c>
      <c r="C640" s="3">
        <f t="shared" ca="1" si="112"/>
        <v>0.7498393219469256</v>
      </c>
      <c r="D640" s="3">
        <f t="shared" ca="1" si="112"/>
        <v>0.51644591691410657</v>
      </c>
      <c r="E640" s="3">
        <f t="shared" ca="1" si="112"/>
        <v>5.5644349731397647E-2</v>
      </c>
      <c r="F640" s="3">
        <f t="shared" ca="1" si="112"/>
        <v>0.25418769304425359</v>
      </c>
      <c r="G640" s="36">
        <f t="shared" ca="1" si="103"/>
        <v>58397.05141262582</v>
      </c>
      <c r="H640" s="37">
        <f t="shared" ca="1" si="104"/>
        <v>0.16447739769042585</v>
      </c>
      <c r="I640" s="37">
        <f t="shared" ca="1" si="105"/>
        <v>8.0663336874172223E-2</v>
      </c>
      <c r="J640" s="38">
        <f t="shared" ca="1" si="106"/>
        <v>1.6671992190127181E-2</v>
      </c>
      <c r="K640" s="36">
        <f t="shared" ca="1" si="107"/>
        <v>1069.5067174633084</v>
      </c>
      <c r="L640" s="36">
        <f ca="1">Assumptions!$C$10*Assumptions!$C$13*I640*Assumptions!$C$15</f>
        <v>5594.3126558272052</v>
      </c>
      <c r="M640" s="36">
        <f ca="1">G640*(1+H640*Assumptions!$C$6)*(1+J640)+L640+K640</f>
        <v>67987.491861311748</v>
      </c>
    </row>
    <row r="641" spans="1:13" x14ac:dyDescent="0.25">
      <c r="A641" s="3">
        <v>628</v>
      </c>
      <c r="B641" s="3">
        <f t="shared" ca="1" si="112"/>
        <v>0.57643153094122435</v>
      </c>
      <c r="C641" s="3">
        <f t="shared" ca="1" si="112"/>
        <v>2.7430794728075858E-2</v>
      </c>
      <c r="D641" s="3">
        <f t="shared" ca="1" si="112"/>
        <v>0.1857037636632678</v>
      </c>
      <c r="E641" s="3">
        <f t="shared" ca="1" si="112"/>
        <v>0.79086491281902926</v>
      </c>
      <c r="F641" s="3">
        <f t="shared" ca="1" si="112"/>
        <v>0.68912500514403829</v>
      </c>
      <c r="G641" s="36">
        <f t="shared" ca="1" si="103"/>
        <v>57929.594574199851</v>
      </c>
      <c r="H641" s="37">
        <f t="shared" ca="1" si="104"/>
        <v>6.9100512293742519E-2</v>
      </c>
      <c r="I641" s="37">
        <f t="shared" ca="1" si="105"/>
        <v>6.4377285405115503E-2</v>
      </c>
      <c r="J641" s="38">
        <f t="shared" ca="1" si="106"/>
        <v>3.706523793242502E-2</v>
      </c>
      <c r="K641" s="36">
        <f t="shared" ca="1" si="107"/>
        <v>1817.2331265833373</v>
      </c>
      <c r="L641" s="36">
        <f ca="1">Assumptions!$C$10*Assumptions!$C$13*I641*Assumptions!$C$15</f>
        <v>4464.8123477886256</v>
      </c>
      <c r="M641" s="36">
        <f ca="1">G641*(1+H641*Assumptions!$C$6)*(1+J641)+L641+K641</f>
        <v>67189.081354729424</v>
      </c>
    </row>
    <row r="642" spans="1:13" x14ac:dyDescent="0.25">
      <c r="A642" s="3">
        <v>629</v>
      </c>
      <c r="B642" s="3">
        <f t="shared" ca="1" si="112"/>
        <v>0.95020306717855008</v>
      </c>
      <c r="C642" s="3">
        <f t="shared" ca="1" si="112"/>
        <v>9.2421641463532489E-2</v>
      </c>
      <c r="D642" s="3">
        <f t="shared" ca="1" si="112"/>
        <v>0.3912444740252119</v>
      </c>
      <c r="E642" s="3">
        <f t="shared" ca="1" si="112"/>
        <v>0.17642760884540964</v>
      </c>
      <c r="F642" s="3">
        <f t="shared" ca="1" si="112"/>
        <v>0.84270178744337398</v>
      </c>
      <c r="G642" s="36">
        <f t="shared" ca="1" si="103"/>
        <v>58468.30870066474</v>
      </c>
      <c r="H642" s="37">
        <f t="shared" ca="1" si="104"/>
        <v>8.5060060345997446E-2</v>
      </c>
      <c r="I642" s="37">
        <f t="shared" ca="1" si="105"/>
        <v>7.5383362147776148E-2</v>
      </c>
      <c r="J642" s="38">
        <f t="shared" ca="1" si="106"/>
        <v>2.1880323525743213E-2</v>
      </c>
      <c r="K642" s="36">
        <f t="shared" ca="1" si="107"/>
        <v>2158.6665604501286</v>
      </c>
      <c r="L642" s="36">
        <f ca="1">Assumptions!$C$10*Assumptions!$C$13*I642*Assumptions!$C$15</f>
        <v>5228.126100956536</v>
      </c>
      <c r="M642" s="36">
        <f ca="1">G642*(1+H642*Assumptions!$C$6)*(1+J642)+L642+K642</f>
        <v>68150.834006509045</v>
      </c>
    </row>
    <row r="643" spans="1:13" x14ac:dyDescent="0.25">
      <c r="A643" s="3">
        <v>630</v>
      </c>
      <c r="B643" s="3">
        <f t="shared" ca="1" si="112"/>
        <v>0.23453353984683911</v>
      </c>
      <c r="C643" s="3">
        <f t="shared" ca="1" si="112"/>
        <v>0.96870742960149459</v>
      </c>
      <c r="D643" s="3">
        <f t="shared" ca="1" si="112"/>
        <v>0.59157453917988589</v>
      </c>
      <c r="E643" s="3">
        <f t="shared" ca="1" si="112"/>
        <v>0.35102827183743524</v>
      </c>
      <c r="F643" s="3">
        <f t="shared" ca="1" si="112"/>
        <v>0.33456921056154021</v>
      </c>
      <c r="G643" s="36">
        <f t="shared" ca="1" si="103"/>
        <v>57615.670281993691</v>
      </c>
      <c r="H643" s="37">
        <f t="shared" ca="1" si="104"/>
        <v>0.21328912945847844</v>
      </c>
      <c r="I643" s="37">
        <f t="shared" ca="1" si="105"/>
        <v>8.3848077857126807E-2</v>
      </c>
      <c r="J643" s="38">
        <f t="shared" ca="1" si="106"/>
        <v>2.6757762901710606E-2</v>
      </c>
      <c r="K643" s="36">
        <f t="shared" ca="1" si="107"/>
        <v>1227.0132222298712</v>
      </c>
      <c r="L643" s="36">
        <f ca="1">Assumptions!$C$10*Assumptions!$C$13*I643*Assumptions!$C$15</f>
        <v>5815.1866919988861</v>
      </c>
      <c r="M643" s="36">
        <f ca="1">G643*(1+H643*Assumptions!$C$6)*(1+J643)+L643+K643</f>
        <v>68723.060011360372</v>
      </c>
    </row>
    <row r="644" spans="1:13" x14ac:dyDescent="0.25">
      <c r="A644" s="3">
        <v>631</v>
      </c>
      <c r="B644" s="3">
        <f t="shared" ref="B644:F653" ca="1" si="113">RAND()</f>
        <v>0.36187466301811244</v>
      </c>
      <c r="C644" s="3">
        <f t="shared" ca="1" si="113"/>
        <v>0.72503010564446202</v>
      </c>
      <c r="D644" s="3">
        <f t="shared" ca="1" si="113"/>
        <v>6.531749633675199E-3</v>
      </c>
      <c r="E644" s="3">
        <f t="shared" ca="1" si="113"/>
        <v>0.21535410968375501</v>
      </c>
      <c r="F644" s="3">
        <f t="shared" ca="1" si="113"/>
        <v>0.95624456265659463</v>
      </c>
      <c r="G644" s="36">
        <f t="shared" ca="1" si="103"/>
        <v>57740.54362447781</v>
      </c>
      <c r="H644" s="37">
        <f t="shared" ca="1" si="104"/>
        <v>0.16082100283972861</v>
      </c>
      <c r="I644" s="37">
        <f t="shared" ca="1" si="105"/>
        <v>4.4571826640169183E-2</v>
      </c>
      <c r="J644" s="38">
        <f t="shared" ca="1" si="106"/>
        <v>2.312567284930582E-2</v>
      </c>
      <c r="K644" s="36">
        <f t="shared" ca="1" si="107"/>
        <v>2556.266444760683</v>
      </c>
      <c r="L644" s="36">
        <f ca="1">Assumptions!$C$10*Assumptions!$C$13*I644*Assumptions!$C$15</f>
        <v>3091.2276075981945</v>
      </c>
      <c r="M644" s="36">
        <f ca="1">G644*(1+H644*Assumptions!$C$6)*(1+J644)+L644+K644</f>
        <v>66623.453525580742</v>
      </c>
    </row>
    <row r="645" spans="1:13" x14ac:dyDescent="0.25">
      <c r="A645" s="3">
        <v>632</v>
      </c>
      <c r="B645" s="3">
        <f t="shared" ca="1" si="113"/>
        <v>0.34032662964905303</v>
      </c>
      <c r="C645" s="3">
        <f t="shared" ca="1" si="113"/>
        <v>0.23078760526605013</v>
      </c>
      <c r="D645" s="3">
        <f t="shared" ca="1" si="113"/>
        <v>0.67263506870235346</v>
      </c>
      <c r="E645" s="3">
        <f t="shared" ca="1" si="113"/>
        <v>0.28178514760471252</v>
      </c>
      <c r="F645" s="3">
        <f t="shared" ca="1" si="113"/>
        <v>0.64289308926978062</v>
      </c>
      <c r="G645" s="36">
        <f t="shared" ca="1" si="103"/>
        <v>57721.180181034571</v>
      </c>
      <c r="H645" s="37">
        <f t="shared" ca="1" si="104"/>
        <v>0.10540284424141477</v>
      </c>
      <c r="I645" s="37">
        <f t="shared" ca="1" si="105"/>
        <v>8.7633848233803435E-2</v>
      </c>
      <c r="J645" s="38">
        <f t="shared" ca="1" si="106"/>
        <v>2.5014263820906102E-2</v>
      </c>
      <c r="K645" s="36">
        <f t="shared" ca="1" si="107"/>
        <v>1732.3324180661607</v>
      </c>
      <c r="L645" s="36">
        <f ca="1">Assumptions!$C$10*Assumptions!$C$13*I645*Assumptions!$C$15</f>
        <v>6077.7444282767055</v>
      </c>
      <c r="M645" s="36">
        <f ca="1">G645*(1+H645*Assumptions!$C$6)*(1+J645)+L645+K645</f>
        <v>68222.342408261014</v>
      </c>
    </row>
    <row r="646" spans="1:13" x14ac:dyDescent="0.25">
      <c r="A646" s="3">
        <v>633</v>
      </c>
      <c r="B646" s="3">
        <f t="shared" ca="1" si="113"/>
        <v>0.18822735272503988</v>
      </c>
      <c r="C646" s="3">
        <f t="shared" ca="1" si="113"/>
        <v>0.22039973045369599</v>
      </c>
      <c r="D646" s="3">
        <f t="shared" ca="1" si="113"/>
        <v>0.44720778692120711</v>
      </c>
      <c r="E646" s="3">
        <f t="shared" ca="1" si="113"/>
        <v>0.5653018861602026</v>
      </c>
      <c r="F646" s="3">
        <f t="shared" ca="1" si="113"/>
        <v>0.5567518221464387</v>
      </c>
      <c r="G646" s="36">
        <f t="shared" ca="1" si="103"/>
        <v>57561.967040714313</v>
      </c>
      <c r="H646" s="37">
        <f t="shared" ca="1" si="104"/>
        <v>0.10414163291806183</v>
      </c>
      <c r="I646" s="37">
        <f t="shared" ca="1" si="105"/>
        <v>7.7829418686359203E-2</v>
      </c>
      <c r="J646" s="38">
        <f t="shared" ca="1" si="106"/>
        <v>3.1351716136013001E-2</v>
      </c>
      <c r="K646" s="36">
        <f t="shared" ca="1" si="107"/>
        <v>1587.69096854087</v>
      </c>
      <c r="L646" s="36">
        <f ca="1">Assumptions!$C$10*Assumptions!$C$13*I646*Assumptions!$C$15</f>
        <v>5397.7695298170347</v>
      </c>
      <c r="M646" s="36">
        <f ca="1">G646*(1+H646*Assumptions!$C$6)*(1+J646)+L646+K646</f>
        <v>67588.601620496018</v>
      </c>
    </row>
    <row r="647" spans="1:13" x14ac:dyDescent="0.25">
      <c r="A647" s="3">
        <v>634</v>
      </c>
      <c r="B647" s="3">
        <f t="shared" ca="1" si="113"/>
        <v>0.25709564739894852</v>
      </c>
      <c r="C647" s="3">
        <f t="shared" ca="1" si="113"/>
        <v>0.26273589229579186</v>
      </c>
      <c r="D647" s="3">
        <f t="shared" ca="1" si="113"/>
        <v>0.90751625510761036</v>
      </c>
      <c r="E647" s="3">
        <f t="shared" ca="1" si="113"/>
        <v>0.58467716980167128</v>
      </c>
      <c r="F647" s="3">
        <f t="shared" ca="1" si="113"/>
        <v>0.32002850313526876</v>
      </c>
      <c r="G647" s="36">
        <f t="shared" ca="1" si="103"/>
        <v>57639.90454896458</v>
      </c>
      <c r="H647" s="37">
        <f t="shared" ca="1" si="104"/>
        <v>0.10911334339668187</v>
      </c>
      <c r="I647" s="37">
        <f t="shared" ca="1" si="105"/>
        <v>0.10279686122663521</v>
      </c>
      <c r="J647" s="38">
        <f t="shared" ca="1" si="106"/>
        <v>3.177204717587126E-2</v>
      </c>
      <c r="K647" s="36">
        <f t="shared" ca="1" si="107"/>
        <v>1200.0534421886009</v>
      </c>
      <c r="L647" s="36">
        <f ca="1">Assumptions!$C$10*Assumptions!$C$13*I647*Assumptions!$C$15</f>
        <v>7129.3576986103308</v>
      </c>
      <c r="M647" s="36">
        <f ca="1">G647*(1+H647*Assumptions!$C$6)*(1+J647)+L647+K647</f>
        <v>69098.474673305769</v>
      </c>
    </row>
    <row r="648" spans="1:13" x14ac:dyDescent="0.25">
      <c r="A648" s="3">
        <v>635</v>
      </c>
      <c r="B648" s="3">
        <f t="shared" ca="1" si="113"/>
        <v>0.63344349841053726</v>
      </c>
      <c r="C648" s="3">
        <f t="shared" ca="1" si="113"/>
        <v>0.35574974883460264</v>
      </c>
      <c r="D648" s="3">
        <f t="shared" ca="1" si="113"/>
        <v>0.23841047306374263</v>
      </c>
      <c r="E648" s="3">
        <f t="shared" ca="1" si="113"/>
        <v>0.62062702782514867</v>
      </c>
      <c r="F648" s="3">
        <f t="shared" ca="1" si="113"/>
        <v>0.44031932737570489</v>
      </c>
      <c r="G648" s="36">
        <f t="shared" ca="1" si="103"/>
        <v>57986.760442699255</v>
      </c>
      <c r="H648" s="37">
        <f t="shared" ca="1" si="104"/>
        <v>0.11878569371242988</v>
      </c>
      <c r="I648" s="37">
        <f t="shared" ca="1" si="105"/>
        <v>6.7620889084241589E-2</v>
      </c>
      <c r="J648" s="38">
        <f t="shared" ca="1" si="106"/>
        <v>3.2578795169682408E-2</v>
      </c>
      <c r="K648" s="36">
        <f t="shared" ca="1" si="107"/>
        <v>1407.6352415276738</v>
      </c>
      <c r="L648" s="36">
        <f ca="1">Assumptions!$C$10*Assumptions!$C$13*I648*Assumptions!$C$15</f>
        <v>4689.7687383347857</v>
      </c>
      <c r="M648" s="36">
        <f ca="1">G648*(1+H648*Assumptions!$C$6)*(1+J648)+L648+K648</f>
        <v>67395.78325900434</v>
      </c>
    </row>
    <row r="649" spans="1:13" x14ac:dyDescent="0.25">
      <c r="A649" s="3">
        <v>636</v>
      </c>
      <c r="B649" s="3">
        <f t="shared" ca="1" si="113"/>
        <v>0.237834416144167</v>
      </c>
      <c r="C649" s="3">
        <f t="shared" ca="1" si="113"/>
        <v>0.25172384154629468</v>
      </c>
      <c r="D649" s="3">
        <f t="shared" ca="1" si="113"/>
        <v>0.27997324691599457</v>
      </c>
      <c r="E649" s="3">
        <f t="shared" ca="1" si="113"/>
        <v>0.19894119584326464</v>
      </c>
      <c r="F649" s="3">
        <f t="shared" ca="1" si="113"/>
        <v>0.31200270757318405</v>
      </c>
      <c r="G649" s="36">
        <f t="shared" ca="1" si="103"/>
        <v>57619.286430956927</v>
      </c>
      <c r="H649" s="37">
        <f t="shared" ca="1" si="104"/>
        <v>0.10786127455013171</v>
      </c>
      <c r="I649" s="37">
        <f t="shared" ca="1" si="105"/>
        <v>6.9931829047540389E-2</v>
      </c>
      <c r="J649" s="38">
        <f t="shared" ca="1" si="106"/>
        <v>2.2615583881636703E-2</v>
      </c>
      <c r="K649" s="36">
        <f t="shared" ca="1" si="107"/>
        <v>1184.9102008503971</v>
      </c>
      <c r="L649" s="36">
        <f ca="1">Assumptions!$C$10*Assumptions!$C$13*I649*Assumptions!$C$15</f>
        <v>4850.041313020185</v>
      </c>
      <c r="M649" s="36">
        <f ca="1">G649*(1+H649*Assumptions!$C$6)*(1+J649)+L649+K649</f>
        <v>66228.420356672767</v>
      </c>
    </row>
    <row r="650" spans="1:13" x14ac:dyDescent="0.25">
      <c r="A650" s="3">
        <v>637</v>
      </c>
      <c r="B650" s="3">
        <f t="shared" ca="1" si="113"/>
        <v>0.93765368233258317</v>
      </c>
      <c r="C650" s="3">
        <f t="shared" ca="1" si="113"/>
        <v>0.77865953558928125</v>
      </c>
      <c r="D650" s="3">
        <f t="shared" ca="1" si="113"/>
        <v>0.9833749866337792</v>
      </c>
      <c r="E650" s="3">
        <f t="shared" ca="1" si="113"/>
        <v>0.70105486934576899</v>
      </c>
      <c r="F650" s="3">
        <f t="shared" ca="1" si="113"/>
        <v>0.42196307748978401</v>
      </c>
      <c r="G650" s="36">
        <f t="shared" ca="1" si="103"/>
        <v>58434.877314991965</v>
      </c>
      <c r="H650" s="37">
        <f t="shared" ca="1" si="104"/>
        <v>0.16896083764173181</v>
      </c>
      <c r="I650" s="37">
        <f t="shared" ca="1" si="105"/>
        <v>0.11270616405641677</v>
      </c>
      <c r="J650" s="38">
        <f t="shared" ca="1" si="106"/>
        <v>3.4535327209301039E-2</v>
      </c>
      <c r="K650" s="36">
        <f t="shared" ca="1" si="107"/>
        <v>1377.9818027477822</v>
      </c>
      <c r="L650" s="36">
        <f ca="1">Assumptions!$C$10*Assumptions!$C$13*I650*Assumptions!$C$15</f>
        <v>7816.6059625588732</v>
      </c>
      <c r="M650" s="36">
        <f ca="1">G650*(1+H650*Assumptions!$C$6)*(1+J650)+L650+K650</f>
        <v>71690.36873124406</v>
      </c>
    </row>
    <row r="651" spans="1:13" x14ac:dyDescent="0.25">
      <c r="A651" s="3">
        <v>638</v>
      </c>
      <c r="B651" s="3">
        <f t="shared" ca="1" si="113"/>
        <v>0.29565185102679359</v>
      </c>
      <c r="C651" s="3">
        <f t="shared" ca="1" si="113"/>
        <v>6.8563910701299635E-2</v>
      </c>
      <c r="D651" s="3">
        <f t="shared" ca="1" si="113"/>
        <v>0.66517599771670655</v>
      </c>
      <c r="E651" s="3">
        <f t="shared" ca="1" si="113"/>
        <v>0.89533976193744236</v>
      </c>
      <c r="F651" s="3">
        <f t="shared" ca="1" si="113"/>
        <v>0.5161182393582836</v>
      </c>
      <c r="G651" s="36">
        <f t="shared" ca="1" si="103"/>
        <v>57678.975152448009</v>
      </c>
      <c r="H651" s="37">
        <f t="shared" ca="1" si="104"/>
        <v>8.01976822343584E-2</v>
      </c>
      <c r="I651" s="37">
        <f t="shared" ca="1" si="105"/>
        <v>8.7267190659728905E-2</v>
      </c>
      <c r="J651" s="38">
        <f t="shared" ca="1" si="106"/>
        <v>4.0849689051729116E-2</v>
      </c>
      <c r="K651" s="36">
        <f t="shared" ca="1" si="107"/>
        <v>1524.3754126175168</v>
      </c>
      <c r="L651" s="36">
        <f ca="1">Assumptions!$C$10*Assumptions!$C$13*I651*Assumptions!$C$15</f>
        <v>6052.3153152931973</v>
      </c>
      <c r="M651" s="36">
        <f ca="1">G651*(1+H651*Assumptions!$C$6)*(1+J651)+L651+K651</f>
        <v>68574.769950050191</v>
      </c>
    </row>
    <row r="652" spans="1:13" x14ac:dyDescent="0.25">
      <c r="A652" s="3">
        <v>639</v>
      </c>
      <c r="B652" s="3">
        <f t="shared" ca="1" si="113"/>
        <v>0.84406193738101709</v>
      </c>
      <c r="C652" s="3">
        <f t="shared" ca="1" si="113"/>
        <v>0.56459398405548511</v>
      </c>
      <c r="D652" s="3">
        <f t="shared" ca="1" si="113"/>
        <v>0.78894311811887619</v>
      </c>
      <c r="E652" s="3">
        <f t="shared" ca="1" si="113"/>
        <v>0.54592017675974125</v>
      </c>
      <c r="F652" s="3">
        <f t="shared" ca="1" si="113"/>
        <v>0.92285111059766423</v>
      </c>
      <c r="G652" s="36">
        <f t="shared" ca="1" si="103"/>
        <v>58251.979049470705</v>
      </c>
      <c r="H652" s="37">
        <f t="shared" ca="1" si="104"/>
        <v>0.14036437803910218</v>
      </c>
      <c r="I652" s="37">
        <f t="shared" ca="1" si="105"/>
        <v>9.401188690921182E-2</v>
      </c>
      <c r="J652" s="38">
        <f t="shared" ca="1" si="106"/>
        <v>3.0940517882371333E-2</v>
      </c>
      <c r="K652" s="36">
        <f t="shared" ca="1" si="107"/>
        <v>2410.7886607417413</v>
      </c>
      <c r="L652" s="36">
        <f ca="1">Assumptions!$C$10*Assumptions!$C$13*I652*Assumptions!$C$15</f>
        <v>6520.0859413342587</v>
      </c>
      <c r="M652" s="36">
        <f ca="1">G652*(1+H652*Assumptions!$C$6)*(1+J652)+L652+K652</f>
        <v>70671.097659049876</v>
      </c>
    </row>
    <row r="653" spans="1:13" x14ac:dyDescent="0.25">
      <c r="A653" s="3">
        <v>640</v>
      </c>
      <c r="B653" s="3">
        <f t="shared" ca="1" si="113"/>
        <v>0.25027033133182497</v>
      </c>
      <c r="C653" s="3">
        <f t="shared" ca="1" si="113"/>
        <v>0.73499088357326514</v>
      </c>
      <c r="D653" s="3">
        <f t="shared" ca="1" si="113"/>
        <v>0.50576474422969231</v>
      </c>
      <c r="E653" s="3">
        <f t="shared" ca="1" si="113"/>
        <v>0.76083551759309398</v>
      </c>
      <c r="F653" s="3">
        <f t="shared" ca="1" si="113"/>
        <v>0.86524695590918621</v>
      </c>
      <c r="G653" s="36">
        <f t="shared" ca="1" si="103"/>
        <v>57632.689711564177</v>
      </c>
      <c r="H653" s="37">
        <f t="shared" ca="1" si="104"/>
        <v>0.16226836001646719</v>
      </c>
      <c r="I653" s="37">
        <f t="shared" ca="1" si="105"/>
        <v>8.0231258274054168E-2</v>
      </c>
      <c r="J653" s="38">
        <f t="shared" ca="1" si="106"/>
        <v>3.6167733883216216E-2</v>
      </c>
      <c r="K653" s="36">
        <f t="shared" ca="1" si="107"/>
        <v>2221.2903632234529</v>
      </c>
      <c r="L653" s="36">
        <f ca="1">Assumptions!$C$10*Assumptions!$C$13*I653*Assumptions!$C$15</f>
        <v>5564.3463430682486</v>
      </c>
      <c r="M653" s="36">
        <f ca="1">G653*(1+H653*Assumptions!$C$6)*(1+J653)+L653+K653</f>
        <v>69440.81046577463</v>
      </c>
    </row>
    <row r="654" spans="1:13" x14ac:dyDescent="0.25">
      <c r="A654" s="3">
        <v>641</v>
      </c>
      <c r="B654" s="3">
        <f t="shared" ref="B654:F663" ca="1" si="114">RAND()</f>
        <v>0.79763506899670222</v>
      </c>
      <c r="C654" s="3">
        <f t="shared" ca="1" si="114"/>
        <v>0.91162653102189228</v>
      </c>
      <c r="D654" s="3">
        <f t="shared" ca="1" si="114"/>
        <v>0.9898769914415575</v>
      </c>
      <c r="E654" s="3">
        <f t="shared" ca="1" si="114"/>
        <v>0.67515049787285952</v>
      </c>
      <c r="F654" s="3">
        <f t="shared" ca="1" si="114"/>
        <v>0.40364205528641017</v>
      </c>
      <c r="G654" s="36">
        <f t="shared" ref="G654:G717" ca="1" si="115">IF(B654&lt;($F$5-$E$5)/($G$5-$E$5),$E$5+SQRT(B654*($G$5-$E$5)*($F$5-$E$5)),$G$5-SQRT((1-B654)*($G$5-$E$5)*($G$5-$F$5)))</f>
        <v>58182.748641636535</v>
      </c>
      <c r="H654" s="37">
        <f t="shared" ref="H654:H717" ca="1" si="116">IF(C654&lt;($F$6-$E$6)/($G$6-$E$6),$E$6+SQRT(C654*($G$6-$E$6)*($F$6-$E$6)),$G$6-SQRT((1-C654)*($G$6-$E$6)*($G$6-$F$6)))</f>
        <v>0.19511219438755267</v>
      </c>
      <c r="I654" s="37">
        <f t="shared" ref="I654:I717" ca="1" si="117">IF(D654&lt;($F$7-$E$7)/($G$7-$E$7),$E$7+SQRT(D654*($G$7-$E$7)*($F$7-$E$7)),$G$7-SQRT((1-D654)*($G$7-$E$7)*($G$7-$F$7)))</f>
        <v>0.11430846001621564</v>
      </c>
      <c r="J654" s="38">
        <f t="shared" ref="J654:J717" ca="1" si="118">IF(E654&lt;($F$8-$E$8)/($G$8-$E$8),$E$8+SQRT(E654*($G$8-$E$8)*($F$8-$E$8)),$G$8-SQRT((1-E654)*($G$8-$E$8)*($G$8-$F$8)))</f>
        <v>3.3879218328452171E-2</v>
      </c>
      <c r="K654" s="36">
        <f t="shared" ref="K654:K717" ca="1" si="119">IF(F654&lt;($F$9-$E$9)/($G$9-$E$9),$E$9+SQRT(F654*($G$9-$E$9)*($F$9-$E$9)),$G$9-SQRT((1-F654)*($G$9-$E$9)*($G$9-$F$9)))</f>
        <v>1347.7348584899205</v>
      </c>
      <c r="L654" s="36">
        <f ca="1">Assumptions!$C$10*Assumptions!$C$13*I654*Assumptions!$C$15</f>
        <v>7927.7313500476921</v>
      </c>
      <c r="M654" s="36">
        <f ca="1">G654*(1+H654*Assumptions!$C$6)*(1+J654)+L654+K654</f>
        <v>71776.754133872615</v>
      </c>
    </row>
    <row r="655" spans="1:13" x14ac:dyDescent="0.25">
      <c r="A655" s="3">
        <v>642</v>
      </c>
      <c r="B655" s="3">
        <f t="shared" ca="1" si="114"/>
        <v>0.64616771910159576</v>
      </c>
      <c r="C655" s="3">
        <f t="shared" ca="1" si="114"/>
        <v>0.39591444636513839</v>
      </c>
      <c r="D655" s="3">
        <f t="shared" ca="1" si="114"/>
        <v>0.8181470759394156</v>
      </c>
      <c r="E655" s="3">
        <f t="shared" ca="1" si="114"/>
        <v>0.92995619114403061</v>
      </c>
      <c r="F655" s="3">
        <f t="shared" ca="1" si="114"/>
        <v>0.30409383085028563</v>
      </c>
      <c r="G655" s="36">
        <f t="shared" ca="1" si="115"/>
        <v>58000.114097254707</v>
      </c>
      <c r="H655" s="37">
        <f t="shared" ca="1" si="116"/>
        <v>0.12264093293283708</v>
      </c>
      <c r="I655" s="37">
        <f t="shared" ca="1" si="117"/>
        <v>9.5876788004209096E-2</v>
      </c>
      <c r="J655" s="38">
        <f t="shared" ca="1" si="118"/>
        <v>4.2514343910866899E-2</v>
      </c>
      <c r="K655" s="36">
        <f t="shared" ca="1" si="119"/>
        <v>1169.7958107406118</v>
      </c>
      <c r="L655" s="36">
        <f ca="1">Assumptions!$C$10*Assumptions!$C$13*I655*Assumptions!$C$15</f>
        <v>6649.4240049688387</v>
      </c>
      <c r="M655" s="36">
        <f ca="1">G655*(1+H655*Assumptions!$C$6)*(1+J655)+L655+K655</f>
        <v>69768.290836247601</v>
      </c>
    </row>
    <row r="656" spans="1:13" x14ac:dyDescent="0.25">
      <c r="A656" s="3">
        <v>643</v>
      </c>
      <c r="B656" s="3">
        <f t="shared" ca="1" si="114"/>
        <v>0.80428122417527159</v>
      </c>
      <c r="C656" s="3">
        <f t="shared" ca="1" si="114"/>
        <v>0.35348531453183807</v>
      </c>
      <c r="D656" s="3">
        <f t="shared" ca="1" si="114"/>
        <v>0.22320423583219351</v>
      </c>
      <c r="E656" s="3">
        <f t="shared" ca="1" si="114"/>
        <v>0.82737718353658329</v>
      </c>
      <c r="F656" s="3">
        <f t="shared" ca="1" si="114"/>
        <v>0.89900330202133139</v>
      </c>
      <c r="G656" s="36">
        <f t="shared" ca="1" si="115"/>
        <v>58192.13147245859</v>
      </c>
      <c r="H656" s="37">
        <f t="shared" ca="1" si="116"/>
        <v>0.11856642533538879</v>
      </c>
      <c r="I656" s="37">
        <f t="shared" ca="1" si="117"/>
        <v>6.6725522533021109E-2</v>
      </c>
      <c r="J656" s="38">
        <f t="shared" ca="1" si="118"/>
        <v>3.8248478686964259E-2</v>
      </c>
      <c r="K656" s="36">
        <f t="shared" ca="1" si="119"/>
        <v>2325.8448688142998</v>
      </c>
      <c r="L656" s="36">
        <f ca="1">Assumptions!$C$10*Assumptions!$C$13*I656*Assumptions!$C$15</f>
        <v>4627.6716242901402</v>
      </c>
      <c r="M656" s="36">
        <f ca="1">G656*(1+H656*Assumptions!$C$6)*(1+J656)+L656+K656</f>
        <v>68804.115161440059</v>
      </c>
    </row>
    <row r="657" spans="1:13" x14ac:dyDescent="0.25">
      <c r="A657" s="3">
        <v>644</v>
      </c>
      <c r="B657" s="3">
        <f t="shared" ca="1" si="114"/>
        <v>0.23256452701270458</v>
      </c>
      <c r="C657" s="3">
        <f t="shared" ca="1" si="114"/>
        <v>0.73785560219756674</v>
      </c>
      <c r="D657" s="3">
        <f t="shared" ca="1" si="114"/>
        <v>0.21943913808198712</v>
      </c>
      <c r="E657" s="3">
        <f t="shared" ca="1" si="114"/>
        <v>0.81868752730137018</v>
      </c>
      <c r="F657" s="3">
        <f t="shared" ca="1" si="114"/>
        <v>0.63110303262368972</v>
      </c>
      <c r="G657" s="36">
        <f t="shared" ca="1" si="115"/>
        <v>57613.501079458445</v>
      </c>
      <c r="H657" s="37">
        <f t="shared" ca="1" si="116"/>
        <v>0.16268963672381639</v>
      </c>
      <c r="I657" s="37">
        <f t="shared" ca="1" si="117"/>
        <v>6.6499155493380507E-2</v>
      </c>
      <c r="J657" s="38">
        <f t="shared" ca="1" si="118"/>
        <v>3.7956330369903701E-2</v>
      </c>
      <c r="K657" s="36">
        <f t="shared" ca="1" si="119"/>
        <v>1711.5760196296421</v>
      </c>
      <c r="L657" s="36">
        <f ca="1">Assumptions!$C$10*Assumptions!$C$13*I657*Assumptions!$C$15</f>
        <v>4611.9721994486044</v>
      </c>
      <c r="M657" s="36">
        <f ca="1">G657*(1+H657*Assumptions!$C$6)*(1+J657)+L657+K657</f>
        <v>68069.6241360071</v>
      </c>
    </row>
    <row r="658" spans="1:13" x14ac:dyDescent="0.25">
      <c r="A658" s="3">
        <v>645</v>
      </c>
      <c r="B658" s="3">
        <f t="shared" ca="1" si="114"/>
        <v>0.36590791029245484</v>
      </c>
      <c r="C658" s="3">
        <f t="shared" ca="1" si="114"/>
        <v>7.6353836082873938E-2</v>
      </c>
      <c r="D658" s="3">
        <f t="shared" ca="1" si="114"/>
        <v>0.52740050487694845</v>
      </c>
      <c r="E658" s="3">
        <f t="shared" ca="1" si="114"/>
        <v>0.62393719852278939</v>
      </c>
      <c r="F658" s="3">
        <f t="shared" ca="1" si="114"/>
        <v>0.71952830567802695</v>
      </c>
      <c r="G658" s="36">
        <f t="shared" ca="1" si="115"/>
        <v>57744.103299218572</v>
      </c>
      <c r="H658" s="37">
        <f t="shared" ca="1" si="116"/>
        <v>8.186700519192576E-2</v>
      </c>
      <c r="I658" s="37">
        <f t="shared" ca="1" si="117"/>
        <v>8.1111462043504834E-2</v>
      </c>
      <c r="J658" s="38">
        <f t="shared" ca="1" si="118"/>
        <v>3.265496494146615E-2</v>
      </c>
      <c r="K658" s="36">
        <f t="shared" ca="1" si="119"/>
        <v>1876.557689754886</v>
      </c>
      <c r="L658" s="36">
        <f ca="1">Assumptions!$C$10*Assumptions!$C$13*I658*Assumptions!$C$15</f>
        <v>5625.391859878765</v>
      </c>
      <c r="M658" s="36">
        <f ca="1">G658*(1+H658*Assumptions!$C$6)*(1+J658)+L658+K658</f>
        <v>68108.026082108801</v>
      </c>
    </row>
    <row r="659" spans="1:13" x14ac:dyDescent="0.25">
      <c r="A659" s="3">
        <v>646</v>
      </c>
      <c r="B659" s="3">
        <f t="shared" ca="1" si="114"/>
        <v>0.92014171870674955</v>
      </c>
      <c r="C659" s="3">
        <f t="shared" ca="1" si="114"/>
        <v>0.20482045182663677</v>
      </c>
      <c r="D659" s="3">
        <f t="shared" ca="1" si="114"/>
        <v>0.11362941014359007</v>
      </c>
      <c r="E659" s="3">
        <f t="shared" ca="1" si="114"/>
        <v>0.57023055104469356</v>
      </c>
      <c r="F659" s="3">
        <f t="shared" ca="1" si="114"/>
        <v>0.25447952899062742</v>
      </c>
      <c r="G659" s="36">
        <f t="shared" ca="1" si="115"/>
        <v>58393.435240855804</v>
      </c>
      <c r="H659" s="37">
        <f t="shared" ca="1" si="116"/>
        <v>0.1021930264431396</v>
      </c>
      <c r="I659" s="37">
        <f t="shared" ca="1" si="117"/>
        <v>5.9068668345206701E-2</v>
      </c>
      <c r="J659" s="38">
        <f t="shared" ca="1" si="118"/>
        <v>3.1457735867369246E-2</v>
      </c>
      <c r="K659" s="36">
        <f t="shared" ca="1" si="119"/>
        <v>1070.1204981018836</v>
      </c>
      <c r="L659" s="36">
        <f ca="1">Assumptions!$C$10*Assumptions!$C$13*I659*Assumptions!$C$15</f>
        <v>4096.6393369260277</v>
      </c>
      <c r="M659" s="36">
        <f ca="1">G659*(1+H659*Assumptions!$C$6)*(1+J659)+L659+K659</f>
        <v>66628.144902792512</v>
      </c>
    </row>
    <row r="660" spans="1:13" x14ac:dyDescent="0.25">
      <c r="A660" s="3">
        <v>647</v>
      </c>
      <c r="B660" s="3">
        <f t="shared" ca="1" si="114"/>
        <v>7.4818399873087027E-2</v>
      </c>
      <c r="C660" s="3">
        <f t="shared" ca="1" si="114"/>
        <v>0.68740642312482891</v>
      </c>
      <c r="D660" s="3">
        <f t="shared" ca="1" si="114"/>
        <v>0.43970388640945413</v>
      </c>
      <c r="E660" s="3">
        <f t="shared" ca="1" si="114"/>
        <v>7.7217376644339142E-2</v>
      </c>
      <c r="F660" s="3">
        <f t="shared" ca="1" si="114"/>
        <v>0.79819041481464237</v>
      </c>
      <c r="G660" s="36">
        <f t="shared" ca="1" si="115"/>
        <v>57391.255296949108</v>
      </c>
      <c r="H660" s="37">
        <f t="shared" ca="1" si="116"/>
        <v>0.1555776477894989</v>
      </c>
      <c r="I660" s="37">
        <f t="shared" ca="1" si="117"/>
        <v>7.7510697627613562E-2</v>
      </c>
      <c r="J660" s="38">
        <f t="shared" ca="1" si="118"/>
        <v>1.7859637479901429E-2</v>
      </c>
      <c r="K660" s="36">
        <f t="shared" ca="1" si="119"/>
        <v>2047.0345581637762</v>
      </c>
      <c r="L660" s="36">
        <f ca="1">Assumptions!$C$10*Assumptions!$C$13*I660*Assumptions!$C$15</f>
        <v>5375.6649985427985</v>
      </c>
      <c r="M660" s="36">
        <f ca="1">G660*(1+H660*Assumptions!$C$6)*(1+J660)+L660+K660</f>
        <v>67656.594182067172</v>
      </c>
    </row>
    <row r="661" spans="1:13" x14ac:dyDescent="0.25">
      <c r="A661" s="3">
        <v>648</v>
      </c>
      <c r="B661" s="3">
        <f t="shared" ca="1" si="114"/>
        <v>0.68806607911782669</v>
      </c>
      <c r="C661" s="3">
        <f t="shared" ca="1" si="114"/>
        <v>0.74202108466815764</v>
      </c>
      <c r="D661" s="3">
        <f t="shared" ca="1" si="114"/>
        <v>0.34288879632138836</v>
      </c>
      <c r="E661" s="3">
        <f t="shared" ca="1" si="114"/>
        <v>3.7892255844101386E-2</v>
      </c>
      <c r="F661" s="3">
        <f t="shared" ca="1" si="114"/>
        <v>0.97669400156505637</v>
      </c>
      <c r="G661" s="36">
        <f t="shared" ca="1" si="115"/>
        <v>58045.87419590458</v>
      </c>
      <c r="H661" s="37">
        <f t="shared" ca="1" si="116"/>
        <v>0.16330632836037901</v>
      </c>
      <c r="I661" s="37">
        <f t="shared" ca="1" si="117"/>
        <v>7.3124675820729818E-2</v>
      </c>
      <c r="J661" s="38">
        <f t="shared" ca="1" si="118"/>
        <v>1.5505797369616967E-2</v>
      </c>
      <c r="K661" s="36">
        <f t="shared" ca="1" si="119"/>
        <v>2676.1528246884864</v>
      </c>
      <c r="L661" s="36">
        <f ca="1">Assumptions!$C$10*Assumptions!$C$13*I661*Assumptions!$C$15</f>
        <v>5071.4775169207687</v>
      </c>
      <c r="M661" s="36">
        <f ca="1">G661*(1+H661*Assumptions!$C$6)*(1+J661)+L661+K661</f>
        <v>68618.800511804628</v>
      </c>
    </row>
    <row r="662" spans="1:13" x14ac:dyDescent="0.25">
      <c r="A662" s="3">
        <v>649</v>
      </c>
      <c r="B662" s="3">
        <f t="shared" ca="1" si="114"/>
        <v>0.99078970855764559</v>
      </c>
      <c r="C662" s="3">
        <f t="shared" ca="1" si="114"/>
        <v>0.46353582348894296</v>
      </c>
      <c r="D662" s="3">
        <f t="shared" ca="1" si="114"/>
        <v>0.66880215050785474</v>
      </c>
      <c r="E662" s="3">
        <f t="shared" ca="1" si="114"/>
        <v>0.23732748257011116</v>
      </c>
      <c r="F662" s="3">
        <f t="shared" ca="1" si="114"/>
        <v>0.63072675476062845</v>
      </c>
      <c r="G662" s="36">
        <f t="shared" ca="1" si="115"/>
        <v>58628.513722765878</v>
      </c>
      <c r="H662" s="37">
        <f t="shared" ca="1" si="116"/>
        <v>0.1294044158908137</v>
      </c>
      <c r="I662" s="37">
        <f t="shared" ca="1" si="117"/>
        <v>8.7444921772865225E-2</v>
      </c>
      <c r="J662" s="38">
        <f t="shared" ca="1" si="118"/>
        <v>2.3779041550706238E-2</v>
      </c>
      <c r="K662" s="36">
        <f t="shared" ca="1" si="119"/>
        <v>1710.9190857137121</v>
      </c>
      <c r="L662" s="36">
        <f ca="1">Assumptions!$C$10*Assumptions!$C$13*I662*Assumptions!$C$15</f>
        <v>6064.6416515704059</v>
      </c>
      <c r="M662" s="36">
        <f ca="1">G662*(1+H662*Assumptions!$C$6)*(1+J662)+L662+K662</f>
        <v>69351.643350630009</v>
      </c>
    </row>
    <row r="663" spans="1:13" x14ac:dyDescent="0.25">
      <c r="A663" s="3">
        <v>650</v>
      </c>
      <c r="B663" s="3">
        <f t="shared" ca="1" si="114"/>
        <v>0.26132447527481073</v>
      </c>
      <c r="C663" s="3">
        <f t="shared" ca="1" si="114"/>
        <v>0.43013503691918642</v>
      </c>
      <c r="D663" s="3">
        <f t="shared" ca="1" si="114"/>
        <v>0.12763331794509125</v>
      </c>
      <c r="E663" s="3">
        <f t="shared" ca="1" si="114"/>
        <v>0.25299135710363196</v>
      </c>
      <c r="F663" s="3">
        <f t="shared" ca="1" si="114"/>
        <v>0.35478693143498585</v>
      </c>
      <c r="G663" s="36">
        <f t="shared" ca="1" si="115"/>
        <v>57644.32673819278</v>
      </c>
      <c r="H663" s="37">
        <f t="shared" ca="1" si="116"/>
        <v>0.12601350449179274</v>
      </c>
      <c r="I663" s="37">
        <f t="shared" ca="1" si="117"/>
        <v>6.0209567472469375E-2</v>
      </c>
      <c r="J663" s="38">
        <f t="shared" ca="1" si="118"/>
        <v>2.4226492388600418E-2</v>
      </c>
      <c r="K663" s="36">
        <f t="shared" ca="1" si="119"/>
        <v>1263.5431102488892</v>
      </c>
      <c r="L663" s="36">
        <f ca="1">Assumptions!$C$10*Assumptions!$C$13*I663*Assumptions!$C$15</f>
        <v>4175.7650794752599</v>
      </c>
      <c r="M663" s="36">
        <f ca="1">G663*(1+H663*Assumptions!$C$6)*(1+J663)+L663+K663</f>
        <v>65968.14356805665</v>
      </c>
    </row>
    <row r="664" spans="1:13" x14ac:dyDescent="0.25">
      <c r="A664" s="3">
        <v>651</v>
      </c>
      <c r="B664" s="3">
        <f t="shared" ref="B664:F673" ca="1" si="120">RAND()</f>
        <v>0.90464997835943561</v>
      </c>
      <c r="C664" s="3">
        <f t="shared" ca="1" si="120"/>
        <v>0.51951505234998208</v>
      </c>
      <c r="D664" s="3">
        <f t="shared" ca="1" si="120"/>
        <v>0.39396530342050606</v>
      </c>
      <c r="E664" s="3">
        <f t="shared" ca="1" si="120"/>
        <v>0.21120319591288983</v>
      </c>
      <c r="F664" s="3">
        <f t="shared" ca="1" si="120"/>
        <v>0.85642771402673612</v>
      </c>
      <c r="G664" s="36">
        <f t="shared" ca="1" si="115"/>
        <v>58360.437515472244</v>
      </c>
      <c r="H664" s="37">
        <f t="shared" ca="1" si="116"/>
        <v>0.13533359275096707</v>
      </c>
      <c r="I664" s="37">
        <f t="shared" ca="1" si="117"/>
        <v>7.5506182151079265E-2</v>
      </c>
      <c r="J664" s="38">
        <f t="shared" ca="1" si="118"/>
        <v>2.2998559794466147E-2</v>
      </c>
      <c r="K664" s="36">
        <f t="shared" ca="1" si="119"/>
        <v>2196.2119141964795</v>
      </c>
      <c r="L664" s="36">
        <f ca="1">Assumptions!$C$10*Assumptions!$C$13*I664*Assumptions!$C$15</f>
        <v>5236.6441405702353</v>
      </c>
      <c r="M664" s="36">
        <f ca="1">G664*(1+H664*Assumptions!$C$6)*(1+J664)+L664+K664</f>
        <v>68751.454231125783</v>
      </c>
    </row>
    <row r="665" spans="1:13" x14ac:dyDescent="0.25">
      <c r="A665" s="3">
        <v>652</v>
      </c>
      <c r="B665" s="3">
        <f t="shared" ca="1" si="120"/>
        <v>0.50390017592586012</v>
      </c>
      <c r="C665" s="3">
        <f t="shared" ca="1" si="120"/>
        <v>0.47133362434583048</v>
      </c>
      <c r="D665" s="3">
        <f t="shared" ca="1" si="120"/>
        <v>0.70896076407347763</v>
      </c>
      <c r="E665" s="3">
        <f t="shared" ca="1" si="120"/>
        <v>0.36164740204498125</v>
      </c>
      <c r="F665" s="3">
        <f t="shared" ca="1" si="120"/>
        <v>0.87595816854123776</v>
      </c>
      <c r="G665" s="36">
        <f t="shared" ca="1" si="115"/>
        <v>57862.175293601795</v>
      </c>
      <c r="H665" s="37">
        <f t="shared" ca="1" si="116"/>
        <v>0.1302111418908318</v>
      </c>
      <c r="I665" s="37">
        <f t="shared" ca="1" si="117"/>
        <v>8.9482373044994609E-2</v>
      </c>
      <c r="J665" s="38">
        <f t="shared" ca="1" si="118"/>
        <v>2.7009348066165999E-2</v>
      </c>
      <c r="K665" s="36">
        <f t="shared" ca="1" si="119"/>
        <v>2252.8800353594947</v>
      </c>
      <c r="L665" s="36">
        <f ca="1">Assumptions!$C$10*Assumptions!$C$13*I665*Assumptions!$C$15</f>
        <v>6205.9467336436255</v>
      </c>
      <c r="M665" s="36">
        <f ca="1">G665*(1+H665*Assumptions!$C$6)*(1+J665)+L665+K665</f>
        <v>69431.380984208852</v>
      </c>
    </row>
    <row r="666" spans="1:13" x14ac:dyDescent="0.25">
      <c r="A666" s="3">
        <v>653</v>
      </c>
      <c r="B666" s="3">
        <f t="shared" ca="1" si="120"/>
        <v>0.61109957005359827</v>
      </c>
      <c r="C666" s="3">
        <f t="shared" ca="1" si="120"/>
        <v>0.36282869449753408</v>
      </c>
      <c r="D666" s="3">
        <f t="shared" ca="1" si="120"/>
        <v>0.95397830821982654</v>
      </c>
      <c r="E666" s="3">
        <f t="shared" ca="1" si="120"/>
        <v>0.51464546083161622</v>
      </c>
      <c r="F666" s="3">
        <f t="shared" ca="1" si="120"/>
        <v>0.30608560294665899</v>
      </c>
      <c r="G666" s="36">
        <f t="shared" ca="1" si="115"/>
        <v>57963.860328062852</v>
      </c>
      <c r="H666" s="37">
        <f t="shared" ca="1" si="116"/>
        <v>0.1194666944428566</v>
      </c>
      <c r="I666" s="37">
        <f t="shared" ca="1" si="117"/>
        <v>0.10786453899942178</v>
      </c>
      <c r="J666" s="38">
        <f t="shared" ca="1" si="118"/>
        <v>3.0295086111969252E-2</v>
      </c>
      <c r="K666" s="36">
        <f t="shared" ca="1" si="119"/>
        <v>1173.6205576164577</v>
      </c>
      <c r="L666" s="36">
        <f ca="1">Assumptions!$C$10*Assumptions!$C$13*I666*Assumptions!$C$15</f>
        <v>7480.8206432214356</v>
      </c>
      <c r="M666" s="36">
        <f ca="1">G666*(1+H666*Assumptions!$C$6)*(1+J666)+L666+K666</f>
        <v>69801.229011330477</v>
      </c>
    </row>
    <row r="667" spans="1:13" x14ac:dyDescent="0.25">
      <c r="A667" s="3">
        <v>654</v>
      </c>
      <c r="B667" s="3">
        <f t="shared" ca="1" si="120"/>
        <v>0.82275859800409246</v>
      </c>
      <c r="C667" s="3">
        <f t="shared" ca="1" si="120"/>
        <v>0.22244793404968644</v>
      </c>
      <c r="D667" s="3">
        <f t="shared" ca="1" si="120"/>
        <v>0.34366742416707796</v>
      </c>
      <c r="E667" s="3">
        <f t="shared" ca="1" si="120"/>
        <v>0.63188134590312883</v>
      </c>
      <c r="F667" s="3">
        <f t="shared" ca="1" si="120"/>
        <v>7.5935305586660728E-3</v>
      </c>
      <c r="G667" s="36">
        <f t="shared" ca="1" si="115"/>
        <v>58219.088863466379</v>
      </c>
      <c r="H667" s="37">
        <f t="shared" ca="1" si="116"/>
        <v>0.10439262379092251</v>
      </c>
      <c r="I667" s="37">
        <f t="shared" ca="1" si="117"/>
        <v>7.3162264056222837E-2</v>
      </c>
      <c r="J667" s="38">
        <f t="shared" ca="1" si="118"/>
        <v>3.2839145613417234E-2</v>
      </c>
      <c r="K667" s="36">
        <f t="shared" ca="1" si="119"/>
        <v>184.85369218383852</v>
      </c>
      <c r="L667" s="36">
        <f ca="1">Assumptions!$C$10*Assumptions!$C$13*I667*Assumptions!$C$15</f>
        <v>5074.0844056223459</v>
      </c>
      <c r="M667" s="36">
        <f ca="1">G667*(1+H667*Assumptions!$C$6)*(1+J667)+L667+K667</f>
        <v>66645.337709765459</v>
      </c>
    </row>
    <row r="668" spans="1:13" x14ac:dyDescent="0.25">
      <c r="A668" s="3">
        <v>655</v>
      </c>
      <c r="B668" s="3">
        <f t="shared" ca="1" si="120"/>
        <v>0.73599753141350188</v>
      </c>
      <c r="C668" s="3">
        <f t="shared" ca="1" si="120"/>
        <v>0.1515880806613441</v>
      </c>
      <c r="D668" s="3">
        <f t="shared" ca="1" si="120"/>
        <v>2.3146638833899003E-2</v>
      </c>
      <c r="E668" s="3">
        <f t="shared" ca="1" si="120"/>
        <v>0.32482369542630307</v>
      </c>
      <c r="F668" s="3">
        <f t="shared" ca="1" si="120"/>
        <v>0.6254011361468107</v>
      </c>
      <c r="G668" s="36">
        <f t="shared" ca="1" si="115"/>
        <v>58102.179043098084</v>
      </c>
      <c r="H668" s="37">
        <f t="shared" ca="1" si="116"/>
        <v>9.490124132800648E-2</v>
      </c>
      <c r="I668" s="37">
        <f t="shared" ca="1" si="117"/>
        <v>4.8606349067315174E-2</v>
      </c>
      <c r="J668" s="38">
        <f t="shared" ca="1" si="118"/>
        <v>2.6120141325095214E-2</v>
      </c>
      <c r="K668" s="36">
        <f t="shared" ca="1" si="119"/>
        <v>1701.6568684129177</v>
      </c>
      <c r="L668" s="36">
        <f ca="1">Assumptions!$C$10*Assumptions!$C$13*I668*Assumptions!$C$15</f>
        <v>3371.0372553147199</v>
      </c>
      <c r="M668" s="36">
        <f ca="1">G668*(1+H668*Assumptions!$C$6)*(1+J668)+L668+K668</f>
        <v>65824.109207202535</v>
      </c>
    </row>
    <row r="669" spans="1:13" x14ac:dyDescent="0.25">
      <c r="A669" s="3">
        <v>656</v>
      </c>
      <c r="B669" s="3">
        <f t="shared" ca="1" si="120"/>
        <v>0.74290701259893077</v>
      </c>
      <c r="C669" s="3">
        <f t="shared" ca="1" si="120"/>
        <v>0.81805499774228274</v>
      </c>
      <c r="D669" s="3">
        <f t="shared" ca="1" si="120"/>
        <v>0.77098829533429247</v>
      </c>
      <c r="E669" s="3">
        <f t="shared" ca="1" si="120"/>
        <v>0.55519776553210975</v>
      </c>
      <c r="F669" s="3">
        <f t="shared" ca="1" si="120"/>
        <v>0.42313816548153649</v>
      </c>
      <c r="G669" s="36">
        <f t="shared" ca="1" si="115"/>
        <v>58110.704777856154</v>
      </c>
      <c r="H669" s="37">
        <f t="shared" ca="1" si="116"/>
        <v>0.17559234477582689</v>
      </c>
      <c r="I669" s="37">
        <f t="shared" ca="1" si="117"/>
        <v>9.2929029294643611E-2</v>
      </c>
      <c r="J669" s="38">
        <f t="shared" ca="1" si="118"/>
        <v>3.1136230822703746E-2</v>
      </c>
      <c r="K669" s="36">
        <f t="shared" ca="1" si="119"/>
        <v>1379.8991791674182</v>
      </c>
      <c r="L669" s="36">
        <f ca="1">Assumptions!$C$10*Assumptions!$C$13*I669*Assumptions!$C$15</f>
        <v>6444.9856009269752</v>
      </c>
      <c r="M669" s="36">
        <f ca="1">G669*(1+H669*Assumptions!$C$6)*(1+J669)+L669+K669</f>
        <v>69849.238399595619</v>
      </c>
    </row>
    <row r="670" spans="1:13" x14ac:dyDescent="0.25">
      <c r="A670" s="3">
        <v>657</v>
      </c>
      <c r="B670" s="3">
        <f t="shared" ca="1" si="120"/>
        <v>8.8567411856604661E-2</v>
      </c>
      <c r="C670" s="3">
        <f t="shared" ca="1" si="120"/>
        <v>0.50533538574647352</v>
      </c>
      <c r="D670" s="3">
        <f t="shared" ca="1" si="120"/>
        <v>0.20759166691975506</v>
      </c>
      <c r="E670" s="3">
        <f t="shared" ca="1" si="120"/>
        <v>0.14877940178451809</v>
      </c>
      <c r="F670" s="3">
        <f t="shared" ca="1" si="120"/>
        <v>0.31602433447869493</v>
      </c>
      <c r="G670" s="36">
        <f t="shared" ca="1" si="115"/>
        <v>57416.888589515132</v>
      </c>
      <c r="H670" s="37">
        <f t="shared" ca="1" si="116"/>
        <v>0.13380040864023812</v>
      </c>
      <c r="I670" s="37">
        <f t="shared" ca="1" si="117"/>
        <v>6.5773888611213027E-2</v>
      </c>
      <c r="J670" s="38">
        <f t="shared" ca="1" si="118"/>
        <v>2.0909790164233888E-2</v>
      </c>
      <c r="K670" s="36">
        <f t="shared" ca="1" si="119"/>
        <v>1192.522328996035</v>
      </c>
      <c r="L670" s="36">
        <f ca="1">Assumptions!$C$10*Assumptions!$C$13*I670*Assumptions!$C$15</f>
        <v>4561.6721516822809</v>
      </c>
      <c r="M670" s="36">
        <f ca="1">G670*(1+H670*Assumptions!$C$6)*(1+J670)+L670+K670</f>
        <v>65940.266281299366</v>
      </c>
    </row>
    <row r="671" spans="1:13" x14ac:dyDescent="0.25">
      <c r="A671" s="3">
        <v>658</v>
      </c>
      <c r="B671" s="3">
        <f t="shared" ca="1" si="120"/>
        <v>0.58568003937871604</v>
      </c>
      <c r="C671" s="3">
        <f t="shared" ca="1" si="120"/>
        <v>0.780432598510858</v>
      </c>
      <c r="D671" s="3">
        <f t="shared" ca="1" si="120"/>
        <v>0.12322403732718457</v>
      </c>
      <c r="E671" s="3">
        <f t="shared" ca="1" si="120"/>
        <v>0.30495514387924105</v>
      </c>
      <c r="F671" s="3">
        <f t="shared" ca="1" si="120"/>
        <v>0.99029235054388087</v>
      </c>
      <c r="G671" s="36">
        <f t="shared" ca="1" si="115"/>
        <v>57938.594122071161</v>
      </c>
      <c r="H671" s="37">
        <f t="shared" ca="1" si="116"/>
        <v>0.16924594178457014</v>
      </c>
      <c r="I671" s="37">
        <f t="shared" ca="1" si="117"/>
        <v>5.9857414722138194E-2</v>
      </c>
      <c r="J671" s="38">
        <f t="shared" ca="1" si="118"/>
        <v>2.5619350662027945E-2</v>
      </c>
      <c r="K671" s="36">
        <f t="shared" ca="1" si="119"/>
        <v>2790.9918122356539</v>
      </c>
      <c r="L671" s="36">
        <f ca="1">Assumptions!$C$10*Assumptions!$C$13*I671*Assumptions!$C$15</f>
        <v>4151.3419318061378</v>
      </c>
      <c r="M671" s="36">
        <f ca="1">G671*(1+H671*Assumptions!$C$6)*(1+J671)+L671+K671</f>
        <v>68376.695425657352</v>
      </c>
    </row>
    <row r="672" spans="1:13" x14ac:dyDescent="0.25">
      <c r="A672" s="3">
        <v>659</v>
      </c>
      <c r="B672" s="3">
        <f t="shared" ca="1" si="120"/>
        <v>0.71410667227765245</v>
      </c>
      <c r="C672" s="3">
        <f t="shared" ca="1" si="120"/>
        <v>0.1917874044517045</v>
      </c>
      <c r="D672" s="3">
        <f t="shared" ca="1" si="120"/>
        <v>0.92387647042763787</v>
      </c>
      <c r="E672" s="3">
        <f t="shared" ca="1" si="120"/>
        <v>0.27450015846720865</v>
      </c>
      <c r="F672" s="3">
        <f t="shared" ca="1" si="120"/>
        <v>0.27538819093877864</v>
      </c>
      <c r="G672" s="36">
        <f t="shared" ca="1" si="115"/>
        <v>58075.87974448943</v>
      </c>
      <c r="H672" s="37">
        <f t="shared" ca="1" si="116"/>
        <v>0.10050517279653312</v>
      </c>
      <c r="I672" s="37">
        <f t="shared" ca="1" si="117"/>
        <v>0.10439246032740718</v>
      </c>
      <c r="J672" s="38">
        <f t="shared" ca="1" si="118"/>
        <v>2.4818911119706702E-2</v>
      </c>
      <c r="K672" s="36">
        <f t="shared" ca="1" si="119"/>
        <v>1113.2146510105335</v>
      </c>
      <c r="L672" s="36">
        <f ca="1">Assumptions!$C$10*Assumptions!$C$13*I672*Assumptions!$C$15</f>
        <v>7240.0186331684845</v>
      </c>
      <c r="M672" s="36">
        <f ca="1">G672*(1+H672*Assumptions!$C$6)*(1+J672)+L672+K672</f>
        <v>69066.851623206341</v>
      </c>
    </row>
    <row r="673" spans="1:13" x14ac:dyDescent="0.25">
      <c r="A673" s="3">
        <v>660</v>
      </c>
      <c r="B673" s="3">
        <f t="shared" ca="1" si="120"/>
        <v>0.20746103955385875</v>
      </c>
      <c r="C673" s="3">
        <f t="shared" ca="1" si="120"/>
        <v>0.78469529172622088</v>
      </c>
      <c r="D673" s="3">
        <f t="shared" ca="1" si="120"/>
        <v>0.72386906996954514</v>
      </c>
      <c r="E673" s="3">
        <f t="shared" ca="1" si="120"/>
        <v>0.80991696073349817</v>
      </c>
      <c r="F673" s="3">
        <f t="shared" ca="1" si="120"/>
        <v>0.21477573410508044</v>
      </c>
      <c r="G673" s="36">
        <f t="shared" ca="1" si="115"/>
        <v>57584.995712611722</v>
      </c>
      <c r="H673" s="37">
        <f t="shared" ca="1" si="116"/>
        <v>0.16993611951481588</v>
      </c>
      <c r="I673" s="37">
        <f t="shared" ca="1" si="117"/>
        <v>9.0274270806295506E-2</v>
      </c>
      <c r="J673" s="38">
        <f t="shared" ca="1" si="118"/>
        <v>3.7668478138802114E-2</v>
      </c>
      <c r="K673" s="36">
        <f t="shared" ca="1" si="119"/>
        <v>983.10264137213153</v>
      </c>
      <c r="L673" s="36">
        <f ca="1">Assumptions!$C$10*Assumptions!$C$13*I673*Assumptions!$C$15</f>
        <v>6260.8678891504624</v>
      </c>
      <c r="M673" s="36">
        <f ca="1">G673*(1+H673*Assumptions!$C$6)*(1+J673)+L673+K673</f>
        <v>69028.982556033458</v>
      </c>
    </row>
    <row r="674" spans="1:13" x14ac:dyDescent="0.25">
      <c r="A674" s="3">
        <v>661</v>
      </c>
      <c r="B674" s="3">
        <f t="shared" ref="B674:F683" ca="1" si="121">RAND()</f>
        <v>0.54358571316191917</v>
      </c>
      <c r="C674" s="3">
        <f t="shared" ca="1" si="121"/>
        <v>0.92727462678510297</v>
      </c>
      <c r="D674" s="3">
        <f t="shared" ca="1" si="121"/>
        <v>0.55090139680126526</v>
      </c>
      <c r="E674" s="3">
        <f t="shared" ca="1" si="121"/>
        <v>0.18109979542548826</v>
      </c>
      <c r="F674" s="3">
        <f t="shared" ca="1" si="121"/>
        <v>0.48990241901619125</v>
      </c>
      <c r="G674" s="36">
        <f t="shared" ca="1" si="115"/>
        <v>57898.401789572657</v>
      </c>
      <c r="H674" s="37">
        <f t="shared" ca="1" si="116"/>
        <v>0.19927975307909279</v>
      </c>
      <c r="I674" s="37">
        <f t="shared" ca="1" si="117"/>
        <v>8.2090693355905978E-2</v>
      </c>
      <c r="J674" s="38">
        <f t="shared" ca="1" si="118"/>
        <v>2.2036604020253828E-2</v>
      </c>
      <c r="K674" s="36">
        <f t="shared" ca="1" si="119"/>
        <v>1484.7763756111087</v>
      </c>
      <c r="L674" s="36">
        <f ca="1">Assumptions!$C$10*Assumptions!$C$13*I674*Assumptions!$C$15</f>
        <v>5693.3053176680633</v>
      </c>
      <c r="M674" s="36">
        <f ca="1">G674*(1+H674*Assumptions!$C$6)*(1+J674)+L674+K674</f>
        <v>68710.815054773295</v>
      </c>
    </row>
    <row r="675" spans="1:13" x14ac:dyDescent="0.25">
      <c r="A675" s="3">
        <v>662</v>
      </c>
      <c r="B675" s="3">
        <f t="shared" ca="1" si="121"/>
        <v>0.44473948646821648</v>
      </c>
      <c r="C675" s="3">
        <f t="shared" ca="1" si="121"/>
        <v>0.97385091308617577</v>
      </c>
      <c r="D675" s="3">
        <f t="shared" ca="1" si="121"/>
        <v>0.85967107370194329</v>
      </c>
      <c r="E675" s="3">
        <f t="shared" ca="1" si="121"/>
        <v>6.2879155220412541E-2</v>
      </c>
      <c r="F675" s="3">
        <f t="shared" ca="1" si="121"/>
        <v>0.54264393698794766</v>
      </c>
      <c r="G675" s="36">
        <f t="shared" ca="1" si="115"/>
        <v>57810.763233581696</v>
      </c>
      <c r="H675" s="37">
        <f t="shared" ca="1" si="116"/>
        <v>0.21558280971046848</v>
      </c>
      <c r="I675" s="37">
        <f t="shared" ca="1" si="117"/>
        <v>9.8809139607987095E-2</v>
      </c>
      <c r="J675" s="38">
        <f t="shared" ca="1" si="118"/>
        <v>1.7092483639482719E-2</v>
      </c>
      <c r="K675" s="36">
        <f t="shared" ca="1" si="119"/>
        <v>1565.3912437342942</v>
      </c>
      <c r="L675" s="36">
        <f ca="1">Assumptions!$C$10*Assumptions!$C$13*I675*Assumptions!$C$15</f>
        <v>6852.7938669662426</v>
      </c>
      <c r="M675" s="36">
        <f ca="1">G675*(1+H675*Assumptions!$C$6)*(1+J675)+L675+K675</f>
        <v>69752.283970779637</v>
      </c>
    </row>
    <row r="676" spans="1:13" x14ac:dyDescent="0.25">
      <c r="A676" s="3">
        <v>663</v>
      </c>
      <c r="B676" s="3">
        <f t="shared" ca="1" si="121"/>
        <v>0.3686071668300307</v>
      </c>
      <c r="C676" s="3">
        <f t="shared" ca="1" si="121"/>
        <v>0.11475204265723182</v>
      </c>
      <c r="D676" s="3">
        <f t="shared" ca="1" si="121"/>
        <v>0.52559233914298609</v>
      </c>
      <c r="E676" s="3">
        <f t="shared" ca="1" si="121"/>
        <v>0.15930861739147217</v>
      </c>
      <c r="F676" s="3">
        <f t="shared" ca="1" si="121"/>
        <v>0.4826059222408372</v>
      </c>
      <c r="G676" s="36">
        <f t="shared" ca="1" si="115"/>
        <v>57746.47466836137</v>
      </c>
      <c r="H676" s="37">
        <f t="shared" ca="1" si="116"/>
        <v>8.9066637522842718E-2</v>
      </c>
      <c r="I676" s="37">
        <f t="shared" ca="1" si="117"/>
        <v>8.103713928954337E-2</v>
      </c>
      <c r="J676" s="38">
        <f t="shared" ca="1" si="118"/>
        <v>2.1289237968666341E-2</v>
      </c>
      <c r="K676" s="36">
        <f t="shared" ca="1" si="119"/>
        <v>1473.6779329567798</v>
      </c>
      <c r="L676" s="36">
        <f ca="1">Assumptions!$C$10*Assumptions!$C$13*I676*Assumptions!$C$15</f>
        <v>5620.2372910347913</v>
      </c>
      <c r="M676" s="36">
        <f ca="1">G676*(1+H676*Assumptions!$C$6)*(1+J676)+L676+K676</f>
        <v>67120.324519718823</v>
      </c>
    </row>
    <row r="677" spans="1:13" x14ac:dyDescent="0.25">
      <c r="A677" s="3">
        <v>664</v>
      </c>
      <c r="B677" s="3">
        <f t="shared" ca="1" si="121"/>
        <v>0.84445678472275676</v>
      </c>
      <c r="C677" s="3">
        <f t="shared" ca="1" si="121"/>
        <v>9.2365663529917486E-2</v>
      </c>
      <c r="D677" s="3">
        <f t="shared" ca="1" si="121"/>
        <v>0.83205787001428855</v>
      </c>
      <c r="E677" s="3">
        <f t="shared" ca="1" si="121"/>
        <v>0.76654205073910209</v>
      </c>
      <c r="F677" s="3">
        <f t="shared" ca="1" si="121"/>
        <v>0.89175516785064302</v>
      </c>
      <c r="G677" s="36">
        <f t="shared" ca="1" si="115"/>
        <v>58252.609206534034</v>
      </c>
      <c r="H677" s="37">
        <f t="shared" ca="1" si="116"/>
        <v>8.5049441150293725E-2</v>
      </c>
      <c r="I677" s="37">
        <f t="shared" ca="1" si="117"/>
        <v>9.6817790960430958E-2</v>
      </c>
      <c r="J677" s="38">
        <f t="shared" ca="1" si="118"/>
        <v>3.6333751084927576E-2</v>
      </c>
      <c r="K677" s="36">
        <f t="shared" ca="1" si="119"/>
        <v>2302.0732526460197</v>
      </c>
      <c r="L677" s="36">
        <f ca="1">Assumptions!$C$10*Assumptions!$C$13*I677*Assumptions!$C$15</f>
        <v>6714.6861792249647</v>
      </c>
      <c r="M677" s="36">
        <f ca="1">G677*(1+H677*Assumptions!$C$6)*(1+J677)+L677+K677</f>
        <v>70412.77685051845</v>
      </c>
    </row>
    <row r="678" spans="1:13" x14ac:dyDescent="0.25">
      <c r="A678" s="3">
        <v>665</v>
      </c>
      <c r="B678" s="3">
        <f t="shared" ca="1" si="121"/>
        <v>0.46166935307082246</v>
      </c>
      <c r="C678" s="3">
        <f t="shared" ca="1" si="121"/>
        <v>0.9456378509619815</v>
      </c>
      <c r="D678" s="3">
        <f t="shared" ca="1" si="121"/>
        <v>0.76639897089597353</v>
      </c>
      <c r="E678" s="3">
        <f t="shared" ca="1" si="121"/>
        <v>0.71595027785602117</v>
      </c>
      <c r="F678" s="3">
        <f t="shared" ca="1" si="121"/>
        <v>8.2815757527186618E-2</v>
      </c>
      <c r="G678" s="36">
        <f t="shared" ca="1" si="115"/>
        <v>57825.183541328071</v>
      </c>
      <c r="H678" s="37">
        <f t="shared" ca="1" si="116"/>
        <v>0.20479407723028947</v>
      </c>
      <c r="I678" s="37">
        <f t="shared" ca="1" si="117"/>
        <v>9.2659127791292303E-2</v>
      </c>
      <c r="J678" s="38">
        <f t="shared" ca="1" si="118"/>
        <v>3.4925525623917E-2</v>
      </c>
      <c r="K678" s="36">
        <f t="shared" ca="1" si="119"/>
        <v>610.46777873393103</v>
      </c>
      <c r="L678" s="36">
        <f ca="1">Assumptions!$C$10*Assumptions!$C$13*I678*Assumptions!$C$15</f>
        <v>6426.266893586856</v>
      </c>
      <c r="M678" s="36">
        <f ca="1">G678*(1+H678*Assumptions!$C$6)*(1+J678)+L678+K678</f>
        <v>69332.663560748959</v>
      </c>
    </row>
    <row r="679" spans="1:13" x14ac:dyDescent="0.25">
      <c r="A679" s="3">
        <v>666</v>
      </c>
      <c r="B679" s="3">
        <f t="shared" ca="1" si="121"/>
        <v>0.42195516238274411</v>
      </c>
      <c r="C679" s="3">
        <f t="shared" ca="1" si="121"/>
        <v>0.38036951572647426</v>
      </c>
      <c r="D679" s="3">
        <f t="shared" ca="1" si="121"/>
        <v>0.64297590630589818</v>
      </c>
      <c r="E679" s="3">
        <f t="shared" ca="1" si="121"/>
        <v>0.15871970485311926</v>
      </c>
      <c r="F679" s="3">
        <f t="shared" ca="1" si="121"/>
        <v>0.45347135416344231</v>
      </c>
      <c r="G679" s="36">
        <f t="shared" ca="1" si="115"/>
        <v>57791.69896703009</v>
      </c>
      <c r="H679" s="37">
        <f t="shared" ca="1" si="116"/>
        <v>0.12114052397290155</v>
      </c>
      <c r="I679" s="37">
        <f t="shared" ca="1" si="117"/>
        <v>8.6199451190533516E-2</v>
      </c>
      <c r="J679" s="38">
        <f t="shared" ca="1" si="118"/>
        <v>2.126835231444666E-2</v>
      </c>
      <c r="K679" s="36">
        <f t="shared" ca="1" si="119"/>
        <v>1428.5030954588408</v>
      </c>
      <c r="L679" s="36">
        <f ca="1">Assumptions!$C$10*Assumptions!$C$13*I679*Assumptions!$C$15</f>
        <v>5978.2634764142313</v>
      </c>
      <c r="M679" s="36">
        <f ca="1">G679*(1+H679*Assumptions!$C$6)*(1+J679)+L679+K679</f>
        <v>67857.562684769495</v>
      </c>
    </row>
    <row r="680" spans="1:13" x14ac:dyDescent="0.25">
      <c r="A680" s="3">
        <v>667</v>
      </c>
      <c r="B680" s="3">
        <f t="shared" ca="1" si="121"/>
        <v>0.59407080466761353</v>
      </c>
      <c r="C680" s="3">
        <f t="shared" ca="1" si="121"/>
        <v>0.62215214840119293</v>
      </c>
      <c r="D680" s="3">
        <f t="shared" ca="1" si="121"/>
        <v>0.89695642300373957</v>
      </c>
      <c r="E680" s="3">
        <f t="shared" ca="1" si="121"/>
        <v>0.67209046851092036</v>
      </c>
      <c r="F680" s="3">
        <f t="shared" ca="1" si="121"/>
        <v>0.2381545162052876</v>
      </c>
      <c r="G680" s="36">
        <f t="shared" ca="1" si="115"/>
        <v>57946.846323772632</v>
      </c>
      <c r="H680" s="37">
        <f t="shared" ca="1" si="116"/>
        <v>0.14718334731066413</v>
      </c>
      <c r="I680" s="37">
        <f t="shared" ca="1" si="117"/>
        <v>0.10184127079369172</v>
      </c>
      <c r="J680" s="38">
        <f t="shared" ca="1" si="118"/>
        <v>3.3803468729654992E-2</v>
      </c>
      <c r="K680" s="36">
        <f t="shared" ca="1" si="119"/>
        <v>1035.2271842082753</v>
      </c>
      <c r="L680" s="36">
        <f ca="1">Assumptions!$C$10*Assumptions!$C$13*I680*Assumptions!$C$15</f>
        <v>7063.0838267378804</v>
      </c>
      <c r="M680" s="36">
        <f ca="1">G680*(1+H680*Assumptions!$C$6)*(1+J680)+L680+K680</f>
        <v>69767.38458190253</v>
      </c>
    </row>
    <row r="681" spans="1:13" x14ac:dyDescent="0.25">
      <c r="A681" s="3">
        <v>668</v>
      </c>
      <c r="B681" s="3">
        <f t="shared" ca="1" si="121"/>
        <v>0.55512681788029761</v>
      </c>
      <c r="C681" s="3">
        <f t="shared" ca="1" si="121"/>
        <v>4.6684817657081434E-2</v>
      </c>
      <c r="D681" s="3">
        <f t="shared" ca="1" si="121"/>
        <v>0.41970553194259552</v>
      </c>
      <c r="E681" s="3">
        <f t="shared" ca="1" si="121"/>
        <v>0.88861888839333458</v>
      </c>
      <c r="F681" s="3">
        <f t="shared" ca="1" si="121"/>
        <v>0.61453287220153219</v>
      </c>
      <c r="G681" s="36">
        <f t="shared" ca="1" si="115"/>
        <v>57909.230084945542</v>
      </c>
      <c r="H681" s="37">
        <f t="shared" ca="1" si="116"/>
        <v>7.4918027105675578E-2</v>
      </c>
      <c r="I681" s="37">
        <f t="shared" ca="1" si="117"/>
        <v>7.6647751666593489E-2</v>
      </c>
      <c r="J681" s="38">
        <f t="shared" ca="1" si="118"/>
        <v>4.0560461383874091E-2</v>
      </c>
      <c r="K681" s="36">
        <f t="shared" ca="1" si="119"/>
        <v>1682.957071658974</v>
      </c>
      <c r="L681" s="36">
        <f ca="1">Assumptions!$C$10*Assumptions!$C$13*I681*Assumptions!$C$15</f>
        <v>5315.8163771231293</v>
      </c>
      <c r="M681" s="36">
        <f ca="1">G681*(1+H681*Assumptions!$C$6)*(1+J681)+L681+K681</f>
        <v>68159.711546553794</v>
      </c>
    </row>
    <row r="682" spans="1:13" x14ac:dyDescent="0.25">
      <c r="A682" s="3">
        <v>669</v>
      </c>
      <c r="B682" s="3">
        <f t="shared" ca="1" si="121"/>
        <v>7.8247929799872273E-2</v>
      </c>
      <c r="C682" s="3">
        <f t="shared" ca="1" si="121"/>
        <v>0.73307631501170534</v>
      </c>
      <c r="D682" s="3">
        <f t="shared" ca="1" si="121"/>
        <v>0.35692035752075402</v>
      </c>
      <c r="E682" s="3">
        <f t="shared" ca="1" si="121"/>
        <v>0.79149673985148872</v>
      </c>
      <c r="F682" s="3">
        <f t="shared" ca="1" si="121"/>
        <v>0.48332736732099257</v>
      </c>
      <c r="G682" s="36">
        <f t="shared" ca="1" si="115"/>
        <v>57397.855794084629</v>
      </c>
      <c r="H682" s="37">
        <f t="shared" ca="1" si="116"/>
        <v>0.16198807772056173</v>
      </c>
      <c r="I682" s="37">
        <f t="shared" ca="1" si="117"/>
        <v>7.3795637944362183E-2</v>
      </c>
      <c r="J682" s="38">
        <f t="shared" ca="1" si="118"/>
        <v>3.7084791595997806E-2</v>
      </c>
      <c r="K682" s="36">
        <f t="shared" ca="1" si="119"/>
        <v>1474.7790183429063</v>
      </c>
      <c r="L682" s="36">
        <f ca="1">Assumptions!$C$10*Assumptions!$C$13*I682*Assumptions!$C$15</f>
        <v>5118.0113208182256</v>
      </c>
      <c r="M682" s="36">
        <f ca="1">G682*(1+H682*Assumptions!$C$6)*(1+J682)+L682+K682</f>
        <v>68047.748478630485</v>
      </c>
    </row>
    <row r="683" spans="1:13" x14ac:dyDescent="0.25">
      <c r="A683" s="3">
        <v>670</v>
      </c>
      <c r="B683" s="3">
        <f t="shared" ca="1" si="121"/>
        <v>0.73937086701830723</v>
      </c>
      <c r="C683" s="3">
        <f t="shared" ca="1" si="121"/>
        <v>2.8306621750501026E-2</v>
      </c>
      <c r="D683" s="3">
        <f t="shared" ca="1" si="121"/>
        <v>0.60807785022682015</v>
      </c>
      <c r="E683" s="3">
        <f t="shared" ca="1" si="121"/>
        <v>0.7988388671968133</v>
      </c>
      <c r="F683" s="3">
        <f t="shared" ca="1" si="121"/>
        <v>0.26572614418472551</v>
      </c>
      <c r="G683" s="36">
        <f t="shared" ca="1" si="115"/>
        <v>58106.327342059994</v>
      </c>
      <c r="H683" s="37">
        <f t="shared" ca="1" si="116"/>
        <v>6.9403042784101254E-2</v>
      </c>
      <c r="I683" s="37">
        <f t="shared" ca="1" si="117"/>
        <v>8.4586007295502877E-2</v>
      </c>
      <c r="J683" s="38">
        <f t="shared" ca="1" si="118"/>
        <v>3.7314224255389453E-2</v>
      </c>
      <c r="K683" s="36">
        <f t="shared" ca="1" si="119"/>
        <v>1093.5116134871475</v>
      </c>
      <c r="L683" s="36">
        <f ca="1">Assumptions!$C$10*Assumptions!$C$13*I683*Assumptions!$C$15</f>
        <v>5866.3649367404141</v>
      </c>
      <c r="M683" s="36">
        <f ca="1">G683*(1+H683*Assumptions!$C$6)*(1+J683)+L683+K683</f>
        <v>68071.043437668079</v>
      </c>
    </row>
    <row r="684" spans="1:13" x14ac:dyDescent="0.25">
      <c r="A684" s="3">
        <v>671</v>
      </c>
      <c r="B684" s="3">
        <f t="shared" ref="B684:F693" ca="1" si="122">RAND()</f>
        <v>8.2550841470236946E-3</v>
      </c>
      <c r="C684" s="3">
        <f t="shared" ca="1" si="122"/>
        <v>0.93386553934710748</v>
      </c>
      <c r="D684" s="3">
        <f t="shared" ca="1" si="122"/>
        <v>0.78198778623500409</v>
      </c>
      <c r="E684" s="3">
        <f t="shared" ca="1" si="122"/>
        <v>6.2783288864145526E-2</v>
      </c>
      <c r="F684" s="3">
        <f t="shared" ca="1" si="122"/>
        <v>0.23880966973209261</v>
      </c>
      <c r="G684" s="36">
        <f t="shared" ca="1" si="115"/>
        <v>57196.745411640964</v>
      </c>
      <c r="H684" s="37">
        <f t="shared" ca="1" si="116"/>
        <v>0.20116875352392161</v>
      </c>
      <c r="I684" s="37">
        <f t="shared" ca="1" si="117"/>
        <v>9.3587141691062914E-2</v>
      </c>
      <c r="J684" s="38">
        <f t="shared" ca="1" si="118"/>
        <v>1.7087074931967094E-2</v>
      </c>
      <c r="K684" s="36">
        <f t="shared" ca="1" si="119"/>
        <v>1036.6501404979488</v>
      </c>
      <c r="L684" s="36">
        <f ca="1">Assumptions!$C$10*Assumptions!$C$13*I684*Assumptions!$C$15</f>
        <v>6490.6282268201776</v>
      </c>
      <c r="M684" s="36">
        <f ca="1">G684*(1+H684*Assumptions!$C$6)*(1+J684)+L684+K684</f>
        <v>68041.909903102976</v>
      </c>
    </row>
    <row r="685" spans="1:13" x14ac:dyDescent="0.25">
      <c r="A685" s="3">
        <v>672</v>
      </c>
      <c r="B685" s="3">
        <f t="shared" ca="1" si="122"/>
        <v>4.5181840375675408E-2</v>
      </c>
      <c r="C685" s="3">
        <f t="shared" ca="1" si="122"/>
        <v>0.80472989236611614</v>
      </c>
      <c r="D685" s="3">
        <f t="shared" ca="1" si="122"/>
        <v>0.74674135121863205</v>
      </c>
      <c r="E685" s="3">
        <f t="shared" ca="1" si="122"/>
        <v>0.91576056533768668</v>
      </c>
      <c r="F685" s="3">
        <f t="shared" ca="1" si="122"/>
        <v>0.46646524912574105</v>
      </c>
      <c r="G685" s="36">
        <f t="shared" ca="1" si="115"/>
        <v>57326.334929862503</v>
      </c>
      <c r="H685" s="37">
        <f t="shared" ca="1" si="116"/>
        <v>0.17327550334358038</v>
      </c>
      <c r="I685" s="37">
        <f t="shared" ca="1" si="117"/>
        <v>9.1531988546785056E-2</v>
      </c>
      <c r="J685" s="38">
        <f t="shared" ca="1" si="118"/>
        <v>4.1790764485663073E-2</v>
      </c>
      <c r="K685" s="36">
        <f t="shared" ca="1" si="119"/>
        <v>1448.8249104242495</v>
      </c>
      <c r="L685" s="36">
        <f ca="1">Assumptions!$C$10*Assumptions!$C$13*I685*Assumptions!$C$15</f>
        <v>6348.0954518293383</v>
      </c>
      <c r="M685" s="36">
        <f ca="1">G685*(1+H685*Assumptions!$C$6)*(1+J685)+L685+K685</f>
        <v>69588.640180378279</v>
      </c>
    </row>
    <row r="686" spans="1:13" x14ac:dyDescent="0.25">
      <c r="A686" s="3">
        <v>673</v>
      </c>
      <c r="B686" s="3">
        <f t="shared" ca="1" si="122"/>
        <v>0.59134930662622787</v>
      </c>
      <c r="C686" s="3">
        <f t="shared" ca="1" si="122"/>
        <v>0.73449033756808391</v>
      </c>
      <c r="D686" s="3">
        <f t="shared" ca="1" si="122"/>
        <v>0.20438826415942535</v>
      </c>
      <c r="E686" s="3">
        <f t="shared" ca="1" si="122"/>
        <v>0.61598391040454592</v>
      </c>
      <c r="F686" s="3">
        <f t="shared" ca="1" si="122"/>
        <v>0.21912502866095807</v>
      </c>
      <c r="G686" s="36">
        <f t="shared" ca="1" si="115"/>
        <v>57944.160501524588</v>
      </c>
      <c r="H686" s="37">
        <f t="shared" ca="1" si="116"/>
        <v>0.1621949853579624</v>
      </c>
      <c r="I686" s="37">
        <f t="shared" ca="1" si="117"/>
        <v>6.5574253563108365E-2</v>
      </c>
      <c r="J686" s="38">
        <f t="shared" ca="1" si="118"/>
        <v>3.2472510970582145E-2</v>
      </c>
      <c r="K686" s="36">
        <f t="shared" ca="1" si="119"/>
        <v>993.00686250111653</v>
      </c>
      <c r="L686" s="36">
        <f ca="1">Assumptions!$C$10*Assumptions!$C$13*I686*Assumptions!$C$15</f>
        <v>4547.8266932691149</v>
      </c>
      <c r="M686" s="36">
        <f ca="1">G686*(1+H686*Assumptions!$C$6)*(1+J686)+L686+K686</f>
        <v>67307.273867636803</v>
      </c>
    </row>
    <row r="687" spans="1:13" x14ac:dyDescent="0.25">
      <c r="A687" s="3">
        <v>674</v>
      </c>
      <c r="B687" s="3">
        <f t="shared" ca="1" si="122"/>
        <v>0.72514910518495967</v>
      </c>
      <c r="C687" s="3">
        <f t="shared" ca="1" si="122"/>
        <v>0.51097722612612084</v>
      </c>
      <c r="D687" s="3">
        <f t="shared" ca="1" si="122"/>
        <v>0.55820631933537668</v>
      </c>
      <c r="E687" s="3">
        <f t="shared" ca="1" si="122"/>
        <v>0.31525751470275931</v>
      </c>
      <c r="F687" s="3">
        <f t="shared" ca="1" si="122"/>
        <v>0.98089461205405548</v>
      </c>
      <c r="G687" s="36">
        <f t="shared" ca="1" si="115"/>
        <v>58089.015011249838</v>
      </c>
      <c r="H687" s="37">
        <f t="shared" ca="1" si="116"/>
        <v>0.13440776901530849</v>
      </c>
      <c r="I687" s="37">
        <f t="shared" ca="1" si="117"/>
        <v>8.2400268908849966E-2</v>
      </c>
      <c r="J687" s="38">
        <f t="shared" ca="1" si="118"/>
        <v>2.588099530137225E-2</v>
      </c>
      <c r="K687" s="36">
        <f t="shared" ca="1" si="119"/>
        <v>2706.7863479359285</v>
      </c>
      <c r="L687" s="36">
        <f ca="1">Assumptions!$C$10*Assumptions!$C$13*I687*Assumptions!$C$15</f>
        <v>5714.7755729399323</v>
      </c>
      <c r="M687" s="36">
        <f ca="1">G687*(1+H687*Assumptions!$C$6)*(1+J687)+L687+K687</f>
        <v>69615.915208055245</v>
      </c>
    </row>
    <row r="688" spans="1:13" x14ac:dyDescent="0.25">
      <c r="A688" s="3">
        <v>675</v>
      </c>
      <c r="B688" s="3">
        <f t="shared" ca="1" si="122"/>
        <v>1.8867482679852055E-2</v>
      </c>
      <c r="C688" s="3">
        <f t="shared" ca="1" si="122"/>
        <v>0.21314613609905109</v>
      </c>
      <c r="D688" s="3">
        <f t="shared" ca="1" si="122"/>
        <v>0.57226556669211925</v>
      </c>
      <c r="E688" s="3">
        <f t="shared" ca="1" si="122"/>
        <v>0.75427110761872229</v>
      </c>
      <c r="F688" s="3">
        <f t="shared" ca="1" si="122"/>
        <v>0.53177817868148691</v>
      </c>
      <c r="G688" s="36">
        <f t="shared" ca="1" si="115"/>
        <v>57246.260348720258</v>
      </c>
      <c r="H688" s="37">
        <f t="shared" ca="1" si="116"/>
        <v>0.10324324943236823</v>
      </c>
      <c r="I688" s="37">
        <f t="shared" ca="1" si="117"/>
        <v>8.3003376010976099E-2</v>
      </c>
      <c r="J688" s="38">
        <f t="shared" ca="1" si="118"/>
        <v>3.597918996972635E-2</v>
      </c>
      <c r="K688" s="36">
        <f t="shared" ca="1" si="119"/>
        <v>1548.4497266944873</v>
      </c>
      <c r="L688" s="36">
        <f ca="1">Assumptions!$C$10*Assumptions!$C$13*I688*Assumptions!$C$15</f>
        <v>5756.60337011508</v>
      </c>
      <c r="M688" s="36">
        <f ca="1">G688*(1+H688*Assumptions!$C$6)*(1+J688)+L688+K688</f>
        <v>67835.574997802018</v>
      </c>
    </row>
    <row r="689" spans="1:13" x14ac:dyDescent="0.25">
      <c r="A689" s="3">
        <v>676</v>
      </c>
      <c r="B689" s="3">
        <f t="shared" ca="1" si="122"/>
        <v>0.32844969146595382</v>
      </c>
      <c r="C689" s="3">
        <f t="shared" ca="1" si="122"/>
        <v>0.71675067379763768</v>
      </c>
      <c r="D689" s="3">
        <f t="shared" ca="1" si="122"/>
        <v>0.44726545782760585</v>
      </c>
      <c r="E689" s="3">
        <f t="shared" ca="1" si="122"/>
        <v>0.5733076321490469</v>
      </c>
      <c r="F689" s="3">
        <f t="shared" ca="1" si="122"/>
        <v>0.99974136690096771</v>
      </c>
      <c r="G689" s="36">
        <f t="shared" ca="1" si="115"/>
        <v>57710.244752610364</v>
      </c>
      <c r="H689" s="37">
        <f t="shared" ca="1" si="116"/>
        <v>0.15963779098721925</v>
      </c>
      <c r="I689" s="37">
        <f t="shared" ca="1" si="117"/>
        <v>7.7831857805933075E-2</v>
      </c>
      <c r="J689" s="38">
        <f t="shared" ca="1" si="118"/>
        <v>3.1524234947348934E-2</v>
      </c>
      <c r="K689" s="36">
        <f t="shared" ca="1" si="119"/>
        <v>2965.8847695941345</v>
      </c>
      <c r="L689" s="36">
        <f ca="1">Assumptions!$C$10*Assumptions!$C$13*I689*Assumptions!$C$15</f>
        <v>5397.9386921407113</v>
      </c>
      <c r="M689" s="36">
        <f ca="1">G689*(1+H689*Assumptions!$C$6)*(1+J689)+L689+K689</f>
        <v>69793.971617492265</v>
      </c>
    </row>
    <row r="690" spans="1:13" x14ac:dyDescent="0.25">
      <c r="A690" s="3">
        <v>677</v>
      </c>
      <c r="B690" s="3">
        <f t="shared" ca="1" si="122"/>
        <v>0.20242845226150852</v>
      </c>
      <c r="C690" s="3">
        <f t="shared" ca="1" si="122"/>
        <v>0.26024150127469226</v>
      </c>
      <c r="D690" s="3">
        <f t="shared" ca="1" si="122"/>
        <v>0.4380837841863332</v>
      </c>
      <c r="E690" s="3">
        <f t="shared" ca="1" si="122"/>
        <v>0.99845823780099374</v>
      </c>
      <c r="F690" s="3">
        <f t="shared" ca="1" si="122"/>
        <v>0.30570757592954212</v>
      </c>
      <c r="G690" s="36">
        <f t="shared" ca="1" si="115"/>
        <v>57579.077088826423</v>
      </c>
      <c r="H690" s="37">
        <f t="shared" ca="1" si="116"/>
        <v>0.10883206580559114</v>
      </c>
      <c r="I690" s="37">
        <f t="shared" ca="1" si="117"/>
        <v>7.7441529207502552E-2</v>
      </c>
      <c r="J690" s="38">
        <f t="shared" ca="1" si="118"/>
        <v>4.8889410175084878E-2</v>
      </c>
      <c r="K690" s="36">
        <f t="shared" ca="1" si="119"/>
        <v>1172.8956013571453</v>
      </c>
      <c r="L690" s="36">
        <f ca="1">Assumptions!$C$10*Assumptions!$C$13*I690*Assumptions!$C$15</f>
        <v>5370.8679025757147</v>
      </c>
      <c r="M690" s="36">
        <f ca="1">G690*(1+H690*Assumptions!$C$6)*(1+J690)+L690+K690</f>
        <v>68252.410299375624</v>
      </c>
    </row>
    <row r="691" spans="1:13" x14ac:dyDescent="0.25">
      <c r="A691" s="3">
        <v>678</v>
      </c>
      <c r="B691" s="3">
        <f t="shared" ca="1" si="122"/>
        <v>0.81524479473684774</v>
      </c>
      <c r="C691" s="3">
        <f t="shared" ca="1" si="122"/>
        <v>0.41326990988310386</v>
      </c>
      <c r="D691" s="3">
        <f t="shared" ca="1" si="122"/>
        <v>0.30127986874684642</v>
      </c>
      <c r="E691" s="3">
        <f t="shared" ca="1" si="122"/>
        <v>9.1860469986987381E-3</v>
      </c>
      <c r="F691" s="3">
        <f t="shared" ca="1" si="122"/>
        <v>0.32092672420889623</v>
      </c>
      <c r="G691" s="36">
        <f t="shared" ca="1" si="115"/>
        <v>58207.9647236487</v>
      </c>
      <c r="H691" s="37">
        <f t="shared" ca="1" si="116"/>
        <v>0.1243390902047488</v>
      </c>
      <c r="I691" s="37">
        <f t="shared" ca="1" si="117"/>
        <v>7.1049888566465241E-2</v>
      </c>
      <c r="J691" s="38">
        <f t="shared" ca="1" si="118"/>
        <v>1.2710873954826929E-2</v>
      </c>
      <c r="K691" s="36">
        <f t="shared" ca="1" si="119"/>
        <v>1201.7363516762039</v>
      </c>
      <c r="L691" s="36">
        <f ca="1">Assumptions!$C$10*Assumptions!$C$13*I691*Assumptions!$C$15</f>
        <v>4927.5830408865422</v>
      </c>
      <c r="M691" s="36">
        <f ca="1">G691*(1+H691*Assumptions!$C$6)*(1+J691)+L691+K691</f>
        <v>66543.062348823369</v>
      </c>
    </row>
    <row r="692" spans="1:13" x14ac:dyDescent="0.25">
      <c r="A692" s="3">
        <v>679</v>
      </c>
      <c r="B692" s="3">
        <f t="shared" ca="1" si="122"/>
        <v>0.39218963612374791</v>
      </c>
      <c r="C692" s="3">
        <f t="shared" ca="1" si="122"/>
        <v>0.9801131805051565</v>
      </c>
      <c r="D692" s="3">
        <f t="shared" ca="1" si="122"/>
        <v>0.2978764858872277</v>
      </c>
      <c r="E692" s="3">
        <f t="shared" ca="1" si="122"/>
        <v>0.82477752008194427</v>
      </c>
      <c r="F692" s="3">
        <f t="shared" ca="1" si="122"/>
        <v>0.82378035404970995</v>
      </c>
      <c r="G692" s="36">
        <f t="shared" ca="1" si="115"/>
        <v>57766.833916868432</v>
      </c>
      <c r="H692" s="37">
        <f t="shared" ca="1" si="116"/>
        <v>0.21870635107637884</v>
      </c>
      <c r="I692" s="37">
        <f t="shared" ca="1" si="117"/>
        <v>7.0874014232670313E-2</v>
      </c>
      <c r="J692" s="38">
        <f t="shared" ca="1" si="118"/>
        <v>3.8160321628758466E-2</v>
      </c>
      <c r="K692" s="36">
        <f t="shared" ca="1" si="119"/>
        <v>2109.5010349381055</v>
      </c>
      <c r="L692" s="36">
        <f ca="1">Assumptions!$C$10*Assumptions!$C$13*I692*Assumptions!$C$15</f>
        <v>4915.3854793981191</v>
      </c>
      <c r="M692" s="36">
        <f ca="1">G692*(1+H692*Assumptions!$C$6)*(1+J692)+L692+K692</f>
        <v>69619.339382916529</v>
      </c>
    </row>
    <row r="693" spans="1:13" x14ac:dyDescent="0.25">
      <c r="A693" s="3">
        <v>680</v>
      </c>
      <c r="B693" s="3">
        <f t="shared" ca="1" si="122"/>
        <v>0.62764677746575293</v>
      </c>
      <c r="C693" s="3">
        <f t="shared" ca="1" si="122"/>
        <v>0.77622557621452959</v>
      </c>
      <c r="D693" s="3">
        <f t="shared" ca="1" si="122"/>
        <v>0.56993864137040628</v>
      </c>
      <c r="E693" s="3">
        <f t="shared" ca="1" si="122"/>
        <v>0.35781802906468507</v>
      </c>
      <c r="F693" s="3">
        <f t="shared" ca="1" si="122"/>
        <v>5.3574501203985103E-2</v>
      </c>
      <c r="G693" s="36">
        <f t="shared" ca="1" si="115"/>
        <v>57980.753886834464</v>
      </c>
      <c r="H693" s="37">
        <f t="shared" ca="1" si="116"/>
        <v>0.1685713162496415</v>
      </c>
      <c r="I693" s="37">
        <f t="shared" ca="1" si="117"/>
        <v>8.2902879523948231E-2</v>
      </c>
      <c r="J693" s="38">
        <f t="shared" ca="1" si="118"/>
        <v>2.6919055034243133E-2</v>
      </c>
      <c r="K693" s="36">
        <f t="shared" ca="1" si="119"/>
        <v>491.00433340036113</v>
      </c>
      <c r="L693" s="36">
        <f ca="1">Assumptions!$C$10*Assumptions!$C$13*I693*Assumptions!$C$15</f>
        <v>5749.6335522147474</v>
      </c>
      <c r="M693" s="36">
        <f ca="1">G693*(1+H693*Assumptions!$C$6)*(1+J693)+L693+K693</f>
        <v>67789.578064554749</v>
      </c>
    </row>
    <row r="694" spans="1:13" x14ac:dyDescent="0.25">
      <c r="A694" s="3">
        <v>681</v>
      </c>
      <c r="B694" s="3">
        <f t="shared" ref="B694:F703" ca="1" si="123">RAND()</f>
        <v>0.43982853907729758</v>
      </c>
      <c r="C694" s="3">
        <f t="shared" ca="1" si="123"/>
        <v>4.2416171137040326E-2</v>
      </c>
      <c r="D694" s="3">
        <f t="shared" ca="1" si="123"/>
        <v>0.35299092883709338</v>
      </c>
      <c r="E694" s="3">
        <f t="shared" ca="1" si="123"/>
        <v>5.8561258513100123E-2</v>
      </c>
      <c r="F694" s="3">
        <f t="shared" ca="1" si="123"/>
        <v>0.30194054224946099</v>
      </c>
      <c r="G694" s="36">
        <f t="shared" ca="1" si="115"/>
        <v>57806.621518056891</v>
      </c>
      <c r="H694" s="37">
        <f t="shared" ca="1" si="116"/>
        <v>7.3751527869226355E-2</v>
      </c>
      <c r="I694" s="37">
        <f t="shared" ca="1" si="117"/>
        <v>7.3609090619632944E-2</v>
      </c>
      <c r="J694" s="38">
        <f t="shared" ca="1" si="118"/>
        <v>1.6844633431417646E-2</v>
      </c>
      <c r="K694" s="36">
        <f t="shared" ca="1" si="119"/>
        <v>1165.6467904655228</v>
      </c>
      <c r="L694" s="36">
        <f ca="1">Assumptions!$C$10*Assumptions!$C$13*I694*Assumptions!$C$15</f>
        <v>5105.0735463585434</v>
      </c>
      <c r="M694" s="36">
        <f ca="1">G694*(1+H694*Assumptions!$C$6)*(1+J694)+L694+K694</f>
        <v>65918.101370794495</v>
      </c>
    </row>
    <row r="695" spans="1:13" x14ac:dyDescent="0.25">
      <c r="A695" s="3">
        <v>682</v>
      </c>
      <c r="B695" s="3">
        <f t="shared" ca="1" si="123"/>
        <v>0.76785015378327948</v>
      </c>
      <c r="C695" s="3">
        <f t="shared" ca="1" si="123"/>
        <v>3.0587392410676761E-2</v>
      </c>
      <c r="D695" s="3">
        <f t="shared" ca="1" si="123"/>
        <v>0.84799436261002747</v>
      </c>
      <c r="E695" s="3">
        <f t="shared" ca="1" si="123"/>
        <v>0.13817877272346157</v>
      </c>
      <c r="F695" s="3">
        <f t="shared" ca="1" si="123"/>
        <v>0.26450641707891087</v>
      </c>
      <c r="G695" s="36">
        <f t="shared" ca="1" si="115"/>
        <v>58142.478319748509</v>
      </c>
      <c r="H695" s="37">
        <f t="shared" ca="1" si="116"/>
        <v>7.0169588966114332E-2</v>
      </c>
      <c r="I695" s="37">
        <f t="shared" ca="1" si="117"/>
        <v>9.7945113021193866E-2</v>
      </c>
      <c r="J695" s="38">
        <f t="shared" ca="1" si="118"/>
        <v>2.0513943987808252E-2</v>
      </c>
      <c r="K695" s="36">
        <f t="shared" ca="1" si="119"/>
        <v>1090.999026972572</v>
      </c>
      <c r="L695" s="36">
        <f ca="1">Assumptions!$C$10*Assumptions!$C$13*I695*Assumptions!$C$15</f>
        <v>6792.8702999929528</v>
      </c>
      <c r="M695" s="36">
        <f ca="1">G695*(1+H695*Assumptions!$C$6)*(1+J695)+L695+K695</f>
        <v>68051.784647743058</v>
      </c>
    </row>
    <row r="696" spans="1:13" x14ac:dyDescent="0.25">
      <c r="A696" s="3">
        <v>683</v>
      </c>
      <c r="B696" s="3">
        <f t="shared" ca="1" si="123"/>
        <v>0.55285740304752906</v>
      </c>
      <c r="C696" s="3">
        <f t="shared" ca="1" si="123"/>
        <v>0.95791210815672667</v>
      </c>
      <c r="D696" s="3">
        <f t="shared" ca="1" si="123"/>
        <v>0.70388753942782256</v>
      </c>
      <c r="E696" s="3">
        <f t="shared" ca="1" si="123"/>
        <v>0.59105375608640731</v>
      </c>
      <c r="F696" s="3">
        <f t="shared" ca="1" si="123"/>
        <v>0.87734710729502063</v>
      </c>
      <c r="G696" s="36">
        <f t="shared" ca="1" si="115"/>
        <v>57907.089840154462</v>
      </c>
      <c r="H696" s="37">
        <f t="shared" ca="1" si="116"/>
        <v>0.20902252537687049</v>
      </c>
      <c r="I696" s="37">
        <f t="shared" ca="1" si="117"/>
        <v>8.9217539509796037E-2</v>
      </c>
      <c r="J696" s="38">
        <f t="shared" ca="1" si="118"/>
        <v>3.1912518275589774E-2</v>
      </c>
      <c r="K696" s="36">
        <f t="shared" ca="1" si="119"/>
        <v>2257.0746893715309</v>
      </c>
      <c r="L696" s="36">
        <f ca="1">Assumptions!$C$10*Assumptions!$C$13*I696*Assumptions!$C$15</f>
        <v>6187.5795093870847</v>
      </c>
      <c r="M696" s="36">
        <f ca="1">G696*(1+H696*Assumptions!$C$6)*(1+J696)+L696+K696</f>
        <v>70697.735430475441</v>
      </c>
    </row>
    <row r="697" spans="1:13" x14ac:dyDescent="0.25">
      <c r="A697" s="3">
        <v>684</v>
      </c>
      <c r="B697" s="3">
        <f t="shared" ca="1" si="123"/>
        <v>0.5491175211382876</v>
      </c>
      <c r="C697" s="3">
        <f t="shared" ca="1" si="123"/>
        <v>0.93668733567100182</v>
      </c>
      <c r="D697" s="3">
        <f t="shared" ca="1" si="123"/>
        <v>0.68095327899258862</v>
      </c>
      <c r="E697" s="3">
        <f t="shared" ca="1" si="123"/>
        <v>0.79197574310953356</v>
      </c>
      <c r="F697" s="3">
        <f t="shared" ca="1" si="123"/>
        <v>0.41576445904931569</v>
      </c>
      <c r="G697" s="36">
        <f t="shared" ca="1" si="115"/>
        <v>57903.574639864157</v>
      </c>
      <c r="H697" s="37">
        <f t="shared" ca="1" si="116"/>
        <v>0.20200620120728702</v>
      </c>
      <c r="I697" s="37">
        <f t="shared" ca="1" si="117"/>
        <v>8.8047699500290816E-2</v>
      </c>
      <c r="J697" s="38">
        <f t="shared" ca="1" si="118"/>
        <v>3.7099635450407877E-2</v>
      </c>
      <c r="K697" s="36">
        <f t="shared" ca="1" si="119"/>
        <v>1367.8231120002033</v>
      </c>
      <c r="L697" s="36">
        <f ca="1">Assumptions!$C$10*Assumptions!$C$13*I697*Assumptions!$C$15</f>
        <v>6106.4466053432452</v>
      </c>
      <c r="M697" s="36">
        <f ca="1">G697*(1+H697*Assumptions!$C$6)*(1+J697)+L697+K697</f>
        <v>69952.21210279566</v>
      </c>
    </row>
    <row r="698" spans="1:13" x14ac:dyDescent="0.25">
      <c r="A698" s="3">
        <v>685</v>
      </c>
      <c r="B698" s="3">
        <f t="shared" ca="1" si="123"/>
        <v>0.29368685517946425</v>
      </c>
      <c r="C698" s="3">
        <f t="shared" ca="1" si="123"/>
        <v>0.25426850876240814</v>
      </c>
      <c r="D698" s="3">
        <f t="shared" ca="1" si="123"/>
        <v>0.97889099335886642</v>
      </c>
      <c r="E698" s="3">
        <f t="shared" ca="1" si="123"/>
        <v>0.36916699574687484</v>
      </c>
      <c r="F698" s="3">
        <f t="shared" ca="1" si="123"/>
        <v>1.4238863331977769E-2</v>
      </c>
      <c r="G698" s="36">
        <f t="shared" ca="1" si="115"/>
        <v>57677.04791873353</v>
      </c>
      <c r="H698" s="37">
        <f t="shared" ca="1" si="116"/>
        <v>0.10815299791532701</v>
      </c>
      <c r="I698" s="37">
        <f t="shared" ca="1" si="117"/>
        <v>0.11178119100771727</v>
      </c>
      <c r="J698" s="38">
        <f t="shared" ca="1" si="118"/>
        <v>2.7185272665788573E-2</v>
      </c>
      <c r="K698" s="36">
        <f t="shared" ca="1" si="119"/>
        <v>253.13017400914487</v>
      </c>
      <c r="L698" s="36">
        <f ca="1">Assumptions!$C$10*Assumptions!$C$13*I698*Assumptions!$C$15</f>
        <v>7752.4555240429136</v>
      </c>
      <c r="M698" s="36">
        <f ca="1">G698*(1+H698*Assumptions!$C$6)*(1+J698)+L698+K698</f>
        <v>68532.105070315112</v>
      </c>
    </row>
    <row r="699" spans="1:13" x14ac:dyDescent="0.25">
      <c r="A699" s="3">
        <v>686</v>
      </c>
      <c r="B699" s="3">
        <f t="shared" ca="1" si="123"/>
        <v>0.76227153452392682</v>
      </c>
      <c r="C699" s="3">
        <f t="shared" ca="1" si="123"/>
        <v>0.26384663328942914</v>
      </c>
      <c r="D699" s="3">
        <f t="shared" ca="1" si="123"/>
        <v>0.59148213304270281</v>
      </c>
      <c r="E699" s="3">
        <f t="shared" ca="1" si="123"/>
        <v>0.65902735520204125</v>
      </c>
      <c r="F699" s="3">
        <f t="shared" ca="1" si="123"/>
        <v>0.6980171796457223</v>
      </c>
      <c r="G699" s="36">
        <f t="shared" ca="1" si="115"/>
        <v>58135.229335582131</v>
      </c>
      <c r="H699" s="37">
        <f t="shared" ca="1" si="116"/>
        <v>0.10923816525475286</v>
      </c>
      <c r="I699" s="37">
        <f t="shared" ca="1" si="117"/>
        <v>8.3843988407688669E-2</v>
      </c>
      <c r="J699" s="38">
        <f t="shared" ca="1" si="118"/>
        <v>3.3484004243208132E-2</v>
      </c>
      <c r="K699" s="36">
        <f t="shared" ca="1" si="119"/>
        <v>1834.2716047062036</v>
      </c>
      <c r="L699" s="36">
        <f ca="1">Assumptions!$C$10*Assumptions!$C$13*I699*Assumptions!$C$15</f>
        <v>5814.9030729516999</v>
      </c>
      <c r="M699" s="36">
        <f ca="1">G699*(1+H699*Assumptions!$C$6)*(1+J699)+L699+K699</f>
        <v>69043.65004515223</v>
      </c>
    </row>
    <row r="700" spans="1:13" x14ac:dyDescent="0.25">
      <c r="A700" s="3">
        <v>687</v>
      </c>
      <c r="B700" s="3">
        <f t="shared" ca="1" si="123"/>
        <v>7.3559180201809848E-2</v>
      </c>
      <c r="C700" s="3">
        <f t="shared" ca="1" si="123"/>
        <v>0.42291988239664868</v>
      </c>
      <c r="D700" s="3">
        <f t="shared" ca="1" si="123"/>
        <v>0.7886104921580086</v>
      </c>
      <c r="E700" s="3">
        <f t="shared" ca="1" si="123"/>
        <v>0.33428559731677809</v>
      </c>
      <c r="F700" s="3">
        <f t="shared" ca="1" si="123"/>
        <v>0.29631129570899328</v>
      </c>
      <c r="G700" s="36">
        <f t="shared" ca="1" si="115"/>
        <v>57388.793932665605</v>
      </c>
      <c r="H700" s="37">
        <f t="shared" ca="1" si="116"/>
        <v>0.12529417328942521</v>
      </c>
      <c r="I700" s="37">
        <f t="shared" ca="1" si="117"/>
        <v>9.3991416318946308E-2</v>
      </c>
      <c r="J700" s="38">
        <f t="shared" ca="1" si="118"/>
        <v>2.6353240591803891E-2</v>
      </c>
      <c r="K700" s="36">
        <f t="shared" ca="1" si="119"/>
        <v>1154.7297652223526</v>
      </c>
      <c r="L700" s="36">
        <f ca="1">Assumptions!$C$10*Assumptions!$C$13*I700*Assumptions!$C$15</f>
        <v>6518.6662271663063</v>
      </c>
      <c r="M700" s="36">
        <f ca="1">G700*(1+H700*Assumptions!$C$6)*(1+J700)+L700+K700</f>
        <v>68050.565414954588</v>
      </c>
    </row>
    <row r="701" spans="1:13" x14ac:dyDescent="0.25">
      <c r="A701" s="3">
        <v>688</v>
      </c>
      <c r="B701" s="3">
        <f t="shared" ca="1" si="123"/>
        <v>0.84797268637270207</v>
      </c>
      <c r="C701" s="3">
        <f t="shared" ca="1" si="123"/>
        <v>0.76160491016240628</v>
      </c>
      <c r="D701" s="3">
        <f t="shared" ca="1" si="123"/>
        <v>0.56194187545330232</v>
      </c>
      <c r="E701" s="3">
        <f t="shared" ca="1" si="123"/>
        <v>0.78730584288965044</v>
      </c>
      <c r="F701" s="3">
        <f t="shared" ca="1" si="123"/>
        <v>0.31819167490464395</v>
      </c>
      <c r="G701" s="36">
        <f t="shared" ca="1" si="115"/>
        <v>58258.256065345202</v>
      </c>
      <c r="H701" s="37">
        <f t="shared" ca="1" si="116"/>
        <v>0.16627478010682412</v>
      </c>
      <c r="I701" s="37">
        <f t="shared" ca="1" si="117"/>
        <v>8.2559567329564251E-2</v>
      </c>
      <c r="J701" s="38">
        <f t="shared" ca="1" si="118"/>
        <v>3.6955640081311789E-2</v>
      </c>
      <c r="K701" s="36">
        <f t="shared" ca="1" si="119"/>
        <v>1196.6045867666135</v>
      </c>
      <c r="L701" s="36">
        <f ca="1">Assumptions!$C$10*Assumptions!$C$13*I701*Assumptions!$C$15</f>
        <v>5725.823531102702</v>
      </c>
      <c r="M701" s="36">
        <f ca="1">G701*(1+H701*Assumptions!$C$6)*(1+J701)+L701+K701</f>
        <v>69342.628030137712</v>
      </c>
    </row>
    <row r="702" spans="1:13" x14ac:dyDescent="0.25">
      <c r="A702" s="3">
        <v>689</v>
      </c>
      <c r="B702" s="3">
        <f t="shared" ca="1" si="123"/>
        <v>0.73596463828208203</v>
      </c>
      <c r="C702" s="3">
        <f t="shared" ca="1" si="123"/>
        <v>0.16907089014670207</v>
      </c>
      <c r="D702" s="3">
        <f t="shared" ca="1" si="123"/>
        <v>0.13204067614396797</v>
      </c>
      <c r="E702" s="3">
        <f t="shared" ca="1" si="123"/>
        <v>0.8445729842103411</v>
      </c>
      <c r="F702" s="3">
        <f t="shared" ca="1" si="123"/>
        <v>0.34399430974523515</v>
      </c>
      <c r="G702" s="36">
        <f t="shared" ca="1" si="115"/>
        <v>58102.1387242442</v>
      </c>
      <c r="H702" s="37">
        <f t="shared" ca="1" si="116"/>
        <v>9.7419857011078567E-2</v>
      </c>
      <c r="I702" s="37">
        <f t="shared" ca="1" si="117"/>
        <v>6.0555538515463359E-2</v>
      </c>
      <c r="J702" s="38">
        <f t="shared" ca="1" si="118"/>
        <v>3.8849142964250363E-2</v>
      </c>
      <c r="K702" s="36">
        <f t="shared" ca="1" si="119"/>
        <v>1244.1761908401711</v>
      </c>
      <c r="L702" s="36">
        <f ca="1">Assumptions!$C$10*Assumptions!$C$13*I702*Assumptions!$C$15</f>
        <v>4199.7595019647506</v>
      </c>
      <c r="M702" s="36">
        <f ca="1">G702*(1+H702*Assumptions!$C$6)*(1+J702)+L702+K702</f>
        <v>66979.33269687221</v>
      </c>
    </row>
    <row r="703" spans="1:13" x14ac:dyDescent="0.25">
      <c r="A703" s="3">
        <v>690</v>
      </c>
      <c r="B703" s="3">
        <f t="shared" ca="1" si="123"/>
        <v>0.42376386166809921</v>
      </c>
      <c r="C703" s="3">
        <f t="shared" ca="1" si="123"/>
        <v>0.25965870623266363</v>
      </c>
      <c r="D703" s="3">
        <f t="shared" ca="1" si="123"/>
        <v>0.44478893282903365</v>
      </c>
      <c r="E703" s="3">
        <f t="shared" ca="1" si="123"/>
        <v>0.8808161783135523</v>
      </c>
      <c r="F703" s="3">
        <f t="shared" ca="1" si="123"/>
        <v>0.91183673992312053</v>
      </c>
      <c r="G703" s="36">
        <f t="shared" ca="1" si="115"/>
        <v>57793.198466125075</v>
      </c>
      <c r="H703" s="37">
        <f t="shared" ca="1" si="116"/>
        <v>0.10876615346348972</v>
      </c>
      <c r="I703" s="37">
        <f t="shared" ca="1" si="117"/>
        <v>7.7726974236650731E-2</v>
      </c>
      <c r="J703" s="38">
        <f t="shared" ca="1" si="118"/>
        <v>4.0235418219444416E-2</v>
      </c>
      <c r="K703" s="36">
        <f t="shared" ca="1" si="119"/>
        <v>2370.1312276783697</v>
      </c>
      <c r="L703" s="36">
        <f ca="1">Assumptions!$C$10*Assumptions!$C$13*I703*Assumptions!$C$15</f>
        <v>5390.664613212638</v>
      </c>
      <c r="M703" s="36">
        <f ca="1">G703*(1+H703*Assumptions!$C$6)*(1+J703)+L703+K703</f>
        <v>69187.100112534361</v>
      </c>
    </row>
    <row r="704" spans="1:13" x14ac:dyDescent="0.25">
      <c r="A704" s="3">
        <v>691</v>
      </c>
      <c r="B704" s="3">
        <f t="shared" ref="B704:F713" ca="1" si="124">RAND()</f>
        <v>0.25742315240333258</v>
      </c>
      <c r="C704" s="3">
        <f t="shared" ca="1" si="124"/>
        <v>0.31394306993560994</v>
      </c>
      <c r="D704" s="3">
        <f t="shared" ca="1" si="124"/>
        <v>0.84373456573228478</v>
      </c>
      <c r="E704" s="3">
        <f t="shared" ca="1" si="124"/>
        <v>7.0828463877795067E-2</v>
      </c>
      <c r="F704" s="3">
        <f t="shared" ca="1" si="124"/>
        <v>0.19779016466570065</v>
      </c>
      <c r="G704" s="36">
        <f t="shared" ca="1" si="115"/>
        <v>57640.248322123836</v>
      </c>
      <c r="H704" s="37">
        <f t="shared" ca="1" si="116"/>
        <v>0.11461766654827155</v>
      </c>
      <c r="I704" s="37">
        <f t="shared" ca="1" si="117"/>
        <v>9.7638215865975972E-2</v>
      </c>
      <c r="J704" s="38">
        <f t="shared" ca="1" si="118"/>
        <v>1.7527467774905187E-2</v>
      </c>
      <c r="K704" s="36">
        <f t="shared" ca="1" si="119"/>
        <v>943.42765541171877</v>
      </c>
      <c r="L704" s="36">
        <f ca="1">Assumptions!$C$10*Assumptions!$C$13*I704*Assumptions!$C$15</f>
        <v>6771.5858019049174</v>
      </c>
      <c r="M704" s="36">
        <f ca="1">G704*(1+H704*Assumptions!$C$6)*(1+J704)+L704+K704</f>
        <v>67710.026888169377</v>
      </c>
    </row>
    <row r="705" spans="1:13" x14ac:dyDescent="0.25">
      <c r="A705" s="3">
        <v>692</v>
      </c>
      <c r="B705" s="3">
        <f t="shared" ca="1" si="124"/>
        <v>0.52250922549729695</v>
      </c>
      <c r="C705" s="3">
        <f t="shared" ca="1" si="124"/>
        <v>0.32840520743411117</v>
      </c>
      <c r="D705" s="3">
        <f t="shared" ca="1" si="124"/>
        <v>0.95269245592718033</v>
      </c>
      <c r="E705" s="3">
        <f t="shared" ca="1" si="124"/>
        <v>0.53626090863749254</v>
      </c>
      <c r="F705" s="3">
        <f t="shared" ca="1" si="124"/>
        <v>0.41724062309925958</v>
      </c>
      <c r="G705" s="36">
        <f t="shared" ca="1" si="115"/>
        <v>57878.974598775654</v>
      </c>
      <c r="H705" s="37">
        <f t="shared" ca="1" si="116"/>
        <v>0.11608925221905358</v>
      </c>
      <c r="I705" s="37">
        <f t="shared" ca="1" si="117"/>
        <v>0.10769617372387666</v>
      </c>
      <c r="J705" s="38">
        <f t="shared" ca="1" si="118"/>
        <v>3.0738866256369905E-2</v>
      </c>
      <c r="K705" s="36">
        <f t="shared" ca="1" si="119"/>
        <v>1370.2491758606054</v>
      </c>
      <c r="L705" s="36">
        <f ca="1">Assumptions!$C$10*Assumptions!$C$13*I705*Assumptions!$C$15</f>
        <v>7469.1438638036298</v>
      </c>
      <c r="M705" s="36">
        <f ca="1">G705*(1+H705*Assumptions!$C$6)*(1+J705)+L705+K705</f>
        <v>69882.634742270078</v>
      </c>
    </row>
    <row r="706" spans="1:13" x14ac:dyDescent="0.25">
      <c r="A706" s="3">
        <v>693</v>
      </c>
      <c r="B706" s="3">
        <f t="shared" ca="1" si="124"/>
        <v>0.88234466491325259</v>
      </c>
      <c r="C706" s="3">
        <f t="shared" ca="1" si="124"/>
        <v>0.45563020612197458</v>
      </c>
      <c r="D706" s="3">
        <f t="shared" ca="1" si="124"/>
        <v>0.81025115385274193</v>
      </c>
      <c r="E706" s="3">
        <f t="shared" ca="1" si="124"/>
        <v>0.58103400185441234</v>
      </c>
      <c r="F706" s="3">
        <f t="shared" ca="1" si="124"/>
        <v>0.54214384262396142</v>
      </c>
      <c r="G706" s="36">
        <f t="shared" ca="1" si="115"/>
        <v>58317.330664372726</v>
      </c>
      <c r="H706" s="37">
        <f t="shared" ca="1" si="116"/>
        <v>0.12859249890416274</v>
      </c>
      <c r="I706" s="37">
        <f t="shared" ca="1" si="117"/>
        <v>9.5358646391254687E-2</v>
      </c>
      <c r="J706" s="38">
        <f t="shared" ca="1" si="118"/>
        <v>3.1692274895103158E-2</v>
      </c>
      <c r="K706" s="36">
        <f t="shared" ca="1" si="119"/>
        <v>1564.6071240973174</v>
      </c>
      <c r="L706" s="36">
        <f ca="1">Assumptions!$C$10*Assumptions!$C$13*I706*Assumptions!$C$15</f>
        <v>6613.4888912580936</v>
      </c>
      <c r="M706" s="36">
        <f ca="1">G706*(1+H706*Assumptions!$C$6)*(1+J706)+L706+K706</f>
        <v>69891.002969737878</v>
      </c>
    </row>
    <row r="707" spans="1:13" x14ac:dyDescent="0.25">
      <c r="A707" s="3">
        <v>694</v>
      </c>
      <c r="B707" s="3">
        <f t="shared" ca="1" si="124"/>
        <v>0.93212574268894299</v>
      </c>
      <c r="C707" s="3">
        <f t="shared" ca="1" si="124"/>
        <v>0.82419104404441124</v>
      </c>
      <c r="D707" s="3">
        <f t="shared" ca="1" si="124"/>
        <v>0.97810955633086416</v>
      </c>
      <c r="E707" s="3">
        <f t="shared" ca="1" si="124"/>
        <v>0.17580514880091425</v>
      </c>
      <c r="F707" s="3">
        <f t="shared" ca="1" si="124"/>
        <v>6.9179448987758518E-2</v>
      </c>
      <c r="G707" s="36">
        <f t="shared" ca="1" si="115"/>
        <v>58421.229696966286</v>
      </c>
      <c r="H707" s="37">
        <f t="shared" ca="1" si="116"/>
        <v>0.17668772476219619</v>
      </c>
      <c r="I707" s="37">
        <f t="shared" ca="1" si="117"/>
        <v>0.11163044686131722</v>
      </c>
      <c r="J707" s="38">
        <f t="shared" ca="1" si="118"/>
        <v>2.1859347327771936E-2</v>
      </c>
      <c r="K707" s="36">
        <f t="shared" ca="1" si="119"/>
        <v>557.94938878442497</v>
      </c>
      <c r="L707" s="36">
        <f ca="1">Assumptions!$C$10*Assumptions!$C$13*I707*Assumptions!$C$15</f>
        <v>7742.0008377048916</v>
      </c>
      <c r="M707" s="36">
        <f ca="1">G707*(1+H707*Assumptions!$C$6)*(1+J707)+L707+K707</f>
        <v>70107.820515369676</v>
      </c>
    </row>
    <row r="708" spans="1:13" x14ac:dyDescent="0.25">
      <c r="A708" s="3">
        <v>695</v>
      </c>
      <c r="B708" s="3">
        <f t="shared" ca="1" si="124"/>
        <v>0.87582741496109351</v>
      </c>
      <c r="C708" s="3">
        <f t="shared" ca="1" si="124"/>
        <v>0.80779209929544027</v>
      </c>
      <c r="D708" s="3">
        <f t="shared" ca="1" si="124"/>
        <v>0.36277831552110373</v>
      </c>
      <c r="E708" s="3">
        <f t="shared" ca="1" si="124"/>
        <v>0.89597729760263989</v>
      </c>
      <c r="F708" s="3">
        <f t="shared" ca="1" si="124"/>
        <v>0.59275476868657195</v>
      </c>
      <c r="G708" s="36">
        <f t="shared" ca="1" si="115"/>
        <v>58305.525118498452</v>
      </c>
      <c r="H708" s="37">
        <f t="shared" ca="1" si="116"/>
        <v>0.17380075426363256</v>
      </c>
      <c r="I708" s="37">
        <f t="shared" ca="1" si="117"/>
        <v>7.4071844823365984E-2</v>
      </c>
      <c r="J708" s="38">
        <f t="shared" ca="1" si="118"/>
        <v>4.0877601087548954E-2</v>
      </c>
      <c r="K708" s="36">
        <f t="shared" ca="1" si="119"/>
        <v>1646.2631197642481</v>
      </c>
      <c r="L708" s="36">
        <f ca="1">Assumptions!$C$10*Assumptions!$C$13*I708*Assumptions!$C$15</f>
        <v>5137.1673302112895</v>
      </c>
      <c r="M708" s="36">
        <f ca="1">G708*(1+H708*Assumptions!$C$6)*(1+J708)+L708+K708</f>
        <v>69581.901409970858</v>
      </c>
    </row>
    <row r="709" spans="1:13" x14ac:dyDescent="0.25">
      <c r="A709" s="3">
        <v>696</v>
      </c>
      <c r="B709" s="3">
        <f t="shared" ca="1" si="124"/>
        <v>0.87331807899909741</v>
      </c>
      <c r="C709" s="3">
        <f t="shared" ca="1" si="124"/>
        <v>0.88076959916087072</v>
      </c>
      <c r="D709" s="3">
        <f t="shared" ca="1" si="124"/>
        <v>0.34076914947880999</v>
      </c>
      <c r="E709" s="3">
        <f t="shared" ca="1" si="124"/>
        <v>0.28067094431633699</v>
      </c>
      <c r="F709" s="3">
        <f t="shared" ca="1" si="124"/>
        <v>0.32198456064704217</v>
      </c>
      <c r="G709" s="36">
        <f t="shared" ca="1" si="115"/>
        <v>58301.062510223979</v>
      </c>
      <c r="H709" s="37">
        <f t="shared" ca="1" si="116"/>
        <v>0.18786121271901168</v>
      </c>
      <c r="I709" s="37">
        <f t="shared" ca="1" si="117"/>
        <v>7.3022133158416519E-2</v>
      </c>
      <c r="J709" s="38">
        <f t="shared" ca="1" si="118"/>
        <v>2.4984550558928002E-2</v>
      </c>
      <c r="K709" s="36">
        <f t="shared" ca="1" si="119"/>
        <v>1203.7152997746975</v>
      </c>
      <c r="L709" s="36">
        <f ca="1">Assumptions!$C$10*Assumptions!$C$13*I709*Assumptions!$C$15</f>
        <v>5064.3657888944863</v>
      </c>
      <c r="M709" s="36">
        <f ca="1">G709*(1+H709*Assumptions!$C$6)*(1+J709)+L709+K709</f>
        <v>68270.999803518149</v>
      </c>
    </row>
    <row r="710" spans="1:13" x14ac:dyDescent="0.25">
      <c r="A710" s="3">
        <v>697</v>
      </c>
      <c r="B710" s="3">
        <f t="shared" ca="1" si="124"/>
        <v>0.18288781227379591</v>
      </c>
      <c r="C710" s="3">
        <f t="shared" ca="1" si="124"/>
        <v>0.64903145686923414</v>
      </c>
      <c r="D710" s="3">
        <f t="shared" ca="1" si="124"/>
        <v>0.23817668313007379</v>
      </c>
      <c r="E710" s="3">
        <f t="shared" ca="1" si="124"/>
        <v>0.7433978083817262</v>
      </c>
      <c r="F710" s="3">
        <f t="shared" ca="1" si="124"/>
        <v>0.24238122423849595</v>
      </c>
      <c r="G710" s="36">
        <f t="shared" ca="1" si="115"/>
        <v>57555.367474420906</v>
      </c>
      <c r="H710" s="37">
        <f t="shared" ca="1" si="116"/>
        <v>0.15054563854466646</v>
      </c>
      <c r="I710" s="37">
        <f t="shared" ca="1" si="117"/>
        <v>6.7607342972771503E-2</v>
      </c>
      <c r="J710" s="38">
        <f t="shared" ca="1" si="118"/>
        <v>3.5672343063340085E-2</v>
      </c>
      <c r="K710" s="36">
        <f t="shared" ca="1" si="119"/>
        <v>1044.3732613741274</v>
      </c>
      <c r="L710" s="36">
        <f ca="1">Assumptions!$C$10*Assumptions!$C$13*I710*Assumptions!$C$15</f>
        <v>4688.8292634039062</v>
      </c>
      <c r="M710" s="36">
        <f ca="1">G710*(1+H710*Assumptions!$C$6)*(1+J710)+L710+K710</f>
        <v>67136.464820813897</v>
      </c>
    </row>
    <row r="711" spans="1:13" x14ac:dyDescent="0.25">
      <c r="A711" s="3">
        <v>698</v>
      </c>
      <c r="B711" s="3">
        <f t="shared" ca="1" si="124"/>
        <v>0.53238622069253194</v>
      </c>
      <c r="C711" s="3">
        <f t="shared" ca="1" si="124"/>
        <v>5.3369103619578251E-2</v>
      </c>
      <c r="D711" s="3">
        <f t="shared" ca="1" si="124"/>
        <v>5.3177415960739216E-2</v>
      </c>
      <c r="E711" s="3">
        <f t="shared" ca="1" si="124"/>
        <v>0.92795639418349884</v>
      </c>
      <c r="F711" s="3">
        <f t="shared" ca="1" si="124"/>
        <v>0.26526282841524629</v>
      </c>
      <c r="G711" s="36">
        <f t="shared" ca="1" si="115"/>
        <v>57888.024134953957</v>
      </c>
      <c r="H711" s="37">
        <f t="shared" ca="1" si="116"/>
        <v>7.6642242363216928E-2</v>
      </c>
      <c r="I711" s="37">
        <f t="shared" ca="1" si="117"/>
        <v>5.3044835417680264E-2</v>
      </c>
      <c r="J711" s="38">
        <f t="shared" ca="1" si="118"/>
        <v>4.2408235735140291E-2</v>
      </c>
      <c r="K711" s="36">
        <f t="shared" ca="1" si="119"/>
        <v>1092.557883074672</v>
      </c>
      <c r="L711" s="36">
        <f ca="1">Assumptions!$C$10*Assumptions!$C$13*I711*Assumptions!$C$15</f>
        <v>3678.863354813886</v>
      </c>
      <c r="M711" s="36">
        <f ca="1">G711*(1+H711*Assumptions!$C$6)*(1+J711)+L711+K711</f>
        <v>66039.338194013137</v>
      </c>
    </row>
    <row r="712" spans="1:13" x14ac:dyDescent="0.25">
      <c r="A712" s="3">
        <v>699</v>
      </c>
      <c r="B712" s="3">
        <f t="shared" ca="1" si="124"/>
        <v>0.16403519524901811</v>
      </c>
      <c r="C712" s="3">
        <f t="shared" ca="1" si="124"/>
        <v>0.46610669477482347</v>
      </c>
      <c r="D712" s="3">
        <f t="shared" ca="1" si="124"/>
        <v>0.83093631791572753</v>
      </c>
      <c r="E712" s="3">
        <f t="shared" ca="1" si="124"/>
        <v>1.86968391946708E-2</v>
      </c>
      <c r="F712" s="3">
        <f t="shared" ca="1" si="124"/>
        <v>0.81724304133604952</v>
      </c>
      <c r="G712" s="36">
        <f t="shared" ca="1" si="115"/>
        <v>57531.25897317152</v>
      </c>
      <c r="H712" s="37">
        <f t="shared" ca="1" si="116"/>
        <v>0.12966973507176724</v>
      </c>
      <c r="I712" s="37">
        <f t="shared" ca="1" si="117"/>
        <v>9.6740511986080344E-2</v>
      </c>
      <c r="J712" s="38">
        <f t="shared" ca="1" si="118"/>
        <v>1.3867489024643333E-2</v>
      </c>
      <c r="K712" s="36">
        <f t="shared" ca="1" si="119"/>
        <v>2093.1337948805362</v>
      </c>
      <c r="L712" s="36">
        <f ca="1">Assumptions!$C$10*Assumptions!$C$13*I712*Assumptions!$C$15</f>
        <v>6709.3265851269252</v>
      </c>
      <c r="M712" s="36">
        <f ca="1">G712*(1+H712*Assumptions!$C$6)*(1+J712)+L712+K712</f>
        <v>68644.23654610115</v>
      </c>
    </row>
    <row r="713" spans="1:13" x14ac:dyDescent="0.25">
      <c r="A713" s="3">
        <v>700</v>
      </c>
      <c r="B713" s="3">
        <f t="shared" ca="1" si="124"/>
        <v>0.70331420080085327</v>
      </c>
      <c r="C713" s="3">
        <f t="shared" ca="1" si="124"/>
        <v>0.52140181095035221</v>
      </c>
      <c r="D713" s="3">
        <f t="shared" ca="1" si="124"/>
        <v>0.36866878438368356</v>
      </c>
      <c r="E713" s="3">
        <f t="shared" ca="1" si="124"/>
        <v>0.19139263083359215</v>
      </c>
      <c r="F713" s="3">
        <f t="shared" ca="1" si="124"/>
        <v>0.45220410238058462</v>
      </c>
      <c r="G713" s="36">
        <f t="shared" ca="1" si="115"/>
        <v>58063.284762261348</v>
      </c>
      <c r="H713" s="37">
        <f t="shared" ca="1" si="116"/>
        <v>0.13553929585565694</v>
      </c>
      <c r="I713" s="37">
        <f t="shared" ca="1" si="117"/>
        <v>7.4347345021526595E-2</v>
      </c>
      <c r="J713" s="38">
        <f t="shared" ca="1" si="118"/>
        <v>2.2373928424993968E-2</v>
      </c>
      <c r="K713" s="36">
        <f t="shared" ca="1" si="119"/>
        <v>1426.5056819769877</v>
      </c>
      <c r="L713" s="36">
        <f ca="1">Assumptions!$C$10*Assumptions!$C$13*I713*Assumptions!$C$15</f>
        <v>5156.2743285698743</v>
      </c>
      <c r="M713" s="36">
        <f ca="1">G713*(1+H713*Assumptions!$C$6)*(1+J713)+L713+K713</f>
        <v>67554.355818793949</v>
      </c>
    </row>
    <row r="714" spans="1:13" x14ac:dyDescent="0.25">
      <c r="A714" s="3">
        <v>701</v>
      </c>
      <c r="B714" s="3">
        <f t="shared" ref="B714:F723" ca="1" si="125">RAND()</f>
        <v>0.31058249568520346</v>
      </c>
      <c r="C714" s="3">
        <f t="shared" ca="1" si="125"/>
        <v>0.9364961021256325</v>
      </c>
      <c r="D714" s="3">
        <f t="shared" ca="1" si="125"/>
        <v>0.76001041834883287</v>
      </c>
      <c r="E714" s="3">
        <f t="shared" ca="1" si="125"/>
        <v>0.96723949112803442</v>
      </c>
      <c r="F714" s="3">
        <f t="shared" ca="1" si="125"/>
        <v>0.34940538663102527</v>
      </c>
      <c r="G714" s="36">
        <f t="shared" ca="1" si="115"/>
        <v>57693.414442923058</v>
      </c>
      <c r="H714" s="37">
        <f t="shared" ca="1" si="116"/>
        <v>0.20194886504274046</v>
      </c>
      <c r="I714" s="37">
        <f t="shared" ca="1" si="117"/>
        <v>9.2287788589076214E-2</v>
      </c>
      <c r="J714" s="38">
        <f t="shared" ca="1" si="118"/>
        <v>4.4880585277829857E-2</v>
      </c>
      <c r="K714" s="36">
        <f t="shared" ca="1" si="119"/>
        <v>1253.9235382748079</v>
      </c>
      <c r="L714" s="36">
        <f ca="1">Assumptions!$C$10*Assumptions!$C$13*I714*Assumptions!$C$15</f>
        <v>6400.5130916854696</v>
      </c>
      <c r="M714" s="36">
        <f ca="1">G714*(1+H714*Assumptions!$C$6)*(1+J714)+L714+K714</f>
        <v>70371.971006259351</v>
      </c>
    </row>
    <row r="715" spans="1:13" x14ac:dyDescent="0.25">
      <c r="A715" s="3">
        <v>702</v>
      </c>
      <c r="B715" s="3">
        <f t="shared" ca="1" si="125"/>
        <v>6.9013431995139207E-2</v>
      </c>
      <c r="C715" s="3">
        <f t="shared" ca="1" si="125"/>
        <v>0.83691094784194187</v>
      </c>
      <c r="D715" s="3">
        <f t="shared" ca="1" si="125"/>
        <v>0.10258629981174294</v>
      </c>
      <c r="E715" s="3">
        <f t="shared" ca="1" si="125"/>
        <v>0.48726430727412218</v>
      </c>
      <c r="F715" s="3">
        <f t="shared" ca="1" si="125"/>
        <v>0.43357661484456256</v>
      </c>
      <c r="G715" s="36">
        <f t="shared" ca="1" si="115"/>
        <v>57379.728320054855</v>
      </c>
      <c r="H715" s="37">
        <f t="shared" ca="1" si="116"/>
        <v>0.17902106602109441</v>
      </c>
      <c r="I715" s="37">
        <f t="shared" ca="1" si="117"/>
        <v>5.8118392848086092E-2</v>
      </c>
      <c r="J715" s="38">
        <f t="shared" ca="1" si="118"/>
        <v>2.974364317493855E-2</v>
      </c>
      <c r="K715" s="36">
        <f t="shared" ca="1" si="119"/>
        <v>1396.8159387695043</v>
      </c>
      <c r="L715" s="36">
        <f ca="1">Assumptions!$C$10*Assumptions!$C$13*I715*Assumptions!$C$15</f>
        <v>4030.7340762949552</v>
      </c>
      <c r="M715" s="36">
        <f ca="1">G715*(1+H715*Assumptions!$C$6)*(1+J715)+L715+K715</f>
        <v>66629.502938211474</v>
      </c>
    </row>
    <row r="716" spans="1:13" x14ac:dyDescent="0.25">
      <c r="A716" s="3">
        <v>703</v>
      </c>
      <c r="B716" s="3">
        <f t="shared" ca="1" si="125"/>
        <v>0.60541275277441453</v>
      </c>
      <c r="C716" s="3">
        <f t="shared" ca="1" si="125"/>
        <v>0.9465436181494189</v>
      </c>
      <c r="D716" s="3">
        <f t="shared" ca="1" si="125"/>
        <v>0.89113256526045848</v>
      </c>
      <c r="E716" s="3">
        <f t="shared" ca="1" si="125"/>
        <v>0.75423992487338676</v>
      </c>
      <c r="F716" s="3">
        <f t="shared" ca="1" si="125"/>
        <v>0.45004475214534578</v>
      </c>
      <c r="G716" s="36">
        <f t="shared" ca="1" si="115"/>
        <v>57958.137752631257</v>
      </c>
      <c r="H716" s="37">
        <f t="shared" ca="1" si="116"/>
        <v>0.20508860492341718</v>
      </c>
      <c r="I716" s="37">
        <f t="shared" ca="1" si="117"/>
        <v>0.10133517235100917</v>
      </c>
      <c r="J716" s="38">
        <f t="shared" ca="1" si="118"/>
        <v>3.5978300384714751E-2</v>
      </c>
      <c r="K716" s="36">
        <f t="shared" ca="1" si="119"/>
        <v>1423.0957046713534</v>
      </c>
      <c r="L716" s="36">
        <f ca="1">Assumptions!$C$10*Assumptions!$C$13*I716*Assumptions!$C$15</f>
        <v>7027.9839532053729</v>
      </c>
      <c r="M716" s="36">
        <f ca="1">G716*(1+H716*Assumptions!$C$6)*(1+J716)+L716+K716</f>
        <v>70957.295022744656</v>
      </c>
    </row>
    <row r="717" spans="1:13" x14ac:dyDescent="0.25">
      <c r="A717" s="3">
        <v>704</v>
      </c>
      <c r="B717" s="3">
        <f t="shared" ca="1" si="125"/>
        <v>0.89353072271275968</v>
      </c>
      <c r="C717" s="3">
        <f t="shared" ca="1" si="125"/>
        <v>0.45372807048302266</v>
      </c>
      <c r="D717" s="3">
        <f t="shared" ca="1" si="125"/>
        <v>0.33904175821752125</v>
      </c>
      <c r="E717" s="3">
        <f t="shared" ca="1" si="125"/>
        <v>0.38949545394605989</v>
      </c>
      <c r="F717" s="3">
        <f t="shared" ca="1" si="125"/>
        <v>0.22045215747396019</v>
      </c>
      <c r="G717" s="36">
        <f t="shared" ca="1" si="115"/>
        <v>58338.383137193559</v>
      </c>
      <c r="H717" s="37">
        <f t="shared" ca="1" si="116"/>
        <v>0.12839802872266509</v>
      </c>
      <c r="I717" s="37">
        <f t="shared" ca="1" si="117"/>
        <v>7.2938330654361769E-2</v>
      </c>
      <c r="J717" s="38">
        <f t="shared" ca="1" si="118"/>
        <v>2.7652092316687214E-2</v>
      </c>
      <c r="K717" s="36">
        <f t="shared" ca="1" si="119"/>
        <v>996.00939183966568</v>
      </c>
      <c r="L717" s="36">
        <f ca="1">Assumptions!$C$10*Assumptions!$C$13*I717*Assumptions!$C$15</f>
        <v>5058.5537629209666</v>
      </c>
      <c r="M717" s="36">
        <f ca="1">G717*(1+H717*Assumptions!$C$6)*(1+J717)+L717+K717</f>
        <v>67545.657110987449</v>
      </c>
    </row>
    <row r="718" spans="1:13" x14ac:dyDescent="0.25">
      <c r="A718" s="3">
        <v>705</v>
      </c>
      <c r="B718" s="3">
        <f t="shared" ca="1" si="125"/>
        <v>0.27068967912900199</v>
      </c>
      <c r="C718" s="3">
        <f t="shared" ca="1" si="125"/>
        <v>0.72832912367198233</v>
      </c>
      <c r="D718" s="3">
        <f t="shared" ca="1" si="125"/>
        <v>0.45558354993341743</v>
      </c>
      <c r="E718" s="3">
        <f t="shared" ca="1" si="125"/>
        <v>0.69403945013270307</v>
      </c>
      <c r="F718" s="3">
        <f t="shared" ca="1" si="125"/>
        <v>0.71590484815784772</v>
      </c>
      <c r="G718" s="36">
        <f t="shared" ref="G718:G781" ca="1" si="126">IF(B718&lt;($F$5-$E$5)/($G$5-$E$5),$E$5+SQRT(B718*($G$5-$E$5)*($F$5-$E$5)),$G$5-SQRT((1-B718)*($G$5-$E$5)*($G$5-$F$5)))</f>
        <v>57653.994525617163</v>
      </c>
      <c r="H718" s="37">
        <f t="shared" ref="H718:H781" ca="1" si="127">IF(C718&lt;($F$6-$E$6)/($G$6-$E$6),$E$6+SQRT(C718*($G$6-$E$6)*($F$6-$E$6)),$G$6-SQRT((1-C718)*($G$6-$E$6)*($G$6-$F$6)))</f>
        <v>0.16129742075205666</v>
      </c>
      <c r="I718" s="37">
        <f t="shared" ref="I718:I781" ca="1" si="128">IF(D718&lt;($F$7-$E$7)/($G$7-$E$7),$E$7+SQRT(D718*($G$7-$E$7)*($F$7-$E$7)),$G$7-SQRT((1-D718)*($G$7-$E$7)*($G$7-$F$7)))</f>
        <v>7.81820292780116E-2</v>
      </c>
      <c r="J718" s="38">
        <f t="shared" ref="J718:J781" ca="1" si="129">IF(E718&lt;($F$8-$E$8)/($G$8-$E$8),$E$8+SQRT(E718*($G$8-$E$8)*($F$8-$E$8)),$G$8-SQRT((1-E718)*($G$8-$E$8)*($G$8-$F$8)))</f>
        <v>3.4354922822375164E-2</v>
      </c>
      <c r="K718" s="36">
        <f t="shared" ref="K718:K781" ca="1" si="130">IF(F718&lt;($F$9-$E$9)/($G$9-$E$9),$E$9+SQRT(F718*($G$9-$E$9)*($F$9-$E$9)),$G$9-SQRT((1-F718)*($G$9-$E$9)*($G$9-$F$9)))</f>
        <v>1869.3240148965376</v>
      </c>
      <c r="L718" s="36">
        <f ca="1">Assumptions!$C$10*Assumptions!$C$13*I718*Assumptions!$C$15</f>
        <v>5422.2244305427112</v>
      </c>
      <c r="M718" s="36">
        <f ca="1">G718*(1+H718*Assumptions!$C$6)*(1+J718)+L718+K718</f>
        <v>68850.025938903098</v>
      </c>
    </row>
    <row r="719" spans="1:13" x14ac:dyDescent="0.25">
      <c r="A719" s="3">
        <v>706</v>
      </c>
      <c r="B719" s="3">
        <f t="shared" ca="1" si="125"/>
        <v>3.3170492352497805E-2</v>
      </c>
      <c r="C719" s="3">
        <f t="shared" ca="1" si="125"/>
        <v>0.87234713365134908</v>
      </c>
      <c r="D719" s="3">
        <f t="shared" ca="1" si="125"/>
        <v>0.14180553158204168</v>
      </c>
      <c r="E719" s="3">
        <f t="shared" ca="1" si="125"/>
        <v>0.30373303658928585</v>
      </c>
      <c r="F719" s="3">
        <f t="shared" ca="1" si="125"/>
        <v>0.40094838210188255</v>
      </c>
      <c r="G719" s="36">
        <f t="shared" ca="1" si="126"/>
        <v>57293.930261682493</v>
      </c>
      <c r="H719" s="37">
        <f t="shared" ca="1" si="127"/>
        <v>0.18605108571297063</v>
      </c>
      <c r="I719" s="37">
        <f t="shared" ca="1" si="128"/>
        <v>6.1302058610907387E-2</v>
      </c>
      <c r="J719" s="38">
        <f t="shared" ca="1" si="129"/>
        <v>2.5588021980720604E-2</v>
      </c>
      <c r="K719" s="36">
        <f t="shared" ca="1" si="130"/>
        <v>1343.2303300098877</v>
      </c>
      <c r="L719" s="36">
        <f ca="1">Assumptions!$C$10*Assumptions!$C$13*I719*Assumptions!$C$15</f>
        <v>4251.5335418149298</v>
      </c>
      <c r="M719" s="36">
        <f ca="1">G719*(1+H719*Assumptions!$C$6)*(1+J719)+L719+K719</f>
        <v>66541.203671622396</v>
      </c>
    </row>
    <row r="720" spans="1:13" x14ac:dyDescent="0.25">
      <c r="A720" s="3">
        <v>707</v>
      </c>
      <c r="B720" s="3">
        <f t="shared" ca="1" si="125"/>
        <v>0.2839493082685578</v>
      </c>
      <c r="C720" s="3">
        <f t="shared" ca="1" si="125"/>
        <v>0.64176051569057069</v>
      </c>
      <c r="D720" s="3">
        <f t="shared" ca="1" si="125"/>
        <v>0.13492007487048074</v>
      </c>
      <c r="E720" s="3">
        <f t="shared" ca="1" si="125"/>
        <v>0.35239815945203334</v>
      </c>
      <c r="F720" s="3">
        <f t="shared" ca="1" si="125"/>
        <v>0.70463849833413728</v>
      </c>
      <c r="G720" s="36">
        <f t="shared" ca="1" si="126"/>
        <v>57667.400915346858</v>
      </c>
      <c r="H720" s="37">
        <f t="shared" ca="1" si="127"/>
        <v>0.14962378497494494</v>
      </c>
      <c r="I720" s="37">
        <f t="shared" ca="1" si="128"/>
        <v>6.0778456140568732E-2</v>
      </c>
      <c r="J720" s="38">
        <f t="shared" ca="1" si="129"/>
        <v>2.6790429641960524E-2</v>
      </c>
      <c r="K720" s="36">
        <f t="shared" ca="1" si="130"/>
        <v>1847.1224013381202</v>
      </c>
      <c r="L720" s="36">
        <f ca="1">Assumptions!$C$10*Assumptions!$C$13*I720*Assumptions!$C$15</f>
        <v>4215.2196966412894</v>
      </c>
      <c r="M720" s="36">
        <f ca="1">G720*(1+H720*Assumptions!$C$6)*(1+J720)+L720+K720</f>
        <v>67046.592207003341</v>
      </c>
    </row>
    <row r="721" spans="1:13" x14ac:dyDescent="0.25">
      <c r="A721" s="3">
        <v>708</v>
      </c>
      <c r="B721" s="3">
        <f t="shared" ca="1" si="125"/>
        <v>0.17807292799612962</v>
      </c>
      <c r="C721" s="3">
        <f t="shared" ca="1" si="125"/>
        <v>0.82002068935394712</v>
      </c>
      <c r="D721" s="3">
        <f t="shared" ca="1" si="125"/>
        <v>0.77339596344693129</v>
      </c>
      <c r="E721" s="3">
        <f t="shared" ca="1" si="125"/>
        <v>0.72925680843829821</v>
      </c>
      <c r="F721" s="3">
        <f t="shared" ca="1" si="125"/>
        <v>0.62543128570479212</v>
      </c>
      <c r="G721" s="36">
        <f t="shared" ca="1" si="126"/>
        <v>57549.333268092349</v>
      </c>
      <c r="H721" s="37">
        <f t="shared" ca="1" si="127"/>
        <v>0.17594121229113052</v>
      </c>
      <c r="I721" s="37">
        <f t="shared" ca="1" si="128"/>
        <v>9.307170787127747E-2</v>
      </c>
      <c r="J721" s="38">
        <f t="shared" ca="1" si="129"/>
        <v>3.5282848330965622E-2</v>
      </c>
      <c r="K721" s="36">
        <f t="shared" ca="1" si="130"/>
        <v>1701.709117983017</v>
      </c>
      <c r="L721" s="36">
        <f ca="1">Assumptions!$C$10*Assumptions!$C$13*I721*Assumptions!$C$15</f>
        <v>6454.880908980289</v>
      </c>
      <c r="M721" s="36">
        <f ca="1">G721*(1+H721*Assumptions!$C$6)*(1+J721)+L721+K721</f>
        <v>69832.937465691633</v>
      </c>
    </row>
    <row r="722" spans="1:13" x14ac:dyDescent="0.25">
      <c r="A722" s="3">
        <v>709</v>
      </c>
      <c r="B722" s="3">
        <f t="shared" ca="1" si="125"/>
        <v>0.64213655973035844</v>
      </c>
      <c r="C722" s="3">
        <f t="shared" ca="1" si="125"/>
        <v>0.6142174881796677</v>
      </c>
      <c r="D722" s="3">
        <f t="shared" ca="1" si="125"/>
        <v>0.10255236613008256</v>
      </c>
      <c r="E722" s="3">
        <f t="shared" ca="1" si="125"/>
        <v>0.11381406603683519</v>
      </c>
      <c r="F722" s="3">
        <f t="shared" ca="1" si="125"/>
        <v>0.4503849401866592</v>
      </c>
      <c r="G722" s="36">
        <f t="shared" ca="1" si="126"/>
        <v>57995.857917032998</v>
      </c>
      <c r="H722" s="37">
        <f t="shared" ca="1" si="127"/>
        <v>0.14621385353100608</v>
      </c>
      <c r="I722" s="37">
        <f t="shared" ca="1" si="128"/>
        <v>5.8115395982872256E-2</v>
      </c>
      <c r="J722" s="38">
        <f t="shared" ca="1" si="129"/>
        <v>1.954207801422039E-2</v>
      </c>
      <c r="K722" s="36">
        <f t="shared" ca="1" si="130"/>
        <v>1423.6334608458619</v>
      </c>
      <c r="L722" s="36">
        <f ca="1">Assumptions!$C$10*Assumptions!$C$13*I722*Assumptions!$C$15</f>
        <v>4030.5262321659707</v>
      </c>
      <c r="M722" s="36">
        <f ca="1">G722*(1+H722*Assumptions!$C$6)*(1+J722)+L722+K722</f>
        <v>66312.479339261525</v>
      </c>
    </row>
    <row r="723" spans="1:13" x14ac:dyDescent="0.25">
      <c r="A723" s="3">
        <v>710</v>
      </c>
      <c r="B723" s="3">
        <f t="shared" ca="1" si="125"/>
        <v>0.83060764612272819</v>
      </c>
      <c r="C723" s="3">
        <f t="shared" ca="1" si="125"/>
        <v>2.0780035753083959E-2</v>
      </c>
      <c r="D723" s="3">
        <f t="shared" ca="1" si="125"/>
        <v>0.4155931238037095</v>
      </c>
      <c r="E723" s="3">
        <f t="shared" ca="1" si="125"/>
        <v>0.34676437405262373</v>
      </c>
      <c r="F723" s="3">
        <f t="shared" ca="1" si="125"/>
        <v>0.75155068267833181</v>
      </c>
      <c r="G723" s="36">
        <f t="shared" ca="1" si="126"/>
        <v>58230.964171451618</v>
      </c>
      <c r="H723" s="37">
        <f t="shared" ca="1" si="127"/>
        <v>6.6624514294138543E-2</v>
      </c>
      <c r="I723" s="37">
        <f t="shared" ca="1" si="128"/>
        <v>7.6467766536653575E-2</v>
      </c>
      <c r="J723" s="38">
        <f t="shared" ca="1" si="129"/>
        <v>2.665567468588706E-2</v>
      </c>
      <c r="K723" s="36">
        <f t="shared" ca="1" si="130"/>
        <v>1942.634439776145</v>
      </c>
      <c r="L723" s="36">
        <f ca="1">Assumptions!$C$10*Assumptions!$C$13*I723*Assumptions!$C$15</f>
        <v>5303.3337161112959</v>
      </c>
      <c r="M723" s="36">
        <f ca="1">G723*(1+H723*Assumptions!$C$6)*(1+J723)+L723+K723</f>
        <v>67825.722628739182</v>
      </c>
    </row>
    <row r="724" spans="1:13" x14ac:dyDescent="0.25">
      <c r="A724" s="3">
        <v>711</v>
      </c>
      <c r="B724" s="3">
        <f t="shared" ref="B724:F733" ca="1" si="131">RAND()</f>
        <v>0.13679152502389347</v>
      </c>
      <c r="C724" s="3">
        <f t="shared" ca="1" si="131"/>
        <v>0.26097665629444222</v>
      </c>
      <c r="D724" s="3">
        <f t="shared" ca="1" si="131"/>
        <v>0.85231668726155341</v>
      </c>
      <c r="E724" s="3">
        <f t="shared" ca="1" si="131"/>
        <v>0.8113879299947715</v>
      </c>
      <c r="F724" s="3">
        <f t="shared" ca="1" si="131"/>
        <v>0.1648200906122298</v>
      </c>
      <c r="G724" s="36">
        <f t="shared" ca="1" si="126"/>
        <v>57493.82131702402</v>
      </c>
      <c r="H724" s="37">
        <f t="shared" ca="1" si="127"/>
        <v>0.10891510441912228</v>
      </c>
      <c r="I724" s="37">
        <f t="shared" ca="1" si="128"/>
        <v>9.8260942965182937E-2</v>
      </c>
      <c r="J724" s="38">
        <f t="shared" ca="1" si="129"/>
        <v>3.7716284926611873E-2</v>
      </c>
      <c r="K724" s="36">
        <f t="shared" ca="1" si="130"/>
        <v>861.21449578779971</v>
      </c>
      <c r="L724" s="36">
        <f ca="1">Assumptions!$C$10*Assumptions!$C$13*I724*Assumptions!$C$15</f>
        <v>6814.7743213391477</v>
      </c>
      <c r="M724" s="36">
        <f ca="1">G724*(1+H724*Assumptions!$C$6)*(1+J724)+L724+K724</f>
        <v>68637.888055431496</v>
      </c>
    </row>
    <row r="725" spans="1:13" x14ac:dyDescent="0.25">
      <c r="A725" s="3">
        <v>712</v>
      </c>
      <c r="B725" s="3">
        <f t="shared" ca="1" si="131"/>
        <v>0.84402523742757851</v>
      </c>
      <c r="C725" s="3">
        <f t="shared" ca="1" si="131"/>
        <v>0.62646195357116419</v>
      </c>
      <c r="D725" s="3">
        <f t="shared" ca="1" si="131"/>
        <v>0.42211059184413247</v>
      </c>
      <c r="E725" s="3">
        <f t="shared" ca="1" si="131"/>
        <v>0.61502323400369829</v>
      </c>
      <c r="F725" s="3">
        <f t="shared" ca="1" si="131"/>
        <v>0.59954631588924046</v>
      </c>
      <c r="G725" s="36">
        <f t="shared" ca="1" si="126"/>
        <v>58251.920518682244</v>
      </c>
      <c r="H725" s="37">
        <f t="shared" ca="1" si="127"/>
        <v>0.14771420771008434</v>
      </c>
      <c r="I725" s="37">
        <f t="shared" ca="1" si="128"/>
        <v>7.675260390640673E-2</v>
      </c>
      <c r="J725" s="38">
        <f t="shared" ca="1" si="129"/>
        <v>3.2450600785296338E-2</v>
      </c>
      <c r="K725" s="36">
        <f t="shared" ca="1" si="130"/>
        <v>1657.5985777352521</v>
      </c>
      <c r="L725" s="36">
        <f ca="1">Assumptions!$C$10*Assumptions!$C$13*I725*Assumptions!$C$15</f>
        <v>5323.0882832320231</v>
      </c>
      <c r="M725" s="36">
        <f ca="1">G725*(1+H725*Assumptions!$C$6)*(1+J725)+L725+K725</f>
        <v>68899.68957819014</v>
      </c>
    </row>
    <row r="726" spans="1:13" x14ac:dyDescent="0.25">
      <c r="A726" s="3">
        <v>713</v>
      </c>
      <c r="B726" s="3">
        <f t="shared" ca="1" si="131"/>
        <v>0.53533569152955851</v>
      </c>
      <c r="C726" s="3">
        <f t="shared" ca="1" si="131"/>
        <v>0.95811997738299226</v>
      </c>
      <c r="D726" s="3">
        <f t="shared" ca="1" si="131"/>
        <v>0.88907706457399049</v>
      </c>
      <c r="E726" s="3">
        <f t="shared" ca="1" si="131"/>
        <v>0.61547632708537992</v>
      </c>
      <c r="F726" s="3">
        <f t="shared" ca="1" si="131"/>
        <v>0.16949160768709792</v>
      </c>
      <c r="G726" s="36">
        <f t="shared" ca="1" si="126"/>
        <v>57890.745002422504</v>
      </c>
      <c r="H726" s="37">
        <f t="shared" ca="1" si="127"/>
        <v>0.20909911788204458</v>
      </c>
      <c r="I726" s="37">
        <f t="shared" ca="1" si="128"/>
        <v>0.10115979317090094</v>
      </c>
      <c r="J726" s="38">
        <f t="shared" ca="1" si="129"/>
        <v>3.2460931087093137E-2</v>
      </c>
      <c r="K726" s="36">
        <f t="shared" ca="1" si="130"/>
        <v>873.33397654731186</v>
      </c>
      <c r="L726" s="36">
        <f ca="1">Assumptions!$C$10*Assumptions!$C$13*I726*Assumptions!$C$15</f>
        <v>7015.8207325295598</v>
      </c>
      <c r="M726" s="36">
        <f ca="1">G726*(1+H726*Assumptions!$C$6)*(1+J726)+L726+K726</f>
        <v>70158.65522736391</v>
      </c>
    </row>
    <row r="727" spans="1:13" x14ac:dyDescent="0.25">
      <c r="A727" s="3">
        <v>714</v>
      </c>
      <c r="B727" s="3">
        <f t="shared" ca="1" si="131"/>
        <v>0.18170309504904392</v>
      </c>
      <c r="C727" s="3">
        <f t="shared" ca="1" si="131"/>
        <v>0.60284409242768844</v>
      </c>
      <c r="D727" s="3">
        <f t="shared" ca="1" si="131"/>
        <v>0.6352700680438681</v>
      </c>
      <c r="E727" s="3">
        <f t="shared" ca="1" si="131"/>
        <v>5.0652720893059278E-2</v>
      </c>
      <c r="F727" s="3">
        <f t="shared" ca="1" si="131"/>
        <v>0.44027490358023735</v>
      </c>
      <c r="G727" s="36">
        <f t="shared" ca="1" si="126"/>
        <v>57553.89018024387</v>
      </c>
      <c r="H727" s="37">
        <f t="shared" ca="1" si="127"/>
        <v>0.14484142344145376</v>
      </c>
      <c r="I727" s="37">
        <f t="shared" ca="1" si="128"/>
        <v>8.5836630987860374E-2</v>
      </c>
      <c r="J727" s="38">
        <f t="shared" ca="1" si="129"/>
        <v>1.6365703159466942E-2</v>
      </c>
      <c r="K727" s="36">
        <f t="shared" ca="1" si="130"/>
        <v>1407.5642316111432</v>
      </c>
      <c r="L727" s="36">
        <f ca="1">Assumptions!$C$10*Assumptions!$C$13*I727*Assumptions!$C$15</f>
        <v>5953.1004998965309</v>
      </c>
      <c r="M727" s="36">
        <f ca="1">G727*(1+H727*Assumptions!$C$6)*(1+J727)+L727+K727</f>
        <v>67550.987783396893</v>
      </c>
    </row>
    <row r="728" spans="1:13" x14ac:dyDescent="0.25">
      <c r="A728" s="3">
        <v>715</v>
      </c>
      <c r="B728" s="3">
        <f t="shared" ca="1" si="131"/>
        <v>0.96399225418989731</v>
      </c>
      <c r="C728" s="3">
        <f t="shared" ca="1" si="131"/>
        <v>0.21823592954782789</v>
      </c>
      <c r="D728" s="3">
        <f t="shared" ca="1" si="131"/>
        <v>0.79699593223178256</v>
      </c>
      <c r="E728" s="3">
        <f t="shared" ca="1" si="131"/>
        <v>0.17344479445987193</v>
      </c>
      <c r="F728" s="3">
        <f t="shared" ca="1" si="131"/>
        <v>0.68812394906438545</v>
      </c>
      <c r="G728" s="36">
        <f t="shared" ca="1" si="126"/>
        <v>58510.37501235761</v>
      </c>
      <c r="H728" s="37">
        <f t="shared" ca="1" si="127"/>
        <v>0.10387520638462661</v>
      </c>
      <c r="I728" s="37">
        <f t="shared" ca="1" si="128"/>
        <v>9.4512492925782329E-2</v>
      </c>
      <c r="J728" s="38">
        <f t="shared" ca="1" si="129"/>
        <v>2.1779466692847242E-2</v>
      </c>
      <c r="K728" s="36">
        <f t="shared" ca="1" si="130"/>
        <v>1815.3303290746971</v>
      </c>
      <c r="L728" s="36">
        <f ca="1">Assumptions!$C$10*Assumptions!$C$13*I728*Assumptions!$C$15</f>
        <v>6554.8048939911796</v>
      </c>
      <c r="M728" s="36">
        <f ca="1">G728*(1+H728*Assumptions!$C$6)*(1+J728)+L728+K728</f>
        <v>69396.864604768722</v>
      </c>
    </row>
    <row r="729" spans="1:13" x14ac:dyDescent="0.25">
      <c r="A729" s="3">
        <v>716</v>
      </c>
      <c r="B729" s="3">
        <f t="shared" ca="1" si="131"/>
        <v>3.4121473211546793E-2</v>
      </c>
      <c r="C729" s="3">
        <f t="shared" ca="1" si="131"/>
        <v>0.396203228652794</v>
      </c>
      <c r="D729" s="3">
        <f t="shared" ca="1" si="131"/>
        <v>0.20589116719110967</v>
      </c>
      <c r="E729" s="3">
        <f t="shared" ca="1" si="131"/>
        <v>0.78255944481150164</v>
      </c>
      <c r="F729" s="3">
        <f t="shared" ca="1" si="131"/>
        <v>1.8898355103234565E-2</v>
      </c>
      <c r="G729" s="36">
        <f t="shared" ca="1" si="126"/>
        <v>57296.690557569578</v>
      </c>
      <c r="H729" s="37">
        <f t="shared" ca="1" si="127"/>
        <v>0.12266898795835647</v>
      </c>
      <c r="I729" s="37">
        <f t="shared" ca="1" si="128"/>
        <v>6.5668107351566668E-2</v>
      </c>
      <c r="J729" s="38">
        <f t="shared" ca="1" si="129"/>
        <v>3.6810896764722829E-2</v>
      </c>
      <c r="K729" s="36">
        <f t="shared" ca="1" si="130"/>
        <v>291.62064049815734</v>
      </c>
      <c r="L729" s="36">
        <f ca="1">Assumptions!$C$10*Assumptions!$C$13*I729*Assumptions!$C$15</f>
        <v>4554.3358144748072</v>
      </c>
      <c r="M729" s="36">
        <f ca="1">G729*(1+H729*Assumptions!$C$6)*(1+J729)+L729+K729</f>
        <v>65709.240259114944</v>
      </c>
    </row>
    <row r="730" spans="1:13" x14ac:dyDescent="0.25">
      <c r="A730" s="3">
        <v>717</v>
      </c>
      <c r="B730" s="3">
        <f t="shared" ca="1" si="131"/>
        <v>0.22626921602839412</v>
      </c>
      <c r="C730" s="3">
        <f t="shared" ca="1" si="131"/>
        <v>0.42413077899139207</v>
      </c>
      <c r="D730" s="3">
        <f t="shared" ca="1" si="131"/>
        <v>0.33446040530692644</v>
      </c>
      <c r="E730" s="3">
        <f t="shared" ca="1" si="131"/>
        <v>0.56428090799871855</v>
      </c>
      <c r="F730" s="3">
        <f t="shared" ca="1" si="131"/>
        <v>0.78635119999565706</v>
      </c>
      <c r="G730" s="36">
        <f t="shared" ca="1" si="126"/>
        <v>57606.50339490566</v>
      </c>
      <c r="H730" s="37">
        <f t="shared" ca="1" si="127"/>
        <v>0.12541458103669445</v>
      </c>
      <c r="I730" s="37">
        <f t="shared" ca="1" si="128"/>
        <v>7.2715031667142924E-2</v>
      </c>
      <c r="J730" s="38">
        <f t="shared" ca="1" si="129"/>
        <v>3.1329829309804769E-2</v>
      </c>
      <c r="K730" s="36">
        <f t="shared" ca="1" si="130"/>
        <v>2019.4799339026542</v>
      </c>
      <c r="L730" s="36">
        <f ca="1">Assumptions!$C$10*Assumptions!$C$13*I730*Assumptions!$C$15</f>
        <v>5043.0671193150802</v>
      </c>
      <c r="M730" s="36">
        <f ca="1">G730*(1+H730*Assumptions!$C$6)*(1+J730)+L730+K730</f>
        <v>67964.061159565186</v>
      </c>
    </row>
    <row r="731" spans="1:13" x14ac:dyDescent="0.25">
      <c r="A731" s="3">
        <v>718</v>
      </c>
      <c r="B731" s="3">
        <f t="shared" ca="1" si="131"/>
        <v>0.53305879955960911</v>
      </c>
      <c r="C731" s="3">
        <f t="shared" ca="1" si="131"/>
        <v>3.3779480490915059E-2</v>
      </c>
      <c r="D731" s="3">
        <f t="shared" ca="1" si="131"/>
        <v>0.51086341118913892</v>
      </c>
      <c r="E731" s="3">
        <f t="shared" ca="1" si="131"/>
        <v>0.20915390492968988</v>
      </c>
      <c r="F731" s="3">
        <f t="shared" ca="1" si="131"/>
        <v>0.98389608704185338</v>
      </c>
      <c r="G731" s="36">
        <f t="shared" ca="1" si="126"/>
        <v>57888.643827531232</v>
      </c>
      <c r="H731" s="37">
        <f t="shared" ca="1" si="127"/>
        <v>7.1195921554137967E-2</v>
      </c>
      <c r="I731" s="37">
        <f t="shared" ca="1" si="128"/>
        <v>8.0436922715810447E-2</v>
      </c>
      <c r="J731" s="38">
        <f t="shared" ca="1" si="129"/>
        <v>2.2935343982428604E-2</v>
      </c>
      <c r="K731" s="36">
        <f t="shared" ca="1" si="130"/>
        <v>2730.8019162184473</v>
      </c>
      <c r="L731" s="36">
        <f ca="1">Assumptions!$C$10*Assumptions!$C$13*I731*Assumptions!$C$15</f>
        <v>5578.60996312113</v>
      </c>
      <c r="M731" s="36">
        <f ca="1">G731*(1+H731*Assumptions!$C$6)*(1+J731)+L731+K731</f>
        <v>68368.944042162562</v>
      </c>
    </row>
    <row r="732" spans="1:13" x14ac:dyDescent="0.25">
      <c r="A732" s="3">
        <v>719</v>
      </c>
      <c r="B732" s="3">
        <f t="shared" ca="1" si="131"/>
        <v>0.45181217449418454</v>
      </c>
      <c r="C732" s="3">
        <f t="shared" ca="1" si="131"/>
        <v>0.74681751960968978</v>
      </c>
      <c r="D732" s="3">
        <f t="shared" ca="1" si="131"/>
        <v>0.91784222931138981</v>
      </c>
      <c r="E732" s="3">
        <f t="shared" ca="1" si="131"/>
        <v>0.232738616241979</v>
      </c>
      <c r="F732" s="3">
        <f t="shared" ca="1" si="131"/>
        <v>0.88495723917423419</v>
      </c>
      <c r="G732" s="36">
        <f t="shared" ca="1" si="126"/>
        <v>57816.760401461208</v>
      </c>
      <c r="H732" s="37">
        <f t="shared" ca="1" si="127"/>
        <v>0.16402263131103398</v>
      </c>
      <c r="I732" s="37">
        <f t="shared" ca="1" si="128"/>
        <v>0.10378565862566251</v>
      </c>
      <c r="J732" s="38">
        <f t="shared" ca="1" si="129"/>
        <v>2.3645178378958014E-2</v>
      </c>
      <c r="K732" s="36">
        <f t="shared" ca="1" si="130"/>
        <v>2280.4915402054357</v>
      </c>
      <c r="L732" s="36">
        <f ca="1">Assumptions!$C$10*Assumptions!$C$13*I732*Assumptions!$C$15</f>
        <v>7197.9346012997921</v>
      </c>
      <c r="M732" s="36">
        <f ca="1">G732*(1+H732*Assumptions!$C$6)*(1+J732)+L732+K732</f>
        <v>70603.772252440831</v>
      </c>
    </row>
    <row r="733" spans="1:13" x14ac:dyDescent="0.25">
      <c r="A733" s="3">
        <v>720</v>
      </c>
      <c r="B733" s="3">
        <f t="shared" ca="1" si="131"/>
        <v>0.386856705198099</v>
      </c>
      <c r="C733" s="3">
        <f t="shared" ca="1" si="131"/>
        <v>0.24860572102640988</v>
      </c>
      <c r="D733" s="3">
        <f t="shared" ca="1" si="131"/>
        <v>0.45832002151748963</v>
      </c>
      <c r="E733" s="3">
        <f t="shared" ca="1" si="131"/>
        <v>0.30017563255877233</v>
      </c>
      <c r="F733" s="3">
        <f t="shared" ca="1" si="131"/>
        <v>0.58741605238593286</v>
      </c>
      <c r="G733" s="36">
        <f t="shared" ca="1" si="126"/>
        <v>57762.284649277484</v>
      </c>
      <c r="H733" s="37">
        <f t="shared" ca="1" si="127"/>
        <v>0.10750179205599814</v>
      </c>
      <c r="I733" s="37">
        <f t="shared" ca="1" si="128"/>
        <v>7.8296528156687611E-2</v>
      </c>
      <c r="J733" s="38">
        <f t="shared" ca="1" si="129"/>
        <v>2.5496467534474359E-2</v>
      </c>
      <c r="K733" s="36">
        <f t="shared" ca="1" si="130"/>
        <v>1637.4187127869025</v>
      </c>
      <c r="L733" s="36">
        <f ca="1">Assumptions!$C$10*Assumptions!$C$13*I733*Assumptions!$C$15</f>
        <v>5430.1653681591952</v>
      </c>
      <c r="M733" s="36">
        <f ca="1">G733*(1+H733*Assumptions!$C$6)*(1+J733)+L733+K733</f>
        <v>67576.177081583068</v>
      </c>
    </row>
    <row r="734" spans="1:13" x14ac:dyDescent="0.25">
      <c r="A734" s="3">
        <v>721</v>
      </c>
      <c r="B734" s="3">
        <f t="shared" ref="B734:F743" ca="1" si="132">RAND()</f>
        <v>0.25947435333020719</v>
      </c>
      <c r="C734" s="3">
        <f t="shared" ca="1" si="132"/>
        <v>7.3154227314751519E-2</v>
      </c>
      <c r="D734" s="3">
        <f t="shared" ca="1" si="132"/>
        <v>0.30314769038459122</v>
      </c>
      <c r="E734" s="3">
        <f t="shared" ca="1" si="132"/>
        <v>1.056330446353082E-2</v>
      </c>
      <c r="F734" s="3">
        <f t="shared" ca="1" si="132"/>
        <v>0.54975563414662865</v>
      </c>
      <c r="G734" s="36">
        <f t="shared" ca="1" si="126"/>
        <v>57642.396456610535</v>
      </c>
      <c r="H734" s="37">
        <f t="shared" ca="1" si="127"/>
        <v>8.1192166056338499E-2</v>
      </c>
      <c r="I734" s="37">
        <f t="shared" ca="1" si="128"/>
        <v>7.1145988653929293E-2</v>
      </c>
      <c r="J734" s="38">
        <f t="shared" ca="1" si="129"/>
        <v>1.2906999066189161E-2</v>
      </c>
      <c r="K734" s="36">
        <f t="shared" ca="1" si="130"/>
        <v>1576.5887290244709</v>
      </c>
      <c r="L734" s="36">
        <f ca="1">Assumptions!$C$10*Assumptions!$C$13*I734*Assumptions!$C$15</f>
        <v>4934.2479515678961</v>
      </c>
      <c r="M734" s="36">
        <f ca="1">G734*(1+H734*Assumptions!$C$6)*(1+J734)+L734+K734</f>
        <v>65845.326937165213</v>
      </c>
    </row>
    <row r="735" spans="1:13" x14ac:dyDescent="0.25">
      <c r="A735" s="3">
        <v>722</v>
      </c>
      <c r="B735" s="3">
        <f t="shared" ca="1" si="132"/>
        <v>0.65163679805648334</v>
      </c>
      <c r="C735" s="3">
        <f t="shared" ca="1" si="132"/>
        <v>0.33827268783076281</v>
      </c>
      <c r="D735" s="3">
        <f t="shared" ca="1" si="132"/>
        <v>0.96959313784223411</v>
      </c>
      <c r="E735" s="3">
        <f t="shared" ca="1" si="132"/>
        <v>0.92198470112644715</v>
      </c>
      <c r="F735" s="3">
        <f t="shared" ca="1" si="132"/>
        <v>3.4241051662818434E-2</v>
      </c>
      <c r="G735" s="36">
        <f t="shared" ca="1" si="126"/>
        <v>58005.92741347407</v>
      </c>
      <c r="H735" s="37">
        <f t="shared" ca="1" si="127"/>
        <v>0.11707478474172799</v>
      </c>
      <c r="I735" s="37">
        <f t="shared" ca="1" si="128"/>
        <v>0.11013582446907746</v>
      </c>
      <c r="J735" s="38">
        <f t="shared" ca="1" si="129"/>
        <v>4.2099858286154465E-2</v>
      </c>
      <c r="K735" s="36">
        <f t="shared" ca="1" si="130"/>
        <v>392.53628174053284</v>
      </c>
      <c r="L735" s="36">
        <f ca="1">Assumptions!$C$10*Assumptions!$C$13*I735*Assumptions!$C$15</f>
        <v>7638.343026255402</v>
      </c>
      <c r="M735" s="36">
        <f ca="1">G735*(1+H735*Assumptions!$C$6)*(1+J735)+L735+K735</f>
        <v>69894.234630933934</v>
      </c>
    </row>
    <row r="736" spans="1:13" x14ac:dyDescent="0.25">
      <c r="A736" s="3">
        <v>723</v>
      </c>
      <c r="B736" s="3">
        <f t="shared" ca="1" si="132"/>
        <v>0.62360537859067577</v>
      </c>
      <c r="C736" s="3">
        <f t="shared" ca="1" si="132"/>
        <v>0.51318197122971898</v>
      </c>
      <c r="D736" s="3">
        <f t="shared" ca="1" si="132"/>
        <v>0.69633901717160329</v>
      </c>
      <c r="E736" s="3">
        <f t="shared" ca="1" si="132"/>
        <v>0.67216721834111071</v>
      </c>
      <c r="F736" s="3">
        <f t="shared" ca="1" si="132"/>
        <v>0.18890536981376704</v>
      </c>
      <c r="G736" s="36">
        <f t="shared" ca="1" si="126"/>
        <v>57976.593813542277</v>
      </c>
      <c r="H736" s="37">
        <f t="shared" ca="1" si="127"/>
        <v>0.13464606767679524</v>
      </c>
      <c r="I736" s="37">
        <f t="shared" ca="1" si="128"/>
        <v>8.8827654161887828E-2</v>
      </c>
      <c r="J736" s="38">
        <f t="shared" ca="1" si="129"/>
        <v>3.3805364303970548E-2</v>
      </c>
      <c r="K736" s="36">
        <f t="shared" ca="1" si="130"/>
        <v>921.99466601599795</v>
      </c>
      <c r="L736" s="36">
        <f ca="1">Assumptions!$C$10*Assumptions!$C$13*I736*Assumptions!$C$15</f>
        <v>6160.5394609506193</v>
      </c>
      <c r="M736" s="36">
        <f ca="1">G736*(1+H736*Assumptions!$C$6)*(1+J736)+L736+K736</f>
        <v>68633.090991161938</v>
      </c>
    </row>
    <row r="737" spans="1:13" x14ac:dyDescent="0.25">
      <c r="A737" s="3">
        <v>724</v>
      </c>
      <c r="B737" s="3">
        <f t="shared" ca="1" si="132"/>
        <v>0.5342925221965491</v>
      </c>
      <c r="C737" s="3">
        <f t="shared" ca="1" si="132"/>
        <v>6.9819337012649418E-2</v>
      </c>
      <c r="D737" s="3">
        <f t="shared" ca="1" si="132"/>
        <v>0.12021032364525008</v>
      </c>
      <c r="E737" s="3">
        <f t="shared" ca="1" si="132"/>
        <v>0.95062459504787988</v>
      </c>
      <c r="F737" s="3">
        <f t="shared" ca="1" si="132"/>
        <v>0.91813029560197112</v>
      </c>
      <c r="G737" s="36">
        <f t="shared" ca="1" si="126"/>
        <v>57889.781701247019</v>
      </c>
      <c r="H737" s="37">
        <f t="shared" ca="1" si="127"/>
        <v>8.0472892581247304E-2</v>
      </c>
      <c r="I737" s="37">
        <f t="shared" ca="1" si="128"/>
        <v>5.9613083277873478E-2</v>
      </c>
      <c r="J737" s="38">
        <f t="shared" ca="1" si="129"/>
        <v>4.3715071682055864E-2</v>
      </c>
      <c r="K737" s="36">
        <f t="shared" ca="1" si="130"/>
        <v>2393.0291030114131</v>
      </c>
      <c r="L737" s="36">
        <f ca="1">Assumptions!$C$10*Assumptions!$C$13*I737*Assumptions!$C$15</f>
        <v>4134.3966064100559</v>
      </c>
      <c r="M737" s="36">
        <f ca="1">G737*(1+H737*Assumptions!$C$6)*(1+J737)+L737+K737</f>
        <v>67920.304845269493</v>
      </c>
    </row>
    <row r="738" spans="1:13" x14ac:dyDescent="0.25">
      <c r="A738" s="3">
        <v>725</v>
      </c>
      <c r="B738" s="3">
        <f t="shared" ca="1" si="132"/>
        <v>0.4518625555923873</v>
      </c>
      <c r="C738" s="3">
        <f t="shared" ca="1" si="132"/>
        <v>0.10776288166625037</v>
      </c>
      <c r="D738" s="3">
        <f t="shared" ca="1" si="132"/>
        <v>0.75736477963884619</v>
      </c>
      <c r="E738" s="3">
        <f t="shared" ca="1" si="132"/>
        <v>0.30590020834337528</v>
      </c>
      <c r="F738" s="3">
        <f t="shared" ca="1" si="132"/>
        <v>0.33507415602726109</v>
      </c>
      <c r="G738" s="36">
        <f t="shared" ca="1" si="126"/>
        <v>57816.803259608641</v>
      </c>
      <c r="H738" s="37">
        <f t="shared" ca="1" si="127"/>
        <v>8.7858239871408839E-2</v>
      </c>
      <c r="I738" s="37">
        <f t="shared" ca="1" si="128"/>
        <v>9.2135457923093508E-2</v>
      </c>
      <c r="J738" s="38">
        <f t="shared" ca="1" si="129"/>
        <v>2.5643534340893052E-2</v>
      </c>
      <c r="K738" s="36">
        <f t="shared" ca="1" si="130"/>
        <v>1227.9388022709743</v>
      </c>
      <c r="L738" s="36">
        <f ca="1">Assumptions!$C$10*Assumptions!$C$13*I738*Assumptions!$C$15</f>
        <v>6389.9483741123913</v>
      </c>
      <c r="M738" s="36">
        <f ca="1">G738*(1+H738*Assumptions!$C$6)*(1+J738)+L738+K738</f>
        <v>67959.306332618333</v>
      </c>
    </row>
    <row r="739" spans="1:13" x14ac:dyDescent="0.25">
      <c r="A739" s="3">
        <v>726</v>
      </c>
      <c r="B739" s="3">
        <f t="shared" ca="1" si="132"/>
        <v>0.87217191599744381</v>
      </c>
      <c r="C739" s="3">
        <f t="shared" ca="1" si="132"/>
        <v>0.47435346336700313</v>
      </c>
      <c r="D739" s="3">
        <f t="shared" ca="1" si="132"/>
        <v>0.9917946144452664</v>
      </c>
      <c r="E739" s="3">
        <f t="shared" ca="1" si="132"/>
        <v>0.55969375745608829</v>
      </c>
      <c r="F739" s="3">
        <f t="shared" ca="1" si="132"/>
        <v>0.53726542777867969</v>
      </c>
      <c r="G739" s="36">
        <f t="shared" ca="1" si="126"/>
        <v>58299.038882907727</v>
      </c>
      <c r="H739" s="37">
        <f t="shared" ca="1" si="127"/>
        <v>0.13052515798032716</v>
      </c>
      <c r="I739" s="37">
        <f t="shared" ca="1" si="128"/>
        <v>0.11487581872147876</v>
      </c>
      <c r="J739" s="38">
        <f t="shared" ca="1" si="129"/>
        <v>3.123180898341214E-2</v>
      </c>
      <c r="K739" s="36">
        <f t="shared" ca="1" si="130"/>
        <v>1556.980396877457</v>
      </c>
      <c r="L739" s="36">
        <f ca="1">Assumptions!$C$10*Assumptions!$C$13*I739*Assumptions!$C$15</f>
        <v>7967.0798584065569</v>
      </c>
      <c r="M739" s="36">
        <f ca="1">G739*(1+H739*Assumptions!$C$6)*(1+J739)+L739+K739</f>
        <v>71213.31347205826</v>
      </c>
    </row>
    <row r="740" spans="1:13" x14ac:dyDescent="0.25">
      <c r="A740" s="3">
        <v>727</v>
      </c>
      <c r="B740" s="3">
        <f t="shared" ca="1" si="132"/>
        <v>0.91224255063233484</v>
      </c>
      <c r="C740" s="3">
        <f t="shared" ca="1" si="132"/>
        <v>0.89294077653377413</v>
      </c>
      <c r="D740" s="3">
        <f t="shared" ca="1" si="132"/>
        <v>0.24688221894244111</v>
      </c>
      <c r="E740" s="3">
        <f t="shared" ca="1" si="132"/>
        <v>0.3596446324488024</v>
      </c>
      <c r="F740" s="3">
        <f t="shared" ca="1" si="132"/>
        <v>0.91974491686203563</v>
      </c>
      <c r="G740" s="36">
        <f t="shared" ca="1" si="126"/>
        <v>58376.245073242986</v>
      </c>
      <c r="H740" s="37">
        <f t="shared" ca="1" si="127"/>
        <v>0.19059402571520373</v>
      </c>
      <c r="I740" s="37">
        <f t="shared" ca="1" si="128"/>
        <v>6.8107349583619789E-2</v>
      </c>
      <c r="J740" s="38">
        <f t="shared" ca="1" si="129"/>
        <v>2.6962184586869754E-2</v>
      </c>
      <c r="K740" s="36">
        <f t="shared" ca="1" si="130"/>
        <v>2399.0441995280853</v>
      </c>
      <c r="L740" s="36">
        <f ca="1">Assumptions!$C$10*Assumptions!$C$13*I740*Assumptions!$C$15</f>
        <v>4723.5066449685837</v>
      </c>
      <c r="M740" s="36">
        <f ca="1">G740*(1+H740*Assumptions!$C$6)*(1+J740)+L740+K740</f>
        <v>69357.976858922935</v>
      </c>
    </row>
    <row r="741" spans="1:13" x14ac:dyDescent="0.25">
      <c r="A741" s="3">
        <v>728</v>
      </c>
      <c r="B741" s="3">
        <f t="shared" ca="1" si="132"/>
        <v>0.72462763363569949</v>
      </c>
      <c r="C741" s="3">
        <f t="shared" ca="1" si="132"/>
        <v>0.73911694270077632</v>
      </c>
      <c r="D741" s="3">
        <f t="shared" ca="1" si="132"/>
        <v>0.89530911163614679</v>
      </c>
      <c r="E741" s="3">
        <f t="shared" ca="1" si="132"/>
        <v>0.58515639121489815</v>
      </c>
      <c r="F741" s="3">
        <f t="shared" ca="1" si="132"/>
        <v>0.70491955910279391</v>
      </c>
      <c r="G741" s="36">
        <f t="shared" ca="1" si="126"/>
        <v>58088.388834884987</v>
      </c>
      <c r="H741" s="37">
        <f t="shared" ca="1" si="127"/>
        <v>0.16287585523052911</v>
      </c>
      <c r="I741" s="37">
        <f t="shared" ca="1" si="128"/>
        <v>0.10169669858292416</v>
      </c>
      <c r="J741" s="38">
        <f t="shared" ca="1" si="129"/>
        <v>3.1782566398417103E-2</v>
      </c>
      <c r="K741" s="36">
        <f t="shared" ca="1" si="130"/>
        <v>1847.6710608348728</v>
      </c>
      <c r="L741" s="36">
        <f ca="1">Assumptions!$C$10*Assumptions!$C$13*I741*Assumptions!$C$15</f>
        <v>7053.0571878741857</v>
      </c>
      <c r="M741" s="36">
        <f ca="1">G741*(1+H741*Assumptions!$C$6)*(1+J741)+L741+K741</f>
        <v>70787.694578886993</v>
      </c>
    </row>
    <row r="742" spans="1:13" x14ac:dyDescent="0.25">
      <c r="A742" s="3">
        <v>729</v>
      </c>
      <c r="B742" s="3">
        <f t="shared" ca="1" si="132"/>
        <v>0.41253351265579374</v>
      </c>
      <c r="C742" s="3">
        <f t="shared" ca="1" si="132"/>
        <v>0.93893097465139796</v>
      </c>
      <c r="D742" s="3">
        <f t="shared" ca="1" si="132"/>
        <v>0.79418920123165915</v>
      </c>
      <c r="E742" s="3">
        <f t="shared" ca="1" si="132"/>
        <v>0.37297381961657061</v>
      </c>
      <c r="F742" s="3">
        <f t="shared" ca="1" si="132"/>
        <v>0.99367133702256039</v>
      </c>
      <c r="G742" s="36">
        <f t="shared" ca="1" si="126"/>
        <v>57783.910453511395</v>
      </c>
      <c r="H742" s="37">
        <f t="shared" ca="1" si="127"/>
        <v>0.20268547497356926</v>
      </c>
      <c r="I742" s="37">
        <f t="shared" ca="1" si="128"/>
        <v>9.4336902835809339E-2</v>
      </c>
      <c r="J742" s="38">
        <f t="shared" ca="1" si="129"/>
        <v>2.7273652065885098E-2</v>
      </c>
      <c r="K742" s="36">
        <f t="shared" ca="1" si="130"/>
        <v>2831.2428271199169</v>
      </c>
      <c r="L742" s="36">
        <f ca="1">Assumptions!$C$10*Assumptions!$C$13*I742*Assumptions!$C$15</f>
        <v>6542.6270459050529</v>
      </c>
      <c r="M742" s="36">
        <f ca="1">G742*(1+H742*Assumptions!$C$6)*(1+J742)+L742+K742</f>
        <v>71140.036043260247</v>
      </c>
    </row>
    <row r="743" spans="1:13" x14ac:dyDescent="0.25">
      <c r="A743" s="3">
        <v>730</v>
      </c>
      <c r="B743" s="3">
        <f t="shared" ca="1" si="132"/>
        <v>0.23408672294700739</v>
      </c>
      <c r="C743" s="3">
        <f t="shared" ca="1" si="132"/>
        <v>0.43222965989959206</v>
      </c>
      <c r="D743" s="3">
        <f t="shared" ca="1" si="132"/>
        <v>0.9317355264653342</v>
      </c>
      <c r="E743" s="3">
        <f t="shared" ca="1" si="132"/>
        <v>0.98297033728206173</v>
      </c>
      <c r="F743" s="3">
        <f t="shared" ca="1" si="132"/>
        <v>7.9460404772139781E-2</v>
      </c>
      <c r="G743" s="36">
        <f t="shared" ca="1" si="126"/>
        <v>57615.178838335152</v>
      </c>
      <c r="H743" s="37">
        <f t="shared" ca="1" si="127"/>
        <v>0.12622318446058833</v>
      </c>
      <c r="I743" s="37">
        <f t="shared" ca="1" si="128"/>
        <v>0.10522007052415572</v>
      </c>
      <c r="J743" s="38">
        <f t="shared" ca="1" si="129"/>
        <v>4.630896624583971E-2</v>
      </c>
      <c r="K743" s="36">
        <f t="shared" ca="1" si="130"/>
        <v>597.97309427316964</v>
      </c>
      <c r="L743" s="36">
        <f ca="1">Assumptions!$C$10*Assumptions!$C$13*I743*Assumptions!$C$15</f>
        <v>7297.4165834291371</v>
      </c>
      <c r="M743" s="36">
        <f ca="1">G743*(1+H743*Assumptions!$C$6)*(1+J743)+L743+K743</f>
        <v>69700.497357198197</v>
      </c>
    </row>
    <row r="744" spans="1:13" x14ac:dyDescent="0.25">
      <c r="A744" s="3">
        <v>731</v>
      </c>
      <c r="B744" s="3">
        <f t="shared" ref="B744:F753" ca="1" si="133">RAND()</f>
        <v>0.74560423784400587</v>
      </c>
      <c r="C744" s="3">
        <f t="shared" ca="1" si="133"/>
        <v>0.11449868512759775</v>
      </c>
      <c r="D744" s="3">
        <f t="shared" ca="1" si="133"/>
        <v>0.88933515945347441</v>
      </c>
      <c r="E744" s="3">
        <f t="shared" ca="1" si="133"/>
        <v>0.22900553677649516</v>
      </c>
      <c r="F744" s="3">
        <f t="shared" ca="1" si="133"/>
        <v>0.56731753634986115</v>
      </c>
      <c r="G744" s="36">
        <f t="shared" ca="1" si="126"/>
        <v>58114.06398015884</v>
      </c>
      <c r="H744" s="37">
        <f t="shared" ca="1" si="127"/>
        <v>8.9023486674015301E-2</v>
      </c>
      <c r="I744" s="37">
        <f t="shared" ca="1" si="128"/>
        <v>0.10118172458090588</v>
      </c>
      <c r="J744" s="38">
        <f t="shared" ca="1" si="129"/>
        <v>2.3535303078291082E-2</v>
      </c>
      <c r="K744" s="36">
        <f t="shared" ca="1" si="130"/>
        <v>1604.6251090027365</v>
      </c>
      <c r="L744" s="36">
        <f ca="1">Assumptions!$C$10*Assumptions!$C$13*I744*Assumptions!$C$15</f>
        <v>7017.341760164979</v>
      </c>
      <c r="M744" s="36">
        <f ca="1">G744*(1+H744*Assumptions!$C$6)*(1+J744)+L744+K744</f>
        <v>69162.818334506679</v>
      </c>
    </row>
    <row r="745" spans="1:13" x14ac:dyDescent="0.25">
      <c r="A745" s="3">
        <v>732</v>
      </c>
      <c r="B745" s="3">
        <f t="shared" ca="1" si="133"/>
        <v>0.55001281158598625</v>
      </c>
      <c r="C745" s="3">
        <f t="shared" ca="1" si="133"/>
        <v>0.15683702761230667</v>
      </c>
      <c r="D745" s="3">
        <f t="shared" ca="1" si="133"/>
        <v>0.21616190207202013</v>
      </c>
      <c r="E745" s="3">
        <f t="shared" ca="1" si="133"/>
        <v>0.86671630050362958</v>
      </c>
      <c r="F745" s="3">
        <f t="shared" ca="1" si="133"/>
        <v>0.67329185480205633</v>
      </c>
      <c r="G745" s="36">
        <f t="shared" ca="1" si="126"/>
        <v>57904.414812434981</v>
      </c>
      <c r="H745" s="37">
        <f t="shared" ca="1" si="127"/>
        <v>9.5672009669420938E-2</v>
      </c>
      <c r="I745" s="37">
        <f t="shared" ca="1" si="128"/>
        <v>6.6300533960938213E-2</v>
      </c>
      <c r="J745" s="38">
        <f t="shared" ca="1" si="129"/>
        <v>3.9673966899283333E-2</v>
      </c>
      <c r="K745" s="36">
        <f t="shared" ca="1" si="130"/>
        <v>1787.4874625840991</v>
      </c>
      <c r="L745" s="36">
        <f ca="1">Assumptions!$C$10*Assumptions!$C$13*I745*Assumptions!$C$15</f>
        <v>4598.1970322447605</v>
      </c>
      <c r="M745" s="36">
        <f ca="1">G745*(1+H745*Assumptions!$C$6)*(1+J745)+L745+K745</f>
        <v>67739.320910789422</v>
      </c>
    </row>
    <row r="746" spans="1:13" x14ac:dyDescent="0.25">
      <c r="A746" s="3">
        <v>733</v>
      </c>
      <c r="B746" s="3">
        <f t="shared" ca="1" si="133"/>
        <v>0.67684825465839282</v>
      </c>
      <c r="C746" s="3">
        <f t="shared" ca="1" si="133"/>
        <v>0.57885370268459391</v>
      </c>
      <c r="D746" s="3">
        <f t="shared" ca="1" si="133"/>
        <v>0.26358197300970487</v>
      </c>
      <c r="E746" s="3">
        <f t="shared" ca="1" si="133"/>
        <v>0.55261857733971431</v>
      </c>
      <c r="F746" s="3">
        <f t="shared" ca="1" si="133"/>
        <v>0.13241208349170597</v>
      </c>
      <c r="G746" s="36">
        <f t="shared" ca="1" si="126"/>
        <v>58033.335715650202</v>
      </c>
      <c r="H746" s="37">
        <f t="shared" ca="1" si="127"/>
        <v>0.14200951281480809</v>
      </c>
      <c r="I746" s="37">
        <f t="shared" ca="1" si="128"/>
        <v>6.9042422654300994E-2</v>
      </c>
      <c r="J746" s="38">
        <f t="shared" ca="1" si="129"/>
        <v>3.1081619040514367E-2</v>
      </c>
      <c r="K746" s="36">
        <f t="shared" ca="1" si="130"/>
        <v>771.91604188064196</v>
      </c>
      <c r="L746" s="36">
        <f ca="1">Assumptions!$C$10*Assumptions!$C$13*I746*Assumptions!$C$15</f>
        <v>4788.357558855213</v>
      </c>
      <c r="M746" s="36">
        <f ca="1">G746*(1+H746*Assumptions!$C$6)*(1+J746)+L746+K746</f>
        <v>67096.8669958549</v>
      </c>
    </row>
    <row r="747" spans="1:13" x14ac:dyDescent="0.25">
      <c r="A747" s="3">
        <v>734</v>
      </c>
      <c r="B747" s="3">
        <f t="shared" ca="1" si="133"/>
        <v>9.5133695582079958E-2</v>
      </c>
      <c r="C747" s="3">
        <f t="shared" ca="1" si="133"/>
        <v>0.92837771622000664</v>
      </c>
      <c r="D747" s="3">
        <f t="shared" ca="1" si="133"/>
        <v>0.61061780190691439</v>
      </c>
      <c r="E747" s="3">
        <f t="shared" ca="1" si="133"/>
        <v>0.81526365924418887</v>
      </c>
      <c r="F747" s="3">
        <f t="shared" ca="1" si="133"/>
        <v>0.35772980973278279</v>
      </c>
      <c r="G747" s="36">
        <f t="shared" ca="1" si="126"/>
        <v>57428.425453628573</v>
      </c>
      <c r="H747" s="37">
        <f t="shared" ca="1" si="127"/>
        <v>0.19958975290617675</v>
      </c>
      <c r="I747" s="37">
        <f t="shared" ca="1" si="128"/>
        <v>8.4700948541102772E-2</v>
      </c>
      <c r="J747" s="38">
        <f t="shared" ca="1" si="129"/>
        <v>3.7843147092908917E-2</v>
      </c>
      <c r="K747" s="36">
        <f t="shared" ca="1" si="130"/>
        <v>1268.7726919340289</v>
      </c>
      <c r="L747" s="36">
        <f ca="1">Assumptions!$C$10*Assumptions!$C$13*I747*Assumptions!$C$15</f>
        <v>5874.3365542044803</v>
      </c>
      <c r="M747" s="36">
        <f ca="1">G747*(1+H747*Assumptions!$C$6)*(1+J747)+L747+K747</f>
        <v>69123.984679075962</v>
      </c>
    </row>
    <row r="748" spans="1:13" x14ac:dyDescent="0.25">
      <c r="A748" s="3">
        <v>735</v>
      </c>
      <c r="B748" s="3">
        <f t="shared" ca="1" si="133"/>
        <v>2.437201011628376E-2</v>
      </c>
      <c r="C748" s="3">
        <f t="shared" ca="1" si="133"/>
        <v>9.7911339483485849E-2</v>
      </c>
      <c r="D748" s="3">
        <f t="shared" ca="1" si="133"/>
        <v>0.99349702076868895</v>
      </c>
      <c r="E748" s="3">
        <f t="shared" ca="1" si="133"/>
        <v>0.48413055686993844</v>
      </c>
      <c r="F748" s="3">
        <f t="shared" ca="1" si="133"/>
        <v>0.51675196480809915</v>
      </c>
      <c r="G748" s="36">
        <f t="shared" ca="1" si="126"/>
        <v>57266.232256201867</v>
      </c>
      <c r="H748" s="37">
        <f t="shared" ca="1" si="127"/>
        <v>8.6086296777729387E-2</v>
      </c>
      <c r="I748" s="37">
        <f t="shared" ca="1" si="128"/>
        <v>0.11543825323585412</v>
      </c>
      <c r="J748" s="38">
        <f t="shared" ca="1" si="129"/>
        <v>2.9680051968832569E-2</v>
      </c>
      <c r="K748" s="36">
        <f t="shared" ca="1" si="130"/>
        <v>1525.3420198691649</v>
      </c>
      <c r="L748" s="36">
        <f ca="1">Assumptions!$C$10*Assumptions!$C$13*I748*Assumptions!$C$15</f>
        <v>8006.0868551881586</v>
      </c>
      <c r="M748" s="36">
        <f ca="1">G748*(1+H748*Assumptions!$C$6)*(1+J748)+L748+K748</f>
        <v>69512.557022560752</v>
      </c>
    </row>
    <row r="749" spans="1:13" x14ac:dyDescent="0.25">
      <c r="A749" s="3">
        <v>736</v>
      </c>
      <c r="B749" s="3">
        <f t="shared" ca="1" si="133"/>
        <v>0.67615099790089572</v>
      </c>
      <c r="C749" s="3">
        <f t="shared" ca="1" si="133"/>
        <v>0.16783390469494064</v>
      </c>
      <c r="D749" s="3">
        <f t="shared" ca="1" si="133"/>
        <v>9.2328760996195025E-2</v>
      </c>
      <c r="E749" s="3">
        <f t="shared" ca="1" si="133"/>
        <v>0.61030768592240747</v>
      </c>
      <c r="F749" s="3">
        <f t="shared" ca="1" si="133"/>
        <v>0.42621887772205658</v>
      </c>
      <c r="G749" s="36">
        <f t="shared" ca="1" si="126"/>
        <v>58032.563611511352</v>
      </c>
      <c r="H749" s="37">
        <f t="shared" ca="1" si="127"/>
        <v>9.7246067904564415E-2</v>
      </c>
      <c r="I749" s="37">
        <f t="shared" ca="1" si="128"/>
        <v>5.7188718253198059E-2</v>
      </c>
      <c r="J749" s="38">
        <f t="shared" ca="1" si="129"/>
        <v>3.2343447356234178E-2</v>
      </c>
      <c r="K749" s="36">
        <f t="shared" ca="1" si="130"/>
        <v>1384.9133365482674</v>
      </c>
      <c r="L749" s="36">
        <f ca="1">Assumptions!$C$10*Assumptions!$C$13*I749*Assumptions!$C$15</f>
        <v>3966.257567467951</v>
      </c>
      <c r="M749" s="36">
        <f ca="1">G749*(1+H749*Assumptions!$C$6)*(1+J749)+L749+K749</f>
        <v>66425.901057965442</v>
      </c>
    </row>
    <row r="750" spans="1:13" x14ac:dyDescent="0.25">
      <c r="A750" s="3">
        <v>737</v>
      </c>
      <c r="B750" s="3">
        <f t="shared" ca="1" si="133"/>
        <v>0.25729140036746334</v>
      </c>
      <c r="C750" s="3">
        <f t="shared" ca="1" si="133"/>
        <v>0.70706415109556675</v>
      </c>
      <c r="D750" s="3">
        <f t="shared" ca="1" si="133"/>
        <v>0.59464829241608297</v>
      </c>
      <c r="E750" s="3">
        <f t="shared" ca="1" si="133"/>
        <v>0.28340026170128751</v>
      </c>
      <c r="F750" s="3">
        <f t="shared" ca="1" si="133"/>
        <v>0.70021596371333872</v>
      </c>
      <c r="G750" s="36">
        <f t="shared" ca="1" si="126"/>
        <v>57640.110051875978</v>
      </c>
      <c r="H750" s="37">
        <f t="shared" ca="1" si="127"/>
        <v>0.15827523413908684</v>
      </c>
      <c r="I750" s="37">
        <f t="shared" ca="1" si="128"/>
        <v>8.398437194399444E-2</v>
      </c>
      <c r="J750" s="38">
        <f t="shared" ca="1" si="129"/>
        <v>2.5057231131952181E-2</v>
      </c>
      <c r="K750" s="36">
        <f t="shared" ca="1" si="130"/>
        <v>1838.5232833629527</v>
      </c>
      <c r="L750" s="36">
        <f ca="1">Assumptions!$C$10*Assumptions!$C$13*I750*Assumptions!$C$15</f>
        <v>5824.6392111311825</v>
      </c>
      <c r="M750" s="36">
        <f ca="1">G750*(1+H750*Assumptions!$C$6)*(1+J750)+L750+K750</f>
        <v>68617.893922780393</v>
      </c>
    </row>
    <row r="751" spans="1:13" x14ac:dyDescent="0.25">
      <c r="A751" s="3">
        <v>738</v>
      </c>
      <c r="B751" s="3">
        <f t="shared" ca="1" si="133"/>
        <v>0.74874983038646636</v>
      </c>
      <c r="C751" s="3">
        <f t="shared" ca="1" si="133"/>
        <v>0.33285636925424344</v>
      </c>
      <c r="D751" s="3">
        <f t="shared" ca="1" si="133"/>
        <v>0.9408347964257725</v>
      </c>
      <c r="E751" s="3">
        <f t="shared" ca="1" si="133"/>
        <v>0.14544214969951197</v>
      </c>
      <c r="F751" s="3">
        <f t="shared" ca="1" si="133"/>
        <v>0.55290837188610287</v>
      </c>
      <c r="G751" s="36">
        <f t="shared" ca="1" si="126"/>
        <v>58118.00416672018</v>
      </c>
      <c r="H751" s="37">
        <f t="shared" ca="1" si="127"/>
        <v>0.11653562738173766</v>
      </c>
      <c r="I751" s="37">
        <f t="shared" ca="1" si="128"/>
        <v>0.10624032516962963</v>
      </c>
      <c r="J751" s="38">
        <f t="shared" ca="1" si="129"/>
        <v>2.0786738142719956E-2</v>
      </c>
      <c r="K751" s="36">
        <f t="shared" ca="1" si="130"/>
        <v>1581.5810469002688</v>
      </c>
      <c r="L751" s="36">
        <f ca="1">Assumptions!$C$10*Assumptions!$C$13*I751*Assumptions!$C$15</f>
        <v>7368.1751671490811</v>
      </c>
      <c r="M751" s="36">
        <f ca="1">G751*(1+H751*Assumptions!$C$6)*(1+J751)+L751+K751</f>
        <v>69658.564689483363</v>
      </c>
    </row>
    <row r="752" spans="1:13" x14ac:dyDescent="0.25">
      <c r="A752" s="3">
        <v>739</v>
      </c>
      <c r="B752" s="3">
        <f t="shared" ca="1" si="133"/>
        <v>0.9756807075711087</v>
      </c>
      <c r="C752" s="3">
        <f t="shared" ca="1" si="133"/>
        <v>0.83164069846472222</v>
      </c>
      <c r="D752" s="3">
        <f t="shared" ca="1" si="133"/>
        <v>0.85954368989353847</v>
      </c>
      <c r="E752" s="3">
        <f t="shared" ca="1" si="133"/>
        <v>1.2413392571024695E-2</v>
      </c>
      <c r="F752" s="3">
        <f t="shared" ca="1" si="133"/>
        <v>0.17743549635422118</v>
      </c>
      <c r="G752" s="36">
        <f t="shared" ca="1" si="126"/>
        <v>58552.964629176138</v>
      </c>
      <c r="H752" s="37">
        <f t="shared" ca="1" si="127"/>
        <v>0.17804362764812376</v>
      </c>
      <c r="I752" s="37">
        <f t="shared" ca="1" si="128"/>
        <v>9.8799523770898984E-2</v>
      </c>
      <c r="J752" s="38">
        <f t="shared" ca="1" si="129"/>
        <v>1.3151303548822258E-2</v>
      </c>
      <c r="K752" s="36">
        <f t="shared" ca="1" si="130"/>
        <v>893.56574105881839</v>
      </c>
      <c r="L752" s="36">
        <f ca="1">Assumptions!$C$10*Assumptions!$C$13*I752*Assumptions!$C$15</f>
        <v>6852.1269716801935</v>
      </c>
      <c r="M752" s="36">
        <f ca="1">G752*(1+H752*Assumptions!$C$6)*(1+J752)+L752+K752</f>
        <v>69181.122021028219</v>
      </c>
    </row>
    <row r="753" spans="1:13" x14ac:dyDescent="0.25">
      <c r="A753" s="3">
        <v>740</v>
      </c>
      <c r="B753" s="3">
        <f t="shared" ca="1" si="133"/>
        <v>0.71002564787364941</v>
      </c>
      <c r="C753" s="3">
        <f t="shared" ca="1" si="133"/>
        <v>0.15781973575169439</v>
      </c>
      <c r="D753" s="3">
        <f t="shared" ca="1" si="133"/>
        <v>0.63336848620545783</v>
      </c>
      <c r="E753" s="3">
        <f t="shared" ca="1" si="133"/>
        <v>8.5874206535420217E-2</v>
      </c>
      <c r="F753" s="3">
        <f t="shared" ca="1" si="133"/>
        <v>0.38337495367766117</v>
      </c>
      <c r="G753" s="36">
        <f t="shared" ca="1" si="126"/>
        <v>58071.089628358131</v>
      </c>
      <c r="H753" s="37">
        <f t="shared" ca="1" si="127"/>
        <v>9.5814871881273828E-2</v>
      </c>
      <c r="I753" s="37">
        <f t="shared" ca="1" si="128"/>
        <v>8.5747688484679827E-2</v>
      </c>
      <c r="J753" s="38">
        <f t="shared" ca="1" si="129"/>
        <v>1.8288508021853882E-2</v>
      </c>
      <c r="K753" s="36">
        <f t="shared" ca="1" si="130"/>
        <v>1313.4638523954418</v>
      </c>
      <c r="L753" s="36">
        <f ca="1">Assumptions!$C$10*Assumptions!$C$13*I753*Assumptions!$C$15</f>
        <v>5946.9319952144087</v>
      </c>
      <c r="M753" s="36">
        <f ca="1">G753*(1+H753*Assumptions!$C$6)*(1+J753)+L753+K753</f>
        <v>67526.685589466681</v>
      </c>
    </row>
    <row r="754" spans="1:13" x14ac:dyDescent="0.25">
      <c r="A754" s="3">
        <v>741</v>
      </c>
      <c r="B754" s="3">
        <f t="shared" ref="B754:F763" ca="1" si="134">RAND()</f>
        <v>0.46885771931498843</v>
      </c>
      <c r="C754" s="3">
        <f t="shared" ca="1" si="134"/>
        <v>9.4661375344187948E-2</v>
      </c>
      <c r="D754" s="3">
        <f t="shared" ca="1" si="134"/>
        <v>0.74772785595991065</v>
      </c>
      <c r="E754" s="3">
        <f t="shared" ca="1" si="134"/>
        <v>0.87894746841275206</v>
      </c>
      <c r="F754" s="3">
        <f t="shared" ca="1" si="134"/>
        <v>0.48818753697860207</v>
      </c>
      <c r="G754" s="36">
        <f t="shared" ca="1" si="126"/>
        <v>57831.3748609924</v>
      </c>
      <c r="H754" s="37">
        <f t="shared" ca="1" si="127"/>
        <v>8.5482337748205087E-2</v>
      </c>
      <c r="I754" s="37">
        <f t="shared" ca="1" si="128"/>
        <v>9.1587487599152972E-2</v>
      </c>
      <c r="J754" s="38">
        <f t="shared" ca="1" si="129"/>
        <v>4.0159165418024834E-2</v>
      </c>
      <c r="K754" s="36">
        <f t="shared" ca="1" si="130"/>
        <v>1482.1754000130043</v>
      </c>
      <c r="L754" s="36">
        <f ca="1">Assumptions!$C$10*Assumptions!$C$13*I754*Assumptions!$C$15</f>
        <v>6351.9445245689467</v>
      </c>
      <c r="M754" s="36">
        <f ca="1">G754*(1+H754*Assumptions!$C$6)*(1+J754)+L754+K754</f>
        <v>69016.372616371693</v>
      </c>
    </row>
    <row r="755" spans="1:13" x14ac:dyDescent="0.25">
      <c r="A755" s="3">
        <v>742</v>
      </c>
      <c r="B755" s="3">
        <f t="shared" ca="1" si="134"/>
        <v>0.22088460123550535</v>
      </c>
      <c r="C755" s="3">
        <f t="shared" ca="1" si="134"/>
        <v>0.82811995404046257</v>
      </c>
      <c r="D755" s="3">
        <f t="shared" ca="1" si="134"/>
        <v>0.68918957376563295</v>
      </c>
      <c r="E755" s="3">
        <f t="shared" ca="1" si="134"/>
        <v>7.8939078841012589E-2</v>
      </c>
      <c r="F755" s="3">
        <f t="shared" ca="1" si="134"/>
        <v>0.19248815830771371</v>
      </c>
      <c r="G755" s="36">
        <f t="shared" ca="1" si="126"/>
        <v>57600.440379553307</v>
      </c>
      <c r="H755" s="37">
        <f t="shared" ca="1" si="127"/>
        <v>0.17739916096506808</v>
      </c>
      <c r="I755" s="37">
        <f t="shared" ca="1" si="128"/>
        <v>8.846282568222108E-2</v>
      </c>
      <c r="J755" s="38">
        <f t="shared" ca="1" si="129"/>
        <v>1.7946776898391577E-2</v>
      </c>
      <c r="K755" s="36">
        <f t="shared" ca="1" si="130"/>
        <v>930.69689608632063</v>
      </c>
      <c r="L755" s="36">
        <f ca="1">Assumptions!$C$10*Assumptions!$C$13*I755*Assumptions!$C$15</f>
        <v>6135.2372026992698</v>
      </c>
      <c r="M755" s="36">
        <f ca="1">G755*(1+H755*Assumptions!$C$6)*(1+J755)+L755+K755</f>
        <v>67780.447691648165</v>
      </c>
    </row>
    <row r="756" spans="1:13" x14ac:dyDescent="0.25">
      <c r="A756" s="3">
        <v>743</v>
      </c>
      <c r="B756" s="3">
        <f t="shared" ca="1" si="134"/>
        <v>0.46133445256104177</v>
      </c>
      <c r="C756" s="3">
        <f t="shared" ca="1" si="134"/>
        <v>0.33474652303996832</v>
      </c>
      <c r="D756" s="3">
        <f t="shared" ca="1" si="134"/>
        <v>1.0969962323151616E-2</v>
      </c>
      <c r="E756" s="3">
        <f t="shared" ca="1" si="134"/>
        <v>0.97212942627716492</v>
      </c>
      <c r="F756" s="3">
        <f t="shared" ca="1" si="134"/>
        <v>0.38736500341812108</v>
      </c>
      <c r="G756" s="36">
        <f t="shared" ca="1" si="126"/>
        <v>57824.896103312305</v>
      </c>
      <c r="H756" s="37">
        <f t="shared" ca="1" si="127"/>
        <v>0.11672427411693272</v>
      </c>
      <c r="I756" s="37">
        <f t="shared" ca="1" si="128"/>
        <v>4.5924852693028338E-2</v>
      </c>
      <c r="J756" s="38">
        <f t="shared" ca="1" si="129"/>
        <v>4.5278087360161347E-2</v>
      </c>
      <c r="K756" s="36">
        <f t="shared" ca="1" si="130"/>
        <v>1320.2812258687711</v>
      </c>
      <c r="L756" s="36">
        <f ca="1">Assumptions!$C$10*Assumptions!$C$13*I756*Assumptions!$C$15</f>
        <v>3185.0651683103342</v>
      </c>
      <c r="M756" s="36">
        <f ca="1">G756*(1+H756*Assumptions!$C$6)*(1+J756)+L756+K756</f>
        <v>66359.478514736984</v>
      </c>
    </row>
    <row r="757" spans="1:13" x14ac:dyDescent="0.25">
      <c r="A757" s="3">
        <v>744</v>
      </c>
      <c r="B757" s="3">
        <f t="shared" ca="1" si="134"/>
        <v>0.92301393473350579</v>
      </c>
      <c r="C757" s="3">
        <f t="shared" ca="1" si="134"/>
        <v>0.91129369098587742</v>
      </c>
      <c r="D757" s="3">
        <f t="shared" ca="1" si="134"/>
        <v>0.16872650178129067</v>
      </c>
      <c r="E757" s="3">
        <f t="shared" ca="1" si="134"/>
        <v>0.7473311356395328</v>
      </c>
      <c r="F757" s="3">
        <f t="shared" ca="1" si="134"/>
        <v>0.26162403652695188</v>
      </c>
      <c r="G757" s="36">
        <f t="shared" ca="1" si="126"/>
        <v>58399.895297864598</v>
      </c>
      <c r="H757" s="37">
        <f t="shared" ca="1" si="127"/>
        <v>0.19502774360206065</v>
      </c>
      <c r="I757" s="37">
        <f t="shared" ca="1" si="128"/>
        <v>6.3236282097188651E-2</v>
      </c>
      <c r="J757" s="38">
        <f t="shared" ca="1" si="129"/>
        <v>3.578257788878822E-2</v>
      </c>
      <c r="K757" s="36">
        <f t="shared" ca="1" si="130"/>
        <v>1085.0383239182308</v>
      </c>
      <c r="L757" s="36">
        <f ca="1">Assumptions!$C$10*Assumptions!$C$13*I757*Assumptions!$C$15</f>
        <v>4385.6793799096367</v>
      </c>
      <c r="M757" s="36">
        <f ca="1">G757*(1+H757*Assumptions!$C$6)*(1+J757)+L757+K757</f>
        <v>68319.74161363313</v>
      </c>
    </row>
    <row r="758" spans="1:13" x14ac:dyDescent="0.25">
      <c r="A758" s="3">
        <v>745</v>
      </c>
      <c r="B758" s="3">
        <f t="shared" ca="1" si="134"/>
        <v>0.6586099615725296</v>
      </c>
      <c r="C758" s="3">
        <f t="shared" ca="1" si="134"/>
        <v>0.20663892948471629</v>
      </c>
      <c r="D758" s="3">
        <f t="shared" ca="1" si="134"/>
        <v>0.7223351771267954</v>
      </c>
      <c r="E758" s="3">
        <f t="shared" ca="1" si="134"/>
        <v>0.59088943634681834</v>
      </c>
      <c r="F758" s="3">
        <f t="shared" ca="1" si="134"/>
        <v>0.71214922519352009</v>
      </c>
      <c r="G758" s="36">
        <f t="shared" ca="1" si="126"/>
        <v>58013.406077096188</v>
      </c>
      <c r="H758" s="37">
        <f t="shared" ca="1" si="127"/>
        <v>0.10242420969501331</v>
      </c>
      <c r="I758" s="37">
        <f t="shared" ca="1" si="128"/>
        <v>9.019182271264721E-2</v>
      </c>
      <c r="J758" s="38">
        <f t="shared" ca="1" si="129"/>
        <v>3.1908884751830659E-2</v>
      </c>
      <c r="K758" s="36">
        <f t="shared" ca="1" si="130"/>
        <v>1861.8750127384253</v>
      </c>
      <c r="L758" s="36">
        <f ca="1">Assumptions!$C$10*Assumptions!$C$13*I758*Assumptions!$C$15</f>
        <v>6255.1497967479008</v>
      </c>
      <c r="M758" s="36">
        <f ca="1">G758*(1+H758*Assumptions!$C$6)*(1+J758)+L758+K758</f>
        <v>69207.889802566162</v>
      </c>
    </row>
    <row r="759" spans="1:13" x14ac:dyDescent="0.25">
      <c r="A759" s="3">
        <v>746</v>
      </c>
      <c r="B759" s="3">
        <f t="shared" ca="1" si="134"/>
        <v>0.65208296483670447</v>
      </c>
      <c r="C759" s="3">
        <f t="shared" ca="1" si="134"/>
        <v>0.23501774722301749</v>
      </c>
      <c r="D759" s="3">
        <f t="shared" ca="1" si="134"/>
        <v>0.33611513845608176</v>
      </c>
      <c r="E759" s="3">
        <f t="shared" ca="1" si="134"/>
        <v>0.63590908439361349</v>
      </c>
      <c r="F759" s="3">
        <f t="shared" ca="1" si="134"/>
        <v>0.59075435595444103</v>
      </c>
      <c r="G759" s="36">
        <f t="shared" ca="1" si="126"/>
        <v>58006.403669732834</v>
      </c>
      <c r="H759" s="37">
        <f t="shared" ca="1" si="127"/>
        <v>0.10590828237449379</v>
      </c>
      <c r="I759" s="37">
        <f t="shared" ca="1" si="128"/>
        <v>7.2795860151236486E-2</v>
      </c>
      <c r="J759" s="38">
        <f t="shared" ca="1" si="129"/>
        <v>3.2933285832208087E-2</v>
      </c>
      <c r="K759" s="36">
        <f t="shared" ca="1" si="130"/>
        <v>1642.9423747662684</v>
      </c>
      <c r="L759" s="36">
        <f ca="1">Assumptions!$C$10*Assumptions!$C$13*I759*Assumptions!$C$15</f>
        <v>5048.6728855657548</v>
      </c>
      <c r="M759" s="36">
        <f ca="1">G759*(1+H759*Assumptions!$C$6)*(1+J759)+L759+K759</f>
        <v>67877.496314908101</v>
      </c>
    </row>
    <row r="760" spans="1:13" x14ac:dyDescent="0.25">
      <c r="A760" s="3">
        <v>747</v>
      </c>
      <c r="B760" s="3">
        <f t="shared" ca="1" si="134"/>
        <v>0.40769398252094657</v>
      </c>
      <c r="C760" s="3">
        <f t="shared" ca="1" si="134"/>
        <v>0.54810846977453953</v>
      </c>
      <c r="D760" s="3">
        <f t="shared" ca="1" si="134"/>
        <v>0.50130541284958641</v>
      </c>
      <c r="E760" s="3">
        <f t="shared" ca="1" si="134"/>
        <v>0.59379265515512747</v>
      </c>
      <c r="F760" s="3">
        <f t="shared" ca="1" si="134"/>
        <v>0.65637244811041817</v>
      </c>
      <c r="G760" s="36">
        <f t="shared" ca="1" si="126"/>
        <v>57779.887059608751</v>
      </c>
      <c r="H760" s="37">
        <f t="shared" ca="1" si="127"/>
        <v>0.13849568044097582</v>
      </c>
      <c r="I760" s="37">
        <f t="shared" ca="1" si="128"/>
        <v>8.0052250640601508E-2</v>
      </c>
      <c r="J760" s="38">
        <f t="shared" ca="1" si="129"/>
        <v>3.1973190080441354E-2</v>
      </c>
      <c r="K760" s="36">
        <f t="shared" ca="1" si="130"/>
        <v>1756.4872403135068</v>
      </c>
      <c r="L760" s="36">
        <f ca="1">Assumptions!$C$10*Assumptions!$C$13*I760*Assumptions!$C$15</f>
        <v>5551.931475197408</v>
      </c>
      <c r="M760" s="36">
        <f ca="1">G760*(1+H760*Assumptions!$C$6)*(1+J760)+L760+K760</f>
        <v>68587.337628267022</v>
      </c>
    </row>
    <row r="761" spans="1:13" x14ac:dyDescent="0.25">
      <c r="A761" s="3">
        <v>748</v>
      </c>
      <c r="B761" s="3">
        <f t="shared" ca="1" si="134"/>
        <v>0.25536983370402877</v>
      </c>
      <c r="C761" s="3">
        <f t="shared" ca="1" si="134"/>
        <v>0.13097147759231231</v>
      </c>
      <c r="D761" s="3">
        <f t="shared" ca="1" si="134"/>
        <v>3.9142154877603086E-2</v>
      </c>
      <c r="E761" s="3">
        <f t="shared" ca="1" si="134"/>
        <v>0.20912568282325172</v>
      </c>
      <c r="F761" s="3">
        <f t="shared" ca="1" si="134"/>
        <v>0.17879811077357033</v>
      </c>
      <c r="G761" s="36">
        <f t="shared" ca="1" si="126"/>
        <v>57638.089380889214</v>
      </c>
      <c r="H761" s="37">
        <f t="shared" ca="1" si="127"/>
        <v>9.1736322933120895E-2</v>
      </c>
      <c r="I761" s="37">
        <f t="shared" ca="1" si="128"/>
        <v>5.1191733360312415E-2</v>
      </c>
      <c r="J761" s="38">
        <f t="shared" ca="1" si="129"/>
        <v>2.2934471240008282E-2</v>
      </c>
      <c r="K761" s="36">
        <f t="shared" ca="1" si="130"/>
        <v>896.99024436225977</v>
      </c>
      <c r="L761" s="36">
        <f ca="1">Assumptions!$C$10*Assumptions!$C$13*I761*Assumptions!$C$15</f>
        <v>3550.3435998198206</v>
      </c>
      <c r="M761" s="36">
        <f ca="1">G761*(1+H761*Assumptions!$C$6)*(1+J761)+L761+K761</f>
        <v>64489.07683704888</v>
      </c>
    </row>
    <row r="762" spans="1:13" x14ac:dyDescent="0.25">
      <c r="A762" s="3">
        <v>749</v>
      </c>
      <c r="B762" s="3">
        <f t="shared" ca="1" si="134"/>
        <v>0.92786447438189801</v>
      </c>
      <c r="C762" s="3">
        <f t="shared" ca="1" si="134"/>
        <v>0.77994892127588844</v>
      </c>
      <c r="D762" s="3">
        <f t="shared" ca="1" si="134"/>
        <v>0.18942776648895843</v>
      </c>
      <c r="E762" s="3">
        <f t="shared" ca="1" si="134"/>
        <v>0.15309006336256503</v>
      </c>
      <c r="F762" s="3">
        <f t="shared" ca="1" si="134"/>
        <v>0.79276491302372543</v>
      </c>
      <c r="G762" s="36">
        <f t="shared" ca="1" si="126"/>
        <v>58411.084850703781</v>
      </c>
      <c r="H762" s="37">
        <f t="shared" ca="1" si="127"/>
        <v>0.16916805385343597</v>
      </c>
      <c r="I762" s="37">
        <f t="shared" ca="1" si="128"/>
        <v>6.4620496598660773E-2</v>
      </c>
      <c r="J762" s="38">
        <f t="shared" ca="1" si="129"/>
        <v>2.1066709117441011E-2</v>
      </c>
      <c r="K762" s="36">
        <f t="shared" ca="1" si="130"/>
        <v>2034.3096296466265</v>
      </c>
      <c r="L762" s="36">
        <f ca="1">Assumptions!$C$10*Assumptions!$C$13*I762*Assumptions!$C$15</f>
        <v>4481.6799794886574</v>
      </c>
      <c r="M762" s="36">
        <f ca="1">G762*(1+H762*Assumptions!$C$6)*(1+J762)+L762+K762</f>
        <v>68175.494953676462</v>
      </c>
    </row>
    <row r="763" spans="1:13" x14ac:dyDescent="0.25">
      <c r="A763" s="3">
        <v>750</v>
      </c>
      <c r="B763" s="3">
        <f t="shared" ca="1" si="134"/>
        <v>0.24379585669232118</v>
      </c>
      <c r="C763" s="3">
        <f t="shared" ca="1" si="134"/>
        <v>0.20234230940073761</v>
      </c>
      <c r="D763" s="3">
        <f t="shared" ca="1" si="134"/>
        <v>9.660188376549661E-2</v>
      </c>
      <c r="E763" s="3">
        <f t="shared" ca="1" si="134"/>
        <v>0.6512743186097748</v>
      </c>
      <c r="F763" s="3">
        <f t="shared" ca="1" si="134"/>
        <v>0.6583586171689304</v>
      </c>
      <c r="G763" s="36">
        <f t="shared" ca="1" si="126"/>
        <v>57625.754241249677</v>
      </c>
      <c r="H763" s="37">
        <f t="shared" ca="1" si="127"/>
        <v>0.10187632133285676</v>
      </c>
      <c r="I763" s="37">
        <f t="shared" ca="1" si="128"/>
        <v>5.7581980208429001E-2</v>
      </c>
      <c r="J763" s="38">
        <f t="shared" ca="1" si="129"/>
        <v>3.3297289288496304E-2</v>
      </c>
      <c r="K763" s="36">
        <f t="shared" ca="1" si="130"/>
        <v>1760.0862035045286</v>
      </c>
      <c r="L763" s="36">
        <f ca="1">Assumptions!$C$10*Assumptions!$C$13*I763*Assumptions!$C$15</f>
        <v>3993.5317966091984</v>
      </c>
      <c r="M763" s="36">
        <f ca="1">G763*(1+H763*Assumptions!$C$6)*(1+J763)+L763+K763</f>
        <v>66511.389300315146</v>
      </c>
    </row>
    <row r="764" spans="1:13" x14ac:dyDescent="0.25">
      <c r="A764" s="3">
        <v>751</v>
      </c>
      <c r="B764" s="3">
        <f t="shared" ref="B764:F773" ca="1" si="135">RAND()</f>
        <v>0.44739247995577835</v>
      </c>
      <c r="C764" s="3">
        <f t="shared" ca="1" si="135"/>
        <v>0.20380028388105553</v>
      </c>
      <c r="D764" s="3">
        <f t="shared" ca="1" si="135"/>
        <v>7.9318604869468401E-2</v>
      </c>
      <c r="E764" s="3">
        <f t="shared" ca="1" si="135"/>
        <v>0.17459281947842253</v>
      </c>
      <c r="F764" s="3">
        <f t="shared" ca="1" si="135"/>
        <v>0.24537442887837679</v>
      </c>
      <c r="G764" s="36">
        <f t="shared" ca="1" si="126"/>
        <v>57813.008293602485</v>
      </c>
      <c r="H764" s="37">
        <f t="shared" ca="1" si="127"/>
        <v>0.10206288289768478</v>
      </c>
      <c r="I764" s="37">
        <f t="shared" ca="1" si="128"/>
        <v>5.5931714772186295E-2</v>
      </c>
      <c r="J764" s="38">
        <f t="shared" ca="1" si="129"/>
        <v>2.1818386335821741E-2</v>
      </c>
      <c r="K764" s="36">
        <f t="shared" ca="1" si="130"/>
        <v>1050.8020412773737</v>
      </c>
      <c r="L764" s="36">
        <f ca="1">Assumptions!$C$10*Assumptions!$C$13*I764*Assumptions!$C$15</f>
        <v>3879.0795414310119</v>
      </c>
      <c r="M764" s="36">
        <f ca="1">G764*(1+H764*Assumptions!$C$6)*(1+J764)+L764+K764</f>
        <v>65210.137035135383</v>
      </c>
    </row>
    <row r="765" spans="1:13" x14ac:dyDescent="0.25">
      <c r="A765" s="3">
        <v>752</v>
      </c>
      <c r="B765" s="3">
        <f t="shared" ca="1" si="135"/>
        <v>0.7046799793159304</v>
      </c>
      <c r="C765" s="3">
        <f t="shared" ca="1" si="135"/>
        <v>0.42831292870532001</v>
      </c>
      <c r="D765" s="3">
        <f t="shared" ca="1" si="135"/>
        <v>0.53849461542049615</v>
      </c>
      <c r="E765" s="3">
        <f t="shared" ca="1" si="135"/>
        <v>0.45910313249722545</v>
      </c>
      <c r="F765" s="3">
        <f t="shared" ca="1" si="135"/>
        <v>0.89612746913127495</v>
      </c>
      <c r="G765" s="36">
        <f t="shared" ca="1" si="126"/>
        <v>58064.865839381862</v>
      </c>
      <c r="H765" s="37">
        <f t="shared" ca="1" si="127"/>
        <v>0.12583141751988552</v>
      </c>
      <c r="I765" s="37">
        <f t="shared" ca="1" si="128"/>
        <v>8.1570620215069667E-2</v>
      </c>
      <c r="J765" s="38">
        <f t="shared" ca="1" si="129"/>
        <v>2.9164615988789867E-2</v>
      </c>
      <c r="K765" s="36">
        <f t="shared" ca="1" si="130"/>
        <v>2316.3141153210322</v>
      </c>
      <c r="L765" s="36">
        <f ca="1">Assumptions!$C$10*Assumptions!$C$13*I765*Assumptions!$C$15</f>
        <v>5657.2362450697537</v>
      </c>
      <c r="M765" s="36">
        <f ca="1">G765*(1+H765*Assumptions!$C$6)*(1+J765)+L765+K765</f>
        <v>69235.750168675528</v>
      </c>
    </row>
    <row r="766" spans="1:13" x14ac:dyDescent="0.25">
      <c r="A766" s="3">
        <v>753</v>
      </c>
      <c r="B766" s="3">
        <f t="shared" ca="1" si="135"/>
        <v>0.59114849009886383</v>
      </c>
      <c r="C766" s="3">
        <f t="shared" ca="1" si="135"/>
        <v>0.87856205467801629</v>
      </c>
      <c r="D766" s="3">
        <f t="shared" ca="1" si="135"/>
        <v>0.86225636999425015</v>
      </c>
      <c r="E766" s="3">
        <f t="shared" ca="1" si="135"/>
        <v>0.20333467716354348</v>
      </c>
      <c r="F766" s="3">
        <f t="shared" ca="1" si="135"/>
        <v>0.47691847601085524</v>
      </c>
      <c r="G766" s="36">
        <f t="shared" ca="1" si="126"/>
        <v>57943.962672291775</v>
      </c>
      <c r="H766" s="37">
        <f t="shared" ca="1" si="127"/>
        <v>0.18738075301430826</v>
      </c>
      <c r="I766" s="37">
        <f t="shared" ca="1" si="128"/>
        <v>9.900524789338061E-2</v>
      </c>
      <c r="J766" s="38">
        <f t="shared" ca="1" si="129"/>
        <v>2.2754126458947893E-2</v>
      </c>
      <c r="K766" s="36">
        <f t="shared" ca="1" si="130"/>
        <v>1464.9686488279701</v>
      </c>
      <c r="L766" s="36">
        <f ca="1">Assumptions!$C$10*Assumptions!$C$13*I766*Assumptions!$C$15</f>
        <v>6866.3947308209199</v>
      </c>
      <c r="M766" s="36">
        <f ca="1">G766*(1+H766*Assumptions!$C$6)*(1+J766)+L766+K766</f>
        <v>69814.717942706004</v>
      </c>
    </row>
    <row r="767" spans="1:13" x14ac:dyDescent="0.25">
      <c r="A767" s="3">
        <v>754</v>
      </c>
      <c r="B767" s="3">
        <f t="shared" ca="1" si="135"/>
        <v>0.19911543564464862</v>
      </c>
      <c r="C767" s="3">
        <f t="shared" ca="1" si="135"/>
        <v>0.43647289852359483</v>
      </c>
      <c r="D767" s="3">
        <f t="shared" ca="1" si="135"/>
        <v>0.14913726900379853</v>
      </c>
      <c r="E767" s="3">
        <f t="shared" ca="1" si="135"/>
        <v>0.34395908625994032</v>
      </c>
      <c r="F767" s="3">
        <f t="shared" ca="1" si="135"/>
        <v>0.42795327696335672</v>
      </c>
      <c r="G767" s="36">
        <f t="shared" ca="1" si="126"/>
        <v>57575.140541956745</v>
      </c>
      <c r="H767" s="37">
        <f t="shared" ca="1" si="127"/>
        <v>0.12664913801094391</v>
      </c>
      <c r="I767" s="37">
        <f t="shared" ca="1" si="128"/>
        <v>6.1845806481156868E-2</v>
      </c>
      <c r="J767" s="38">
        <f t="shared" ca="1" si="129"/>
        <v>2.6588166535453886E-2</v>
      </c>
      <c r="K767" s="36">
        <f t="shared" ca="1" si="130"/>
        <v>1387.7282681905365</v>
      </c>
      <c r="L767" s="36">
        <f ca="1">Assumptions!$C$10*Assumptions!$C$13*I767*Assumptions!$C$15</f>
        <v>4289.2445479546941</v>
      </c>
      <c r="M767" s="36">
        <f ca="1">G767*(1+H767*Assumptions!$C$6)*(1+J767)+L767+K767</f>
        <v>66280.074508699719</v>
      </c>
    </row>
    <row r="768" spans="1:13" x14ac:dyDescent="0.25">
      <c r="A768" s="3">
        <v>755</v>
      </c>
      <c r="B768" s="3">
        <f t="shared" ca="1" si="135"/>
        <v>0.89714087762553751</v>
      </c>
      <c r="C768" s="3">
        <f t="shared" ca="1" si="135"/>
        <v>0.87951698866109651</v>
      </c>
      <c r="D768" s="3">
        <f t="shared" ca="1" si="135"/>
        <v>0.21780596513973682</v>
      </c>
      <c r="E768" s="3">
        <f t="shared" ca="1" si="135"/>
        <v>0.19632521695308758</v>
      </c>
      <c r="F768" s="3">
        <f t="shared" ca="1" si="135"/>
        <v>0.82356522704317026</v>
      </c>
      <c r="G768" s="36">
        <f t="shared" ca="1" si="126"/>
        <v>58345.411649131172</v>
      </c>
      <c r="H768" s="37">
        <f t="shared" ca="1" si="127"/>
        <v>0.18758804851441802</v>
      </c>
      <c r="I768" s="37">
        <f t="shared" ca="1" si="128"/>
        <v>6.6400361521145077E-2</v>
      </c>
      <c r="J768" s="38">
        <f t="shared" ca="1" si="129"/>
        <v>2.2532365042659347E-2</v>
      </c>
      <c r="K768" s="36">
        <f t="shared" ca="1" si="130"/>
        <v>2108.9576450551108</v>
      </c>
      <c r="L768" s="36">
        <f ca="1">Assumptions!$C$10*Assumptions!$C$13*I768*Assumptions!$C$15</f>
        <v>4605.1204574972608</v>
      </c>
      <c r="M768" s="36">
        <f ca="1">G768*(1+H768*Assumptions!$C$6)*(1+J768)+L768+K768</f>
        <v>68612.45315277527</v>
      </c>
    </row>
    <row r="769" spans="1:13" x14ac:dyDescent="0.25">
      <c r="A769" s="3">
        <v>756</v>
      </c>
      <c r="B769" s="3">
        <f t="shared" ca="1" si="135"/>
        <v>0.32137740809484094</v>
      </c>
      <c r="C769" s="3">
        <f t="shared" ca="1" si="135"/>
        <v>0.65436614629486867</v>
      </c>
      <c r="D769" s="3">
        <f t="shared" ca="1" si="135"/>
        <v>0.92040226501719669</v>
      </c>
      <c r="E769" s="3">
        <f t="shared" ca="1" si="135"/>
        <v>0.49974447617157003</v>
      </c>
      <c r="F769" s="3">
        <f t="shared" ca="1" si="135"/>
        <v>0.65245294192814818</v>
      </c>
      <c r="G769" s="36">
        <f t="shared" ca="1" si="126"/>
        <v>57703.639007660931</v>
      </c>
      <c r="H769" s="37">
        <f t="shared" ca="1" si="127"/>
        <v>0.15122809079175442</v>
      </c>
      <c r="I769" s="37">
        <f t="shared" ca="1" si="128"/>
        <v>0.10404027719711365</v>
      </c>
      <c r="J769" s="38">
        <f t="shared" ca="1" si="129"/>
        <v>2.9994888870340242E-2</v>
      </c>
      <c r="K769" s="36">
        <f t="shared" ca="1" si="130"/>
        <v>1749.4154321584913</v>
      </c>
      <c r="L769" s="36">
        <f ca="1">Assumptions!$C$10*Assumptions!$C$13*I769*Assumptions!$C$15</f>
        <v>7215.5933785321267</v>
      </c>
      <c r="M769" s="36">
        <f ca="1">G769*(1+H769*Assumptions!$C$6)*(1+J769)+L769+K769</f>
        <v>70197.093836163025</v>
      </c>
    </row>
    <row r="770" spans="1:13" x14ac:dyDescent="0.25">
      <c r="A770" s="3">
        <v>757</v>
      </c>
      <c r="B770" s="3">
        <f t="shared" ca="1" si="135"/>
        <v>0.223245041411259</v>
      </c>
      <c r="C770" s="3">
        <f t="shared" ca="1" si="135"/>
        <v>0.35085377385489769</v>
      </c>
      <c r="D770" s="3">
        <f t="shared" ca="1" si="135"/>
        <v>0.20530500781836769</v>
      </c>
      <c r="E770" s="3">
        <f t="shared" ca="1" si="135"/>
        <v>0.19956194379378012</v>
      </c>
      <c r="F770" s="3">
        <f t="shared" ca="1" si="135"/>
        <v>0.12289362988334129</v>
      </c>
      <c r="G770" s="36">
        <f t="shared" ca="1" si="126"/>
        <v>57603.107203080552</v>
      </c>
      <c r="H770" s="37">
        <f t="shared" ca="1" si="127"/>
        <v>0.11831072530920851</v>
      </c>
      <c r="I770" s="37">
        <f t="shared" ca="1" si="128"/>
        <v>6.5631543555134883E-2</v>
      </c>
      <c r="J770" s="38">
        <f t="shared" ca="1" si="129"/>
        <v>2.2635250493560626E-2</v>
      </c>
      <c r="K770" s="36">
        <f t="shared" ca="1" si="130"/>
        <v>743.65404219639379</v>
      </c>
      <c r="L770" s="36">
        <f ca="1">Assumptions!$C$10*Assumptions!$C$13*I770*Assumptions!$C$15</f>
        <v>4551.7999745622774</v>
      </c>
      <c r="M770" s="36">
        <f ca="1">G770*(1+H770*Assumptions!$C$6)*(1+J770)+L770+K770</f>
        <v>65596.287201701765</v>
      </c>
    </row>
    <row r="771" spans="1:13" x14ac:dyDescent="0.25">
      <c r="A771" s="3">
        <v>758</v>
      </c>
      <c r="B771" s="3">
        <f t="shared" ca="1" si="135"/>
        <v>8.9862869319723426E-3</v>
      </c>
      <c r="C771" s="3">
        <f t="shared" ca="1" si="135"/>
        <v>0.46066370371374676</v>
      </c>
      <c r="D771" s="3">
        <f t="shared" ca="1" si="135"/>
        <v>0.51309296745898192</v>
      </c>
      <c r="E771" s="3">
        <f t="shared" ca="1" si="135"/>
        <v>0.51841143362790676</v>
      </c>
      <c r="F771" s="3">
        <f t="shared" ca="1" si="135"/>
        <v>8.4386506126200134E-2</v>
      </c>
      <c r="G771" s="36">
        <f t="shared" ca="1" si="126"/>
        <v>57200.939178367116</v>
      </c>
      <c r="H771" s="37">
        <f t="shared" ca="1" si="127"/>
        <v>0.12910875798636495</v>
      </c>
      <c r="I771" s="37">
        <f t="shared" ca="1" si="128"/>
        <v>8.0527192852151264E-2</v>
      </c>
      <c r="J771" s="38">
        <f t="shared" ca="1" si="129"/>
        <v>3.0371682367108622E-2</v>
      </c>
      <c r="K771" s="36">
        <f t="shared" ca="1" si="130"/>
        <v>616.22989019350609</v>
      </c>
      <c r="L771" s="36">
        <f ca="1">Assumptions!$C$10*Assumptions!$C$13*I771*Assumptions!$C$15</f>
        <v>5584.870544269198</v>
      </c>
      <c r="M771" s="36">
        <f ca="1">G771*(1+H771*Assumptions!$C$6)*(1+J771)+L771+K771</f>
        <v>66661.216649955648</v>
      </c>
    </row>
    <row r="772" spans="1:13" x14ac:dyDescent="0.25">
      <c r="A772" s="3">
        <v>759</v>
      </c>
      <c r="B772" s="3">
        <f t="shared" ca="1" si="135"/>
        <v>0.54280305246949323</v>
      </c>
      <c r="C772" s="3">
        <f t="shared" ca="1" si="135"/>
        <v>0.6907653440188849</v>
      </c>
      <c r="D772" s="3">
        <f t="shared" ca="1" si="135"/>
        <v>0.70365977188866891</v>
      </c>
      <c r="E772" s="3">
        <f t="shared" ca="1" si="135"/>
        <v>0.20773448715150533</v>
      </c>
      <c r="F772" s="3">
        <f t="shared" ca="1" si="135"/>
        <v>0.22780348440664688</v>
      </c>
      <c r="G772" s="36">
        <f t="shared" ca="1" si="126"/>
        <v>57897.672452442763</v>
      </c>
      <c r="H772" s="37">
        <f t="shared" ca="1" si="127"/>
        <v>0.15603244581167422</v>
      </c>
      <c r="I772" s="37">
        <f t="shared" ca="1" si="128"/>
        <v>8.920570296375871E-2</v>
      </c>
      <c r="J772" s="38">
        <f t="shared" ca="1" si="129"/>
        <v>2.2891376564246516E-2</v>
      </c>
      <c r="K772" s="36">
        <f t="shared" ca="1" si="130"/>
        <v>1012.4799651498844</v>
      </c>
      <c r="L772" s="36">
        <f ca="1">Assumptions!$C$10*Assumptions!$C$13*I772*Assumptions!$C$15</f>
        <v>6186.7585993942184</v>
      </c>
      <c r="M772" s="36">
        <f ca="1">G772*(1+H772*Assumptions!$C$6)*(1+J772)+L772+K772</f>
        <v>68270.411279235996</v>
      </c>
    </row>
    <row r="773" spans="1:13" x14ac:dyDescent="0.25">
      <c r="A773" s="3">
        <v>760</v>
      </c>
      <c r="B773" s="3">
        <f t="shared" ca="1" si="135"/>
        <v>3.3803557362159564E-2</v>
      </c>
      <c r="C773" s="3">
        <f t="shared" ca="1" si="135"/>
        <v>0.61241101388231811</v>
      </c>
      <c r="D773" s="3">
        <f t="shared" ca="1" si="135"/>
        <v>0.92494785645178679</v>
      </c>
      <c r="E773" s="3">
        <f t="shared" ca="1" si="135"/>
        <v>0.40142331101117712</v>
      </c>
      <c r="F773" s="3">
        <f t="shared" ca="1" si="135"/>
        <v>0.36733848249838497</v>
      </c>
      <c r="G773" s="36">
        <f t="shared" ca="1" si="126"/>
        <v>57295.772112738247</v>
      </c>
      <c r="H773" s="37">
        <f t="shared" ca="1" si="127"/>
        <v>0.14599452737482169</v>
      </c>
      <c r="I773" s="37">
        <f t="shared" ca="1" si="128"/>
        <v>0.10450268218838232</v>
      </c>
      <c r="J773" s="38">
        <f t="shared" ca="1" si="129"/>
        <v>2.792034176038341E-2</v>
      </c>
      <c r="K773" s="36">
        <f t="shared" ca="1" si="130"/>
        <v>1285.6994871441507</v>
      </c>
      <c r="L773" s="36">
        <f ca="1">Assumptions!$C$10*Assumptions!$C$13*I773*Assumptions!$C$15</f>
        <v>7247.6629431573447</v>
      </c>
      <c r="M773" s="36">
        <f ca="1">G773*(1+H773*Assumptions!$C$6)*(1+J773)+L773+K773</f>
        <v>69148.53591708983</v>
      </c>
    </row>
    <row r="774" spans="1:13" x14ac:dyDescent="0.25">
      <c r="A774" s="3">
        <v>761</v>
      </c>
      <c r="B774" s="3">
        <f t="shared" ref="B774:F783" ca="1" si="136">RAND()</f>
        <v>0.52329778953091122</v>
      </c>
      <c r="C774" s="3">
        <f t="shared" ca="1" si="136"/>
        <v>4.5286011319701891E-2</v>
      </c>
      <c r="D774" s="3">
        <f t="shared" ca="1" si="136"/>
        <v>5.8931822069772211E-2</v>
      </c>
      <c r="E774" s="3">
        <f t="shared" ca="1" si="136"/>
        <v>0.76375823619726646</v>
      </c>
      <c r="F774" s="3">
        <f t="shared" ca="1" si="136"/>
        <v>0.20719813354740801</v>
      </c>
      <c r="G774" s="36">
        <f t="shared" ca="1" si="126"/>
        <v>57879.693640958394</v>
      </c>
      <c r="H774" s="37">
        <f t="shared" ca="1" si="127"/>
        <v>7.4541881560956882E-2</v>
      </c>
      <c r="I774" s="37">
        <f t="shared" ca="1" si="128"/>
        <v>5.3732509989920671E-2</v>
      </c>
      <c r="J774" s="38">
        <f t="shared" ca="1" si="129"/>
        <v>3.6252512555299904E-2</v>
      </c>
      <c r="K774" s="36">
        <f t="shared" ca="1" si="130"/>
        <v>965.60426726653191</v>
      </c>
      <c r="L774" s="36">
        <f ca="1">Assumptions!$C$10*Assumptions!$C$13*I774*Assumptions!$C$15</f>
        <v>3726.5562313009591</v>
      </c>
      <c r="M774" s="36">
        <f ca="1">G774*(1+H774*Assumptions!$C$6)*(1+J774)+L774+K774</f>
        <v>65564.312725834126</v>
      </c>
    </row>
    <row r="775" spans="1:13" x14ac:dyDescent="0.25">
      <c r="A775" s="3">
        <v>762</v>
      </c>
      <c r="B775" s="3">
        <f t="shared" ca="1" si="136"/>
        <v>0.25555495526468763</v>
      </c>
      <c r="C775" s="3">
        <f t="shared" ca="1" si="136"/>
        <v>0.52334374770312575</v>
      </c>
      <c r="D775" s="3">
        <f t="shared" ca="1" si="136"/>
        <v>0.23625292268294573</v>
      </c>
      <c r="E775" s="3">
        <f t="shared" ca="1" si="136"/>
        <v>0.77009852098212095</v>
      </c>
      <c r="F775" s="3">
        <f t="shared" ca="1" si="136"/>
        <v>0.58599649436661205</v>
      </c>
      <c r="G775" s="36">
        <f t="shared" ca="1" si="126"/>
        <v>57638.284380232908</v>
      </c>
      <c r="H775" s="37">
        <f t="shared" ca="1" si="127"/>
        <v>0.13575143860767797</v>
      </c>
      <c r="I775" s="37">
        <f t="shared" ca="1" si="128"/>
        <v>6.7495624244330699E-2</v>
      </c>
      <c r="J775" s="38">
        <f t="shared" ca="1" si="129"/>
        <v>3.643824557019619E-2</v>
      </c>
      <c r="K775" s="36">
        <f t="shared" ca="1" si="130"/>
        <v>1635.0766412174471</v>
      </c>
      <c r="L775" s="36">
        <f ca="1">Assumptions!$C$10*Assumptions!$C$13*I775*Assumptions!$C$15</f>
        <v>4681.0811398991191</v>
      </c>
      <c r="M775" s="36">
        <f ca="1">G775*(1+H775*Assumptions!$C$6)*(1+J775)+L775+K775</f>
        <v>67676.598191451252</v>
      </c>
    </row>
    <row r="776" spans="1:13" x14ac:dyDescent="0.25">
      <c r="A776" s="3">
        <v>763</v>
      </c>
      <c r="B776" s="3">
        <f t="shared" ca="1" si="136"/>
        <v>0.37026535669295935</v>
      </c>
      <c r="C776" s="3">
        <f t="shared" ca="1" si="136"/>
        <v>0.61908490983399256</v>
      </c>
      <c r="D776" s="3">
        <f t="shared" ca="1" si="136"/>
        <v>6.2026024845077354E-2</v>
      </c>
      <c r="E776" s="3">
        <f t="shared" ca="1" si="136"/>
        <v>0.87182600783196762</v>
      </c>
      <c r="F776" s="3">
        <f t="shared" ca="1" si="136"/>
        <v>0.97997148568348869</v>
      </c>
      <c r="G776" s="36">
        <f t="shared" ca="1" si="126"/>
        <v>57747.927129085852</v>
      </c>
      <c r="H776" s="37">
        <f t="shared" ca="1" si="127"/>
        <v>0.14680738196732013</v>
      </c>
      <c r="I776" s="37">
        <f t="shared" ca="1" si="128"/>
        <v>5.4088409402918682E-2</v>
      </c>
      <c r="J776" s="38">
        <f t="shared" ca="1" si="129"/>
        <v>3.9873836178768093E-2</v>
      </c>
      <c r="K776" s="36">
        <f t="shared" ca="1" si="130"/>
        <v>2699.7862187968367</v>
      </c>
      <c r="L776" s="36">
        <f ca="1">Assumptions!$C$10*Assumptions!$C$13*I776*Assumptions!$C$15</f>
        <v>3751.2392244362677</v>
      </c>
      <c r="M776" s="36">
        <f ca="1">G776*(1+H776*Assumptions!$C$6)*(1+J776)+L776+K776</f>
        <v>68264.757014582836</v>
      </c>
    </row>
    <row r="777" spans="1:13" x14ac:dyDescent="0.25">
      <c r="A777" s="3">
        <v>764</v>
      </c>
      <c r="B777" s="3">
        <f t="shared" ca="1" si="136"/>
        <v>0.41229960954378597</v>
      </c>
      <c r="C777" s="3">
        <f t="shared" ca="1" si="136"/>
        <v>0.40448780965181841</v>
      </c>
      <c r="D777" s="3">
        <f t="shared" ca="1" si="136"/>
        <v>0.37667299302241275</v>
      </c>
      <c r="E777" s="3">
        <f t="shared" ca="1" si="136"/>
        <v>0.12363673495362437</v>
      </c>
      <c r="F777" s="3">
        <f t="shared" ca="1" si="136"/>
        <v>8.4694940934520568E-2</v>
      </c>
      <c r="G777" s="36">
        <f t="shared" ca="1" si="126"/>
        <v>57783.716540216861</v>
      </c>
      <c r="H777" s="37">
        <f t="shared" ca="1" si="127"/>
        <v>0.1234767064491458</v>
      </c>
      <c r="I777" s="37">
        <f t="shared" ca="1" si="128"/>
        <v>7.4718202396894348E-2</v>
      </c>
      <c r="J777" s="38">
        <f t="shared" ca="1" si="129"/>
        <v>1.99453199024918E-2</v>
      </c>
      <c r="K777" s="36">
        <f t="shared" ca="1" si="130"/>
        <v>617.35503092251747</v>
      </c>
      <c r="L777" s="36">
        <f ca="1">Assumptions!$C$10*Assumptions!$C$13*I777*Assumptions!$C$15</f>
        <v>5181.9947139261485</v>
      </c>
      <c r="M777" s="36">
        <f ca="1">G777*(1+H777*Assumptions!$C$6)*(1+J777)+L777+K777</f>
        <v>66191.031341713708</v>
      </c>
    </row>
    <row r="778" spans="1:13" x14ac:dyDescent="0.25">
      <c r="A778" s="3">
        <v>765</v>
      </c>
      <c r="B778" s="3">
        <f t="shared" ca="1" si="136"/>
        <v>0.55508277820124796</v>
      </c>
      <c r="C778" s="3">
        <f t="shared" ca="1" si="136"/>
        <v>0.85554504481882165</v>
      </c>
      <c r="D778" s="3">
        <f t="shared" ca="1" si="136"/>
        <v>0.17016944241265575</v>
      </c>
      <c r="E778" s="3">
        <f t="shared" ca="1" si="136"/>
        <v>0.52849513501306167</v>
      </c>
      <c r="F778" s="3">
        <f t="shared" ca="1" si="136"/>
        <v>0.37369274346725745</v>
      </c>
      <c r="G778" s="36">
        <f t="shared" ca="1" si="126"/>
        <v>57909.188500035794</v>
      </c>
      <c r="H778" s="37">
        <f t="shared" ca="1" si="127"/>
        <v>0.1826103408432245</v>
      </c>
      <c r="I778" s="37">
        <f t="shared" ca="1" si="128"/>
        <v>6.3335428338054958E-2</v>
      </c>
      <c r="J778" s="38">
        <f t="shared" ca="1" si="129"/>
        <v>3.0578262384906168E-2</v>
      </c>
      <c r="K778" s="36">
        <f t="shared" ca="1" si="130"/>
        <v>1296.771894206016</v>
      </c>
      <c r="L778" s="36">
        <f ca="1">Assumptions!$C$10*Assumptions!$C$13*I778*Assumptions!$C$15</f>
        <v>4392.5555530454112</v>
      </c>
      <c r="M778" s="36">
        <f ca="1">G778*(1+H778*Assumptions!$C$6)*(1+J778)+L778+K778</f>
        <v>67548.91354136639</v>
      </c>
    </row>
    <row r="779" spans="1:13" x14ac:dyDescent="0.25">
      <c r="A779" s="3">
        <v>766</v>
      </c>
      <c r="B779" s="3">
        <f t="shared" ca="1" si="136"/>
        <v>0.93593193919005235</v>
      </c>
      <c r="C779" s="3">
        <f t="shared" ca="1" si="136"/>
        <v>0.17541536987706785</v>
      </c>
      <c r="D779" s="3">
        <f t="shared" ca="1" si="136"/>
        <v>0.39940065942780623</v>
      </c>
      <c r="E779" s="3">
        <f t="shared" ca="1" si="136"/>
        <v>0.85389469721276312</v>
      </c>
      <c r="F779" s="3">
        <f t="shared" ca="1" si="136"/>
        <v>0.23671822293487821</v>
      </c>
      <c r="G779" s="36">
        <f t="shared" ca="1" si="126"/>
        <v>58430.563955329184</v>
      </c>
      <c r="H779" s="37">
        <f t="shared" ca="1" si="127"/>
        <v>9.8301391484769907E-2</v>
      </c>
      <c r="I779" s="37">
        <f t="shared" ca="1" si="128"/>
        <v>7.5750274267045559E-2</v>
      </c>
      <c r="J779" s="38">
        <f t="shared" ca="1" si="129"/>
        <v>3.9188698402607136E-2</v>
      </c>
      <c r="K779" s="36">
        <f t="shared" ca="1" si="130"/>
        <v>1032.100771827515</v>
      </c>
      <c r="L779" s="36">
        <f ca="1">Assumptions!$C$10*Assumptions!$C$13*I779*Assumptions!$C$15</f>
        <v>5253.5728676283288</v>
      </c>
      <c r="M779" s="36">
        <f ca="1">G779*(1+H779*Assumptions!$C$6)*(1+J779)+L779+K779</f>
        <v>68199.834945716066</v>
      </c>
    </row>
    <row r="780" spans="1:13" x14ac:dyDescent="0.25">
      <c r="A780" s="3">
        <v>767</v>
      </c>
      <c r="B780" s="3">
        <f t="shared" ca="1" si="136"/>
        <v>0.40184208463725113</v>
      </c>
      <c r="C780" s="3">
        <f t="shared" ca="1" si="136"/>
        <v>0.10390049754002084</v>
      </c>
      <c r="D780" s="3">
        <f t="shared" ca="1" si="136"/>
        <v>0.17727793394194236</v>
      </c>
      <c r="E780" s="3">
        <f t="shared" ca="1" si="136"/>
        <v>0.21564918471128136</v>
      </c>
      <c r="F780" s="3">
        <f t="shared" ca="1" si="136"/>
        <v>0.69636418927711197</v>
      </c>
      <c r="G780" s="36">
        <f t="shared" ca="1" si="126"/>
        <v>57774.989991985138</v>
      </c>
      <c r="H780" s="37">
        <f t="shared" ca="1" si="127"/>
        <v>8.7173601080367202E-2</v>
      </c>
      <c r="I780" s="37">
        <f t="shared" ca="1" si="128"/>
        <v>6.3817837614154133E-2</v>
      </c>
      <c r="J780" s="38">
        <f t="shared" ca="1" si="129"/>
        <v>2.3134662072890382E-2</v>
      </c>
      <c r="K780" s="36">
        <f t="shared" ca="1" si="130"/>
        <v>1831.085482914599</v>
      </c>
      <c r="L780" s="36">
        <f ca="1">Assumptions!$C$10*Assumptions!$C$13*I780*Assumptions!$C$15</f>
        <v>4426.0124917631811</v>
      </c>
      <c r="M780" s="36">
        <f ca="1">G780*(1+H780*Assumptions!$C$6)*(1+J780)+L780+K780</f>
        <v>66399.286954331983</v>
      </c>
    </row>
    <row r="781" spans="1:13" x14ac:dyDescent="0.25">
      <c r="A781" s="3">
        <v>768</v>
      </c>
      <c r="B781" s="3">
        <f t="shared" ca="1" si="136"/>
        <v>0.76629596500249786</v>
      </c>
      <c r="C781" s="3">
        <f t="shared" ca="1" si="136"/>
        <v>0.77752661621055164</v>
      </c>
      <c r="D781" s="3">
        <f t="shared" ca="1" si="136"/>
        <v>0.45863559493838113</v>
      </c>
      <c r="E781" s="3">
        <f t="shared" ca="1" si="136"/>
        <v>0.70944681188790426</v>
      </c>
      <c r="F781" s="3">
        <f t="shared" ca="1" si="136"/>
        <v>0.68578648909317919</v>
      </c>
      <c r="G781" s="36">
        <f t="shared" ca="1" si="126"/>
        <v>58140.450100072921</v>
      </c>
      <c r="H781" s="37">
        <f t="shared" ca="1" si="127"/>
        <v>0.1687792646036323</v>
      </c>
      <c r="I781" s="37">
        <f t="shared" ca="1" si="128"/>
        <v>7.8309710306955077E-2</v>
      </c>
      <c r="J781" s="38">
        <f t="shared" ca="1" si="129"/>
        <v>3.4753933278065571E-2</v>
      </c>
      <c r="K781" s="36">
        <f t="shared" ca="1" si="130"/>
        <v>1810.8991636195467</v>
      </c>
      <c r="L781" s="36">
        <f ca="1">Assumptions!$C$10*Assumptions!$C$13*I781*Assumptions!$C$15</f>
        <v>5431.0796009808219</v>
      </c>
      <c r="M781" s="36">
        <f ca="1">G781*(1+H781*Assumptions!$C$6)*(1+J781)+L781+K781</f>
        <v>69433.826061666303</v>
      </c>
    </row>
    <row r="782" spans="1:13" x14ac:dyDescent="0.25">
      <c r="A782" s="3">
        <v>769</v>
      </c>
      <c r="B782" s="3">
        <f t="shared" ca="1" si="136"/>
        <v>0.75365962367329498</v>
      </c>
      <c r="C782" s="3">
        <f t="shared" ca="1" si="136"/>
        <v>0.7323922761067454</v>
      </c>
      <c r="D782" s="3">
        <f t="shared" ca="1" si="136"/>
        <v>9.7444309092011849E-3</v>
      </c>
      <c r="E782" s="3">
        <f t="shared" ca="1" si="136"/>
        <v>0.10252667153226169</v>
      </c>
      <c r="F782" s="3">
        <f t="shared" ca="1" si="136"/>
        <v>0.91625523719441981</v>
      </c>
      <c r="G782" s="36">
        <f t="shared" ref="G782:G845" ca="1" si="137">IF(B782&lt;($F$5-$E$5)/($G$5-$E$5),$E$5+SQRT(B782*($G$5-$E$5)*($F$5-$E$5)),$G$5-SQRT((1-B782)*($G$5-$E$5)*($G$5-$F$5)))</f>
        <v>58124.203827250683</v>
      </c>
      <c r="H782" s="37">
        <f t="shared" ref="H782:H845" ca="1" si="138">IF(C782&lt;($F$6-$E$6)/($G$6-$E$6),$E$6+SQRT(C782*($G$6-$E$6)*($F$6-$E$6)),$G$6-SQRT((1-C782)*($G$6-$E$6)*($G$6-$F$6)))</f>
        <v>0.1618881820416001</v>
      </c>
      <c r="I782" s="37">
        <f t="shared" ref="I782:I845" ca="1" si="139">IF(D782&lt;($F$7-$E$7)/($G$7-$E$7),$E$7+SQRT(D782*($G$7-$E$7)*($F$7-$E$7)),$G$7-SQRT((1-D782)*($G$7-$E$7)*($G$7-$F$7)))</f>
        <v>4.5584100546143827E-2</v>
      </c>
      <c r="J782" s="38">
        <f t="shared" ref="J782:J845" ca="1" si="140">IF(E782&lt;($F$8-$E$8)/($G$8-$E$8),$E$8+SQRT(E782*($G$8-$E$8)*($F$8-$E$8)),$G$8-SQRT((1-E782)*($G$8-$E$8)*($G$8-$F$8)))</f>
        <v>1.9056563212709848E-2</v>
      </c>
      <c r="K782" s="36">
        <f t="shared" ref="K782:K845" ca="1" si="141">IF(F782&lt;($F$9-$E$9)/($G$9-$E$9),$E$9+SQRT(F782*($G$9-$E$9)*($F$9-$E$9)),$G$9-SQRT((1-F782)*($G$9-$E$9)*($G$9-$F$9)))</f>
        <v>2386.1177371636227</v>
      </c>
      <c r="L782" s="36">
        <f ca="1">Assumptions!$C$10*Assumptions!$C$13*I782*Assumptions!$C$15</f>
        <v>3161.432696338713</v>
      </c>
      <c r="M782" s="36">
        <f ca="1">G782*(1+H782*Assumptions!$C$6)*(1+J782)+L782+K782</f>
        <v>66697.189173326682</v>
      </c>
    </row>
    <row r="783" spans="1:13" x14ac:dyDescent="0.25">
      <c r="A783" s="3">
        <v>770</v>
      </c>
      <c r="B783" s="3">
        <f t="shared" ca="1" si="136"/>
        <v>0.72066017918958136</v>
      </c>
      <c r="C783" s="3">
        <f t="shared" ca="1" si="136"/>
        <v>0.32381764285811121</v>
      </c>
      <c r="D783" s="3">
        <f t="shared" ca="1" si="136"/>
        <v>0.70430362589255602</v>
      </c>
      <c r="E783" s="3">
        <f t="shared" ca="1" si="136"/>
        <v>0.87426085241126972</v>
      </c>
      <c r="F783" s="3">
        <f t="shared" ca="1" si="136"/>
        <v>0.1034952192259353</v>
      </c>
      <c r="G783" s="36">
        <f t="shared" ca="1" si="137"/>
        <v>58083.644051951182</v>
      </c>
      <c r="H783" s="37">
        <f t="shared" ca="1" si="138"/>
        <v>0.11562602113501076</v>
      </c>
      <c r="I783" s="37">
        <f t="shared" ca="1" si="139"/>
        <v>8.9239174309784522E-2</v>
      </c>
      <c r="J783" s="38">
        <f t="shared" ca="1" si="140"/>
        <v>3.9970477674834949E-2</v>
      </c>
      <c r="K783" s="36">
        <f t="shared" ca="1" si="141"/>
        <v>682.44302803729249</v>
      </c>
      <c r="L783" s="36">
        <f ca="1">Assumptions!$C$10*Assumptions!$C$13*I783*Assumptions!$C$15</f>
        <v>6189.0799659770555</v>
      </c>
      <c r="M783" s="36">
        <f ca="1">G783*(1+H783*Assumptions!$C$6)*(1+J783)+L783+K783</f>
        <v>68673.68236573202</v>
      </c>
    </row>
    <row r="784" spans="1:13" x14ac:dyDescent="0.25">
      <c r="A784" s="3">
        <v>771</v>
      </c>
      <c r="B784" s="3">
        <f t="shared" ref="B784:F793" ca="1" si="142">RAND()</f>
        <v>0.3675242471512995</v>
      </c>
      <c r="C784" s="3">
        <f t="shared" ca="1" si="142"/>
        <v>0.81848897171077561</v>
      </c>
      <c r="D784" s="3">
        <f t="shared" ca="1" si="142"/>
        <v>0.16800525214242834</v>
      </c>
      <c r="E784" s="3">
        <f t="shared" ca="1" si="142"/>
        <v>0.68260267903386296</v>
      </c>
      <c r="F784" s="3">
        <f t="shared" ca="1" si="142"/>
        <v>6.2262206048637081E-2</v>
      </c>
      <c r="G784" s="36">
        <f t="shared" ca="1" si="137"/>
        <v>57745.524340823147</v>
      </c>
      <c r="H784" s="37">
        <f t="shared" ca="1" si="138"/>
        <v>0.17566920298181971</v>
      </c>
      <c r="I784" s="37">
        <f t="shared" ca="1" si="139"/>
        <v>6.3186565223330743E-2</v>
      </c>
      <c r="J784" s="38">
        <f t="shared" ca="1" si="140"/>
        <v>3.4065199820113537E-2</v>
      </c>
      <c r="K784" s="36">
        <f t="shared" ca="1" si="141"/>
        <v>529.32025015000784</v>
      </c>
      <c r="L784" s="36">
        <f ca="1">Assumptions!$C$10*Assumptions!$C$13*I784*Assumptions!$C$15</f>
        <v>4382.2313234888452</v>
      </c>
      <c r="M784" s="36">
        <f ca="1">G784*(1+H784*Assumptions!$C$6)*(1+J784)+L784+K784</f>
        <v>66722.12301563553</v>
      </c>
    </row>
    <row r="785" spans="1:13" x14ac:dyDescent="0.25">
      <c r="A785" s="3">
        <v>772</v>
      </c>
      <c r="B785" s="3">
        <f t="shared" ca="1" si="142"/>
        <v>0.86110903795981908</v>
      </c>
      <c r="C785" s="3">
        <f t="shared" ca="1" si="142"/>
        <v>0.78031210953720753</v>
      </c>
      <c r="D785" s="3">
        <f t="shared" ca="1" si="142"/>
        <v>0.98526244761172332</v>
      </c>
      <c r="E785" s="3">
        <f t="shared" ca="1" si="142"/>
        <v>0.48036401968652298</v>
      </c>
      <c r="F785" s="3">
        <f t="shared" ca="1" si="142"/>
        <v>4.2046270654650275E-2</v>
      </c>
      <c r="G785" s="36">
        <f t="shared" ca="1" si="137"/>
        <v>58279.954855055315</v>
      </c>
      <c r="H785" s="37">
        <f t="shared" ca="1" si="138"/>
        <v>0.16922653108295688</v>
      </c>
      <c r="I785" s="37">
        <f t="shared" ca="1" si="139"/>
        <v>0.11313267390882846</v>
      </c>
      <c r="J785" s="38">
        <f t="shared" ca="1" si="140"/>
        <v>2.9603347054756195E-2</v>
      </c>
      <c r="K785" s="36">
        <f t="shared" ca="1" si="141"/>
        <v>434.98070985496156</v>
      </c>
      <c r="L785" s="36">
        <f ca="1">Assumptions!$C$10*Assumptions!$C$13*I785*Assumptions!$C$15</f>
        <v>7846.1860612461332</v>
      </c>
      <c r="M785" s="36">
        <f ca="1">G785*(1+H785*Assumptions!$C$6)*(1+J785)+L785+K785</f>
        <v>70317.298962883287</v>
      </c>
    </row>
    <row r="786" spans="1:13" x14ac:dyDescent="0.25">
      <c r="A786" s="3">
        <v>773</v>
      </c>
      <c r="B786" s="3">
        <f t="shared" ca="1" si="142"/>
        <v>0.7819432141149637</v>
      </c>
      <c r="C786" s="3">
        <f t="shared" ca="1" si="142"/>
        <v>5.861578421652236E-2</v>
      </c>
      <c r="D786" s="3">
        <f t="shared" ca="1" si="142"/>
        <v>0.42986306230810323</v>
      </c>
      <c r="E786" s="3">
        <f t="shared" ca="1" si="142"/>
        <v>0.53942575221121458</v>
      </c>
      <c r="F786" s="3">
        <f t="shared" ca="1" si="142"/>
        <v>0.23845310629200411</v>
      </c>
      <c r="G786" s="36">
        <f t="shared" ca="1" si="137"/>
        <v>58161.188934613099</v>
      </c>
      <c r="H786" s="37">
        <f t="shared" ca="1" si="138"/>
        <v>7.7921137693148318E-2</v>
      </c>
      <c r="I786" s="37">
        <f t="shared" ca="1" si="139"/>
        <v>7.7088566963229105E-2</v>
      </c>
      <c r="J786" s="38">
        <f t="shared" ca="1" si="140"/>
        <v>3.0804703747245046E-2</v>
      </c>
      <c r="K786" s="36">
        <f t="shared" ca="1" si="141"/>
        <v>1035.8759473576065</v>
      </c>
      <c r="L786" s="36">
        <f ca="1">Assumptions!$C$10*Assumptions!$C$13*I786*Assumptions!$C$15</f>
        <v>5346.3886133882579</v>
      </c>
      <c r="M786" s="36">
        <f ca="1">G786*(1+H786*Assumptions!$C$6)*(1+J786)+L786+K786</f>
        <v>67269.410189644899</v>
      </c>
    </row>
    <row r="787" spans="1:13" x14ac:dyDescent="0.25">
      <c r="A787" s="3">
        <v>774</v>
      </c>
      <c r="B787" s="3">
        <f t="shared" ca="1" si="142"/>
        <v>0.15342100418494631</v>
      </c>
      <c r="C787" s="3">
        <f t="shared" ca="1" si="142"/>
        <v>0.51780742999442009</v>
      </c>
      <c r="D787" s="3">
        <f t="shared" ca="1" si="142"/>
        <v>0.77795215690398734</v>
      </c>
      <c r="E787" s="3">
        <f t="shared" ca="1" si="142"/>
        <v>0.47947089407014398</v>
      </c>
      <c r="F787" s="3">
        <f t="shared" ca="1" si="142"/>
        <v>0.40673599731216248</v>
      </c>
      <c r="G787" s="36">
        <f t="shared" ca="1" si="137"/>
        <v>57517.072960789541</v>
      </c>
      <c r="H787" s="37">
        <f t="shared" ca="1" si="138"/>
        <v>0.13514776780570084</v>
      </c>
      <c r="I787" s="37">
        <f t="shared" ca="1" si="139"/>
        <v>9.3343798134257E-2</v>
      </c>
      <c r="J787" s="38">
        <f t="shared" ca="1" si="140"/>
        <v>2.9585114634745314E-2</v>
      </c>
      <c r="K787" s="36">
        <f t="shared" ca="1" si="141"/>
        <v>1352.8902349801815</v>
      </c>
      <c r="L787" s="36">
        <f ca="1">Assumptions!$C$10*Assumptions!$C$13*I787*Assumptions!$C$15</f>
        <v>6473.7514152189315</v>
      </c>
      <c r="M787" s="36">
        <f ca="1">G787*(1+H787*Assumptions!$C$6)*(1+J787)+L787+K787</f>
        <v>68646.019430374858</v>
      </c>
    </row>
    <row r="788" spans="1:13" x14ac:dyDescent="0.25">
      <c r="A788" s="3">
        <v>775</v>
      </c>
      <c r="B788" s="3">
        <f t="shared" ca="1" si="142"/>
        <v>0.31687356574243419</v>
      </c>
      <c r="C788" s="3">
        <f t="shared" ca="1" si="142"/>
        <v>0.83003234486899802</v>
      </c>
      <c r="D788" s="3">
        <f t="shared" ca="1" si="142"/>
        <v>3.6340787947292785E-2</v>
      </c>
      <c r="E788" s="3">
        <f t="shared" ca="1" si="142"/>
        <v>0.87739013946049227</v>
      </c>
      <c r="F788" s="3">
        <f t="shared" ca="1" si="142"/>
        <v>5.5483512567920945E-2</v>
      </c>
      <c r="G788" s="36">
        <f t="shared" ca="1" si="137"/>
        <v>57699.394329494055</v>
      </c>
      <c r="H788" s="37">
        <f t="shared" ca="1" si="138"/>
        <v>0.17774839329794895</v>
      </c>
      <c r="I788" s="37">
        <f t="shared" ca="1" si="139"/>
        <v>5.0783808299081398E-2</v>
      </c>
      <c r="J788" s="38">
        <f t="shared" ca="1" si="140"/>
        <v>4.009606702205603E-2</v>
      </c>
      <c r="K788" s="36">
        <f t="shared" ca="1" si="141"/>
        <v>499.67570138605328</v>
      </c>
      <c r="L788" s="36">
        <f ca="1">Assumptions!$C$10*Assumptions!$C$13*I788*Assumptions!$C$15</f>
        <v>3522.0524278809066</v>
      </c>
      <c r="M788" s="36">
        <f ca="1">G788*(1+H788*Assumptions!$C$6)*(1+J788)+L788+K788</f>
        <v>66168.081017473887</v>
      </c>
    </row>
    <row r="789" spans="1:13" x14ac:dyDescent="0.25">
      <c r="A789" s="3">
        <v>776</v>
      </c>
      <c r="B789" s="3">
        <f t="shared" ca="1" si="142"/>
        <v>0.84214077297385503</v>
      </c>
      <c r="C789" s="3">
        <f t="shared" ca="1" si="142"/>
        <v>0.8997029283146829</v>
      </c>
      <c r="D789" s="3">
        <f t="shared" ca="1" si="142"/>
        <v>0.72379707102986923</v>
      </c>
      <c r="E789" s="3">
        <f t="shared" ca="1" si="142"/>
        <v>0.41243964555105816</v>
      </c>
      <c r="F789" s="3">
        <f t="shared" ca="1" si="142"/>
        <v>0.20437563560196026</v>
      </c>
      <c r="G789" s="36">
        <f t="shared" ca="1" si="137"/>
        <v>58248.924286978763</v>
      </c>
      <c r="H789" s="37">
        <f t="shared" ca="1" si="138"/>
        <v>0.19217978215832524</v>
      </c>
      <c r="I789" s="37">
        <f t="shared" ca="1" si="139"/>
        <v>9.0270395685370819E-2</v>
      </c>
      <c r="J789" s="38">
        <f t="shared" ca="1" si="140"/>
        <v>2.8164573114743061E-2</v>
      </c>
      <c r="K789" s="36">
        <f t="shared" ca="1" si="141"/>
        <v>959.00488017987755</v>
      </c>
      <c r="L789" s="36">
        <f ca="1">Assumptions!$C$10*Assumptions!$C$13*I789*Assumptions!$C$15</f>
        <v>6260.5991346100254</v>
      </c>
      <c r="M789" s="36">
        <f ca="1">G789*(1+H789*Assumptions!$C$6)*(1+J789)+L789+K789</f>
        <v>69410.993847071251</v>
      </c>
    </row>
    <row r="790" spans="1:13" x14ac:dyDescent="0.25">
      <c r="A790" s="3">
        <v>777</v>
      </c>
      <c r="B790" s="3">
        <f t="shared" ca="1" si="142"/>
        <v>0.9332051133204643</v>
      </c>
      <c r="C790" s="3">
        <f t="shared" ca="1" si="142"/>
        <v>0.2287822763416465</v>
      </c>
      <c r="D790" s="3">
        <f t="shared" ca="1" si="142"/>
        <v>0.20644292623773697</v>
      </c>
      <c r="E790" s="3">
        <f t="shared" ca="1" si="142"/>
        <v>0.12060491907127779</v>
      </c>
      <c r="F790" s="3">
        <f t="shared" ca="1" si="142"/>
        <v>0.4612823187433166</v>
      </c>
      <c r="G790" s="36">
        <f t="shared" ca="1" si="137"/>
        <v>58423.849541447562</v>
      </c>
      <c r="H790" s="37">
        <f t="shared" ca="1" si="138"/>
        <v>0.10516161958593945</v>
      </c>
      <c r="I790" s="37">
        <f t="shared" ca="1" si="139"/>
        <v>6.5702477778625895E-2</v>
      </c>
      <c r="J790" s="38">
        <f t="shared" ca="1" si="140"/>
        <v>1.9822623644272553E-2</v>
      </c>
      <c r="K790" s="36">
        <f t="shared" ca="1" si="141"/>
        <v>1440.7534259355155</v>
      </c>
      <c r="L790" s="36">
        <f ca="1">Assumptions!$C$10*Assumptions!$C$13*I790*Assumptions!$C$15</f>
        <v>4556.7195357853152</v>
      </c>
      <c r="M790" s="36">
        <f ca="1">G790*(1+H790*Assumptions!$C$6)*(1+J790)+L790+K790</f>
        <v>66832.583640910801</v>
      </c>
    </row>
    <row r="791" spans="1:13" x14ac:dyDescent="0.25">
      <c r="A791" s="3">
        <v>778</v>
      </c>
      <c r="B791" s="3">
        <f t="shared" ca="1" si="142"/>
        <v>0.98534435367064355</v>
      </c>
      <c r="C791" s="3">
        <f t="shared" ca="1" si="142"/>
        <v>0.80812193921741959</v>
      </c>
      <c r="D791" s="3">
        <f t="shared" ca="1" si="142"/>
        <v>0.15089768824958494</v>
      </c>
      <c r="E791" s="3">
        <f t="shared" ca="1" si="142"/>
        <v>6.2090396340064191E-2</v>
      </c>
      <c r="F791" s="3">
        <f t="shared" ca="1" si="142"/>
        <v>0.74088369975243851</v>
      </c>
      <c r="G791" s="36">
        <f t="shared" ca="1" si="137"/>
        <v>58596.908754988275</v>
      </c>
      <c r="H791" s="37">
        <f t="shared" ca="1" si="138"/>
        <v>0.17385757952839317</v>
      </c>
      <c r="I791" s="37">
        <f t="shared" ca="1" si="139"/>
        <v>6.1974362388899293E-2</v>
      </c>
      <c r="J791" s="38">
        <f t="shared" ca="1" si="140"/>
        <v>1.7047859041726881E-2</v>
      </c>
      <c r="K791" s="36">
        <f t="shared" ca="1" si="141"/>
        <v>1920.1743885635854</v>
      </c>
      <c r="L791" s="36">
        <f ca="1">Assumptions!$C$10*Assumptions!$C$13*I791*Assumptions!$C$15</f>
        <v>4298.1603946024306</v>
      </c>
      <c r="M791" s="36">
        <f ca="1">G791*(1+H791*Assumptions!$C$6)*(1+J791)+L791+K791</f>
        <v>67886.433793507094</v>
      </c>
    </row>
    <row r="792" spans="1:13" x14ac:dyDescent="0.25">
      <c r="A792" s="3">
        <v>779</v>
      </c>
      <c r="B792" s="3">
        <f t="shared" ca="1" si="142"/>
        <v>0.13799645601170152</v>
      </c>
      <c r="C792" s="3">
        <f t="shared" ca="1" si="142"/>
        <v>6.9722643024326292E-2</v>
      </c>
      <c r="D792" s="3">
        <f t="shared" ca="1" si="142"/>
        <v>0.49222290102344823</v>
      </c>
      <c r="E792" s="3">
        <f t="shared" ca="1" si="142"/>
        <v>0.47638973238417237</v>
      </c>
      <c r="F792" s="3">
        <f t="shared" ca="1" si="142"/>
        <v>0.14351703573751107</v>
      </c>
      <c r="G792" s="36">
        <f t="shared" ca="1" si="137"/>
        <v>57495.552005801153</v>
      </c>
      <c r="H792" s="37">
        <f t="shared" ca="1" si="138"/>
        <v>8.045178405649725E-2</v>
      </c>
      <c r="I792" s="37">
        <f t="shared" ca="1" si="139"/>
        <v>7.968769687541763E-2</v>
      </c>
      <c r="J792" s="38">
        <f t="shared" ca="1" si="140"/>
        <v>2.9522084568696497E-2</v>
      </c>
      <c r="K792" s="36">
        <f t="shared" ca="1" si="141"/>
        <v>803.63341196020451</v>
      </c>
      <c r="L792" s="36">
        <f ca="1">Assumptions!$C$10*Assumptions!$C$13*I792*Assumptions!$C$15</f>
        <v>5526.64826945204</v>
      </c>
      <c r="M792" s="36">
        <f ca="1">G792*(1+H792*Assumptions!$C$6)*(1+J792)+L792+K792</f>
        <v>66475.657770083548</v>
      </c>
    </row>
    <row r="793" spans="1:13" x14ac:dyDescent="0.25">
      <c r="A793" s="3">
        <v>780</v>
      </c>
      <c r="B793" s="3">
        <f t="shared" ca="1" si="142"/>
        <v>0.8774582232868503</v>
      </c>
      <c r="C793" s="3">
        <f t="shared" ca="1" si="142"/>
        <v>0.48939212407545818</v>
      </c>
      <c r="D793" s="3">
        <f t="shared" ca="1" si="142"/>
        <v>0.5558799187095208</v>
      </c>
      <c r="E793" s="3">
        <f t="shared" ca="1" si="142"/>
        <v>0.33133198806973652</v>
      </c>
      <c r="F793" s="3">
        <f t="shared" ca="1" si="142"/>
        <v>0.14614358888961387</v>
      </c>
      <c r="G793" s="36">
        <f t="shared" ca="1" si="137"/>
        <v>58308.449564138071</v>
      </c>
      <c r="H793" s="37">
        <f t="shared" ca="1" si="138"/>
        <v>0.13210255067389426</v>
      </c>
      <c r="I793" s="37">
        <f t="shared" ca="1" si="139"/>
        <v>8.2301402411634278E-2</v>
      </c>
      <c r="J793" s="38">
        <f t="shared" ca="1" si="140"/>
        <v>2.6280835066291572E-2</v>
      </c>
      <c r="K793" s="36">
        <f t="shared" ca="1" si="141"/>
        <v>810.95385195660947</v>
      </c>
      <c r="L793" s="36">
        <f ca="1">Assumptions!$C$10*Assumptions!$C$13*I793*Assumptions!$C$15</f>
        <v>5707.9188011022661</v>
      </c>
      <c r="M793" s="36">
        <f ca="1">G793*(1+H793*Assumptions!$C$6)*(1+J793)+L793+K793</f>
        <v>67940.742596732074</v>
      </c>
    </row>
    <row r="794" spans="1:13" x14ac:dyDescent="0.25">
      <c r="A794" s="3">
        <v>781</v>
      </c>
      <c r="B794" s="3">
        <f t="shared" ref="B794:F803" ca="1" si="143">RAND()</f>
        <v>0.35058729047186632</v>
      </c>
      <c r="C794" s="3">
        <f t="shared" ca="1" si="143"/>
        <v>0.56112892563597538</v>
      </c>
      <c r="D794" s="3">
        <f t="shared" ca="1" si="143"/>
        <v>0.89063145471107785</v>
      </c>
      <c r="E794" s="3">
        <f t="shared" ca="1" si="143"/>
        <v>0.58035150264529534</v>
      </c>
      <c r="F794" s="3">
        <f t="shared" ca="1" si="143"/>
        <v>4.0552017888764724E-2</v>
      </c>
      <c r="G794" s="36">
        <f t="shared" ca="1" si="137"/>
        <v>57730.474765126091</v>
      </c>
      <c r="H794" s="37">
        <f t="shared" ca="1" si="138"/>
        <v>0.13996870242019371</v>
      </c>
      <c r="I794" s="37">
        <f t="shared" ca="1" si="139"/>
        <v>0.1012922651043866</v>
      </c>
      <c r="J794" s="38">
        <f t="shared" ca="1" si="140"/>
        <v>3.1677369242279541E-2</v>
      </c>
      <c r="K794" s="36">
        <f t="shared" ca="1" si="141"/>
        <v>427.18155449345102</v>
      </c>
      <c r="L794" s="36">
        <f ca="1">Assumptions!$C$10*Assumptions!$C$13*I794*Assumptions!$C$15</f>
        <v>7025.0081706242272</v>
      </c>
      <c r="M794" s="36">
        <f ca="1">G794*(1+H794*Assumptions!$C$6)*(1+J794)+L794+K794</f>
        <v>68678.699525257645</v>
      </c>
    </row>
    <row r="795" spans="1:13" x14ac:dyDescent="0.25">
      <c r="A795" s="3">
        <v>782</v>
      </c>
      <c r="B795" s="3">
        <f t="shared" ca="1" si="143"/>
        <v>0.30154813827049398</v>
      </c>
      <c r="C795" s="3">
        <f t="shared" ca="1" si="143"/>
        <v>0.53718432976814201</v>
      </c>
      <c r="D795" s="3">
        <f t="shared" ca="1" si="143"/>
        <v>0.37650242079223439</v>
      </c>
      <c r="E795" s="3">
        <f t="shared" ca="1" si="143"/>
        <v>0.44404820435823478</v>
      </c>
      <c r="F795" s="3">
        <f t="shared" ca="1" si="143"/>
        <v>0.24698416107650001</v>
      </c>
      <c r="G795" s="36">
        <f t="shared" ca="1" si="137"/>
        <v>57684.720001946218</v>
      </c>
      <c r="H795" s="37">
        <f t="shared" ca="1" si="138"/>
        <v>0.13727611143805757</v>
      </c>
      <c r="I795" s="37">
        <f t="shared" ca="1" si="139"/>
        <v>7.4710340628336536E-2</v>
      </c>
      <c r="J795" s="38">
        <f t="shared" ca="1" si="140"/>
        <v>2.884777343578248E-2</v>
      </c>
      <c r="K795" s="36">
        <f t="shared" ca="1" si="141"/>
        <v>1054.2432000464835</v>
      </c>
      <c r="L795" s="36">
        <f ca="1">Assumptions!$C$10*Assumptions!$C$13*I795*Assumptions!$C$15</f>
        <v>5181.4494700390933</v>
      </c>
      <c r="M795" s="36">
        <f ca="1">G795*(1+H795*Assumptions!$C$6)*(1+J795)+L795+K795</f>
        <v>67213.922784768351</v>
      </c>
    </row>
    <row r="796" spans="1:13" x14ac:dyDescent="0.25">
      <c r="A796" s="3">
        <v>783</v>
      </c>
      <c r="B796" s="3">
        <f t="shared" ca="1" si="143"/>
        <v>0.15795765438308917</v>
      </c>
      <c r="C796" s="3">
        <f t="shared" ca="1" si="143"/>
        <v>0.50177806403828873</v>
      </c>
      <c r="D796" s="3">
        <f t="shared" ca="1" si="143"/>
        <v>0.41572412676522097</v>
      </c>
      <c r="E796" s="3">
        <f t="shared" ca="1" si="143"/>
        <v>0.37261207756814663</v>
      </c>
      <c r="F796" s="3">
        <f t="shared" ca="1" si="143"/>
        <v>7.8675598798551571E-2</v>
      </c>
      <c r="G796" s="36">
        <f t="shared" ca="1" si="137"/>
        <v>57523.194449085779</v>
      </c>
      <c r="H796" s="37">
        <f t="shared" ca="1" si="138"/>
        <v>0.1334192318477343</v>
      </c>
      <c r="I796" s="37">
        <f t="shared" ca="1" si="139"/>
        <v>7.6473513755171807E-2</v>
      </c>
      <c r="J796" s="38">
        <f t="shared" ca="1" si="140"/>
        <v>2.7265273297996682E-2</v>
      </c>
      <c r="K796" s="36">
        <f t="shared" ca="1" si="141"/>
        <v>595.01276842894902</v>
      </c>
      <c r="L796" s="36">
        <f ca="1">Assumptions!$C$10*Assumptions!$C$13*I796*Assumptions!$C$15</f>
        <v>5303.7323078202226</v>
      </c>
      <c r="M796" s="36">
        <f ca="1">G796*(1+H796*Assumptions!$C$6)*(1+J796)+L796+K796</f>
        <v>66567.11578719705</v>
      </c>
    </row>
    <row r="797" spans="1:13" x14ac:dyDescent="0.25">
      <c r="A797" s="3">
        <v>784</v>
      </c>
      <c r="B797" s="3">
        <f t="shared" ca="1" si="143"/>
        <v>0.22648176088042171</v>
      </c>
      <c r="C797" s="3">
        <f t="shared" ca="1" si="143"/>
        <v>7.9152319540165106E-2</v>
      </c>
      <c r="D797" s="3">
        <f t="shared" ca="1" si="143"/>
        <v>0.52887139509477199</v>
      </c>
      <c r="E797" s="3">
        <f t="shared" ca="1" si="143"/>
        <v>0.32114671543658946</v>
      </c>
      <c r="F797" s="3">
        <f t="shared" ca="1" si="143"/>
        <v>0.94972902901921363</v>
      </c>
      <c r="G797" s="36">
        <f t="shared" ca="1" si="137"/>
        <v>57606.741229776999</v>
      </c>
      <c r="H797" s="37">
        <f t="shared" ca="1" si="138"/>
        <v>8.2445737006334063E-2</v>
      </c>
      <c r="I797" s="37">
        <f t="shared" ca="1" si="139"/>
        <v>8.1172026376634981E-2</v>
      </c>
      <c r="J797" s="38">
        <f t="shared" ca="1" si="140"/>
        <v>2.6028642249088706E-2</v>
      </c>
      <c r="K797" s="36">
        <f t="shared" ca="1" si="141"/>
        <v>2524.3747594864853</v>
      </c>
      <c r="L797" s="36">
        <f ca="1">Assumptions!$C$10*Assumptions!$C$13*I797*Assumptions!$C$15</f>
        <v>5629.5922293210833</v>
      </c>
      <c r="M797" s="36">
        <f ca="1">G797*(1+H797*Assumptions!$C$6)*(1+J797)+L797+K797</f>
        <v>68234.743768741013</v>
      </c>
    </row>
    <row r="798" spans="1:13" x14ac:dyDescent="0.25">
      <c r="A798" s="3">
        <v>785</v>
      </c>
      <c r="B798" s="3">
        <f t="shared" ca="1" si="143"/>
        <v>0.86850479431325567</v>
      </c>
      <c r="C798" s="3">
        <f t="shared" ca="1" si="143"/>
        <v>0.6190226825987416</v>
      </c>
      <c r="D798" s="3">
        <f t="shared" ca="1" si="143"/>
        <v>0.71562001646940332</v>
      </c>
      <c r="E798" s="3">
        <f t="shared" ca="1" si="143"/>
        <v>9.3156942752937399E-2</v>
      </c>
      <c r="F798" s="3">
        <f t="shared" ca="1" si="143"/>
        <v>7.6583667924594589E-2</v>
      </c>
      <c r="G798" s="36">
        <f t="shared" ca="1" si="137"/>
        <v>58292.624558905911</v>
      </c>
      <c r="H798" s="37">
        <f t="shared" ca="1" si="138"/>
        <v>0.14679977018939977</v>
      </c>
      <c r="I798" s="37">
        <f t="shared" ca="1" si="139"/>
        <v>8.9833529419272307E-2</v>
      </c>
      <c r="J798" s="38">
        <f t="shared" ca="1" si="140"/>
        <v>1.8632818439093337E-2</v>
      </c>
      <c r="K798" s="36">
        <f t="shared" ca="1" si="141"/>
        <v>587.04898063166388</v>
      </c>
      <c r="L798" s="36">
        <f ca="1">Assumptions!$C$10*Assumptions!$C$13*I798*Assumptions!$C$15</f>
        <v>6230.3007788012237</v>
      </c>
      <c r="M798" s="36">
        <f ca="1">G798*(1+H798*Assumptions!$C$6)*(1+J798)+L798+K798</f>
        <v>67939.488472880868</v>
      </c>
    </row>
    <row r="799" spans="1:13" x14ac:dyDescent="0.25">
      <c r="A799" s="3">
        <v>786</v>
      </c>
      <c r="B799" s="3">
        <f t="shared" ca="1" si="143"/>
        <v>0.76436621371077984</v>
      </c>
      <c r="C799" s="3">
        <f t="shared" ca="1" si="143"/>
        <v>0.69036690622854546</v>
      </c>
      <c r="D799" s="3">
        <f t="shared" ca="1" si="143"/>
        <v>5.3428430562776685E-2</v>
      </c>
      <c r="E799" s="3">
        <f t="shared" ca="1" si="143"/>
        <v>0.31323606346764454</v>
      </c>
      <c r="F799" s="3">
        <f t="shared" ca="1" si="143"/>
        <v>0.53689341987868877</v>
      </c>
      <c r="G799" s="36">
        <f t="shared" ca="1" si="137"/>
        <v>58137.941133020257</v>
      </c>
      <c r="H799" s="37">
        <f t="shared" ca="1" si="138"/>
        <v>0.15597836863051773</v>
      </c>
      <c r="I799" s="37">
        <f t="shared" ca="1" si="139"/>
        <v>5.3075587092015618E-2</v>
      </c>
      <c r="J799" s="38">
        <f t="shared" ca="1" si="140"/>
        <v>2.5829998445170976E-2</v>
      </c>
      <c r="K799" s="36">
        <f t="shared" ca="1" si="141"/>
        <v>1556.4004673920469</v>
      </c>
      <c r="L799" s="36">
        <f ca="1">Assumptions!$C$10*Assumptions!$C$13*I799*Assumptions!$C$15</f>
        <v>3680.9961017047135</v>
      </c>
      <c r="M799" s="36">
        <f ca="1">G799*(1+H799*Assumptions!$C$6)*(1+J799)+L799+K799</f>
        <v>66737.539508490328</v>
      </c>
    </row>
    <row r="800" spans="1:13" x14ac:dyDescent="0.25">
      <c r="A800" s="3">
        <v>787</v>
      </c>
      <c r="B800" s="3">
        <f t="shared" ca="1" si="143"/>
        <v>0.27602873489139257</v>
      </c>
      <c r="C800" s="3">
        <f t="shared" ca="1" si="143"/>
        <v>0.67147801112385441</v>
      </c>
      <c r="D800" s="3">
        <f t="shared" ca="1" si="143"/>
        <v>0.54511751068115444</v>
      </c>
      <c r="E800" s="3">
        <f t="shared" ca="1" si="143"/>
        <v>0.56871746580843296</v>
      </c>
      <c r="F800" s="3">
        <f t="shared" ca="1" si="143"/>
        <v>0.92240636978247215</v>
      </c>
      <c r="G800" s="36">
        <f t="shared" ca="1" si="137"/>
        <v>57659.431313760579</v>
      </c>
      <c r="H800" s="37">
        <f t="shared" ca="1" si="138"/>
        <v>0.15345347293867811</v>
      </c>
      <c r="I800" s="37">
        <f t="shared" ca="1" si="139"/>
        <v>8.1847359648114709E-2</v>
      </c>
      <c r="J800" s="38">
        <f t="shared" ca="1" si="140"/>
        <v>3.1425123759409493E-2</v>
      </c>
      <c r="K800" s="36">
        <f t="shared" ca="1" si="141"/>
        <v>2409.0927856432318</v>
      </c>
      <c r="L800" s="36">
        <f ca="1">Assumptions!$C$10*Assumptions!$C$13*I800*Assumptions!$C$15</f>
        <v>5676.4291891338626</v>
      </c>
      <c r="M800" s="36">
        <f ca="1">G800*(1+H800*Assumptions!$C$6)*(1+J800)+L800+K800</f>
        <v>69382.126200320228</v>
      </c>
    </row>
    <row r="801" spans="1:13" x14ac:dyDescent="0.25">
      <c r="A801" s="3">
        <v>788</v>
      </c>
      <c r="B801" s="3">
        <f t="shared" ca="1" si="143"/>
        <v>0.40637660059525205</v>
      </c>
      <c r="C801" s="3">
        <f t="shared" ca="1" si="143"/>
        <v>0.73786423841218929</v>
      </c>
      <c r="D801" s="3">
        <f t="shared" ca="1" si="143"/>
        <v>0.9931491632901952</v>
      </c>
      <c r="E801" s="3">
        <f t="shared" ca="1" si="143"/>
        <v>0.76836984823566701</v>
      </c>
      <c r="F801" s="3">
        <f t="shared" ca="1" si="143"/>
        <v>0.23746434794541582</v>
      </c>
      <c r="G801" s="36">
        <f t="shared" ca="1" si="137"/>
        <v>57778.787710980614</v>
      </c>
      <c r="H801" s="37">
        <f t="shared" ca="1" si="138"/>
        <v>0.16269091020971671</v>
      </c>
      <c r="I801" s="37">
        <f t="shared" ca="1" si="139"/>
        <v>0.11531783410467171</v>
      </c>
      <c r="J801" s="38">
        <f t="shared" ca="1" si="140"/>
        <v>3.6387354356648138E-2</v>
      </c>
      <c r="K801" s="36">
        <f t="shared" ca="1" si="141"/>
        <v>1033.7260593379522</v>
      </c>
      <c r="L801" s="36">
        <f ca="1">Assumptions!$C$10*Assumptions!$C$13*I801*Assumptions!$C$15</f>
        <v>7997.7353252901539</v>
      </c>
      <c r="M801" s="36">
        <f ca="1">G801*(1+H801*Assumptions!$C$6)*(1+J801)+L801+K801</f>
        <v>70861.091865369934</v>
      </c>
    </row>
    <row r="802" spans="1:13" x14ac:dyDescent="0.25">
      <c r="A802" s="3">
        <v>789</v>
      </c>
      <c r="B802" s="3">
        <f t="shared" ca="1" si="143"/>
        <v>0.23555600896876738</v>
      </c>
      <c r="C802" s="3">
        <f t="shared" ca="1" si="143"/>
        <v>0.64302156833556634</v>
      </c>
      <c r="D802" s="3">
        <f t="shared" ca="1" si="143"/>
        <v>0.82019365842953396</v>
      </c>
      <c r="E802" s="3">
        <f t="shared" ca="1" si="143"/>
        <v>0.1855684384263635</v>
      </c>
      <c r="F802" s="3">
        <f t="shared" ca="1" si="143"/>
        <v>0.95983509023277747</v>
      </c>
      <c r="G802" s="36">
        <f t="shared" ca="1" si="137"/>
        <v>57616.793114008506</v>
      </c>
      <c r="H802" s="37">
        <f t="shared" ca="1" si="138"/>
        <v>0.1497829936101342</v>
      </c>
      <c r="I802" s="37">
        <f t="shared" ca="1" si="139"/>
        <v>9.6012914036392588E-2</v>
      </c>
      <c r="J802" s="38">
        <f t="shared" ca="1" si="140"/>
        <v>2.2184200865920212E-2</v>
      </c>
      <c r="K802" s="36">
        <f t="shared" ca="1" si="141"/>
        <v>2574.8622647276516</v>
      </c>
      <c r="L802" s="36">
        <f ca="1">Assumptions!$C$10*Assumptions!$C$13*I802*Assumptions!$C$15</f>
        <v>6658.8648688624271</v>
      </c>
      <c r="M802" s="36">
        <f ca="1">G802*(1+H802*Assumptions!$C$6)*(1+J802)+L802+K802</f>
        <v>69892.995910852551</v>
      </c>
    </row>
    <row r="803" spans="1:13" x14ac:dyDescent="0.25">
      <c r="A803" s="3">
        <v>790</v>
      </c>
      <c r="B803" s="3">
        <f t="shared" ca="1" si="143"/>
        <v>0.22510080107536523</v>
      </c>
      <c r="C803" s="3">
        <f t="shared" ca="1" si="143"/>
        <v>0.88183772654972137</v>
      </c>
      <c r="D803" s="3">
        <f t="shared" ca="1" si="143"/>
        <v>0.99947818073467476</v>
      </c>
      <c r="E803" s="3">
        <f t="shared" ca="1" si="143"/>
        <v>0.69923024665057432</v>
      </c>
      <c r="F803" s="3">
        <f t="shared" ca="1" si="143"/>
        <v>0.73278621596602322</v>
      </c>
      <c r="G803" s="36">
        <f t="shared" ca="1" si="137"/>
        <v>57605.193954483817</v>
      </c>
      <c r="H803" s="37">
        <f t="shared" ca="1" si="138"/>
        <v>0.18809528119075922</v>
      </c>
      <c r="I803" s="37">
        <f t="shared" ca="1" si="139"/>
        <v>0.11870778420956839</v>
      </c>
      <c r="J803" s="38">
        <f t="shared" ca="1" si="140"/>
        <v>3.4488204401825671E-2</v>
      </c>
      <c r="K803" s="36">
        <f t="shared" ca="1" si="141"/>
        <v>1903.4317038355998</v>
      </c>
      <c r="L803" s="36">
        <f ca="1">Assumptions!$C$10*Assumptions!$C$13*I803*Assumptions!$C$15</f>
        <v>8232.8414033343724</v>
      </c>
      <c r="M803" s="36">
        <f ca="1">G803*(1+H803*Assumptions!$C$6)*(1+J803)+L803+K803</f>
        <v>71969.957564228345</v>
      </c>
    </row>
    <row r="804" spans="1:13" x14ac:dyDescent="0.25">
      <c r="A804" s="3">
        <v>791</v>
      </c>
      <c r="B804" s="3">
        <f t="shared" ref="B804:F813" ca="1" si="144">RAND()</f>
        <v>0.36935468067148303</v>
      </c>
      <c r="C804" s="3">
        <f t="shared" ca="1" si="144"/>
        <v>3.5691426233203982E-2</v>
      </c>
      <c r="D804" s="3">
        <f t="shared" ca="1" si="144"/>
        <v>0.8282715676769391</v>
      </c>
      <c r="E804" s="3">
        <f t="shared" ca="1" si="144"/>
        <v>0.99922337191482624</v>
      </c>
      <c r="F804" s="3">
        <f t="shared" ca="1" si="144"/>
        <v>0.23098003488233787</v>
      </c>
      <c r="G804" s="36">
        <f t="shared" ca="1" si="137"/>
        <v>57747.129842831979</v>
      </c>
      <c r="H804" s="37">
        <f t="shared" ca="1" si="138"/>
        <v>7.1787518649484003E-2</v>
      </c>
      <c r="I804" s="37">
        <f t="shared" ca="1" si="139"/>
        <v>9.6557922800361851E-2</v>
      </c>
      <c r="J804" s="38">
        <f t="shared" ca="1" si="140"/>
        <v>4.9211772578414706E-2</v>
      </c>
      <c r="K804" s="36">
        <f t="shared" ca="1" si="141"/>
        <v>1019.5146673640946</v>
      </c>
      <c r="L804" s="36">
        <f ca="1">Assumptions!$C$10*Assumptions!$C$13*I804*Assumptions!$C$15</f>
        <v>6696.6633228312485</v>
      </c>
      <c r="M804" s="36">
        <f ca="1">G804*(1+H804*Assumptions!$C$6)*(1+J804)+L804+K804</f>
        <v>69175.052794617324</v>
      </c>
    </row>
    <row r="805" spans="1:13" x14ac:dyDescent="0.25">
      <c r="A805" s="3">
        <v>792</v>
      </c>
      <c r="B805" s="3">
        <f t="shared" ca="1" si="144"/>
        <v>0.76509868682338922</v>
      </c>
      <c r="C805" s="3">
        <f t="shared" ca="1" si="144"/>
        <v>0.16457290183821216</v>
      </c>
      <c r="D805" s="3">
        <f t="shared" ca="1" si="144"/>
        <v>0.66586100708074947</v>
      </c>
      <c r="E805" s="3">
        <f t="shared" ca="1" si="144"/>
        <v>0.71009909036737884</v>
      </c>
      <c r="F805" s="3">
        <f t="shared" ca="1" si="144"/>
        <v>0.57890169460591001</v>
      </c>
      <c r="G805" s="36">
        <f t="shared" ca="1" si="137"/>
        <v>58138.892244192328</v>
      </c>
      <c r="H805" s="37">
        <f t="shared" ca="1" si="138"/>
        <v>9.6784822265861201E-2</v>
      </c>
      <c r="I805" s="37">
        <f t="shared" ca="1" si="139"/>
        <v>8.7300691485268353E-2</v>
      </c>
      <c r="J805" s="38">
        <f t="shared" ca="1" si="140"/>
        <v>3.4771056251134913E-2</v>
      </c>
      <c r="K805" s="36">
        <f t="shared" ca="1" si="141"/>
        <v>1623.4309409719376</v>
      </c>
      <c r="L805" s="36">
        <f ca="1">Assumptions!$C$10*Assumptions!$C$13*I805*Assumptions!$C$15</f>
        <v>6054.6387263936867</v>
      </c>
      <c r="M805" s="36">
        <f ca="1">G805*(1+H805*Assumptions!$C$6)*(1+J805)+L805+K805</f>
        <v>69003.036159574054</v>
      </c>
    </row>
    <row r="806" spans="1:13" x14ac:dyDescent="0.25">
      <c r="A806" s="3">
        <v>793</v>
      </c>
      <c r="B806" s="3">
        <f t="shared" ca="1" si="144"/>
        <v>0.34873642237933944</v>
      </c>
      <c r="C806" s="3">
        <f t="shared" ca="1" si="144"/>
        <v>0.92863425670576438</v>
      </c>
      <c r="D806" s="3">
        <f t="shared" ca="1" si="144"/>
        <v>4.5211631175840372E-2</v>
      </c>
      <c r="E806" s="3">
        <f t="shared" ca="1" si="144"/>
        <v>0.32240727009160075</v>
      </c>
      <c r="F806" s="3">
        <f t="shared" ca="1" si="144"/>
        <v>0.31735774056813837</v>
      </c>
      <c r="G806" s="36">
        <f t="shared" ca="1" si="137"/>
        <v>57728.808318730684</v>
      </c>
      <c r="H806" s="37">
        <f t="shared" ca="1" si="138"/>
        <v>0.19966218960939286</v>
      </c>
      <c r="I806" s="37">
        <f t="shared" ca="1" si="139"/>
        <v>5.202818439178121E-2</v>
      </c>
      <c r="J806" s="38">
        <f t="shared" ca="1" si="140"/>
        <v>2.6060068993415952E-2</v>
      </c>
      <c r="K806" s="36">
        <f t="shared" ca="1" si="141"/>
        <v>1195.0354942664351</v>
      </c>
      <c r="L806" s="36">
        <f ca="1">Assumptions!$C$10*Assumptions!$C$13*I806*Assumptions!$C$15</f>
        <v>3608.3546959715331</v>
      </c>
      <c r="M806" s="36">
        <f ca="1">G806*(1+H806*Assumptions!$C$6)*(1+J806)+L806+K806</f>
        <v>66401.94231874148</v>
      </c>
    </row>
    <row r="807" spans="1:13" x14ac:dyDescent="0.25">
      <c r="A807" s="3">
        <v>794</v>
      </c>
      <c r="B807" s="3">
        <f t="shared" ca="1" si="144"/>
        <v>0.59159098089348239</v>
      </c>
      <c r="C807" s="3">
        <f t="shared" ca="1" si="144"/>
        <v>0.9652264700145301</v>
      </c>
      <c r="D807" s="3">
        <f t="shared" ca="1" si="144"/>
        <v>0.98434725906930476</v>
      </c>
      <c r="E807" s="3">
        <f t="shared" ca="1" si="144"/>
        <v>0.32112279936136867</v>
      </c>
      <c r="F807" s="3">
        <f t="shared" ca="1" si="144"/>
        <v>0.78223583732440694</v>
      </c>
      <c r="G807" s="36">
        <f t="shared" ca="1" si="137"/>
        <v>57944.398645167887</v>
      </c>
      <c r="H807" s="37">
        <f t="shared" ca="1" si="138"/>
        <v>0.21184264778661327</v>
      </c>
      <c r="I807" s="37">
        <f t="shared" ca="1" si="139"/>
        <v>0.11292265791569853</v>
      </c>
      <c r="J807" s="38">
        <f t="shared" ca="1" si="140"/>
        <v>2.6028045404511896E-2</v>
      </c>
      <c r="K807" s="36">
        <f t="shared" ca="1" si="141"/>
        <v>2010.0814518152674</v>
      </c>
      <c r="L807" s="36">
        <f ca="1">Assumptions!$C$10*Assumptions!$C$13*I807*Assumptions!$C$15</f>
        <v>7831.6206443687524</v>
      </c>
      <c r="M807" s="36">
        <f ca="1">G807*(1+H807*Assumptions!$C$6)*(1+J807)+L807+K807</f>
        <v>71813.198492038209</v>
      </c>
    </row>
    <row r="808" spans="1:13" x14ac:dyDescent="0.25">
      <c r="A808" s="3">
        <v>795</v>
      </c>
      <c r="B808" s="3">
        <f t="shared" ca="1" si="144"/>
        <v>0.24549122553979841</v>
      </c>
      <c r="C808" s="3">
        <f t="shared" ca="1" si="144"/>
        <v>0.58698025028555356</v>
      </c>
      <c r="D808" s="3">
        <f t="shared" ca="1" si="144"/>
        <v>0.72870486923532929</v>
      </c>
      <c r="E808" s="3">
        <f t="shared" ca="1" si="144"/>
        <v>0.64248508232063217</v>
      </c>
      <c r="F808" s="3">
        <f t="shared" ca="1" si="144"/>
        <v>0.15116185577082142</v>
      </c>
      <c r="G808" s="36">
        <f t="shared" ca="1" si="137"/>
        <v>57627.579135077031</v>
      </c>
      <c r="H808" s="37">
        <f t="shared" ca="1" si="138"/>
        <v>0.14295954300659247</v>
      </c>
      <c r="I808" s="37">
        <f t="shared" ca="1" si="139"/>
        <v>9.0535709435879061E-2</v>
      </c>
      <c r="J808" s="38">
        <f t="shared" ca="1" si="140"/>
        <v>3.3088112638043787E-2</v>
      </c>
      <c r="K808" s="36">
        <f t="shared" ca="1" si="141"/>
        <v>824.75957161387123</v>
      </c>
      <c r="L808" s="36">
        <f ca="1">Assumptions!$C$10*Assumptions!$C$13*I808*Assumptions!$C$15</f>
        <v>6278.9996636452724</v>
      </c>
      <c r="M808" s="36">
        <f ca="1">G808*(1+H808*Assumptions!$C$6)*(1+J808)+L808+K808</f>
        <v>68340.327378703339</v>
      </c>
    </row>
    <row r="809" spans="1:13" x14ac:dyDescent="0.25">
      <c r="A809" s="3">
        <v>796</v>
      </c>
      <c r="B809" s="3">
        <f t="shared" ca="1" si="144"/>
        <v>0.98199234402745805</v>
      </c>
      <c r="C809" s="3">
        <f t="shared" ca="1" si="144"/>
        <v>0.53691762810155874</v>
      </c>
      <c r="D809" s="3">
        <f t="shared" ca="1" si="144"/>
        <v>0.52816866422805298</v>
      </c>
      <c r="E809" s="3">
        <f t="shared" ca="1" si="144"/>
        <v>0.558877966761677</v>
      </c>
      <c r="F809" s="3">
        <f t="shared" ca="1" si="144"/>
        <v>0.33663111763101305</v>
      </c>
      <c r="G809" s="36">
        <f t="shared" ca="1" si="137"/>
        <v>58580.366881929411</v>
      </c>
      <c r="H809" s="37">
        <f t="shared" ca="1" si="138"/>
        <v>0.13724651792136452</v>
      </c>
      <c r="I809" s="37">
        <f t="shared" ca="1" si="139"/>
        <v>8.114307945204316E-2</v>
      </c>
      <c r="J809" s="38">
        <f t="shared" ca="1" si="140"/>
        <v>3.121443036289135E-2</v>
      </c>
      <c r="K809" s="36">
        <f t="shared" ca="1" si="141"/>
        <v>1230.7883771548863</v>
      </c>
      <c r="L809" s="36">
        <f ca="1">Assumptions!$C$10*Assumptions!$C$13*I809*Assumptions!$C$15</f>
        <v>5627.5846487663157</v>
      </c>
      <c r="M809" s="36">
        <f ca="1">G809*(1+H809*Assumptions!$C$6)*(1+J809)+L809+K809</f>
        <v>68925.475465590731</v>
      </c>
    </row>
    <row r="810" spans="1:13" x14ac:dyDescent="0.25">
      <c r="A810" s="3">
        <v>797</v>
      </c>
      <c r="B810" s="3">
        <f t="shared" ca="1" si="144"/>
        <v>6.5693133736749454E-3</v>
      </c>
      <c r="C810" s="3">
        <f t="shared" ca="1" si="144"/>
        <v>0.33850888897751874</v>
      </c>
      <c r="D810" s="3">
        <f t="shared" ca="1" si="144"/>
        <v>0.67674011903659193</v>
      </c>
      <c r="E810" s="3">
        <f t="shared" ca="1" si="144"/>
        <v>0.68551210978348109</v>
      </c>
      <c r="F810" s="3">
        <f t="shared" ca="1" si="144"/>
        <v>0.58147800922207882</v>
      </c>
      <c r="G810" s="36">
        <f t="shared" ca="1" si="137"/>
        <v>57186.303739568415</v>
      </c>
      <c r="H810" s="37">
        <f t="shared" ca="1" si="138"/>
        <v>0.11709819836181147</v>
      </c>
      <c r="I810" s="37">
        <f t="shared" ca="1" si="139"/>
        <v>8.783741896111405E-2</v>
      </c>
      <c r="J810" s="38">
        <f t="shared" ca="1" si="140"/>
        <v>3.4138401336144736E-2</v>
      </c>
      <c r="K810" s="36">
        <f t="shared" ca="1" si="141"/>
        <v>1627.6483837949381</v>
      </c>
      <c r="L810" s="36">
        <f ca="1">Assumptions!$C$10*Assumptions!$C$13*I810*Assumptions!$C$15</f>
        <v>6091.8628411800319</v>
      </c>
      <c r="M810" s="36">
        <f ca="1">G810*(1+H810*Assumptions!$C$6)*(1+J810)+L810+K810</f>
        <v>68243.067548159917</v>
      </c>
    </row>
    <row r="811" spans="1:13" x14ac:dyDescent="0.25">
      <c r="A811" s="3">
        <v>798</v>
      </c>
      <c r="B811" s="3">
        <f t="shared" ca="1" si="144"/>
        <v>0.17353678998878008</v>
      </c>
      <c r="C811" s="3">
        <f t="shared" ca="1" si="144"/>
        <v>1.5931001557363933E-2</v>
      </c>
      <c r="D811" s="3">
        <f t="shared" ca="1" si="144"/>
        <v>0.95139302716997065</v>
      </c>
      <c r="E811" s="3">
        <f t="shared" ca="1" si="144"/>
        <v>0.84279287050578955</v>
      </c>
      <c r="F811" s="3">
        <f t="shared" ca="1" si="144"/>
        <v>0.86747137087726767</v>
      </c>
      <c r="G811" s="36">
        <f t="shared" ca="1" si="137"/>
        <v>57543.573307836428</v>
      </c>
      <c r="H811" s="37">
        <f t="shared" ca="1" si="138"/>
        <v>6.4556178094298672E-2</v>
      </c>
      <c r="I811" s="37">
        <f t="shared" ca="1" si="139"/>
        <v>0.10752833960308035</v>
      </c>
      <c r="J811" s="38">
        <f t="shared" ca="1" si="140"/>
        <v>3.8785469087145537E-2</v>
      </c>
      <c r="K811" s="36">
        <f t="shared" ca="1" si="141"/>
        <v>2227.7443227451831</v>
      </c>
      <c r="L811" s="36">
        <f ca="1">Assumptions!$C$10*Assumptions!$C$13*I811*Assumptions!$C$15</f>
        <v>7457.5039220105564</v>
      </c>
      <c r="M811" s="36">
        <f ca="1">G811*(1+H811*Assumptions!$C$6)*(1+J811)+L811+K811</f>
        <v>70232.450668721751</v>
      </c>
    </row>
    <row r="812" spans="1:13" x14ac:dyDescent="0.25">
      <c r="A812" s="3">
        <v>799</v>
      </c>
      <c r="B812" s="3">
        <f t="shared" ca="1" si="144"/>
        <v>0.20418154139565081</v>
      </c>
      <c r="C812" s="3">
        <f t="shared" ca="1" si="144"/>
        <v>0.98632089925347965</v>
      </c>
      <c r="D812" s="3">
        <f t="shared" ca="1" si="144"/>
        <v>0.62911951057008586</v>
      </c>
      <c r="E812" s="3">
        <f t="shared" ca="1" si="144"/>
        <v>0.3128695820325329</v>
      </c>
      <c r="F812" s="3">
        <f t="shared" ca="1" si="144"/>
        <v>0.37718463666984692</v>
      </c>
      <c r="G812" s="36">
        <f t="shared" ca="1" si="137"/>
        <v>57581.147090085164</v>
      </c>
      <c r="H812" s="37">
        <f t="shared" ca="1" si="138"/>
        <v>0.22233977641645883</v>
      </c>
      <c r="I812" s="37">
        <f t="shared" ca="1" si="139"/>
        <v>8.5549781333412039E-2</v>
      </c>
      <c r="J812" s="38">
        <f t="shared" ca="1" si="140"/>
        <v>2.5820735306110974E-2</v>
      </c>
      <c r="K812" s="36">
        <f t="shared" ca="1" si="141"/>
        <v>1302.8165124123623</v>
      </c>
      <c r="L812" s="36">
        <f ca="1">Assumptions!$C$10*Assumptions!$C$13*I812*Assumptions!$C$15</f>
        <v>5933.2063730926375</v>
      </c>
      <c r="M812" s="36">
        <f ca="1">G812*(1+H812*Assumptions!$C$6)*(1+J812)+L812+K812</f>
        <v>68930.58780981673</v>
      </c>
    </row>
    <row r="813" spans="1:13" x14ac:dyDescent="0.25">
      <c r="A813" s="3">
        <v>800</v>
      </c>
      <c r="B813" s="3">
        <f t="shared" ca="1" si="144"/>
        <v>0.97386075579977016</v>
      </c>
      <c r="C813" s="3">
        <f t="shared" ca="1" si="144"/>
        <v>0.67098174290730672</v>
      </c>
      <c r="D813" s="3">
        <f t="shared" ca="1" si="144"/>
        <v>0.45124487435852112</v>
      </c>
      <c r="E813" s="3">
        <f t="shared" ca="1" si="144"/>
        <v>8.122294687670284E-2</v>
      </c>
      <c r="F813" s="3">
        <f t="shared" ca="1" si="144"/>
        <v>3.8896485118929069E-2</v>
      </c>
      <c r="G813" s="36">
        <f t="shared" ca="1" si="137"/>
        <v>58545.746931489215</v>
      </c>
      <c r="H813" s="37">
        <f t="shared" ca="1" si="138"/>
        <v>0.15338812863288653</v>
      </c>
      <c r="I813" s="37">
        <f t="shared" ca="1" si="139"/>
        <v>7.799978418290382E-2</v>
      </c>
      <c r="J813" s="38">
        <f t="shared" ca="1" si="140"/>
        <v>1.806091542576662E-2</v>
      </c>
      <c r="K813" s="36">
        <f t="shared" ca="1" si="141"/>
        <v>418.37086781369089</v>
      </c>
      <c r="L813" s="36">
        <f ca="1">Assumptions!$C$10*Assumptions!$C$13*I813*Assumptions!$C$15</f>
        <v>5409.5850322543129</v>
      </c>
      <c r="M813" s="36">
        <f ca="1">G813*(1+H813*Assumptions!$C$6)*(1+J813)+L813+K813</f>
        <v>67259.575335708927</v>
      </c>
    </row>
    <row r="814" spans="1:13" x14ac:dyDescent="0.25">
      <c r="A814" s="3">
        <v>801</v>
      </c>
      <c r="B814" s="3">
        <f t="shared" ref="B814:F823" ca="1" si="145">RAND()</f>
        <v>0.10417528584227753</v>
      </c>
      <c r="C814" s="3">
        <f t="shared" ca="1" si="145"/>
        <v>7.3254923139317141E-2</v>
      </c>
      <c r="D814" s="3">
        <f t="shared" ca="1" si="145"/>
        <v>0.24814752769890291</v>
      </c>
      <c r="E814" s="3">
        <f t="shared" ca="1" si="145"/>
        <v>0.11768287114010356</v>
      </c>
      <c r="F814" s="3">
        <f t="shared" ca="1" si="145"/>
        <v>0.1313191347018493</v>
      </c>
      <c r="G814" s="36">
        <f t="shared" ca="1" si="137"/>
        <v>57443.678191973042</v>
      </c>
      <c r="H814" s="37">
        <f t="shared" ca="1" si="138"/>
        <v>8.1213626475514153E-2</v>
      </c>
      <c r="I814" s="37">
        <f t="shared" ca="1" si="139"/>
        <v>6.817928474316709E-2</v>
      </c>
      <c r="J814" s="38">
        <f t="shared" ca="1" si="140"/>
        <v>1.9702901468740309E-2</v>
      </c>
      <c r="K814" s="36">
        <f t="shared" ca="1" si="141"/>
        <v>768.72368648189968</v>
      </c>
      <c r="L814" s="36">
        <f ca="1">Assumptions!$C$10*Assumptions!$C$13*I814*Assumptions!$C$15</f>
        <v>4728.4956249568795</v>
      </c>
      <c r="M814" s="36">
        <f ca="1">G814*(1+H814*Assumptions!$C$6)*(1+J814)+L814+K814</f>
        <v>65024.130151965459</v>
      </c>
    </row>
    <row r="815" spans="1:13" x14ac:dyDescent="0.25">
      <c r="A815" s="3">
        <v>802</v>
      </c>
      <c r="B815" s="3">
        <f t="shared" ca="1" si="145"/>
        <v>0.67136531373257491</v>
      </c>
      <c r="C815" s="3">
        <f t="shared" ca="1" si="145"/>
        <v>7.7634923215000984E-2</v>
      </c>
      <c r="D815" s="3">
        <f t="shared" ca="1" si="145"/>
        <v>0.21594395465147476</v>
      </c>
      <c r="E815" s="3">
        <f t="shared" ca="1" si="145"/>
        <v>0.18634944880086746</v>
      </c>
      <c r="F815" s="3">
        <f t="shared" ca="1" si="145"/>
        <v>0.32259505442248193</v>
      </c>
      <c r="G815" s="36">
        <f t="shared" ca="1" si="137"/>
        <v>58027.28648383775</v>
      </c>
      <c r="H815" s="37">
        <f t="shared" ca="1" si="138"/>
        <v>8.2133230132675941E-2</v>
      </c>
      <c r="I815" s="37">
        <f t="shared" ca="1" si="139"/>
        <v>6.6287271727676858E-2</v>
      </c>
      <c r="J815" s="38">
        <f t="shared" ca="1" si="140"/>
        <v>2.2209814046114461E-2</v>
      </c>
      <c r="K815" s="36">
        <f t="shared" ca="1" si="141"/>
        <v>1204.8559021315241</v>
      </c>
      <c r="L815" s="36">
        <f ca="1">Assumptions!$C$10*Assumptions!$C$13*I815*Assumptions!$C$15</f>
        <v>4597.2772453594962</v>
      </c>
      <c r="M815" s="36">
        <f ca="1">G815*(1+H815*Assumptions!$C$6)*(1+J815)+L815+K815</f>
        <v>66092.558823400541</v>
      </c>
    </row>
    <row r="816" spans="1:13" x14ac:dyDescent="0.25">
      <c r="A816" s="3">
        <v>803</v>
      </c>
      <c r="B816" s="3">
        <f t="shared" ca="1" si="145"/>
        <v>0.64508346076299394</v>
      </c>
      <c r="C816" s="3">
        <f t="shared" ca="1" si="145"/>
        <v>0.60196146922544025</v>
      </c>
      <c r="D816" s="3">
        <f t="shared" ca="1" si="145"/>
        <v>0.10127107040306638</v>
      </c>
      <c r="E816" s="3">
        <f t="shared" ca="1" si="145"/>
        <v>0.48120917704488031</v>
      </c>
      <c r="F816" s="3">
        <f t="shared" ca="1" si="145"/>
        <v>0.25680507622796467</v>
      </c>
      <c r="G816" s="36">
        <f t="shared" ca="1" si="137"/>
        <v>57998.966941996601</v>
      </c>
      <c r="H816" s="37">
        <f t="shared" ca="1" si="138"/>
        <v>0.14473574384030513</v>
      </c>
      <c r="I816" s="37">
        <f t="shared" ca="1" si="139"/>
        <v>5.8001872827286957E-2</v>
      </c>
      <c r="J816" s="38">
        <f t="shared" ca="1" si="140"/>
        <v>2.9620584640522418E-2</v>
      </c>
      <c r="K816" s="36">
        <f t="shared" ca="1" si="141"/>
        <v>1074.9989967557369</v>
      </c>
      <c r="L816" s="36">
        <f ca="1">Assumptions!$C$10*Assumptions!$C$13*I816*Assumptions!$C$15</f>
        <v>4022.6529646986087</v>
      </c>
      <c r="M816" s="36">
        <f ca="1">G816*(1+H816*Assumptions!$C$6)*(1+J816)+L816+K816</f>
        <v>66543.217076777408</v>
      </c>
    </row>
    <row r="817" spans="1:13" x14ac:dyDescent="0.25">
      <c r="A817" s="3">
        <v>804</v>
      </c>
      <c r="B817" s="3">
        <f t="shared" ca="1" si="145"/>
        <v>0.98195677238472268</v>
      </c>
      <c r="C817" s="3">
        <f t="shared" ca="1" si="145"/>
        <v>0.71407643630636164</v>
      </c>
      <c r="D817" s="3">
        <f t="shared" ca="1" si="145"/>
        <v>0.97429908282375743</v>
      </c>
      <c r="E817" s="3">
        <f t="shared" ca="1" si="145"/>
        <v>0.62270409060804488</v>
      </c>
      <c r="F817" s="3">
        <f t="shared" ca="1" si="145"/>
        <v>0.35302208582601202</v>
      </c>
      <c r="G817" s="36">
        <f t="shared" ca="1" si="137"/>
        <v>58580.200010688852</v>
      </c>
      <c r="H817" s="37">
        <f t="shared" ca="1" si="138"/>
        <v>0.15925932095767986</v>
      </c>
      <c r="I817" s="37">
        <f t="shared" ca="1" si="139"/>
        <v>0.11093121094280078</v>
      </c>
      <c r="J817" s="38">
        <f t="shared" ca="1" si="140"/>
        <v>3.2626551076036625E-2</v>
      </c>
      <c r="K817" s="36">
        <f t="shared" ca="1" si="141"/>
        <v>1260.3965194402331</v>
      </c>
      <c r="L817" s="36">
        <f ca="1">Assumptions!$C$10*Assumptions!$C$13*I817*Assumptions!$C$15</f>
        <v>7693.5061373868593</v>
      </c>
      <c r="M817" s="36">
        <f ca="1">G817*(1+H817*Assumptions!$C$6)*(1+J817)+L817+K817</f>
        <v>71372.138639158773</v>
      </c>
    </row>
    <row r="818" spans="1:13" x14ac:dyDescent="0.25">
      <c r="A818" s="3">
        <v>805</v>
      </c>
      <c r="B818" s="3">
        <f t="shared" ca="1" si="145"/>
        <v>0.98811991327066906</v>
      </c>
      <c r="C818" s="3">
        <f t="shared" ca="1" si="145"/>
        <v>0.6629634264031623</v>
      </c>
      <c r="D818" s="3">
        <f t="shared" ca="1" si="145"/>
        <v>0.73082062098545586</v>
      </c>
      <c r="E818" s="3">
        <f t="shared" ca="1" si="145"/>
        <v>0.95940880244458604</v>
      </c>
      <c r="F818" s="3">
        <f t="shared" ca="1" si="145"/>
        <v>0.87367016966617683</v>
      </c>
      <c r="G818" s="36">
        <f t="shared" ca="1" si="137"/>
        <v>58612.106070087975</v>
      </c>
      <c r="H818" s="37">
        <f t="shared" ca="1" si="138"/>
        <v>0.15233909720971439</v>
      </c>
      <c r="I818" s="37">
        <f t="shared" ca="1" si="139"/>
        <v>9.0650826027866796E-2</v>
      </c>
      <c r="J818" s="38">
        <f t="shared" ca="1" si="140"/>
        <v>4.4301495104474231E-2</v>
      </c>
      <c r="K818" s="36">
        <f t="shared" ca="1" si="141"/>
        <v>2246.0210636216657</v>
      </c>
      <c r="L818" s="36">
        <f ca="1">Assumptions!$C$10*Assumptions!$C$13*I818*Assumptions!$C$15</f>
        <v>6286.9834420557454</v>
      </c>
      <c r="M818" s="36">
        <f ca="1">G818*(1+H818*Assumptions!$C$6)*(1+J818)+L818+K818</f>
        <v>71606.610430453104</v>
      </c>
    </row>
    <row r="819" spans="1:13" x14ac:dyDescent="0.25">
      <c r="A819" s="3">
        <v>806</v>
      </c>
      <c r="B819" s="3">
        <f t="shared" ca="1" si="145"/>
        <v>0.98916116559768552</v>
      </c>
      <c r="C819" s="3">
        <f t="shared" ca="1" si="145"/>
        <v>0.54725214729401517</v>
      </c>
      <c r="D819" s="3">
        <f t="shared" ca="1" si="145"/>
        <v>1.0770899760109698E-3</v>
      </c>
      <c r="E819" s="3">
        <f t="shared" ca="1" si="145"/>
        <v>0.63556810300487865</v>
      </c>
      <c r="F819" s="3">
        <f t="shared" ca="1" si="145"/>
        <v>6.938142090477073E-2</v>
      </c>
      <c r="G819" s="36">
        <f t="shared" ca="1" si="137"/>
        <v>58618.260838734452</v>
      </c>
      <c r="H819" s="37">
        <f t="shared" ca="1" si="138"/>
        <v>0.13839955196114312</v>
      </c>
      <c r="I819" s="37">
        <f t="shared" ca="1" si="139"/>
        <v>4.1856525766919249E-2</v>
      </c>
      <c r="J819" s="38">
        <f t="shared" ca="1" si="140"/>
        <v>3.292529597339687E-2</v>
      </c>
      <c r="K819" s="36">
        <f t="shared" ca="1" si="141"/>
        <v>558.76327194212422</v>
      </c>
      <c r="L819" s="36">
        <f ca="1">Assumptions!$C$10*Assumptions!$C$13*I819*Assumptions!$C$15</f>
        <v>2902.911048573415</v>
      </c>
      <c r="M819" s="36">
        <f ca="1">G819*(1+H819*Assumptions!$C$6)*(1+J819)+L819+K819</f>
        <v>65685.929834134135</v>
      </c>
    </row>
    <row r="820" spans="1:13" x14ac:dyDescent="0.25">
      <c r="A820" s="3">
        <v>807</v>
      </c>
      <c r="B820" s="3">
        <f t="shared" ca="1" si="145"/>
        <v>0.90294645410809826</v>
      </c>
      <c r="C820" s="3">
        <f t="shared" ca="1" si="145"/>
        <v>1.4195983469885043E-2</v>
      </c>
      <c r="D820" s="3">
        <f t="shared" ca="1" si="145"/>
        <v>4.0494993514159638E-2</v>
      </c>
      <c r="E820" s="3">
        <f t="shared" ca="1" si="145"/>
        <v>0.21948518023163111</v>
      </c>
      <c r="F820" s="3">
        <f t="shared" ca="1" si="145"/>
        <v>0.49439526175181592</v>
      </c>
      <c r="G820" s="36">
        <f t="shared" ca="1" si="137"/>
        <v>58356.978269110921</v>
      </c>
      <c r="H820" s="37">
        <f t="shared" ca="1" si="138"/>
        <v>6.3740690672214079E-2</v>
      </c>
      <c r="I820" s="37">
        <f t="shared" ca="1" si="139"/>
        <v>5.1383495914933637E-2</v>
      </c>
      <c r="J820" s="38">
        <f t="shared" ca="1" si="140"/>
        <v>2.325096766977057E-2</v>
      </c>
      <c r="K820" s="36">
        <f t="shared" ca="1" si="141"/>
        <v>1491.5691998305583</v>
      </c>
      <c r="L820" s="36">
        <f ca="1">Assumptions!$C$10*Assumptions!$C$13*I820*Assumptions!$C$15</f>
        <v>3563.6430705310895</v>
      </c>
      <c r="M820" s="36">
        <f ca="1">G820*(1+H820*Assumptions!$C$6)*(1+J820)+L820+K820</f>
        <v>65530.28696505438</v>
      </c>
    </row>
    <row r="821" spans="1:13" x14ac:dyDescent="0.25">
      <c r="A821" s="3">
        <v>808</v>
      </c>
      <c r="B821" s="3">
        <f t="shared" ca="1" si="145"/>
        <v>0.64866280738770443</v>
      </c>
      <c r="C821" s="3">
        <f t="shared" ca="1" si="145"/>
        <v>0.3355205288818881</v>
      </c>
      <c r="D821" s="3">
        <f t="shared" ca="1" si="145"/>
        <v>0.656400221100092</v>
      </c>
      <c r="E821" s="3">
        <f t="shared" ca="1" si="145"/>
        <v>0.41211690539687351</v>
      </c>
      <c r="F821" s="3">
        <f t="shared" ca="1" si="145"/>
        <v>0.53915391437249116</v>
      </c>
      <c r="G821" s="36">
        <f t="shared" ca="1" si="137"/>
        <v>58002.760618116823</v>
      </c>
      <c r="H821" s="37">
        <f t="shared" ca="1" si="138"/>
        <v>0.11680137000188777</v>
      </c>
      <c r="I821" s="37">
        <f t="shared" ca="1" si="139"/>
        <v>8.6840999826899107E-2</v>
      </c>
      <c r="J821" s="38">
        <f t="shared" ca="1" si="140"/>
        <v>2.8157464699607671E-2</v>
      </c>
      <c r="K821" s="36">
        <f t="shared" ca="1" si="141"/>
        <v>1559.9279930073671</v>
      </c>
      <c r="L821" s="36">
        <f ca="1">Assumptions!$C$10*Assumptions!$C$13*I821*Assumptions!$C$15</f>
        <v>6022.7573418409402</v>
      </c>
      <c r="M821" s="36">
        <f ca="1">G821*(1+H821*Assumptions!$C$6)*(1+J821)+L821+K821</f>
        <v>68611.769267459298</v>
      </c>
    </row>
    <row r="822" spans="1:13" x14ac:dyDescent="0.25">
      <c r="A822" s="3">
        <v>809</v>
      </c>
      <c r="B822" s="3">
        <f t="shared" ca="1" si="145"/>
        <v>0.52248717478508655</v>
      </c>
      <c r="C822" s="3">
        <f t="shared" ca="1" si="145"/>
        <v>2.7448769962657549E-2</v>
      </c>
      <c r="D822" s="3">
        <f t="shared" ca="1" si="145"/>
        <v>0.19465795695713684</v>
      </c>
      <c r="E822" s="3">
        <f t="shared" ca="1" si="145"/>
        <v>0.54631675870970653</v>
      </c>
      <c r="F822" s="3">
        <f t="shared" ca="1" si="145"/>
        <v>0.77270953828896827</v>
      </c>
      <c r="G822" s="36">
        <f t="shared" ca="1" si="137"/>
        <v>57878.954500648309</v>
      </c>
      <c r="H822" s="37">
        <f t="shared" ca="1" si="138"/>
        <v>6.9106769494170009E-2</v>
      </c>
      <c r="I822" s="37">
        <f t="shared" ca="1" si="139"/>
        <v>6.4958074089617526E-2</v>
      </c>
      <c r="J822" s="38">
        <f t="shared" ca="1" si="140"/>
        <v>3.0948842737717093E-2</v>
      </c>
      <c r="K822" s="36">
        <f t="shared" ca="1" si="141"/>
        <v>1988.6607504404653</v>
      </c>
      <c r="L822" s="36">
        <f ca="1">Assumptions!$C$10*Assumptions!$C$13*I822*Assumptions!$C$15</f>
        <v>4505.0922768614737</v>
      </c>
      <c r="M822" s="36">
        <f ca="1">G822*(1+H822*Assumptions!$C$6)*(1+J822)+L822+K822</f>
        <v>66988.717708933575</v>
      </c>
    </row>
    <row r="823" spans="1:13" x14ac:dyDescent="0.25">
      <c r="A823" s="3">
        <v>810</v>
      </c>
      <c r="B823" s="3">
        <f t="shared" ca="1" si="145"/>
        <v>0.71200072291378247</v>
      </c>
      <c r="C823" s="3">
        <f t="shared" ca="1" si="145"/>
        <v>0.43346391844631504</v>
      </c>
      <c r="D823" s="3">
        <f t="shared" ca="1" si="145"/>
        <v>0.23184851997661904</v>
      </c>
      <c r="E823" s="3">
        <f t="shared" ca="1" si="145"/>
        <v>0.56228144435467342</v>
      </c>
      <c r="F823" s="3">
        <f t="shared" ca="1" si="145"/>
        <v>0.11318444694679042</v>
      </c>
      <c r="G823" s="36">
        <f t="shared" ca="1" si="137"/>
        <v>58073.403640852026</v>
      </c>
      <c r="H823" s="37">
        <f t="shared" ca="1" si="138"/>
        <v>0.12634691970991715</v>
      </c>
      <c r="I823" s="37">
        <f t="shared" ca="1" si="139"/>
        <v>6.7238121519759414E-2</v>
      </c>
      <c r="J823" s="38">
        <f t="shared" ca="1" si="140"/>
        <v>3.1287040733324376E-2</v>
      </c>
      <c r="K823" s="36">
        <f t="shared" ca="1" si="141"/>
        <v>713.67360274887358</v>
      </c>
      <c r="L823" s="36">
        <f ca="1">Assumptions!$C$10*Assumptions!$C$13*I823*Assumptions!$C$15</f>
        <v>4663.2223355550059</v>
      </c>
      <c r="M823" s="36">
        <f ca="1">G823*(1+H823*Assumptions!$C$6)*(1+J823)+L823+K823</f>
        <v>66780.636737231078</v>
      </c>
    </row>
    <row r="824" spans="1:13" x14ac:dyDescent="0.25">
      <c r="A824" s="3">
        <v>811</v>
      </c>
      <c r="B824" s="3">
        <f t="shared" ref="B824:F833" ca="1" si="146">RAND()</f>
        <v>0.34272694151970384</v>
      </c>
      <c r="C824" s="3">
        <f t="shared" ca="1" si="146"/>
        <v>7.8153387841515598E-2</v>
      </c>
      <c r="D824" s="3">
        <f t="shared" ca="1" si="146"/>
        <v>0.6442556469562416</v>
      </c>
      <c r="E824" s="3">
        <f t="shared" ca="1" si="146"/>
        <v>0.44476289740364605</v>
      </c>
      <c r="F824" s="3">
        <f t="shared" ca="1" si="146"/>
        <v>0.17827989295453006</v>
      </c>
      <c r="G824" s="36">
        <f t="shared" ca="1" si="137"/>
        <v>57723.366913168313</v>
      </c>
      <c r="H824" s="37">
        <f t="shared" ca="1" si="138"/>
        <v>8.2240348296694271E-2</v>
      </c>
      <c r="I824" s="37">
        <f t="shared" ca="1" si="139"/>
        <v>8.626008402885349E-2</v>
      </c>
      <c r="J824" s="38">
        <f t="shared" ca="1" si="140"/>
        <v>2.8862935029388102E-2</v>
      </c>
      <c r="K824" s="36">
        <f t="shared" ca="1" si="141"/>
        <v>895.68940950275021</v>
      </c>
      <c r="L824" s="36">
        <f ca="1">Assumptions!$C$10*Assumptions!$C$13*I824*Assumptions!$C$15</f>
        <v>5982.4685969549464</v>
      </c>
      <c r="M824" s="36">
        <f ca="1">G824*(1+H824*Assumptions!$C$6)*(1+J824)+L824+K824</f>
        <v>67244.432234630425</v>
      </c>
    </row>
    <row r="825" spans="1:13" x14ac:dyDescent="0.25">
      <c r="A825" s="3">
        <v>812</v>
      </c>
      <c r="B825" s="3">
        <f t="shared" ca="1" si="146"/>
        <v>0.30286926781908741</v>
      </c>
      <c r="C825" s="3">
        <f t="shared" ca="1" si="146"/>
        <v>0.39302060070511369</v>
      </c>
      <c r="D825" s="3">
        <f t="shared" ca="1" si="146"/>
        <v>0.41122699442655297</v>
      </c>
      <c r="E825" s="3">
        <f t="shared" ca="1" si="146"/>
        <v>0.91097608027574239</v>
      </c>
      <c r="F825" s="3">
        <f t="shared" ca="1" si="146"/>
        <v>0.53747934942314479</v>
      </c>
      <c r="G825" s="36">
        <f t="shared" ca="1" si="137"/>
        <v>57685.999476965051</v>
      </c>
      <c r="H825" s="37">
        <f t="shared" ca="1" si="138"/>
        <v>0.12236016701846518</v>
      </c>
      <c r="I825" s="37">
        <f t="shared" ca="1" si="139"/>
        <v>7.6275699609586717E-2</v>
      </c>
      <c r="J825" s="38">
        <f t="shared" ca="1" si="140"/>
        <v>4.1560856928609044E-2</v>
      </c>
      <c r="K825" s="36">
        <f t="shared" ca="1" si="141"/>
        <v>1557.3139885630524</v>
      </c>
      <c r="L825" s="36">
        <f ca="1">Assumptions!$C$10*Assumptions!$C$13*I825*Assumptions!$C$15</f>
        <v>5290.0131360002597</v>
      </c>
      <c r="M825" s="36">
        <f ca="1">G825*(1+H825*Assumptions!$C$6)*(1+J825)+L825+K825</f>
        <v>68401.171078847328</v>
      </c>
    </row>
    <row r="826" spans="1:13" x14ac:dyDescent="0.25">
      <c r="A826" s="3">
        <v>813</v>
      </c>
      <c r="B826" s="3">
        <f t="shared" ca="1" si="146"/>
        <v>0.48044575819296587</v>
      </c>
      <c r="C826" s="3">
        <f t="shared" ca="1" si="146"/>
        <v>0.40517876270543562</v>
      </c>
      <c r="D826" s="3">
        <f t="shared" ca="1" si="146"/>
        <v>0.12287407943402129</v>
      </c>
      <c r="E826" s="3">
        <f t="shared" ca="1" si="146"/>
        <v>0.76127683563904425</v>
      </c>
      <c r="F826" s="3">
        <f t="shared" ca="1" si="146"/>
        <v>0.49718676522661798</v>
      </c>
      <c r="G826" s="36">
        <f t="shared" ca="1" si="137"/>
        <v>57841.44448782433</v>
      </c>
      <c r="H826" s="37">
        <f t="shared" ca="1" si="138"/>
        <v>0.12354432512618344</v>
      </c>
      <c r="I826" s="37">
        <f t="shared" ca="1" si="139"/>
        <v>5.9829197013214333E-2</v>
      </c>
      <c r="J826" s="38">
        <f t="shared" ca="1" si="140"/>
        <v>3.6180501764218623E-2</v>
      </c>
      <c r="K826" s="36">
        <f t="shared" ca="1" si="141"/>
        <v>1495.7741953649893</v>
      </c>
      <c r="L826" s="36">
        <f ca="1">Assumptions!$C$10*Assumptions!$C$13*I826*Assumptions!$C$15</f>
        <v>4149.3849251626179</v>
      </c>
      <c r="M826" s="36">
        <f ca="1">G826*(1+H826*Assumptions!$C$6)*(1+J826)+L826+K826</f>
        <v>67060.24158189242</v>
      </c>
    </row>
    <row r="827" spans="1:13" x14ac:dyDescent="0.25">
      <c r="A827" s="3">
        <v>814</v>
      </c>
      <c r="B827" s="3">
        <f t="shared" ca="1" si="146"/>
        <v>0.50800664718349808</v>
      </c>
      <c r="C827" s="3">
        <f t="shared" ca="1" si="146"/>
        <v>0.51527583512192721</v>
      </c>
      <c r="D827" s="3">
        <f t="shared" ca="1" si="146"/>
        <v>0.65669039835650833</v>
      </c>
      <c r="E827" s="3">
        <f t="shared" ca="1" si="146"/>
        <v>0.62396980507157995</v>
      </c>
      <c r="F827" s="3">
        <f t="shared" ca="1" si="146"/>
        <v>0.18876203700321537</v>
      </c>
      <c r="G827" s="36">
        <f t="shared" ca="1" si="137"/>
        <v>57865.85494139931</v>
      </c>
      <c r="H827" s="37">
        <f t="shared" ca="1" si="138"/>
        <v>0.13487288190376348</v>
      </c>
      <c r="I827" s="37">
        <f t="shared" ca="1" si="139"/>
        <v>8.685500452166009E-2</v>
      </c>
      <c r="J827" s="38">
        <f t="shared" ca="1" si="140"/>
        <v>3.26557169089427E-2</v>
      </c>
      <c r="K827" s="36">
        <f t="shared" ca="1" si="141"/>
        <v>921.64481581272355</v>
      </c>
      <c r="L827" s="36">
        <f ca="1">Assumptions!$C$10*Assumptions!$C$13*I827*Assumptions!$C$15</f>
        <v>6023.7286212868257</v>
      </c>
      <c r="M827" s="36">
        <f ca="1">G827*(1+H827*Assumptions!$C$6)*(1+J827)+L827+K827</f>
        <v>68312.758814743327</v>
      </c>
    </row>
    <row r="828" spans="1:13" x14ac:dyDescent="0.25">
      <c r="A828" s="3">
        <v>815</v>
      </c>
      <c r="B828" s="3">
        <f t="shared" ca="1" si="146"/>
        <v>0.30113137840611592</v>
      </c>
      <c r="C828" s="3">
        <f t="shared" ca="1" si="146"/>
        <v>0.12983693477740832</v>
      </c>
      <c r="D828" s="3">
        <f t="shared" ca="1" si="146"/>
        <v>0.51766807840258933</v>
      </c>
      <c r="E828" s="3">
        <f t="shared" ca="1" si="146"/>
        <v>0.24862107476124273</v>
      </c>
      <c r="F828" s="3">
        <f t="shared" ca="1" si="146"/>
        <v>0.65076572916144926</v>
      </c>
      <c r="G828" s="36">
        <f t="shared" ca="1" si="137"/>
        <v>57684.315801000725</v>
      </c>
      <c r="H828" s="37">
        <f t="shared" ca="1" si="138"/>
        <v>9.1555158916066373E-2</v>
      </c>
      <c r="I828" s="37">
        <f t="shared" ca="1" si="139"/>
        <v>8.0713079159703618E-2</v>
      </c>
      <c r="J828" s="38">
        <f t="shared" ca="1" si="140"/>
        <v>2.4103079798717519E-2</v>
      </c>
      <c r="K828" s="36">
        <f t="shared" ca="1" si="141"/>
        <v>1746.3835439922311</v>
      </c>
      <c r="L828" s="36">
        <f ca="1">Assumptions!$C$10*Assumptions!$C$13*I828*Assumptions!$C$15</f>
        <v>5597.7624746452902</v>
      </c>
      <c r="M828" s="36">
        <f ca="1">G828*(1+H828*Assumptions!$C$6)*(1+J828)+L828+K828</f>
        <v>67500.549929709989</v>
      </c>
    </row>
    <row r="829" spans="1:13" x14ac:dyDescent="0.25">
      <c r="A829" s="3">
        <v>816</v>
      </c>
      <c r="B829" s="3">
        <f t="shared" ca="1" si="146"/>
        <v>0.71170365123351231</v>
      </c>
      <c r="C829" s="3">
        <f t="shared" ca="1" si="146"/>
        <v>0.6257240562915195</v>
      </c>
      <c r="D829" s="3">
        <f t="shared" ca="1" si="146"/>
        <v>0.88433724559821125</v>
      </c>
      <c r="E829" s="3">
        <f t="shared" ca="1" si="146"/>
        <v>0.59929923125059581</v>
      </c>
      <c r="F829" s="3">
        <f t="shared" ca="1" si="146"/>
        <v>0.33020494665954581</v>
      </c>
      <c r="G829" s="36">
        <f t="shared" ca="1" si="137"/>
        <v>58073.055083632818</v>
      </c>
      <c r="H829" s="37">
        <f t="shared" ca="1" si="138"/>
        <v>0.14762310074183396</v>
      </c>
      <c r="I829" s="37">
        <f t="shared" ca="1" si="139"/>
        <v>0.10076147578202205</v>
      </c>
      <c r="J829" s="38">
        <f t="shared" ca="1" si="140"/>
        <v>3.2095793371402261E-2</v>
      </c>
      <c r="K829" s="36">
        <f t="shared" ca="1" si="141"/>
        <v>1218.9841098094578</v>
      </c>
      <c r="L829" s="36">
        <f ca="1">Assumptions!$C$10*Assumptions!$C$13*I829*Assumptions!$C$15</f>
        <v>6988.1958896208516</v>
      </c>
      <c r="M829" s="36">
        <f ca="1">G829*(1+H829*Assumptions!$C$6)*(1+J829)+L829+K829</f>
        <v>69913.751714090671</v>
      </c>
    </row>
    <row r="830" spans="1:13" x14ac:dyDescent="0.25">
      <c r="A830" s="3">
        <v>817</v>
      </c>
      <c r="B830" s="3">
        <f t="shared" ca="1" si="146"/>
        <v>0.50003534585794585</v>
      </c>
      <c r="C830" s="3">
        <f t="shared" ca="1" si="146"/>
        <v>0.10805109982527172</v>
      </c>
      <c r="D830" s="3">
        <f t="shared" ca="1" si="146"/>
        <v>0.26986585706131616</v>
      </c>
      <c r="E830" s="3">
        <f t="shared" ca="1" si="146"/>
        <v>0.51505275139737294</v>
      </c>
      <c r="F830" s="3">
        <f t="shared" ca="1" si="146"/>
        <v>0.13813641300127621</v>
      </c>
      <c r="G830" s="36">
        <f t="shared" ca="1" si="137"/>
        <v>57858.726057119216</v>
      </c>
      <c r="H830" s="37">
        <f t="shared" ca="1" si="138"/>
        <v>8.7908833108869419E-2</v>
      </c>
      <c r="I830" s="37">
        <f t="shared" ca="1" si="139"/>
        <v>6.9386574189520822E-2</v>
      </c>
      <c r="J830" s="38">
        <f t="shared" ca="1" si="140"/>
        <v>3.0303355644117912E-2</v>
      </c>
      <c r="K830" s="36">
        <f t="shared" ca="1" si="141"/>
        <v>788.42492255492721</v>
      </c>
      <c r="L830" s="36">
        <f ca="1">Assumptions!$C$10*Assumptions!$C$13*I830*Assumptions!$C$15</f>
        <v>4812.2257914824586</v>
      </c>
      <c r="M830" s="36">
        <f ca="1">G830*(1+H830*Assumptions!$C$6)*(1+J830)+L830+K830</f>
        <v>66260.775292251041</v>
      </c>
    </row>
    <row r="831" spans="1:13" x14ac:dyDescent="0.25">
      <c r="A831" s="3">
        <v>818</v>
      </c>
      <c r="B831" s="3">
        <f t="shared" ca="1" si="146"/>
        <v>0.80704830842507724</v>
      </c>
      <c r="C831" s="3">
        <f t="shared" ca="1" si="146"/>
        <v>0.46199714052987784</v>
      </c>
      <c r="D831" s="3">
        <f t="shared" ca="1" si="146"/>
        <v>0.32784092080971172</v>
      </c>
      <c r="E831" s="3">
        <f t="shared" ca="1" si="146"/>
        <v>0.65707906552931683</v>
      </c>
      <c r="F831" s="3">
        <f t="shared" ca="1" si="146"/>
        <v>0.6988295049558928</v>
      </c>
      <c r="G831" s="36">
        <f t="shared" ca="1" si="137"/>
        <v>58196.084864096672</v>
      </c>
      <c r="H831" s="37">
        <f t="shared" ca="1" si="138"/>
        <v>0.12924592469837154</v>
      </c>
      <c r="I831" s="37">
        <f t="shared" ca="1" si="139"/>
        <v>7.2389673456073583E-2</v>
      </c>
      <c r="J831" s="38">
        <f t="shared" ca="1" si="140"/>
        <v>3.3436885933600932E-2</v>
      </c>
      <c r="K831" s="36">
        <f t="shared" ca="1" si="141"/>
        <v>1835.8405488514547</v>
      </c>
      <c r="L831" s="36">
        <f ca="1">Assumptions!$C$10*Assumptions!$C$13*I831*Assumptions!$C$15</f>
        <v>5020.5022759996873</v>
      </c>
      <c r="M831" s="36">
        <f ca="1">G831*(1+H831*Assumptions!$C$6)*(1+J831)+L831+K831</f>
        <v>68552.944722483531</v>
      </c>
    </row>
    <row r="832" spans="1:13" x14ac:dyDescent="0.25">
      <c r="A832" s="3">
        <v>819</v>
      </c>
      <c r="B832" s="3">
        <f t="shared" ca="1" si="146"/>
        <v>0.74106456971028156</v>
      </c>
      <c r="C832" s="3">
        <f t="shared" ca="1" si="146"/>
        <v>0.99083562363523425</v>
      </c>
      <c r="D832" s="3">
        <f t="shared" ca="1" si="146"/>
        <v>0.6272035160641688</v>
      </c>
      <c r="E832" s="3">
        <f t="shared" ca="1" si="146"/>
        <v>0.15811226025863556</v>
      </c>
      <c r="F832" s="3">
        <f t="shared" ca="1" si="146"/>
        <v>0.80898897400345315</v>
      </c>
      <c r="G832" s="36">
        <f t="shared" ca="1" si="137"/>
        <v>58108.420266117631</v>
      </c>
      <c r="H832" s="37">
        <f t="shared" ca="1" si="138"/>
        <v>0.22554497384586733</v>
      </c>
      <c r="I832" s="37">
        <f t="shared" ca="1" si="139"/>
        <v>8.5460909847034777E-2</v>
      </c>
      <c r="J832" s="38">
        <f t="shared" ca="1" si="140"/>
        <v>2.124676878960835E-2</v>
      </c>
      <c r="K832" s="36">
        <f t="shared" ca="1" si="141"/>
        <v>2072.8810124992256</v>
      </c>
      <c r="L832" s="36">
        <f ca="1">Assumptions!$C$10*Assumptions!$C$13*I832*Assumptions!$C$15</f>
        <v>5927.0427936989654</v>
      </c>
      <c r="M832" s="36">
        <f ca="1">G832*(1+H832*Assumptions!$C$6)*(1+J832)+L832+K832</f>
        <v>70019.864962628693</v>
      </c>
    </row>
    <row r="833" spans="1:13" x14ac:dyDescent="0.25">
      <c r="A833" s="3">
        <v>820</v>
      </c>
      <c r="B833" s="3">
        <f t="shared" ca="1" si="146"/>
        <v>0.8362269901501943</v>
      </c>
      <c r="C833" s="3">
        <f t="shared" ca="1" si="146"/>
        <v>0.2625495049365506</v>
      </c>
      <c r="D833" s="3">
        <f t="shared" ca="1" si="146"/>
        <v>0.6985172821091401</v>
      </c>
      <c r="E833" s="3">
        <f t="shared" ca="1" si="146"/>
        <v>0.95074710782487015</v>
      </c>
      <c r="F833" s="3">
        <f t="shared" ca="1" si="146"/>
        <v>0.32061028451787699</v>
      </c>
      <c r="G833" s="36">
        <f t="shared" ca="1" si="137"/>
        <v>58239.635918885397</v>
      </c>
      <c r="H833" s="37">
        <f t="shared" ca="1" si="138"/>
        <v>0.10909237189059282</v>
      </c>
      <c r="I833" s="37">
        <f t="shared" ca="1" si="139"/>
        <v>8.8939660380949609E-2</v>
      </c>
      <c r="J833" s="38">
        <f t="shared" ca="1" si="140"/>
        <v>4.3722873767391333E-2</v>
      </c>
      <c r="K833" s="36">
        <f t="shared" ca="1" si="141"/>
        <v>1201.1437384137032</v>
      </c>
      <c r="L833" s="36">
        <f ca="1">Assumptions!$C$10*Assumptions!$C$13*I833*Assumptions!$C$15</f>
        <v>6168.3075230357044</v>
      </c>
      <c r="M833" s="36">
        <f ca="1">G833*(1+H833*Assumptions!$C$6)*(1+J833)+L833+K833</f>
        <v>69481.750089837136</v>
      </c>
    </row>
    <row r="834" spans="1:13" x14ac:dyDescent="0.25">
      <c r="A834" s="3">
        <v>821</v>
      </c>
      <c r="B834" s="3">
        <f t="shared" ref="B834:F843" ca="1" si="147">RAND()</f>
        <v>0.14903845550385408</v>
      </c>
      <c r="C834" s="3">
        <f t="shared" ca="1" si="147"/>
        <v>0.56545262492808823</v>
      </c>
      <c r="D834" s="3">
        <f t="shared" ca="1" si="147"/>
        <v>0.75896402905581273</v>
      </c>
      <c r="E834" s="3">
        <f t="shared" ca="1" si="147"/>
        <v>0.9141418373823591</v>
      </c>
      <c r="F834" s="3">
        <f t="shared" ca="1" si="147"/>
        <v>8.9955221596492829E-2</v>
      </c>
      <c r="G834" s="36">
        <f t="shared" ca="1" si="137"/>
        <v>57511.072851124431</v>
      </c>
      <c r="H834" s="37">
        <f t="shared" ca="1" si="138"/>
        <v>0.14046266955739878</v>
      </c>
      <c r="I834" s="37">
        <f t="shared" ca="1" si="139"/>
        <v>9.2227439674718512E-2</v>
      </c>
      <c r="J834" s="38">
        <f t="shared" ca="1" si="140"/>
        <v>4.1712266287210198E-2</v>
      </c>
      <c r="K834" s="36">
        <f t="shared" ca="1" si="141"/>
        <v>636.23776780714434</v>
      </c>
      <c r="L834" s="36">
        <f ca="1">Assumptions!$C$10*Assumptions!$C$13*I834*Assumptions!$C$15</f>
        <v>6396.3276623635538</v>
      </c>
      <c r="M834" s="36">
        <f ca="1">G834*(1+H834*Assumptions!$C$6)*(1+J834)+L834+K834</f>
        <v>68625.578893257058</v>
      </c>
    </row>
    <row r="835" spans="1:13" x14ac:dyDescent="0.25">
      <c r="A835" s="3">
        <v>822</v>
      </c>
      <c r="B835" s="3">
        <f t="shared" ca="1" si="147"/>
        <v>0.68454935818533036</v>
      </c>
      <c r="C835" s="3">
        <f t="shared" ca="1" si="147"/>
        <v>0.87147183391000271</v>
      </c>
      <c r="D835" s="3">
        <f t="shared" ca="1" si="147"/>
        <v>0.80988165055614536</v>
      </c>
      <c r="E835" s="3">
        <f t="shared" ca="1" si="147"/>
        <v>0.51645255876905338</v>
      </c>
      <c r="F835" s="3">
        <f t="shared" ca="1" si="147"/>
        <v>0.49885005459305765</v>
      </c>
      <c r="G835" s="36">
        <f t="shared" ca="1" si="137"/>
        <v>58041.919544796139</v>
      </c>
      <c r="H835" s="37">
        <f t="shared" ca="1" si="138"/>
        <v>0.18586644121386495</v>
      </c>
      <c r="I835" s="37">
        <f t="shared" ca="1" si="139"/>
        <v>9.5334665657641399E-2</v>
      </c>
      <c r="J835" s="38">
        <f t="shared" ca="1" si="140"/>
        <v>3.0331803514690087E-2</v>
      </c>
      <c r="K835" s="36">
        <f t="shared" ca="1" si="141"/>
        <v>1498.2740889666213</v>
      </c>
      <c r="L835" s="36">
        <f ca="1">Assumptions!$C$10*Assumptions!$C$13*I835*Assumptions!$C$15</f>
        <v>6611.8257351484208</v>
      </c>
      <c r="M835" s="36">
        <f ca="1">G835*(1+H835*Assumptions!$C$6)*(1+J835)+L835+K835</f>
        <v>70135.588645975324</v>
      </c>
    </row>
    <row r="836" spans="1:13" x14ac:dyDescent="0.25">
      <c r="A836" s="3">
        <v>823</v>
      </c>
      <c r="B836" s="3">
        <f t="shared" ca="1" si="147"/>
        <v>0.89575646771304385</v>
      </c>
      <c r="C836" s="3">
        <f t="shared" ca="1" si="147"/>
        <v>0.80979076862312549</v>
      </c>
      <c r="D836" s="3">
        <f t="shared" ca="1" si="147"/>
        <v>0.52496407572370085</v>
      </c>
      <c r="E836" s="3">
        <f t="shared" ca="1" si="147"/>
        <v>0.91799747267440723</v>
      </c>
      <c r="F836" s="3">
        <f t="shared" ca="1" si="147"/>
        <v>0.75946735428763734</v>
      </c>
      <c r="G836" s="36">
        <f t="shared" ca="1" si="137"/>
        <v>58342.702020517223</v>
      </c>
      <c r="H836" s="37">
        <f t="shared" ca="1" si="138"/>
        <v>0.17414583934638039</v>
      </c>
      <c r="I836" s="37">
        <f t="shared" ca="1" si="139"/>
        <v>8.1011348347446568E-2</v>
      </c>
      <c r="J836" s="38">
        <f t="shared" ca="1" si="140"/>
        <v>4.1900492492720674E-2</v>
      </c>
      <c r="K836" s="36">
        <f t="shared" ca="1" si="141"/>
        <v>1959.6169428015314</v>
      </c>
      <c r="L836" s="36">
        <f ca="1">Assumptions!$C$10*Assumptions!$C$13*I836*Assumptions!$C$15</f>
        <v>5618.4485900044474</v>
      </c>
      <c r="M836" s="36">
        <f ca="1">G836*(1+H836*Assumptions!$C$6)*(1+J836)+L836+K836</f>
        <v>70482.526227971306</v>
      </c>
    </row>
    <row r="837" spans="1:13" x14ac:dyDescent="0.25">
      <c r="A837" s="3">
        <v>824</v>
      </c>
      <c r="B837" s="3">
        <f t="shared" ca="1" si="147"/>
        <v>1.2510018568989922E-2</v>
      </c>
      <c r="C837" s="3">
        <f t="shared" ca="1" si="147"/>
        <v>0.64121597229321159</v>
      </c>
      <c r="D837" s="3">
        <f t="shared" ca="1" si="147"/>
        <v>0.77299584696342427</v>
      </c>
      <c r="E837" s="3">
        <f t="shared" ca="1" si="147"/>
        <v>0.64451048910685294</v>
      </c>
      <c r="F837" s="3">
        <f t="shared" ca="1" si="147"/>
        <v>0.66668743872114011</v>
      </c>
      <c r="G837" s="36">
        <f t="shared" ca="1" si="137"/>
        <v>57219.096391150604</v>
      </c>
      <c r="H837" s="37">
        <f t="shared" ca="1" si="138"/>
        <v>0.14955512268948132</v>
      </c>
      <c r="I837" s="37">
        <f t="shared" ca="1" si="139"/>
        <v>9.3047944610530314E-2</v>
      </c>
      <c r="J837" s="38">
        <f t="shared" ca="1" si="140"/>
        <v>3.3136085605218531E-2</v>
      </c>
      <c r="K837" s="36">
        <f t="shared" ca="1" si="141"/>
        <v>1775.2932899037135</v>
      </c>
      <c r="L837" s="36">
        <f ca="1">Assumptions!$C$10*Assumptions!$C$13*I837*Assumptions!$C$15</f>
        <v>6453.232835450317</v>
      </c>
      <c r="M837" s="36">
        <f ca="1">G837*(1+H837*Assumptions!$C$6)*(1+J837)+L837+K837</f>
        <v>69111.832996277386</v>
      </c>
    </row>
    <row r="838" spans="1:13" x14ac:dyDescent="0.25">
      <c r="A838" s="3">
        <v>825</v>
      </c>
      <c r="B838" s="3">
        <f t="shared" ca="1" si="147"/>
        <v>5.4464353486281425E-2</v>
      </c>
      <c r="C838" s="3">
        <f t="shared" ca="1" si="147"/>
        <v>0.83277509351553258</v>
      </c>
      <c r="D838" s="3">
        <f t="shared" ca="1" si="147"/>
        <v>0.12512528772990583</v>
      </c>
      <c r="E838" s="3">
        <f t="shared" ca="1" si="147"/>
        <v>0.16322406320941174</v>
      </c>
      <c r="F838" s="3">
        <f t="shared" ca="1" si="147"/>
        <v>0.53703730068714961</v>
      </c>
      <c r="G838" s="36">
        <f t="shared" ca="1" si="137"/>
        <v>57348.499661185444</v>
      </c>
      <c r="H838" s="37">
        <f t="shared" ca="1" si="138"/>
        <v>0.17825270963154854</v>
      </c>
      <c r="I838" s="37">
        <f t="shared" ca="1" si="139"/>
        <v>6.0010020508127884E-2</v>
      </c>
      <c r="J838" s="38">
        <f t="shared" ca="1" si="140"/>
        <v>2.1427127835441824E-2</v>
      </c>
      <c r="K838" s="36">
        <f t="shared" ca="1" si="141"/>
        <v>1556.6247380158454</v>
      </c>
      <c r="L838" s="36">
        <f ca="1">Assumptions!$C$10*Assumptions!$C$13*I838*Assumptions!$C$15</f>
        <v>4161.9257300098534</v>
      </c>
      <c r="M838" s="36">
        <f ca="1">G838*(1+H838*Assumptions!$C$6)*(1+J838)+L838+K838</f>
        <v>66384.17672616175</v>
      </c>
    </row>
    <row r="839" spans="1:13" x14ac:dyDescent="0.25">
      <c r="A839" s="3">
        <v>826</v>
      </c>
      <c r="B839" s="3">
        <f t="shared" ca="1" si="147"/>
        <v>0.75740493140675602</v>
      </c>
      <c r="C839" s="3">
        <f t="shared" ca="1" si="147"/>
        <v>0.26019554153137581</v>
      </c>
      <c r="D839" s="3">
        <f t="shared" ca="1" si="147"/>
        <v>0.95597400761003748</v>
      </c>
      <c r="E839" s="3">
        <f t="shared" ca="1" si="147"/>
        <v>0.31635452965211797</v>
      </c>
      <c r="F839" s="3">
        <f t="shared" ca="1" si="147"/>
        <v>7.867374894011181E-2</v>
      </c>
      <c r="G839" s="36">
        <f t="shared" ca="1" si="137"/>
        <v>58128.974728291607</v>
      </c>
      <c r="H839" s="37">
        <f t="shared" ca="1" si="138"/>
        <v>0.10882687058111538</v>
      </c>
      <c r="I839" s="37">
        <f t="shared" ca="1" si="139"/>
        <v>0.10813057812495148</v>
      </c>
      <c r="J839" s="38">
        <f t="shared" ca="1" si="140"/>
        <v>2.5908602192577901E-2</v>
      </c>
      <c r="K839" s="36">
        <f t="shared" ca="1" si="141"/>
        <v>595.00577327493488</v>
      </c>
      <c r="L839" s="36">
        <f ca="1">Assumptions!$C$10*Assumptions!$C$13*I839*Assumptions!$C$15</f>
        <v>7499.2714798043271</v>
      </c>
      <c r="M839" s="36">
        <f ca="1">G839*(1+H839*Assumptions!$C$6)*(1+J839)+L839+K839</f>
        <v>69027.270879949385</v>
      </c>
    </row>
    <row r="840" spans="1:13" x14ac:dyDescent="0.25">
      <c r="A840" s="3">
        <v>827</v>
      </c>
      <c r="B840" s="3">
        <f t="shared" ca="1" si="147"/>
        <v>0.55128304510780368</v>
      </c>
      <c r="C840" s="3">
        <f t="shared" ca="1" si="147"/>
        <v>0.26921063813412061</v>
      </c>
      <c r="D840" s="3">
        <f t="shared" ca="1" si="147"/>
        <v>0.33929545145181206</v>
      </c>
      <c r="E840" s="3">
        <f t="shared" ca="1" si="147"/>
        <v>0.59552695265326339</v>
      </c>
      <c r="F840" s="3">
        <f t="shared" ca="1" si="147"/>
        <v>0.65617750175742429</v>
      </c>
      <c r="G840" s="36">
        <f t="shared" ca="1" si="137"/>
        <v>57905.608280445842</v>
      </c>
      <c r="H840" s="37">
        <f t="shared" ca="1" si="138"/>
        <v>0.10983729177681593</v>
      </c>
      <c r="I840" s="37">
        <f t="shared" ca="1" si="139"/>
        <v>7.295065165737695E-2</v>
      </c>
      <c r="J840" s="38">
        <f t="shared" ca="1" si="140"/>
        <v>3.2011713870482572E-2</v>
      </c>
      <c r="K840" s="36">
        <f t="shared" ca="1" si="141"/>
        <v>1756.1345562756433</v>
      </c>
      <c r="L840" s="36">
        <f ca="1">Assumptions!$C$10*Assumptions!$C$13*I840*Assumptions!$C$15</f>
        <v>5059.4082718685422</v>
      </c>
      <c r="M840" s="36">
        <f ca="1">G840*(1+H840*Assumptions!$C$6)*(1+J840)+L840+K840</f>
        <v>67887.568060533289</v>
      </c>
    </row>
    <row r="841" spans="1:13" x14ac:dyDescent="0.25">
      <c r="A841" s="3">
        <v>828</v>
      </c>
      <c r="B841" s="3">
        <f t="shared" ca="1" si="147"/>
        <v>0.96245750302935129</v>
      </c>
      <c r="C841" s="3">
        <f t="shared" ca="1" si="147"/>
        <v>0.12551236629344675</v>
      </c>
      <c r="D841" s="3">
        <f t="shared" ca="1" si="147"/>
        <v>0.39618667686805831</v>
      </c>
      <c r="E841" s="3">
        <f t="shared" ca="1" si="147"/>
        <v>0.75549795231013972</v>
      </c>
      <c r="F841" s="3">
        <f t="shared" ca="1" si="147"/>
        <v>0.233737204626975</v>
      </c>
      <c r="G841" s="36">
        <f t="shared" ca="1" si="137"/>
        <v>58505.334147746224</v>
      </c>
      <c r="H841" s="37">
        <f t="shared" ca="1" si="138"/>
        <v>9.0857245033198725E-2</v>
      </c>
      <c r="I841" s="37">
        <f t="shared" ca="1" si="139"/>
        <v>7.5606142250709871E-2</v>
      </c>
      <c r="J841" s="38">
        <f t="shared" ca="1" si="140"/>
        <v>3.6014234445269425E-2</v>
      </c>
      <c r="K841" s="36">
        <f t="shared" ca="1" si="141"/>
        <v>1025.5815037437969</v>
      </c>
      <c r="L841" s="36">
        <f ca="1">Assumptions!$C$10*Assumptions!$C$13*I841*Assumptions!$C$15</f>
        <v>5243.5767579415397</v>
      </c>
      <c r="M841" s="36">
        <f ca="1">G841*(1+H841*Assumptions!$C$6)*(1+J841)+L841+K841</f>
        <v>67982.93161988724</v>
      </c>
    </row>
    <row r="842" spans="1:13" x14ac:dyDescent="0.25">
      <c r="A842" s="3">
        <v>829</v>
      </c>
      <c r="B842" s="3">
        <f t="shared" ca="1" si="147"/>
        <v>0.72282639183796449</v>
      </c>
      <c r="C842" s="3">
        <f t="shared" ca="1" si="147"/>
        <v>0.43311012540154215</v>
      </c>
      <c r="D842" s="3">
        <f t="shared" ca="1" si="147"/>
        <v>0.66160051351911953</v>
      </c>
      <c r="E842" s="3">
        <f t="shared" ca="1" si="147"/>
        <v>0.72222523239636682</v>
      </c>
      <c r="F842" s="3">
        <f t="shared" ca="1" si="147"/>
        <v>7.1177773297557811E-2</v>
      </c>
      <c r="G842" s="36">
        <f t="shared" ca="1" si="137"/>
        <v>58086.23047500258</v>
      </c>
      <c r="H842" s="37">
        <f t="shared" ca="1" si="138"/>
        <v>0.12631143795066788</v>
      </c>
      <c r="I842" s="37">
        <f t="shared" ca="1" si="139"/>
        <v>8.7092882886238454E-2</v>
      </c>
      <c r="J842" s="38">
        <f t="shared" ca="1" si="140"/>
        <v>3.5092960921668366E-2</v>
      </c>
      <c r="K842" s="36">
        <f t="shared" ca="1" si="141"/>
        <v>565.95051006162203</v>
      </c>
      <c r="L842" s="36">
        <f ca="1">Assumptions!$C$10*Assumptions!$C$13*I842*Assumptions!$C$15</f>
        <v>6040.2264007871217</v>
      </c>
      <c r="M842" s="36">
        <f ca="1">G842*(1+H842*Assumptions!$C$6)*(1+J842)+L842+K842</f>
        <v>68249.711358384244</v>
      </c>
    </row>
    <row r="843" spans="1:13" x14ac:dyDescent="0.25">
      <c r="A843" s="3">
        <v>830</v>
      </c>
      <c r="B843" s="3">
        <f t="shared" ca="1" si="147"/>
        <v>0.24351699601479437</v>
      </c>
      <c r="C843" s="3">
        <f t="shared" ca="1" si="147"/>
        <v>0.73058502757891663</v>
      </c>
      <c r="D843" s="3">
        <f t="shared" ca="1" si="147"/>
        <v>0.9116641184284674</v>
      </c>
      <c r="E843" s="3">
        <f t="shared" ca="1" si="147"/>
        <v>0.31338951041108754</v>
      </c>
      <c r="F843" s="3">
        <f t="shared" ca="1" si="147"/>
        <v>0.34197850030440669</v>
      </c>
      <c r="G843" s="36">
        <f t="shared" ca="1" si="137"/>
        <v>57625.453468843793</v>
      </c>
      <c r="H843" s="37">
        <f t="shared" ca="1" si="138"/>
        <v>0.16162486764795417</v>
      </c>
      <c r="I843" s="37">
        <f t="shared" ca="1" si="139"/>
        <v>0.1031870638784029</v>
      </c>
      <c r="J843" s="38">
        <f t="shared" ca="1" si="140"/>
        <v>2.5833875341459207E-2</v>
      </c>
      <c r="K843" s="36">
        <f t="shared" ca="1" si="141"/>
        <v>1240.5253932789244</v>
      </c>
      <c r="L843" s="36">
        <f ca="1">Assumptions!$C$10*Assumptions!$C$13*I843*Assumptions!$C$15</f>
        <v>7156.4197532898497</v>
      </c>
      <c r="M843" s="36">
        <f ca="1">G843*(1+H843*Assumptions!$C$6)*(1+J843)+L843+K843</f>
        <v>69421.950480285625</v>
      </c>
    </row>
    <row r="844" spans="1:13" x14ac:dyDescent="0.25">
      <c r="A844" s="3">
        <v>831</v>
      </c>
      <c r="B844" s="3">
        <f t="shared" ref="B844:F853" ca="1" si="148">RAND()</f>
        <v>0.26475185624827369</v>
      </c>
      <c r="C844" s="3">
        <f t="shared" ca="1" si="148"/>
        <v>0.89155225599062682</v>
      </c>
      <c r="D844" s="3">
        <f t="shared" ca="1" si="148"/>
        <v>0.80520825021644826</v>
      </c>
      <c r="E844" s="3">
        <f t="shared" ca="1" si="148"/>
        <v>0.12319031858020035</v>
      </c>
      <c r="F844" s="3">
        <f t="shared" ca="1" si="148"/>
        <v>0.14005384725997905</v>
      </c>
      <c r="G844" s="36">
        <f t="shared" ca="1" si="137"/>
        <v>57647.884647970262</v>
      </c>
      <c r="H844" s="37">
        <f t="shared" ca="1" si="138"/>
        <v>0.19027466879533422</v>
      </c>
      <c r="I844" s="37">
        <f t="shared" ca="1" si="139"/>
        <v>9.5033350258647731E-2</v>
      </c>
      <c r="J844" s="38">
        <f t="shared" ca="1" si="140"/>
        <v>1.9927348833609117E-2</v>
      </c>
      <c r="K844" s="36">
        <f t="shared" ca="1" si="141"/>
        <v>793.87802127902853</v>
      </c>
      <c r="L844" s="36">
        <f ca="1">Assumptions!$C$10*Assumptions!$C$13*I844*Assumptions!$C$15</f>
        <v>6590.928353322829</v>
      </c>
      <c r="M844" s="36">
        <f ca="1">G844*(1+H844*Assumptions!$C$6)*(1+J844)+L844+K844</f>
        <v>68418.963308590217</v>
      </c>
    </row>
    <row r="845" spans="1:13" x14ac:dyDescent="0.25">
      <c r="A845" s="3">
        <v>832</v>
      </c>
      <c r="B845" s="3">
        <f t="shared" ca="1" si="148"/>
        <v>0.89228309108377024</v>
      </c>
      <c r="C845" s="3">
        <f t="shared" ca="1" si="148"/>
        <v>0.37414538864246349</v>
      </c>
      <c r="D845" s="3">
        <f t="shared" ca="1" si="148"/>
        <v>0.78494905980502805</v>
      </c>
      <c r="E845" s="3">
        <f t="shared" ca="1" si="148"/>
        <v>0.46051772233208055</v>
      </c>
      <c r="F845" s="3">
        <f t="shared" ca="1" si="148"/>
        <v>0.26629115059309572</v>
      </c>
      <c r="G845" s="36">
        <f t="shared" ca="1" si="137"/>
        <v>58335.981939232675</v>
      </c>
      <c r="H845" s="37">
        <f t="shared" ca="1" si="138"/>
        <v>0.12054504975116422</v>
      </c>
      <c r="I845" s="37">
        <f t="shared" ca="1" si="139"/>
        <v>9.3767138764063299E-2</v>
      </c>
      <c r="J845" s="38">
        <f t="shared" ca="1" si="140"/>
        <v>2.9194118314360376E-2</v>
      </c>
      <c r="K845" s="36">
        <f t="shared" ca="1" si="141"/>
        <v>1094.6735484467188</v>
      </c>
      <c r="L845" s="36">
        <f ca="1">Assumptions!$C$10*Assumptions!$C$13*I845*Assumptions!$C$15</f>
        <v>6503.1117161291895</v>
      </c>
      <c r="M845" s="36">
        <f ca="1">G845*(1+H845*Assumptions!$C$6)*(1+J845)+L845+K845</f>
        <v>69084.316804275557</v>
      </c>
    </row>
    <row r="846" spans="1:13" x14ac:dyDescent="0.25">
      <c r="A846" s="3">
        <v>833</v>
      </c>
      <c r="B846" s="3">
        <f t="shared" ca="1" si="148"/>
        <v>0.7305877470715354</v>
      </c>
      <c r="C846" s="3">
        <f t="shared" ca="1" si="148"/>
        <v>0.84270966697549088</v>
      </c>
      <c r="D846" s="3">
        <f t="shared" ca="1" si="148"/>
        <v>0.78810760185229234</v>
      </c>
      <c r="E846" s="3">
        <f t="shared" ca="1" si="148"/>
        <v>0.47863658900199291</v>
      </c>
      <c r="F846" s="3">
        <f t="shared" ca="1" si="148"/>
        <v>0.84897179517741017</v>
      </c>
      <c r="G846" s="36">
        <f t="shared" ref="G846:G909" ca="1" si="149">IF(B846&lt;($F$5-$E$5)/($G$5-$E$5),$E$5+SQRT(B846*($G$5-$E$5)*($F$5-$E$5)),$G$5-SQRT((1-B846)*($G$5-$E$5)*($G$5-$F$5)))</f>
        <v>58095.581404619421</v>
      </c>
      <c r="H846" s="37">
        <f t="shared" ref="H846:H909" ca="1" si="150">IF(C846&lt;($F$6-$E$6)/($G$6-$E$6),$E$6+SQRT(C846*($G$6-$E$6)*($F$6-$E$6)),$G$6-SQRT((1-C846)*($G$6-$E$6)*($G$6-$F$6)))</f>
        <v>0.18011494683179441</v>
      </c>
      <c r="I846" s="37">
        <f t="shared" ref="I846:I909" ca="1" si="151">IF(D846&lt;($F$7-$E$7)/($G$7-$E$7),$E$7+SQRT(D846*($G$7-$E$7)*($F$7-$E$7)),$G$7-SQRT((1-D846)*($G$7-$E$7)*($G$7-$F$7)))</f>
        <v>9.3960497814423088E-2</v>
      </c>
      <c r="J846" s="38">
        <f t="shared" ref="J846:J909" ca="1" si="152">IF(E846&lt;($F$8-$E$8)/($G$8-$E$8),$E$8+SQRT(E846*($G$8-$E$8)*($F$8-$E$8)),$G$8-SQRT((1-E846)*($G$8-$E$8)*($G$8-$F$8)))</f>
        <v>2.956806764097044E-2</v>
      </c>
      <c r="K846" s="36">
        <f t="shared" ref="K846:K909" ca="1" si="153">IF(F846&lt;($F$9-$E$9)/($G$9-$E$9),$E$9+SQRT(F846*($G$9-$E$9)*($F$9-$E$9)),$G$9-SQRT((1-F846)*($G$9-$E$9)*($G$9-$F$9)))</f>
        <v>2175.6051178581624</v>
      </c>
      <c r="L846" s="36">
        <f ca="1">Assumptions!$C$10*Assumptions!$C$13*I846*Assumptions!$C$15</f>
        <v>6516.5219099602955</v>
      </c>
      <c r="M846" s="36">
        <f ca="1">G846*(1+H846*Assumptions!$C$6)*(1+J846)+L846+K846</f>
        <v>70660.138381661949</v>
      </c>
    </row>
    <row r="847" spans="1:13" x14ac:dyDescent="0.25">
      <c r="A847" s="3">
        <v>834</v>
      </c>
      <c r="B847" s="3">
        <f t="shared" ca="1" si="148"/>
        <v>0.29982418933973964</v>
      </c>
      <c r="C847" s="3">
        <f t="shared" ca="1" si="148"/>
        <v>0.39132391767308805</v>
      </c>
      <c r="D847" s="3">
        <f t="shared" ca="1" si="148"/>
        <v>0.39096987539845418</v>
      </c>
      <c r="E847" s="3">
        <f t="shared" ca="1" si="148"/>
        <v>0.38739791052499772</v>
      </c>
      <c r="F847" s="3">
        <f t="shared" ca="1" si="148"/>
        <v>0.38747468025318399</v>
      </c>
      <c r="G847" s="36">
        <f t="shared" ca="1" si="149"/>
        <v>57683.046185814041</v>
      </c>
      <c r="H847" s="37">
        <f t="shared" ca="1" si="150"/>
        <v>0.12219586307326218</v>
      </c>
      <c r="I847" s="37">
        <f t="shared" ca="1" si="151"/>
        <v>7.5370942894910975E-2</v>
      </c>
      <c r="J847" s="38">
        <f t="shared" ca="1" si="152"/>
        <v>2.7604497391859786E-2</v>
      </c>
      <c r="K847" s="36">
        <f t="shared" ca="1" si="153"/>
        <v>1320.4681219701322</v>
      </c>
      <c r="L847" s="36">
        <f ca="1">Assumptions!$C$10*Assumptions!$C$13*I847*Assumptions!$C$15</f>
        <v>5227.2647780039788</v>
      </c>
      <c r="M847" s="36">
        <f ca="1">G847*(1+H847*Assumptions!$C$6)*(1+J847)+L847+K847</f>
        <v>67271.731282008768</v>
      </c>
    </row>
    <row r="848" spans="1:13" x14ac:dyDescent="0.25">
      <c r="A848" s="3">
        <v>835</v>
      </c>
      <c r="B848" s="3">
        <f t="shared" ca="1" si="148"/>
        <v>0.9598828895450251</v>
      </c>
      <c r="C848" s="3">
        <f t="shared" ca="1" si="148"/>
        <v>0.63347128653722107</v>
      </c>
      <c r="D848" s="3">
        <f t="shared" ca="1" si="148"/>
        <v>0.61872222951400979</v>
      </c>
      <c r="E848" s="3">
        <f t="shared" ca="1" si="148"/>
        <v>0.31181015368452114</v>
      </c>
      <c r="F848" s="3">
        <f t="shared" ca="1" si="148"/>
        <v>0.93519875140091457</v>
      </c>
      <c r="G848" s="36">
        <f t="shared" ca="1" si="149"/>
        <v>58497.103962480149</v>
      </c>
      <c r="H848" s="37">
        <f t="shared" ca="1" si="150"/>
        <v>0.14858416621311515</v>
      </c>
      <c r="I848" s="37">
        <f t="shared" ca="1" si="151"/>
        <v>8.5070229523296764E-2</v>
      </c>
      <c r="J848" s="38">
        <f t="shared" ca="1" si="152"/>
        <v>2.5793926774162812E-2</v>
      </c>
      <c r="K848" s="36">
        <f t="shared" ca="1" si="153"/>
        <v>2459.9947975288715</v>
      </c>
      <c r="L848" s="36">
        <f ca="1">Assumptions!$C$10*Assumptions!$C$13*I848*Assumptions!$C$15</f>
        <v>5899.947610631104</v>
      </c>
      <c r="M848" s="36">
        <f ca="1">G848*(1+H848*Assumptions!$C$6)*(1+J848)+L848+K848</f>
        <v>70149.103909031823</v>
      </c>
    </row>
    <row r="849" spans="1:13" x14ac:dyDescent="0.25">
      <c r="A849" s="3">
        <v>836</v>
      </c>
      <c r="B849" s="3">
        <f t="shared" ca="1" si="148"/>
        <v>0.73894270180463217</v>
      </c>
      <c r="C849" s="3">
        <f t="shared" ca="1" si="148"/>
        <v>0.30287806175527943</v>
      </c>
      <c r="D849" s="3">
        <f t="shared" ca="1" si="148"/>
        <v>0.40792503736366059</v>
      </c>
      <c r="E849" s="3">
        <f t="shared" ca="1" si="148"/>
        <v>0.57566076532362909</v>
      </c>
      <c r="F849" s="3">
        <f t="shared" ca="1" si="148"/>
        <v>0.28920330553057627</v>
      </c>
      <c r="G849" s="36">
        <f t="shared" ca="1" si="149"/>
        <v>58105.79933209029</v>
      </c>
      <c r="H849" s="37">
        <f t="shared" ca="1" si="150"/>
        <v>0.1134687184473203</v>
      </c>
      <c r="I849" s="37">
        <f t="shared" ca="1" si="151"/>
        <v>7.6129767776221782E-2</v>
      </c>
      <c r="J849" s="38">
        <f t="shared" ca="1" si="152"/>
        <v>3.1575250673588615E-2</v>
      </c>
      <c r="K849" s="36">
        <f t="shared" ca="1" si="153"/>
        <v>1140.7957200514004</v>
      </c>
      <c r="L849" s="36">
        <f ca="1">Assumptions!$C$10*Assumptions!$C$13*I849*Assumptions!$C$15</f>
        <v>5279.8922020801201</v>
      </c>
      <c r="M849" s="36">
        <f ca="1">G849*(1+H849*Assumptions!$C$6)*(1+J849)+L849+K849</f>
        <v>67721.466879725005</v>
      </c>
    </row>
    <row r="850" spans="1:13" x14ac:dyDescent="0.25">
      <c r="A850" s="3">
        <v>837</v>
      </c>
      <c r="B850" s="3">
        <f t="shared" ca="1" si="148"/>
        <v>0.48675785914195124</v>
      </c>
      <c r="C850" s="3">
        <f t="shared" ca="1" si="148"/>
        <v>0.47975233553098118</v>
      </c>
      <c r="D850" s="3">
        <f t="shared" ca="1" si="148"/>
        <v>0.39183666841238529</v>
      </c>
      <c r="E850" s="3">
        <f t="shared" ca="1" si="148"/>
        <v>0.14541871191133404</v>
      </c>
      <c r="F850" s="3">
        <f t="shared" ca="1" si="148"/>
        <v>6.5897112236934174E-2</v>
      </c>
      <c r="G850" s="36">
        <f t="shared" ca="1" si="149"/>
        <v>57846.976766980413</v>
      </c>
      <c r="H850" s="37">
        <f t="shared" ca="1" si="150"/>
        <v>0.1310888125586098</v>
      </c>
      <c r="I850" s="37">
        <f t="shared" ca="1" si="151"/>
        <v>7.541013045612277E-2</v>
      </c>
      <c r="J850" s="38">
        <f t="shared" ca="1" si="152"/>
        <v>2.0785868974221189E-2</v>
      </c>
      <c r="K850" s="36">
        <f t="shared" ca="1" si="153"/>
        <v>544.55211418761724</v>
      </c>
      <c r="L850" s="36">
        <f ca="1">Assumptions!$C$10*Assumptions!$C$13*I850*Assumptions!$C$15</f>
        <v>5229.9825860954061</v>
      </c>
      <c r="M850" s="36">
        <f ca="1">G850*(1+H850*Assumptions!$C$6)*(1+J850)+L850+K850</f>
        <v>66372.053675039293</v>
      </c>
    </row>
    <row r="851" spans="1:13" x14ac:dyDescent="0.25">
      <c r="A851" s="3">
        <v>838</v>
      </c>
      <c r="B851" s="3">
        <f t="shared" ca="1" si="148"/>
        <v>6.0766538320050412E-2</v>
      </c>
      <c r="C851" s="3">
        <f t="shared" ca="1" si="148"/>
        <v>0.34872626329094802</v>
      </c>
      <c r="D851" s="3">
        <f t="shared" ca="1" si="148"/>
        <v>0.64448229435379256</v>
      </c>
      <c r="E851" s="3">
        <f t="shared" ca="1" si="148"/>
        <v>0.90501981119555397</v>
      </c>
      <c r="F851" s="3">
        <f t="shared" ca="1" si="148"/>
        <v>4.276816489067814E-2</v>
      </c>
      <c r="G851" s="36">
        <f t="shared" ca="1" si="149"/>
        <v>57362.483418112475</v>
      </c>
      <c r="H851" s="37">
        <f t="shared" ca="1" si="150"/>
        <v>0.1181032987583539</v>
      </c>
      <c r="I851" s="37">
        <f t="shared" ca="1" si="151"/>
        <v>8.6270833718162201E-2</v>
      </c>
      <c r="J851" s="38">
        <f t="shared" ca="1" si="152"/>
        <v>4.1283111160307431E-2</v>
      </c>
      <c r="K851" s="36">
        <f t="shared" ca="1" si="153"/>
        <v>438.69891954283594</v>
      </c>
      <c r="L851" s="36">
        <f ca="1">Assumptions!$C$10*Assumptions!$C$13*I851*Assumptions!$C$15</f>
        <v>5983.2141292534634</v>
      </c>
      <c r="M851" s="36">
        <f ca="1">G851*(1+H851*Assumptions!$C$6)*(1+J851)+L851+K851</f>
        <v>67563.374076008171</v>
      </c>
    </row>
    <row r="852" spans="1:13" x14ac:dyDescent="0.25">
      <c r="A852" s="3">
        <v>839</v>
      </c>
      <c r="B852" s="3">
        <f t="shared" ca="1" si="148"/>
        <v>0.9039641389323454</v>
      </c>
      <c r="C852" s="3">
        <f t="shared" ca="1" si="148"/>
        <v>0.15540485469319121</v>
      </c>
      <c r="D852" s="3">
        <f t="shared" ca="1" si="148"/>
        <v>0.55209341330399897</v>
      </c>
      <c r="E852" s="3">
        <f t="shared" ca="1" si="148"/>
        <v>0.88958179753625577</v>
      </c>
      <c r="F852" s="3">
        <f t="shared" ca="1" si="148"/>
        <v>0.78887878069646789</v>
      </c>
      <c r="G852" s="36">
        <f t="shared" ca="1" si="149"/>
        <v>58359.041135304738</v>
      </c>
      <c r="H852" s="37">
        <f t="shared" ca="1" si="150"/>
        <v>9.5463002182207934E-2</v>
      </c>
      <c r="I852" s="37">
        <f t="shared" ca="1" si="151"/>
        <v>8.2141037026521674E-2</v>
      </c>
      <c r="J852" s="38">
        <f t="shared" ca="1" si="152"/>
        <v>4.0601353184048498E-2</v>
      </c>
      <c r="K852" s="36">
        <f t="shared" ca="1" si="153"/>
        <v>2025.2972315285574</v>
      </c>
      <c r="L852" s="36">
        <f ca="1">Assumptions!$C$10*Assumptions!$C$13*I852*Assumptions!$C$15</f>
        <v>5696.7968448547645</v>
      </c>
      <c r="M852" s="36">
        <f ca="1">G852*(1+H852*Assumptions!$C$6)*(1+J852)+L852+K852</f>
        <v>69610.056183990426</v>
      </c>
    </row>
    <row r="853" spans="1:13" x14ac:dyDescent="0.25">
      <c r="A853" s="3">
        <v>840</v>
      </c>
      <c r="B853" s="3">
        <f t="shared" ca="1" si="148"/>
        <v>0.60240876285661538</v>
      </c>
      <c r="C853" s="3">
        <f t="shared" ca="1" si="148"/>
        <v>0.98747305498891735</v>
      </c>
      <c r="D853" s="3">
        <f t="shared" ca="1" si="148"/>
        <v>0.35318354381251271</v>
      </c>
      <c r="E853" s="3">
        <f t="shared" ca="1" si="148"/>
        <v>0.24704586360993919</v>
      </c>
      <c r="F853" s="3">
        <f t="shared" ca="1" si="148"/>
        <v>0.22670995038604147</v>
      </c>
      <c r="G853" s="36">
        <f t="shared" ca="1" si="149"/>
        <v>57955.131515693662</v>
      </c>
      <c r="H853" s="37">
        <f t="shared" ca="1" si="150"/>
        <v>0.22309987141313165</v>
      </c>
      <c r="I853" s="37">
        <f t="shared" ca="1" si="151"/>
        <v>7.3618259029878994E-2</v>
      </c>
      <c r="J853" s="38">
        <f t="shared" ca="1" si="152"/>
        <v>2.4058331724922104E-2</v>
      </c>
      <c r="K853" s="36">
        <f t="shared" ca="1" si="153"/>
        <v>1010.0469180870692</v>
      </c>
      <c r="L853" s="36">
        <f ca="1">Assumptions!$C$10*Assumptions!$C$13*I853*Assumptions!$C$15</f>
        <v>5105.7094108722231</v>
      </c>
      <c r="M853" s="36">
        <f ca="1">G853*(1+H853*Assumptions!$C$6)*(1+J853)+L853+K853</f>
        <v>68113.361900364034</v>
      </c>
    </row>
    <row r="854" spans="1:13" x14ac:dyDescent="0.25">
      <c r="A854" s="3">
        <v>841</v>
      </c>
      <c r="B854" s="3">
        <f t="shared" ref="B854:F863" ca="1" si="154">RAND()</f>
        <v>0.99097271079832372</v>
      </c>
      <c r="C854" s="3">
        <f t="shared" ca="1" si="154"/>
        <v>0.52253977104046001</v>
      </c>
      <c r="D854" s="3">
        <f t="shared" ca="1" si="154"/>
        <v>0.8126103549636442</v>
      </c>
      <c r="E854" s="3">
        <f t="shared" ca="1" si="154"/>
        <v>0.81911985192702219</v>
      </c>
      <c r="F854" s="3">
        <f t="shared" ca="1" si="154"/>
        <v>0.74732154675105711</v>
      </c>
      <c r="G854" s="36">
        <f t="shared" ca="1" si="149"/>
        <v>58629.720740740479</v>
      </c>
      <c r="H854" s="37">
        <f t="shared" ca="1" si="150"/>
        <v>0.13566355756363208</v>
      </c>
      <c r="I854" s="37">
        <f t="shared" ca="1" si="151"/>
        <v>9.5512311989157925E-2</v>
      </c>
      <c r="J854" s="38">
        <f t="shared" ca="1" si="152"/>
        <v>3.7970697507403756E-2</v>
      </c>
      <c r="K854" s="36">
        <f t="shared" ca="1" si="153"/>
        <v>1933.6731084605233</v>
      </c>
      <c r="L854" s="36">
        <f ca="1">Assumptions!$C$10*Assumptions!$C$13*I854*Assumptions!$C$15</f>
        <v>6624.1461914942138</v>
      </c>
      <c r="M854" s="36">
        <f ca="1">G854*(1+H854*Assumptions!$C$6)*(1+J854)+L854+K854</f>
        <v>71064.937882259168</v>
      </c>
    </row>
    <row r="855" spans="1:13" x14ac:dyDescent="0.25">
      <c r="A855" s="3">
        <v>842</v>
      </c>
      <c r="B855" s="3">
        <f t="shared" ca="1" si="154"/>
        <v>0.98642281134191878</v>
      </c>
      <c r="C855" s="3">
        <f t="shared" ca="1" si="154"/>
        <v>0.57619776635022335</v>
      </c>
      <c r="D855" s="3">
        <f t="shared" ca="1" si="154"/>
        <v>0.46640372072612701</v>
      </c>
      <c r="E855" s="3">
        <f t="shared" ca="1" si="154"/>
        <v>0.76888142321582287</v>
      </c>
      <c r="F855" s="3">
        <f t="shared" ca="1" si="154"/>
        <v>0.12055017142378932</v>
      </c>
      <c r="G855" s="36">
        <f t="shared" ca="1" si="149"/>
        <v>58602.626708120144</v>
      </c>
      <c r="H855" s="37">
        <f t="shared" ca="1" si="150"/>
        <v>0.14170101258296244</v>
      </c>
      <c r="I855" s="37">
        <f t="shared" ca="1" si="151"/>
        <v>7.8632782792902783E-2</v>
      </c>
      <c r="J855" s="38">
        <f t="shared" ca="1" si="152"/>
        <v>3.6402395011350647E-2</v>
      </c>
      <c r="K855" s="36">
        <f t="shared" ca="1" si="153"/>
        <v>736.52954550856407</v>
      </c>
      <c r="L855" s="36">
        <f ca="1">Assumptions!$C$10*Assumptions!$C$13*I855*Assumptions!$C$15</f>
        <v>5453.4859204677805</v>
      </c>
      <c r="M855" s="36">
        <f ca="1">G855*(1+H855*Assumptions!$C$6)*(1+J855)+L855+K855</f>
        <v>68647.185922044533</v>
      </c>
    </row>
    <row r="856" spans="1:13" x14ac:dyDescent="0.25">
      <c r="A856" s="3">
        <v>843</v>
      </c>
      <c r="B856" s="3">
        <f t="shared" ca="1" si="154"/>
        <v>0.46968585139406849</v>
      </c>
      <c r="C856" s="3">
        <f t="shared" ca="1" si="154"/>
        <v>0.33668555582825754</v>
      </c>
      <c r="D856" s="3">
        <f t="shared" ca="1" si="154"/>
        <v>0.28477305621573301</v>
      </c>
      <c r="E856" s="3">
        <f t="shared" ca="1" si="154"/>
        <v>0.38452471127875287</v>
      </c>
      <c r="F856" s="3">
        <f t="shared" ca="1" si="154"/>
        <v>0.77136729371959822</v>
      </c>
      <c r="G856" s="36">
        <f t="shared" ca="1" si="149"/>
        <v>57832.090813198862</v>
      </c>
      <c r="H856" s="37">
        <f t="shared" ca="1" si="150"/>
        <v>0.11691724659992987</v>
      </c>
      <c r="I856" s="37">
        <f t="shared" ca="1" si="151"/>
        <v>7.018731157109466E-2</v>
      </c>
      <c r="J856" s="38">
        <f t="shared" ca="1" si="152"/>
        <v>2.7539092594059768E-2</v>
      </c>
      <c r="K856" s="36">
        <f t="shared" ca="1" si="153"/>
        <v>1985.6789570053238</v>
      </c>
      <c r="L856" s="36">
        <f ca="1">Assumptions!$C$10*Assumptions!$C$13*I856*Assumptions!$C$15</f>
        <v>4867.7600086537641</v>
      </c>
      <c r="M856" s="36">
        <f ca="1">G856*(1+H856*Assumptions!$C$6)*(1+J856)+L856+K856</f>
        <v>67667.728341249487</v>
      </c>
    </row>
    <row r="857" spans="1:13" x14ac:dyDescent="0.25">
      <c r="A857" s="3">
        <v>844</v>
      </c>
      <c r="B857" s="3">
        <f t="shared" ca="1" si="154"/>
        <v>0.14010769478233143</v>
      </c>
      <c r="C857" s="3">
        <f t="shared" ca="1" si="154"/>
        <v>1.2514384994053329E-2</v>
      </c>
      <c r="D857" s="3">
        <f t="shared" ca="1" si="154"/>
        <v>0.20272531219764311</v>
      </c>
      <c r="E857" s="3">
        <f t="shared" ca="1" si="154"/>
        <v>0.10606577801387396</v>
      </c>
      <c r="F857" s="3">
        <f t="shared" ca="1" si="154"/>
        <v>7.3534096117754855E-2</v>
      </c>
      <c r="G857" s="36">
        <f t="shared" ca="1" si="149"/>
        <v>57498.566339804209</v>
      </c>
      <c r="H857" s="37">
        <f t="shared" ca="1" si="150"/>
        <v>6.2901213912687021E-2</v>
      </c>
      <c r="I857" s="37">
        <f t="shared" ca="1" si="151"/>
        <v>6.5470001944100006E-2</v>
      </c>
      <c r="J857" s="38">
        <f t="shared" ca="1" si="152"/>
        <v>1.9211548317796479E-2</v>
      </c>
      <c r="K857" s="36">
        <f t="shared" ca="1" si="153"/>
        <v>575.24206429110939</v>
      </c>
      <c r="L857" s="36">
        <f ca="1">Assumptions!$C$10*Assumptions!$C$13*I857*Assumptions!$C$15</f>
        <v>4540.5964425231195</v>
      </c>
      <c r="M857" s="36">
        <f ca="1">G857*(1+H857*Assumptions!$C$6)*(1+J857)+L857+K857</f>
        <v>64456.283851435481</v>
      </c>
    </row>
    <row r="858" spans="1:13" x14ac:dyDescent="0.25">
      <c r="A858" s="3">
        <v>845</v>
      </c>
      <c r="B858" s="3">
        <f t="shared" ca="1" si="154"/>
        <v>0.23805750987172458</v>
      </c>
      <c r="C858" s="3">
        <f t="shared" ca="1" si="154"/>
        <v>0.58550728507616912</v>
      </c>
      <c r="D858" s="3">
        <f t="shared" ca="1" si="154"/>
        <v>0.224518114945091</v>
      </c>
      <c r="E858" s="3">
        <f t="shared" ca="1" si="154"/>
        <v>1.8760307002781529E-2</v>
      </c>
      <c r="F858" s="3">
        <f t="shared" ca="1" si="154"/>
        <v>0.62152816509582376</v>
      </c>
      <c r="G858" s="36">
        <f t="shared" ca="1" si="149"/>
        <v>57619.529924713701</v>
      </c>
      <c r="H858" s="37">
        <f t="shared" ca="1" si="150"/>
        <v>0.14278665780735988</v>
      </c>
      <c r="I858" s="37">
        <f t="shared" ca="1" si="151"/>
        <v>6.6804066255407801E-2</v>
      </c>
      <c r="J858" s="38">
        <f t="shared" ca="1" si="152"/>
        <v>1.3874047702626444E-2</v>
      </c>
      <c r="K858" s="36">
        <f t="shared" ca="1" si="153"/>
        <v>1694.9623541564813</v>
      </c>
      <c r="L858" s="36">
        <f ca="1">Assumptions!$C$10*Assumptions!$C$13*I858*Assumptions!$C$15</f>
        <v>4633.1189335288973</v>
      </c>
      <c r="M858" s="36">
        <f ca="1">G858*(1+H858*Assumptions!$C$6)*(1+J858)+L858+K858</f>
        <v>66415.316530470533</v>
      </c>
    </row>
    <row r="859" spans="1:13" x14ac:dyDescent="0.25">
      <c r="A859" s="3">
        <v>846</v>
      </c>
      <c r="B859" s="3">
        <f t="shared" ca="1" si="154"/>
        <v>3.1639435415634409E-2</v>
      </c>
      <c r="C859" s="3">
        <f t="shared" ca="1" si="154"/>
        <v>0.5854145586586168</v>
      </c>
      <c r="D859" s="3">
        <f t="shared" ca="1" si="154"/>
        <v>0.36057832180901983</v>
      </c>
      <c r="E859" s="3">
        <f t="shared" ca="1" si="154"/>
        <v>0.37746812727872536</v>
      </c>
      <c r="F859" s="3">
        <f t="shared" ca="1" si="154"/>
        <v>0.96109509290086448</v>
      </c>
      <c r="G859" s="36">
        <f t="shared" ca="1" si="149"/>
        <v>57289.401749895493</v>
      </c>
      <c r="H859" s="37">
        <f t="shared" ca="1" si="150"/>
        <v>0.14277578458746226</v>
      </c>
      <c r="I859" s="37">
        <f t="shared" ca="1" si="151"/>
        <v>7.3968376908366745E-2</v>
      </c>
      <c r="J859" s="38">
        <f t="shared" ca="1" si="152"/>
        <v>2.7377413553891734E-2</v>
      </c>
      <c r="K859" s="36">
        <f t="shared" ca="1" si="153"/>
        <v>2581.5838411986101</v>
      </c>
      <c r="L859" s="36">
        <f ca="1">Assumptions!$C$10*Assumptions!$C$13*I859*Assumptions!$C$15</f>
        <v>5129.9914323525727</v>
      </c>
      <c r="M859" s="36">
        <f ca="1">G859*(1+H859*Assumptions!$C$6)*(1+J859)+L859+K859</f>
        <v>68250.10745001446</v>
      </c>
    </row>
    <row r="860" spans="1:13" x14ac:dyDescent="0.25">
      <c r="A860" s="3">
        <v>847</v>
      </c>
      <c r="B860" s="3">
        <f t="shared" ca="1" si="154"/>
        <v>5.9339958392333525E-2</v>
      </c>
      <c r="C860" s="3">
        <f t="shared" ca="1" si="154"/>
        <v>0.83386447516156792</v>
      </c>
      <c r="D860" s="3">
        <f t="shared" ca="1" si="154"/>
        <v>0.36763790133820984</v>
      </c>
      <c r="E860" s="3">
        <f t="shared" ca="1" si="154"/>
        <v>0.91335563022128563</v>
      </c>
      <c r="F860" s="3">
        <f t="shared" ca="1" si="154"/>
        <v>0.46840280074387042</v>
      </c>
      <c r="G860" s="36">
        <f t="shared" ca="1" si="149"/>
        <v>57359.38403583676</v>
      </c>
      <c r="H860" s="37">
        <f t="shared" ca="1" si="150"/>
        <v>0.17845416369634537</v>
      </c>
      <c r="I860" s="37">
        <f t="shared" ca="1" si="151"/>
        <v>7.4299289850990671E-2</v>
      </c>
      <c r="J860" s="38">
        <f t="shared" ca="1" si="152"/>
        <v>4.1674407178886812E-2</v>
      </c>
      <c r="K860" s="36">
        <f t="shared" ca="1" si="153"/>
        <v>1451.8307764155632</v>
      </c>
      <c r="L860" s="36">
        <f ca="1">Assumptions!$C$10*Assumptions!$C$13*I860*Assumptions!$C$15</f>
        <v>5152.9415176656294</v>
      </c>
      <c r="M860" s="36">
        <f ca="1">G860*(1+H860*Assumptions!$C$6)*(1+J860)+L860+K860</f>
        <v>68487.094858052529</v>
      </c>
    </row>
    <row r="861" spans="1:13" x14ac:dyDescent="0.25">
      <c r="A861" s="3">
        <v>848</v>
      </c>
      <c r="B861" s="3">
        <f t="shared" ca="1" si="154"/>
        <v>0.57384290613039368</v>
      </c>
      <c r="C861" s="3">
        <f t="shared" ca="1" si="154"/>
        <v>0.81602194331877953</v>
      </c>
      <c r="D861" s="3">
        <f t="shared" ca="1" si="154"/>
        <v>0.26940140745829255</v>
      </c>
      <c r="E861" s="3">
        <f t="shared" ca="1" si="154"/>
        <v>0.23566005934831724</v>
      </c>
      <c r="F861" s="3">
        <f t="shared" ca="1" si="154"/>
        <v>0.92942360938489921</v>
      </c>
      <c r="G861" s="36">
        <f t="shared" ca="1" si="149"/>
        <v>57927.093274401697</v>
      </c>
      <c r="H861" s="37">
        <f t="shared" ca="1" si="150"/>
        <v>0.17523349868696142</v>
      </c>
      <c r="I861" s="37">
        <f t="shared" ca="1" si="151"/>
        <v>6.936127558309646E-2</v>
      </c>
      <c r="J861" s="38">
        <f t="shared" ca="1" si="152"/>
        <v>2.3730551608681049E-2</v>
      </c>
      <c r="K861" s="36">
        <f t="shared" ca="1" si="153"/>
        <v>2436.4454260961465</v>
      </c>
      <c r="L861" s="36">
        <f ca="1">Assumptions!$C$10*Assumptions!$C$13*I861*Assumptions!$C$15</f>
        <v>4810.471235824597</v>
      </c>
      <c r="M861" s="36">
        <f ca="1">G861*(1+H861*Assumptions!$C$6)*(1+J861)+L861+K861</f>
        <v>68626.981918551144</v>
      </c>
    </row>
    <row r="862" spans="1:13" x14ac:dyDescent="0.25">
      <c r="A862" s="3">
        <v>849</v>
      </c>
      <c r="B862" s="3">
        <f t="shared" ca="1" si="154"/>
        <v>0.75083691380660256</v>
      </c>
      <c r="C862" s="3">
        <f t="shared" ca="1" si="154"/>
        <v>0.15851014021571475</v>
      </c>
      <c r="D862" s="3">
        <f t="shared" ca="1" si="154"/>
        <v>0.95646408784239711</v>
      </c>
      <c r="E862" s="3">
        <f t="shared" ca="1" si="154"/>
        <v>0.54004043184997641</v>
      </c>
      <c r="F862" s="3">
        <f t="shared" ca="1" si="154"/>
        <v>0.61640462289643005</v>
      </c>
      <c r="G862" s="36">
        <f t="shared" ca="1" si="149"/>
        <v>58120.632084820987</v>
      </c>
      <c r="H862" s="37">
        <f t="shared" ca="1" si="150"/>
        <v>9.5914974298903902E-2</v>
      </c>
      <c r="I862" s="37">
        <f t="shared" ca="1" si="151"/>
        <v>0.10819682589705933</v>
      </c>
      <c r="J862" s="38">
        <f t="shared" ca="1" si="152"/>
        <v>3.0817516987625953E-2</v>
      </c>
      <c r="K862" s="36">
        <f t="shared" ca="1" si="153"/>
        <v>1686.1586104228315</v>
      </c>
      <c r="L862" s="36">
        <f ca="1">Assumptions!$C$10*Assumptions!$C$13*I862*Assumptions!$C$15</f>
        <v>7503.866017599129</v>
      </c>
      <c r="M862" s="36">
        <f ca="1">G862*(1+H862*Assumptions!$C$6)*(1+J862)+L862+K862</f>
        <v>70251.07737198018</v>
      </c>
    </row>
    <row r="863" spans="1:13" x14ac:dyDescent="0.25">
      <c r="A863" s="3">
        <v>850</v>
      </c>
      <c r="B863" s="3">
        <f t="shared" ca="1" si="154"/>
        <v>0.94321519988732261</v>
      </c>
      <c r="C863" s="3">
        <f t="shared" ca="1" si="154"/>
        <v>0.58395270389370568</v>
      </c>
      <c r="D863" s="3">
        <f t="shared" ca="1" si="154"/>
        <v>0.44754432206942685</v>
      </c>
      <c r="E863" s="3">
        <f t="shared" ca="1" si="154"/>
        <v>0.54885170832904628</v>
      </c>
      <c r="F863" s="3">
        <f t="shared" ca="1" si="154"/>
        <v>0.50727264529371896</v>
      </c>
      <c r="G863" s="36">
        <f t="shared" ca="1" si="149"/>
        <v>58449.23335268753</v>
      </c>
      <c r="H863" s="37">
        <f t="shared" ca="1" si="150"/>
        <v>0.1426045260229023</v>
      </c>
      <c r="I863" s="37">
        <f t="shared" ca="1" si="151"/>
        <v>7.7843649805775419E-2</v>
      </c>
      <c r="J863" s="38">
        <f t="shared" ca="1" si="152"/>
        <v>3.100214134864766E-2</v>
      </c>
      <c r="K863" s="36">
        <f t="shared" ca="1" si="153"/>
        <v>1510.9489276125332</v>
      </c>
      <c r="L863" s="36">
        <f ca="1">Assumptions!$C$10*Assumptions!$C$13*I863*Assumptions!$C$15</f>
        <v>5398.7565126836244</v>
      </c>
      <c r="M863" s="36">
        <f ca="1">G863*(1+H863*Assumptions!$C$6)*(1+J863)+L863+K863</f>
        <v>68889.696576873743</v>
      </c>
    </row>
    <row r="864" spans="1:13" x14ac:dyDescent="0.25">
      <c r="A864" s="3">
        <v>851</v>
      </c>
      <c r="B864" s="3">
        <f t="shared" ref="B864:F873" ca="1" si="155">RAND()</f>
        <v>0.38644021798834005</v>
      </c>
      <c r="C864" s="3">
        <f t="shared" ca="1" si="155"/>
        <v>0.59343876294657028</v>
      </c>
      <c r="D864" s="3">
        <f t="shared" ca="1" si="155"/>
        <v>0.67934245673214044</v>
      </c>
      <c r="E864" s="3">
        <f t="shared" ca="1" si="155"/>
        <v>0.17572100180387451</v>
      </c>
      <c r="F864" s="3">
        <f t="shared" ca="1" si="155"/>
        <v>0.51114153137926122</v>
      </c>
      <c r="G864" s="36">
        <f t="shared" ca="1" si="149"/>
        <v>57761.928047773734</v>
      </c>
      <c r="H864" s="37">
        <f t="shared" ca="1" si="150"/>
        <v>0.14372125777297357</v>
      </c>
      <c r="I864" s="37">
        <f t="shared" ca="1" si="151"/>
        <v>8.7967139708462649E-2</v>
      </c>
      <c r="J864" s="38">
        <f t="shared" ca="1" si="152"/>
        <v>2.1856508821870776E-2</v>
      </c>
      <c r="K864" s="36">
        <f t="shared" ca="1" si="153"/>
        <v>1516.8064493150855</v>
      </c>
      <c r="L864" s="36">
        <f ca="1">Assumptions!$C$10*Assumptions!$C$13*I864*Assumptions!$C$15</f>
        <v>6100.859473934609</v>
      </c>
      <c r="M864" s="36">
        <f ca="1">G864*(1+H864*Assumptions!$C$6)*(1+J864)+L864+K864</f>
        <v>68338.680323873996</v>
      </c>
    </row>
    <row r="865" spans="1:13" x14ac:dyDescent="0.25">
      <c r="A865" s="3">
        <v>852</v>
      </c>
      <c r="B865" s="3">
        <f t="shared" ca="1" si="155"/>
        <v>0.78649439827534873</v>
      </c>
      <c r="C865" s="3">
        <f t="shared" ca="1" si="155"/>
        <v>0.59545070043938286</v>
      </c>
      <c r="D865" s="3">
        <f t="shared" ca="1" si="155"/>
        <v>0.61472374803304597</v>
      </c>
      <c r="E865" s="3">
        <f t="shared" ca="1" si="155"/>
        <v>0.78272826213564772</v>
      </c>
      <c r="F865" s="3">
        <f t="shared" ca="1" si="155"/>
        <v>0.84783639691327584</v>
      </c>
      <c r="G865" s="36">
        <f t="shared" ca="1" si="149"/>
        <v>58167.359772398209</v>
      </c>
      <c r="H865" s="37">
        <f t="shared" ca="1" si="150"/>
        <v>0.14395977910280469</v>
      </c>
      <c r="I865" s="37">
        <f t="shared" ca="1" si="151"/>
        <v>8.4887551975200398E-2</v>
      </c>
      <c r="J865" s="38">
        <f t="shared" ca="1" si="152"/>
        <v>3.6816017661894344E-2</v>
      </c>
      <c r="K865" s="36">
        <f t="shared" ca="1" si="153"/>
        <v>2172.51210649928</v>
      </c>
      <c r="L865" s="36">
        <f ca="1">Assumptions!$C$10*Assumptions!$C$13*I865*Assumptions!$C$15</f>
        <v>5887.2782200646661</v>
      </c>
      <c r="M865" s="36">
        <f ca="1">G865*(1+H865*Assumptions!$C$6)*(1+J865)+L865+K865</f>
        <v>70105.050397608007</v>
      </c>
    </row>
    <row r="866" spans="1:13" x14ac:dyDescent="0.25">
      <c r="A866" s="3">
        <v>853</v>
      </c>
      <c r="B866" s="3">
        <f t="shared" ca="1" si="155"/>
        <v>0.12993496421847828</v>
      </c>
      <c r="C866" s="3">
        <f t="shared" ca="1" si="155"/>
        <v>0.54189372371938616</v>
      </c>
      <c r="D866" s="3">
        <f t="shared" ca="1" si="155"/>
        <v>0.92166681828748431</v>
      </c>
      <c r="E866" s="3">
        <f t="shared" ca="1" si="155"/>
        <v>7.8322185198678618E-2</v>
      </c>
      <c r="F866" s="3">
        <f t="shared" ca="1" si="155"/>
        <v>0.72743823810298613</v>
      </c>
      <c r="G866" s="36">
        <f t="shared" ca="1" si="149"/>
        <v>57483.824453420872</v>
      </c>
      <c r="H866" s="37">
        <f t="shared" ca="1" si="150"/>
        <v>0.13780008268497476</v>
      </c>
      <c r="I866" s="37">
        <f t="shared" ca="1" si="151"/>
        <v>0.1041675592064884</v>
      </c>
      <c r="J866" s="38">
        <f t="shared" ca="1" si="152"/>
        <v>1.7915664732600978E-2</v>
      </c>
      <c r="K866" s="36">
        <f t="shared" ca="1" si="153"/>
        <v>1892.5127862875515</v>
      </c>
      <c r="L866" s="36">
        <f ca="1">Assumptions!$C$10*Assumptions!$C$13*I866*Assumptions!$C$15</f>
        <v>7224.4208754284564</v>
      </c>
      <c r="M866" s="36">
        <f ca="1">G866*(1+H866*Assumptions!$C$6)*(1+J866)+L866+K866</f>
        <v>69243.257178301952</v>
      </c>
    </row>
    <row r="867" spans="1:13" x14ac:dyDescent="0.25">
      <c r="A867" s="3">
        <v>854</v>
      </c>
      <c r="B867" s="3">
        <f t="shared" ca="1" si="155"/>
        <v>0.6097995140457928</v>
      </c>
      <c r="C867" s="3">
        <f t="shared" ca="1" si="155"/>
        <v>0.70896775339180118</v>
      </c>
      <c r="D867" s="3">
        <f t="shared" ca="1" si="155"/>
        <v>0.48635371943840899</v>
      </c>
      <c r="E867" s="3">
        <f t="shared" ca="1" si="155"/>
        <v>0.21530584931068919</v>
      </c>
      <c r="F867" s="3">
        <f t="shared" ca="1" si="155"/>
        <v>0.24160495670912963</v>
      </c>
      <c r="G867" s="36">
        <f t="shared" ca="1" si="149"/>
        <v>57962.548427758018</v>
      </c>
      <c r="H867" s="37">
        <f t="shared" ca="1" si="150"/>
        <v>0.15854120536942046</v>
      </c>
      <c r="I867" s="37">
        <f t="shared" ca="1" si="151"/>
        <v>7.9450372649734355E-2</v>
      </c>
      <c r="J867" s="38">
        <f t="shared" ca="1" si="152"/>
        <v>2.3124202049974365E-2</v>
      </c>
      <c r="K867" s="36">
        <f t="shared" ca="1" si="153"/>
        <v>1042.6995277600749</v>
      </c>
      <c r="L867" s="36">
        <f ca="1">Assumptions!$C$10*Assumptions!$C$13*I867*Assumptions!$C$15</f>
        <v>5510.1889216154213</v>
      </c>
      <c r="M867" s="36">
        <f ca="1">G867*(1+H867*Assumptions!$C$6)*(1+J867)+L867+K867</f>
        <v>67736.164767427559</v>
      </c>
    </row>
    <row r="868" spans="1:13" x14ac:dyDescent="0.25">
      <c r="A868" s="3">
        <v>855</v>
      </c>
      <c r="B868" s="3">
        <f t="shared" ca="1" si="155"/>
        <v>0.32399518101933411</v>
      </c>
      <c r="C868" s="3">
        <f t="shared" ca="1" si="155"/>
        <v>0.83326666705558317</v>
      </c>
      <c r="D868" s="3">
        <f t="shared" ca="1" si="155"/>
        <v>0.30350455946564148</v>
      </c>
      <c r="E868" s="3">
        <f t="shared" ca="1" si="155"/>
        <v>0.58105168852896338</v>
      </c>
      <c r="F868" s="3">
        <f t="shared" ca="1" si="155"/>
        <v>0.14993849839596829</v>
      </c>
      <c r="G868" s="36">
        <f t="shared" ca="1" si="149"/>
        <v>57706.092486030946</v>
      </c>
      <c r="H868" s="37">
        <f t="shared" ca="1" si="150"/>
        <v>0.17834353244684947</v>
      </c>
      <c r="I868" s="37">
        <f t="shared" ca="1" si="151"/>
        <v>7.116431597661102E-2</v>
      </c>
      <c r="J868" s="38">
        <f t="shared" ca="1" si="152"/>
        <v>3.1692661330034087E-2</v>
      </c>
      <c r="K868" s="36">
        <f t="shared" ca="1" si="153"/>
        <v>821.41538991052346</v>
      </c>
      <c r="L868" s="36">
        <f ca="1">Assumptions!$C$10*Assumptions!$C$13*I868*Assumptions!$C$15</f>
        <v>4935.519021885576</v>
      </c>
      <c r="M868" s="36">
        <f ca="1">G868*(1+H868*Assumptions!$C$6)*(1+J868)+L868+K868</f>
        <v>67415.421277116824</v>
      </c>
    </row>
    <row r="869" spans="1:13" x14ac:dyDescent="0.25">
      <c r="A869" s="3">
        <v>856</v>
      </c>
      <c r="B869" s="3">
        <f t="shared" ca="1" si="155"/>
        <v>9.1756589148596857E-2</v>
      </c>
      <c r="C869" s="3">
        <f t="shared" ca="1" si="155"/>
        <v>0.10235878964342304</v>
      </c>
      <c r="D869" s="3">
        <f t="shared" ca="1" si="155"/>
        <v>0.73354216780529768</v>
      </c>
      <c r="E869" s="3">
        <f t="shared" ca="1" si="155"/>
        <v>0.31682235105737511</v>
      </c>
      <c r="F869" s="3">
        <f t="shared" ca="1" si="155"/>
        <v>0.81344073516051196</v>
      </c>
      <c r="G869" s="36">
        <f t="shared" ca="1" si="149"/>
        <v>57422.543470964301</v>
      </c>
      <c r="H869" s="37">
        <f t="shared" ca="1" si="150"/>
        <v>8.6896773602274852E-2</v>
      </c>
      <c r="I869" s="37">
        <f t="shared" ca="1" si="151"/>
        <v>9.0799570841800153E-2</v>
      </c>
      <c r="J869" s="38">
        <f t="shared" ca="1" si="152"/>
        <v>2.5920360575247665E-2</v>
      </c>
      <c r="K869" s="36">
        <f t="shared" ca="1" si="153"/>
        <v>2083.7485651974694</v>
      </c>
      <c r="L869" s="36">
        <f ca="1">Assumptions!$C$10*Assumptions!$C$13*I869*Assumptions!$C$15</f>
        <v>6297.2994669974623</v>
      </c>
      <c r="M869" s="36">
        <f ca="1">G869*(1+H869*Assumptions!$C$6)*(1+J869)+L869+K869</f>
        <v>68315.838945059295</v>
      </c>
    </row>
    <row r="870" spans="1:13" x14ac:dyDescent="0.25">
      <c r="A870" s="3">
        <v>857</v>
      </c>
      <c r="B870" s="3">
        <f t="shared" ca="1" si="155"/>
        <v>0.37478532119913477</v>
      </c>
      <c r="C870" s="3">
        <f t="shared" ca="1" si="155"/>
        <v>0.52460732904680563</v>
      </c>
      <c r="D870" s="3">
        <f t="shared" ca="1" si="155"/>
        <v>0.72044193571473869</v>
      </c>
      <c r="E870" s="3">
        <f t="shared" ca="1" si="155"/>
        <v>0.45276941645837099</v>
      </c>
      <c r="F870" s="3">
        <f t="shared" ca="1" si="155"/>
        <v>0.80123028783645844</v>
      </c>
      <c r="G870" s="36">
        <f t="shared" ca="1" si="149"/>
        <v>57751.869874561889</v>
      </c>
      <c r="H870" s="37">
        <f t="shared" ca="1" si="150"/>
        <v>0.1358897080124504</v>
      </c>
      <c r="I870" s="37">
        <f t="shared" ca="1" si="151"/>
        <v>9.0090372691843251E-2</v>
      </c>
      <c r="J870" s="38">
        <f t="shared" ca="1" si="152"/>
        <v>2.903196083346897E-2</v>
      </c>
      <c r="K870" s="36">
        <f t="shared" ca="1" si="153"/>
        <v>2054.2390869062428</v>
      </c>
      <c r="L870" s="36">
        <f ca="1">Assumptions!$C$10*Assumptions!$C$13*I870*Assumptions!$C$15</f>
        <v>6248.1138476127589</v>
      </c>
      <c r="M870" s="36">
        <f ca="1">G870*(1+H870*Assumptions!$C$6)*(1+J870)+L870+K870</f>
        <v>69346.017676671298</v>
      </c>
    </row>
    <row r="871" spans="1:13" x14ac:dyDescent="0.25">
      <c r="A871" s="3">
        <v>858</v>
      </c>
      <c r="B871" s="3">
        <f t="shared" ca="1" si="155"/>
        <v>0.30618410667295826</v>
      </c>
      <c r="C871" s="3">
        <f t="shared" ca="1" si="155"/>
        <v>0.91427866082256026</v>
      </c>
      <c r="D871" s="3">
        <f t="shared" ca="1" si="155"/>
        <v>0.14061221819763925</v>
      </c>
      <c r="E871" s="3">
        <f t="shared" ca="1" si="155"/>
        <v>0.29461872003398804</v>
      </c>
      <c r="F871" s="3">
        <f t="shared" ca="1" si="155"/>
        <v>0.22127625720938271</v>
      </c>
      <c r="G871" s="36">
        <f t="shared" ca="1" si="149"/>
        <v>57689.197569153497</v>
      </c>
      <c r="H871" s="37">
        <f t="shared" ca="1" si="150"/>
        <v>0.19579087726220268</v>
      </c>
      <c r="I871" s="37">
        <f t="shared" ca="1" si="151"/>
        <v>6.1212239349782135E-2</v>
      </c>
      <c r="J871" s="38">
        <f t="shared" ca="1" si="152"/>
        <v>2.535236060113201E-2</v>
      </c>
      <c r="K871" s="36">
        <f t="shared" ca="1" si="153"/>
        <v>997.86930879861325</v>
      </c>
      <c r="L871" s="36">
        <f ca="1">Assumptions!$C$10*Assumptions!$C$13*I871*Assumptions!$C$15</f>
        <v>4245.3042305971976</v>
      </c>
      <c r="M871" s="36">
        <f ca="1">G871*(1+H871*Assumptions!$C$6)*(1+J871)+L871+K871</f>
        <v>66711.203245147728</v>
      </c>
    </row>
    <row r="872" spans="1:13" x14ac:dyDescent="0.25">
      <c r="A872" s="3">
        <v>859</v>
      </c>
      <c r="B872" s="3">
        <f t="shared" ca="1" si="155"/>
        <v>0.88611726264908541</v>
      </c>
      <c r="C872" s="3">
        <f t="shared" ca="1" si="155"/>
        <v>0.96454479606838894</v>
      </c>
      <c r="D872" s="3">
        <f t="shared" ca="1" si="155"/>
        <v>0.24629175605076947</v>
      </c>
      <c r="E872" s="3">
        <f t="shared" ca="1" si="155"/>
        <v>0.79932685662787484</v>
      </c>
      <c r="F872" s="3">
        <f t="shared" ca="1" si="155"/>
        <v>0.87230205576793918</v>
      </c>
      <c r="G872" s="36">
        <f t="shared" ca="1" si="149"/>
        <v>58324.314261591804</v>
      </c>
      <c r="H872" s="37">
        <f t="shared" ca="1" si="150"/>
        <v>0.21156799954908673</v>
      </c>
      <c r="I872" s="37">
        <f t="shared" ca="1" si="151"/>
        <v>6.8073717590701494E-2</v>
      </c>
      <c r="J872" s="38">
        <f t="shared" ca="1" si="152"/>
        <v>3.7329620577989775E-2</v>
      </c>
      <c r="K872" s="36">
        <f t="shared" ca="1" si="153"/>
        <v>2241.9493756718662</v>
      </c>
      <c r="L872" s="36">
        <f ca="1">Assumptions!$C$10*Assumptions!$C$13*I872*Assumptions!$C$15</f>
        <v>4721.1741369058818</v>
      </c>
      <c r="M872" s="36">
        <f ca="1">G872*(1+H872*Assumptions!$C$6)*(1+J872)+L872+K872</f>
        <v>70024.700202037362</v>
      </c>
    </row>
    <row r="873" spans="1:13" x14ac:dyDescent="0.25">
      <c r="A873" s="3">
        <v>860</v>
      </c>
      <c r="B873" s="3">
        <f t="shared" ca="1" si="155"/>
        <v>0.94127484238934223</v>
      </c>
      <c r="C873" s="3">
        <f t="shared" ca="1" si="155"/>
        <v>0.55824358890261794</v>
      </c>
      <c r="D873" s="3">
        <f t="shared" ca="1" si="155"/>
        <v>0.92399226609132257</v>
      </c>
      <c r="E873" s="3">
        <f t="shared" ca="1" si="155"/>
        <v>0.21024170189209845</v>
      </c>
      <c r="F873" s="3">
        <f t="shared" ca="1" si="155"/>
        <v>0.82171422383097015</v>
      </c>
      <c r="G873" s="36">
        <f t="shared" ca="1" si="149"/>
        <v>58444.14797939788</v>
      </c>
      <c r="H873" s="37">
        <f t="shared" ca="1" si="150"/>
        <v>0.13964041563946017</v>
      </c>
      <c r="I873" s="37">
        <f t="shared" ca="1" si="151"/>
        <v>0.1044043355862032</v>
      </c>
      <c r="J873" s="38">
        <f t="shared" ca="1" si="152"/>
        <v>2.2968938334099624E-2</v>
      </c>
      <c r="K873" s="36">
        <f t="shared" ca="1" si="153"/>
        <v>2104.2958117990993</v>
      </c>
      <c r="L873" s="36">
        <f ca="1">Assumptions!$C$10*Assumptions!$C$13*I873*Assumptions!$C$15</f>
        <v>7240.8422280400609</v>
      </c>
      <c r="M873" s="36">
        <f ca="1">G873*(1+H873*Assumptions!$C$6)*(1+J873)+L873+K873</f>
        <v>70801.409732926899</v>
      </c>
    </row>
    <row r="874" spans="1:13" x14ac:dyDescent="0.25">
      <c r="A874" s="3">
        <v>861</v>
      </c>
      <c r="B874" s="3">
        <f t="shared" ref="B874:F883" ca="1" si="156">RAND()</f>
        <v>0.88873552635934194</v>
      </c>
      <c r="C874" s="3">
        <f t="shared" ca="1" si="156"/>
        <v>0.6362157460825143</v>
      </c>
      <c r="D874" s="3">
        <f t="shared" ca="1" si="156"/>
        <v>5.7559061298523284E-2</v>
      </c>
      <c r="E874" s="3">
        <f t="shared" ca="1" si="156"/>
        <v>0.83390432578083418</v>
      </c>
      <c r="F874" s="3">
        <f t="shared" ca="1" si="156"/>
        <v>0.98908096033884063</v>
      </c>
      <c r="G874" s="36">
        <f t="shared" ca="1" si="149"/>
        <v>58329.229254767939</v>
      </c>
      <c r="H874" s="37">
        <f t="shared" ca="1" si="150"/>
        <v>0.14892705676591605</v>
      </c>
      <c r="I874" s="37">
        <f t="shared" ca="1" si="151"/>
        <v>5.3571624668965562E-2</v>
      </c>
      <c r="J874" s="38">
        <f t="shared" ca="1" si="152"/>
        <v>3.8472791345024911E-2</v>
      </c>
      <c r="K874" s="36">
        <f t="shared" ca="1" si="153"/>
        <v>2778.334309205919</v>
      </c>
      <c r="L874" s="36">
        <f ca="1">Assumptions!$C$10*Assumptions!$C$13*I874*Assumptions!$C$15</f>
        <v>3715.3982155030267</v>
      </c>
      <c r="M874" s="36">
        <f ca="1">G874*(1+H874*Assumptions!$C$6)*(1+J874)+L874+K874</f>
        <v>68871.2512253077</v>
      </c>
    </row>
    <row r="875" spans="1:13" x14ac:dyDescent="0.25">
      <c r="A875" s="3">
        <v>862</v>
      </c>
      <c r="B875" s="3">
        <f t="shared" ca="1" si="156"/>
        <v>0.74731210914606316</v>
      </c>
      <c r="C875" s="3">
        <f t="shared" ca="1" si="156"/>
        <v>0.7555020724346122</v>
      </c>
      <c r="D875" s="3">
        <f t="shared" ca="1" si="156"/>
        <v>0.75323221675743135</v>
      </c>
      <c r="E875" s="3">
        <f t="shared" ca="1" si="156"/>
        <v>0.12193409135316902</v>
      </c>
      <c r="F875" s="3">
        <f t="shared" ca="1" si="156"/>
        <v>0.99117398578473559</v>
      </c>
      <c r="G875" s="36">
        <f t="shared" ca="1" si="149"/>
        <v>58116.200226974397</v>
      </c>
      <c r="H875" s="37">
        <f t="shared" ca="1" si="150"/>
        <v>0.16533707246236026</v>
      </c>
      <c r="I875" s="37">
        <f t="shared" ca="1" si="151"/>
        <v>9.1899165379366043E-2</v>
      </c>
      <c r="J875" s="38">
        <f t="shared" ca="1" si="152"/>
        <v>1.9876602304564825E-2</v>
      </c>
      <c r="K875" s="36">
        <f t="shared" ca="1" si="153"/>
        <v>2800.7085953466885</v>
      </c>
      <c r="L875" s="36">
        <f ca="1">Assumptions!$C$10*Assumptions!$C$13*I875*Assumptions!$C$15</f>
        <v>6373.5605773874158</v>
      </c>
      <c r="M875" s="36">
        <f ca="1">G875*(1+H875*Assumptions!$C$6)*(1+J875)+L875+K875</f>
        <v>70405.572390510628</v>
      </c>
    </row>
    <row r="876" spans="1:13" x14ac:dyDescent="0.25">
      <c r="A876" s="3">
        <v>863</v>
      </c>
      <c r="B876" s="3">
        <f t="shared" ca="1" si="156"/>
        <v>0.32201679030575703</v>
      </c>
      <c r="C876" s="3">
        <f t="shared" ca="1" si="156"/>
        <v>0.56258352818994828</v>
      </c>
      <c r="D876" s="3">
        <f t="shared" ca="1" si="156"/>
        <v>0.36711619403660711</v>
      </c>
      <c r="E876" s="3">
        <f t="shared" ca="1" si="156"/>
        <v>0.67240245208527749</v>
      </c>
      <c r="F876" s="3">
        <f t="shared" ca="1" si="156"/>
        <v>0.46558910141619136</v>
      </c>
      <c r="G876" s="36">
        <f t="shared" ca="1" si="149"/>
        <v>57704.239180944547</v>
      </c>
      <c r="H876" s="37">
        <f t="shared" ca="1" si="150"/>
        <v>0.14013461281670619</v>
      </c>
      <c r="I876" s="37">
        <f t="shared" ca="1" si="151"/>
        <v>7.4274944506405011E-2</v>
      </c>
      <c r="J876" s="38">
        <f t="shared" ca="1" si="152"/>
        <v>3.3811175511119465E-2</v>
      </c>
      <c r="K876" s="36">
        <f t="shared" ca="1" si="153"/>
        <v>1447.4636286873881</v>
      </c>
      <c r="L876" s="36">
        <f ca="1">Assumptions!$C$10*Assumptions!$C$13*I876*Assumptions!$C$15</f>
        <v>5151.2530743826728</v>
      </c>
      <c r="M876" s="36">
        <f ca="1">G876*(1+H876*Assumptions!$C$6)*(1+J876)+L876+K876</f>
        <v>67925.958161458737</v>
      </c>
    </row>
    <row r="877" spans="1:13" x14ac:dyDescent="0.25">
      <c r="A877" s="3">
        <v>864</v>
      </c>
      <c r="B877" s="3">
        <f t="shared" ca="1" si="156"/>
        <v>0.99647060555167044</v>
      </c>
      <c r="C877" s="3">
        <f t="shared" ca="1" si="156"/>
        <v>0.31853866555258203</v>
      </c>
      <c r="D877" s="3">
        <f t="shared" ca="1" si="156"/>
        <v>0.26738641456950707</v>
      </c>
      <c r="E877" s="3">
        <f t="shared" ca="1" si="156"/>
        <v>0.79446933096147909</v>
      </c>
      <c r="F877" s="3">
        <f t="shared" ca="1" si="156"/>
        <v>0.53377894370164169</v>
      </c>
      <c r="G877" s="36">
        <f t="shared" ca="1" si="149"/>
        <v>58674.568549269869</v>
      </c>
      <c r="H877" s="37">
        <f t="shared" ca="1" si="150"/>
        <v>0.11508889499637662</v>
      </c>
      <c r="I877" s="37">
        <f t="shared" ca="1" si="151"/>
        <v>6.9251265384978181E-2</v>
      </c>
      <c r="J877" s="38">
        <f t="shared" ca="1" si="152"/>
        <v>3.7177186922097913E-2</v>
      </c>
      <c r="K877" s="36">
        <f t="shared" ca="1" si="153"/>
        <v>1551.5543664525712</v>
      </c>
      <c r="L877" s="36">
        <f ca="1">Assumptions!$C$10*Assumptions!$C$13*I877*Assumptions!$C$15</f>
        <v>4802.8416054689478</v>
      </c>
      <c r="M877" s="36">
        <f ca="1">G877*(1+H877*Assumptions!$C$6)*(1+J877)+L877+K877</f>
        <v>68611.08813204027</v>
      </c>
    </row>
    <row r="878" spans="1:13" x14ac:dyDescent="0.25">
      <c r="A878" s="3">
        <v>865</v>
      </c>
      <c r="B878" s="3">
        <f t="shared" ca="1" si="156"/>
        <v>0.70404608385980705</v>
      </c>
      <c r="C878" s="3">
        <f t="shared" ca="1" si="156"/>
        <v>0.16822220300379787</v>
      </c>
      <c r="D878" s="3">
        <f t="shared" ca="1" si="156"/>
        <v>0.46363214593292812</v>
      </c>
      <c r="E878" s="3">
        <f t="shared" ca="1" si="156"/>
        <v>7.3026038590553011E-2</v>
      </c>
      <c r="F878" s="3">
        <f t="shared" ca="1" si="156"/>
        <v>0.97983452987779462</v>
      </c>
      <c r="G878" s="36">
        <f t="shared" ca="1" si="149"/>
        <v>58064.131564267089</v>
      </c>
      <c r="H878" s="37">
        <f t="shared" ca="1" si="150"/>
        <v>9.7300690269281606E-2</v>
      </c>
      <c r="I878" s="37">
        <f t="shared" ca="1" si="151"/>
        <v>7.8517825314850909E-2</v>
      </c>
      <c r="J878" s="38">
        <f t="shared" ca="1" si="152"/>
        <v>1.7643352070423186E-2</v>
      </c>
      <c r="K878" s="36">
        <f t="shared" ca="1" si="153"/>
        <v>2698.7615304282599</v>
      </c>
      <c r="L878" s="36">
        <f ca="1">Assumptions!$C$10*Assumptions!$C$13*I878*Assumptions!$C$15</f>
        <v>5445.5131772207369</v>
      </c>
      <c r="M878" s="36">
        <f ca="1">G878*(1+H878*Assumptions!$C$6)*(1+J878)+L878+K878</f>
        <v>68382.724062936919</v>
      </c>
    </row>
    <row r="879" spans="1:13" x14ac:dyDescent="0.25">
      <c r="A879" s="3">
        <v>866</v>
      </c>
      <c r="B879" s="3">
        <f t="shared" ca="1" si="156"/>
        <v>0.73210641627013362</v>
      </c>
      <c r="C879" s="3">
        <f t="shared" ca="1" si="156"/>
        <v>2.5498897405776266E-2</v>
      </c>
      <c r="D879" s="3">
        <f t="shared" ca="1" si="156"/>
        <v>0.69167088173609137</v>
      </c>
      <c r="E879" s="3">
        <f t="shared" ca="1" si="156"/>
        <v>0.77038256063769739</v>
      </c>
      <c r="F879" s="3">
        <f t="shared" ca="1" si="156"/>
        <v>0.81979931411098295</v>
      </c>
      <c r="G879" s="36">
        <f t="shared" ca="1" si="149"/>
        <v>58097.426795270032</v>
      </c>
      <c r="H879" s="37">
        <f t="shared" ca="1" si="150"/>
        <v>6.8415627480398936E-2</v>
      </c>
      <c r="I879" s="37">
        <f t="shared" ca="1" si="151"/>
        <v>8.8588964066040304E-2</v>
      </c>
      <c r="J879" s="38">
        <f t="shared" ca="1" si="152"/>
        <v>3.6446625826391348E-2</v>
      </c>
      <c r="K879" s="36">
        <f t="shared" ca="1" si="153"/>
        <v>2099.4984250427005</v>
      </c>
      <c r="L879" s="36">
        <f ca="1">Assumptions!$C$10*Assumptions!$C$13*I879*Assumptions!$C$15</f>
        <v>6143.9853847647637</v>
      </c>
      <c r="M879" s="36">
        <f ca="1">G879*(1+H879*Assumptions!$C$6)*(1+J879)+L879+K879</f>
        <v>69282.293567703804</v>
      </c>
    </row>
    <row r="880" spans="1:13" x14ac:dyDescent="0.25">
      <c r="A880" s="3">
        <v>867</v>
      </c>
      <c r="B880" s="3">
        <f t="shared" ca="1" si="156"/>
        <v>4.2555142799982737E-2</v>
      </c>
      <c r="C880" s="3">
        <f t="shared" ca="1" si="156"/>
        <v>0.89047398020419111</v>
      </c>
      <c r="D880" s="3">
        <f t="shared" ca="1" si="156"/>
        <v>0.22972846597389818</v>
      </c>
      <c r="E880" s="3">
        <f t="shared" ca="1" si="156"/>
        <v>0.26614971752506922</v>
      </c>
      <c r="F880" s="3">
        <f t="shared" ca="1" si="156"/>
        <v>0.81034890565278084</v>
      </c>
      <c r="G880" s="36">
        <f t="shared" ca="1" si="149"/>
        <v>57319.657304881672</v>
      </c>
      <c r="H880" s="37">
        <f t="shared" ca="1" si="150"/>
        <v>0.19002807536881891</v>
      </c>
      <c r="I880" s="37">
        <f t="shared" ca="1" si="151"/>
        <v>6.7113300999997655E-2</v>
      </c>
      <c r="J880" s="38">
        <f t="shared" ca="1" si="152"/>
        <v>2.4591770763689215E-2</v>
      </c>
      <c r="K880" s="36">
        <f t="shared" ca="1" si="153"/>
        <v>2076.1872892395959</v>
      </c>
      <c r="L880" s="36">
        <f ca="1">Assumptions!$C$10*Assumptions!$C$13*I880*Assumptions!$C$15</f>
        <v>4654.5655524306057</v>
      </c>
      <c r="M880" s="36">
        <f ca="1">G880*(1+H880*Assumptions!$C$6)*(1+J880)+L880+K880</f>
        <v>67692.043257060868</v>
      </c>
    </row>
    <row r="881" spans="1:13" x14ac:dyDescent="0.25">
      <c r="A881" s="3">
        <v>868</v>
      </c>
      <c r="B881" s="3">
        <f t="shared" ca="1" si="156"/>
        <v>0.31307462811496278</v>
      </c>
      <c r="C881" s="3">
        <f t="shared" ca="1" si="156"/>
        <v>0.6049720798813577</v>
      </c>
      <c r="D881" s="3">
        <f t="shared" ca="1" si="156"/>
        <v>0.13334084338464591</v>
      </c>
      <c r="E881" s="3">
        <f t="shared" ca="1" si="156"/>
        <v>0.49960449310333688</v>
      </c>
      <c r="F881" s="3">
        <f t="shared" ca="1" si="156"/>
        <v>0.60218379849253167</v>
      </c>
      <c r="G881" s="36">
        <f t="shared" ca="1" si="149"/>
        <v>57695.790482479199</v>
      </c>
      <c r="H881" s="37">
        <f t="shared" ca="1" si="150"/>
        <v>0.14509669879975173</v>
      </c>
      <c r="I881" s="37">
        <f t="shared" ca="1" si="151"/>
        <v>6.0656492897654887E-2</v>
      </c>
      <c r="J881" s="38">
        <f t="shared" ca="1" si="152"/>
        <v>2.9992088297190703E-2</v>
      </c>
      <c r="K881" s="36">
        <f t="shared" ca="1" si="153"/>
        <v>1662.0265672355047</v>
      </c>
      <c r="L881" s="36">
        <f ca="1">Assumptions!$C$10*Assumptions!$C$13*I881*Assumptions!$C$15</f>
        <v>4206.7610766558182</v>
      </c>
      <c r="M881" s="36">
        <f ca="1">G881*(1+H881*Assumptions!$C$6)*(1+J881)+L881+K881</f>
        <v>67019.504681514591</v>
      </c>
    </row>
    <row r="882" spans="1:13" x14ac:dyDescent="0.25">
      <c r="A882" s="3">
        <v>869</v>
      </c>
      <c r="B882" s="3">
        <f t="shared" ca="1" si="156"/>
        <v>0.8007356949039014</v>
      </c>
      <c r="C882" s="3">
        <f t="shared" ca="1" si="156"/>
        <v>0.76429069692697427</v>
      </c>
      <c r="D882" s="3">
        <f t="shared" ca="1" si="156"/>
        <v>0.31719173036682025</v>
      </c>
      <c r="E882" s="3">
        <f t="shared" ca="1" si="156"/>
        <v>0.64621597702719091</v>
      </c>
      <c r="F882" s="3">
        <f t="shared" ca="1" si="156"/>
        <v>0.59280862860622374</v>
      </c>
      <c r="G882" s="36">
        <f t="shared" ca="1" si="149"/>
        <v>58187.106523211012</v>
      </c>
      <c r="H882" s="37">
        <f t="shared" ca="1" si="150"/>
        <v>0.16669125488684866</v>
      </c>
      <c r="I882" s="37">
        <f t="shared" ca="1" si="151"/>
        <v>7.1859277097477026E-2</v>
      </c>
      <c r="J882" s="38">
        <f t="shared" ca="1" si="152"/>
        <v>3.3176587195867566E-2</v>
      </c>
      <c r="K882" s="36">
        <f t="shared" ca="1" si="153"/>
        <v>1646.3526414638143</v>
      </c>
      <c r="L882" s="36">
        <f ca="1">Assumptions!$C$10*Assumptions!$C$13*I882*Assumptions!$C$15</f>
        <v>4983.7172485450219</v>
      </c>
      <c r="M882" s="36">
        <f ca="1">G882*(1+H882*Assumptions!$C$6)*(1+J882)+L882+K882</f>
        <v>68751.840201085593</v>
      </c>
    </row>
    <row r="883" spans="1:13" x14ac:dyDescent="0.25">
      <c r="A883" s="3">
        <v>870</v>
      </c>
      <c r="B883" s="3">
        <f t="shared" ca="1" si="156"/>
        <v>0.36098825600000728</v>
      </c>
      <c r="C883" s="3">
        <f t="shared" ca="1" si="156"/>
        <v>0.59101339397158092</v>
      </c>
      <c r="D883" s="3">
        <f t="shared" ca="1" si="156"/>
        <v>0.52925981405951239</v>
      </c>
      <c r="E883" s="3">
        <f t="shared" ca="1" si="156"/>
        <v>0.28560423296092685</v>
      </c>
      <c r="F883" s="3">
        <f t="shared" ca="1" si="156"/>
        <v>0.6051546637176175</v>
      </c>
      <c r="G883" s="36">
        <f t="shared" ca="1" si="149"/>
        <v>57739.758642075802</v>
      </c>
      <c r="H883" s="37">
        <f t="shared" ca="1" si="150"/>
        <v>0.14343450607257291</v>
      </c>
      <c r="I883" s="37">
        <f t="shared" ca="1" si="151"/>
        <v>8.1188035414197848E-2</v>
      </c>
      <c r="J883" s="38">
        <f t="shared" ca="1" si="152"/>
        <v>2.5115666917762562E-2</v>
      </c>
      <c r="K883" s="36">
        <f t="shared" ca="1" si="153"/>
        <v>1667.0318783741595</v>
      </c>
      <c r="L883" s="36">
        <f ca="1">Assumptions!$C$10*Assumptions!$C$13*I883*Assumptions!$C$15</f>
        <v>5630.7025176492898</v>
      </c>
      <c r="M883" s="36">
        <f ca="1">G883*(1+H883*Assumptions!$C$6)*(1+J883)+L883+K883</f>
        <v>68185.64129295091</v>
      </c>
    </row>
    <row r="884" spans="1:13" x14ac:dyDescent="0.25">
      <c r="A884" s="3">
        <v>871</v>
      </c>
      <c r="B884" s="3">
        <f t="shared" ref="B884:F893" ca="1" si="157">RAND()</f>
        <v>0.41561884938936777</v>
      </c>
      <c r="C884" s="3">
        <f t="shared" ca="1" si="157"/>
        <v>2.4524065959484309E-2</v>
      </c>
      <c r="D884" s="3">
        <f t="shared" ca="1" si="157"/>
        <v>0.3925855674834724</v>
      </c>
      <c r="E884" s="3">
        <f t="shared" ca="1" si="157"/>
        <v>0.62905051020068792</v>
      </c>
      <c r="F884" s="3">
        <f t="shared" ca="1" si="157"/>
        <v>0.75237514977554087</v>
      </c>
      <c r="G884" s="36">
        <f t="shared" ca="1" si="149"/>
        <v>57786.463171434363</v>
      </c>
      <c r="H884" s="37">
        <f t="shared" ca="1" si="150"/>
        <v>6.8060179325276415E-2</v>
      </c>
      <c r="I884" s="37">
        <f t="shared" ca="1" si="151"/>
        <v>7.5443953164779906E-2</v>
      </c>
      <c r="J884" s="38">
        <f t="shared" ca="1" si="152"/>
        <v>3.2773288420611155E-2</v>
      </c>
      <c r="K884" s="36">
        <f t="shared" ca="1" si="153"/>
        <v>1944.3903060268601</v>
      </c>
      <c r="L884" s="36">
        <f ca="1">Assumptions!$C$10*Assumptions!$C$13*I884*Assumptions!$C$15</f>
        <v>5232.3283210281197</v>
      </c>
      <c r="M884" s="36">
        <f ca="1">G884*(1+H884*Assumptions!$C$6)*(1+J884)+L884+K884</f>
        <v>67669.404819141084</v>
      </c>
    </row>
    <row r="885" spans="1:13" x14ac:dyDescent="0.25">
      <c r="A885" s="3">
        <v>872</v>
      </c>
      <c r="B885" s="3">
        <f t="shared" ca="1" si="157"/>
        <v>0.91093354464117415</v>
      </c>
      <c r="C885" s="3">
        <f t="shared" ca="1" si="157"/>
        <v>8.6052214287609119E-2</v>
      </c>
      <c r="D885" s="3">
        <f t="shared" ca="1" si="157"/>
        <v>0.27423351085970848</v>
      </c>
      <c r="E885" s="3">
        <f t="shared" ca="1" si="157"/>
        <v>0.9612106748836986</v>
      </c>
      <c r="F885" s="3">
        <f t="shared" ca="1" si="157"/>
        <v>0.27465421921319011</v>
      </c>
      <c r="G885" s="36">
        <f t="shared" ca="1" si="149"/>
        <v>58373.472330369528</v>
      </c>
      <c r="H885" s="37">
        <f t="shared" ca="1" si="150"/>
        <v>8.3830377621676083E-2</v>
      </c>
      <c r="I885" s="37">
        <f t="shared" ca="1" si="151"/>
        <v>6.9623423751333458E-2</v>
      </c>
      <c r="J885" s="38">
        <f t="shared" ca="1" si="152"/>
        <v>4.4429411153832921E-2</v>
      </c>
      <c r="K885" s="36">
        <f t="shared" ca="1" si="153"/>
        <v>1111.7301770031052</v>
      </c>
      <c r="L885" s="36">
        <f ca="1">Assumptions!$C$10*Assumptions!$C$13*I885*Assumptions!$C$15</f>
        <v>4828.6522195540174</v>
      </c>
      <c r="M885" s="36">
        <f ca="1">G885*(1+H885*Assumptions!$C$6)*(1+J885)+L885+K885</f>
        <v>67929.530575428798</v>
      </c>
    </row>
    <row r="886" spans="1:13" x14ac:dyDescent="0.25">
      <c r="A886" s="3">
        <v>873</v>
      </c>
      <c r="B886" s="3">
        <f t="shared" ca="1" si="157"/>
        <v>0.89425653427021778</v>
      </c>
      <c r="C886" s="3">
        <f t="shared" ca="1" si="157"/>
        <v>0.84824767509571908</v>
      </c>
      <c r="D886" s="3">
        <f t="shared" ca="1" si="157"/>
        <v>0.56850293983778977</v>
      </c>
      <c r="E886" s="3">
        <f t="shared" ca="1" si="157"/>
        <v>0.69591536398057874</v>
      </c>
      <c r="F886" s="3">
        <f t="shared" ca="1" si="157"/>
        <v>0.14738548884315006</v>
      </c>
      <c r="G886" s="36">
        <f t="shared" ca="1" si="149"/>
        <v>58339.786513893203</v>
      </c>
      <c r="H886" s="37">
        <f t="shared" ca="1" si="150"/>
        <v>0.1811786347674792</v>
      </c>
      <c r="I886" s="37">
        <f t="shared" ca="1" si="151"/>
        <v>8.2841009263987367E-2</v>
      </c>
      <c r="J886" s="38">
        <f t="shared" ca="1" si="152"/>
        <v>3.4402958331288043E-2</v>
      </c>
      <c r="K886" s="36">
        <f t="shared" ca="1" si="153"/>
        <v>814.39222724322178</v>
      </c>
      <c r="L886" s="36">
        <f ca="1">Assumptions!$C$10*Assumptions!$C$13*I886*Assumptions!$C$15</f>
        <v>5745.3426117239233</v>
      </c>
      <c r="M886" s="36">
        <f ca="1">G886*(1+H886*Assumptions!$C$6)*(1+J886)+L886+K886</f>
        <v>69093.294495231152</v>
      </c>
    </row>
    <row r="887" spans="1:13" x14ac:dyDescent="0.25">
      <c r="A887" s="3">
        <v>874</v>
      </c>
      <c r="B887" s="3">
        <f t="shared" ca="1" si="157"/>
        <v>3.7706201448285181E-2</v>
      </c>
      <c r="C887" s="3">
        <f t="shared" ca="1" si="157"/>
        <v>0.54115639650253722</v>
      </c>
      <c r="D887" s="3">
        <f t="shared" ca="1" si="157"/>
        <v>0.55087086135749042</v>
      </c>
      <c r="E887" s="3">
        <f t="shared" ca="1" si="157"/>
        <v>0.49256933051091911</v>
      </c>
      <c r="F887" s="3">
        <f t="shared" ca="1" si="157"/>
        <v>0.17563277057841709</v>
      </c>
      <c r="G887" s="36">
        <f t="shared" ca="1" si="149"/>
        <v>57306.764519400167</v>
      </c>
      <c r="H887" s="37">
        <f t="shared" ca="1" si="150"/>
        <v>0.13771786979270451</v>
      </c>
      <c r="I887" s="37">
        <f t="shared" ca="1" si="151"/>
        <v>8.2089404599030219E-2</v>
      </c>
      <c r="J887" s="38">
        <f t="shared" ca="1" si="152"/>
        <v>2.9850830320385477E-2</v>
      </c>
      <c r="K887" s="36">
        <f t="shared" ca="1" si="153"/>
        <v>889.0148860412163</v>
      </c>
      <c r="L887" s="36">
        <f ca="1">Assumptions!$C$10*Assumptions!$C$13*I887*Assumptions!$C$15</f>
        <v>5693.2159374219718</v>
      </c>
      <c r="M887" s="36">
        <f ca="1">G887*(1+H887*Assumptions!$C$6)*(1+J887)+L887+K887</f>
        <v>67225.200492452132</v>
      </c>
    </row>
    <row r="888" spans="1:13" x14ac:dyDescent="0.25">
      <c r="A888" s="3">
        <v>875</v>
      </c>
      <c r="B888" s="3">
        <f t="shared" ca="1" si="157"/>
        <v>0.80299753504421167</v>
      </c>
      <c r="C888" s="3">
        <f t="shared" ca="1" si="157"/>
        <v>0.56661945718611861</v>
      </c>
      <c r="D888" s="3">
        <f t="shared" ca="1" si="157"/>
        <v>0.80792516617104759</v>
      </c>
      <c r="E888" s="3">
        <f t="shared" ca="1" si="157"/>
        <v>0.1322161966373756</v>
      </c>
      <c r="F888" s="3">
        <f t="shared" ca="1" si="157"/>
        <v>0.73552490514361579</v>
      </c>
      <c r="G888" s="36">
        <f t="shared" ca="1" si="149"/>
        <v>58190.306931046245</v>
      </c>
      <c r="H888" s="37">
        <f t="shared" ca="1" si="150"/>
        <v>0.14059639656352241</v>
      </c>
      <c r="I888" s="37">
        <f t="shared" ca="1" si="151"/>
        <v>9.5208076551976689E-2</v>
      </c>
      <c r="J888" s="38">
        <f t="shared" ca="1" si="152"/>
        <v>2.028459806263232E-2</v>
      </c>
      <c r="K888" s="36">
        <f t="shared" ca="1" si="153"/>
        <v>1909.0655716984045</v>
      </c>
      <c r="L888" s="36">
        <f ca="1">Assumptions!$C$10*Assumptions!$C$13*I888*Assumptions!$C$15</f>
        <v>6603.0462937893981</v>
      </c>
      <c r="M888" s="36">
        <f ca="1">G888*(1+H888*Assumptions!$C$6)*(1+J888)+L888+K888</f>
        <v>69552.246346663247</v>
      </c>
    </row>
    <row r="889" spans="1:13" x14ac:dyDescent="0.25">
      <c r="A889" s="3">
        <v>876</v>
      </c>
      <c r="B889" s="3">
        <f t="shared" ca="1" si="157"/>
        <v>2.1002453694773049E-2</v>
      </c>
      <c r="C889" s="3">
        <f t="shared" ca="1" si="157"/>
        <v>1.5022225657623012E-2</v>
      </c>
      <c r="D889" s="3">
        <f t="shared" ca="1" si="157"/>
        <v>0.27094185722801623</v>
      </c>
      <c r="E889" s="3">
        <f t="shared" ca="1" si="157"/>
        <v>0.80198215072948398</v>
      </c>
      <c r="F889" s="3">
        <f t="shared" ca="1" si="157"/>
        <v>0.35265082663884084</v>
      </c>
      <c r="G889" s="36">
        <f t="shared" ca="1" si="149"/>
        <v>57254.313756130869</v>
      </c>
      <c r="H889" s="37">
        <f t="shared" ca="1" si="150"/>
        <v>6.4134907189167756E-2</v>
      </c>
      <c r="I889" s="37">
        <f t="shared" ca="1" si="151"/>
        <v>6.9445100494473638E-2</v>
      </c>
      <c r="J889" s="38">
        <f t="shared" ca="1" si="152"/>
        <v>3.7413726547686453E-2</v>
      </c>
      <c r="K889" s="36">
        <f t="shared" ca="1" si="153"/>
        <v>1259.7335908337063</v>
      </c>
      <c r="L889" s="36">
        <f ca="1">Assumptions!$C$10*Assumptions!$C$13*I889*Assumptions!$C$15</f>
        <v>4816.2848158321094</v>
      </c>
      <c r="M889" s="36">
        <f ca="1">G889*(1+H889*Assumptions!$C$6)*(1+J889)+L889+K889</f>
        <v>66234.306062646661</v>
      </c>
    </row>
    <row r="890" spans="1:13" x14ac:dyDescent="0.25">
      <c r="A890" s="3">
        <v>877</v>
      </c>
      <c r="B890" s="3">
        <f t="shared" ca="1" si="157"/>
        <v>0.89734871580667375</v>
      </c>
      <c r="C890" s="3">
        <f t="shared" ca="1" si="157"/>
        <v>4.7210213555587299E-2</v>
      </c>
      <c r="D890" s="3">
        <f t="shared" ca="1" si="157"/>
        <v>0.61077083796838683</v>
      </c>
      <c r="E890" s="3">
        <f t="shared" ca="1" si="157"/>
        <v>0.56671487915322749</v>
      </c>
      <c r="F890" s="3">
        <f t="shared" ca="1" si="157"/>
        <v>0.84386550059068988</v>
      </c>
      <c r="G890" s="36">
        <f t="shared" ca="1" si="149"/>
        <v>58345.82000984667</v>
      </c>
      <c r="H890" s="37">
        <f t="shared" ca="1" si="150"/>
        <v>7.5057849873628651E-2</v>
      </c>
      <c r="I890" s="37">
        <f t="shared" ca="1" si="151"/>
        <v>8.4707885887904621E-2</v>
      </c>
      <c r="J890" s="38">
        <f t="shared" ca="1" si="152"/>
        <v>3.1382049074148412E-2</v>
      </c>
      <c r="K890" s="36">
        <f t="shared" ca="1" si="153"/>
        <v>2161.7844863390469</v>
      </c>
      <c r="L890" s="36">
        <f ca="1">Assumptions!$C$10*Assumptions!$C$13*I890*Assumptions!$C$15</f>
        <v>5874.8176858872921</v>
      </c>
      <c r="M890" s="36">
        <f ca="1">G890*(1+H890*Assumptions!$C$6)*(1+J890)+L890+K890</f>
        <v>69116.78228426179</v>
      </c>
    </row>
    <row r="891" spans="1:13" x14ac:dyDescent="0.25">
      <c r="A891" s="3">
        <v>878</v>
      </c>
      <c r="B891" s="3">
        <f t="shared" ca="1" si="157"/>
        <v>0.36986015299602382</v>
      </c>
      <c r="C891" s="3">
        <f t="shared" ca="1" si="157"/>
        <v>0.57313219251094127</v>
      </c>
      <c r="D891" s="3">
        <f t="shared" ca="1" si="157"/>
        <v>0.8772613373873458</v>
      </c>
      <c r="E891" s="3">
        <f t="shared" ca="1" si="157"/>
        <v>0.74577456833156341</v>
      </c>
      <c r="F891" s="3">
        <f t="shared" ca="1" si="157"/>
        <v>3.7739083137257046E-3</v>
      </c>
      <c r="G891" s="36">
        <f t="shared" ca="1" si="149"/>
        <v>57747.572499181049</v>
      </c>
      <c r="H891" s="37">
        <f t="shared" ca="1" si="150"/>
        <v>0.14134613027989962</v>
      </c>
      <c r="I891" s="37">
        <f t="shared" ca="1" si="151"/>
        <v>0.10018173265998025</v>
      </c>
      <c r="J891" s="38">
        <f t="shared" ca="1" si="152"/>
        <v>3.5738851892826121E-2</v>
      </c>
      <c r="K891" s="36">
        <f t="shared" ca="1" si="153"/>
        <v>130.31725676887797</v>
      </c>
      <c r="L891" s="36">
        <f ca="1">Assumptions!$C$10*Assumptions!$C$13*I891*Assumptions!$C$15</f>
        <v>6947.9884743260136</v>
      </c>
      <c r="M891" s="36">
        <f ca="1">G891*(1+H891*Assumptions!$C$6)*(1+J891)+L891+K891</f>
        <v>68580.532283831577</v>
      </c>
    </row>
    <row r="892" spans="1:13" x14ac:dyDescent="0.25">
      <c r="A892" s="3">
        <v>879</v>
      </c>
      <c r="B892" s="3">
        <f t="shared" ca="1" si="157"/>
        <v>0.57620521092140431</v>
      </c>
      <c r="C892" s="3">
        <f t="shared" ca="1" si="157"/>
        <v>0.96519330763198241</v>
      </c>
      <c r="D892" s="3">
        <f t="shared" ca="1" si="157"/>
        <v>0.96747693284132852</v>
      </c>
      <c r="E892" s="3">
        <f t="shared" ca="1" si="157"/>
        <v>0.57257353912526776</v>
      </c>
      <c r="F892" s="3">
        <f t="shared" ca="1" si="157"/>
        <v>0.53235369796665277</v>
      </c>
      <c r="G892" s="36">
        <f t="shared" ca="1" si="149"/>
        <v>57929.3755845251</v>
      </c>
      <c r="H892" s="37">
        <f t="shared" ca="1" si="150"/>
        <v>0.21182922461147366</v>
      </c>
      <c r="I892" s="37">
        <f t="shared" ca="1" si="151"/>
        <v>0.10979834254114809</v>
      </c>
      <c r="J892" s="38">
        <f t="shared" ca="1" si="152"/>
        <v>3.1508348675691897E-2</v>
      </c>
      <c r="K892" s="36">
        <f t="shared" ca="1" si="153"/>
        <v>1549.3420943757751</v>
      </c>
      <c r="L892" s="36">
        <f ca="1">Assumptions!$C$10*Assumptions!$C$13*I892*Assumptions!$C$15</f>
        <v>7614.9373565460855</v>
      </c>
      <c r="M892" s="36">
        <f ca="1">G892*(1+H892*Assumptions!$C$6)*(1+J892)+L892+K892</f>
        <v>71450.469580620949</v>
      </c>
    </row>
    <row r="893" spans="1:13" x14ac:dyDescent="0.25">
      <c r="A893" s="3">
        <v>880</v>
      </c>
      <c r="B893" s="3">
        <f t="shared" ca="1" si="157"/>
        <v>0.99561243186558712</v>
      </c>
      <c r="C893" s="3">
        <f t="shared" ca="1" si="157"/>
        <v>3.8190848780509268E-2</v>
      </c>
      <c r="D893" s="3">
        <f t="shared" ca="1" si="157"/>
        <v>0.42991309369853359</v>
      </c>
      <c r="E893" s="3">
        <f t="shared" ca="1" si="157"/>
        <v>0.52553240354212083</v>
      </c>
      <c r="F893" s="3">
        <f t="shared" ca="1" si="157"/>
        <v>0.30752742003073641</v>
      </c>
      <c r="G893" s="36">
        <f t="shared" ca="1" si="149"/>
        <v>58665.965110613535</v>
      </c>
      <c r="H893" s="37">
        <f t="shared" ca="1" si="150"/>
        <v>7.2537486301288645E-2</v>
      </c>
      <c r="I893" s="37">
        <f t="shared" ca="1" si="151"/>
        <v>7.7090725253563155E-2</v>
      </c>
      <c r="J893" s="38">
        <f t="shared" ca="1" si="152"/>
        <v>3.0517339063508207E-2</v>
      </c>
      <c r="K893" s="36">
        <f t="shared" ca="1" si="153"/>
        <v>1176.3814815519299</v>
      </c>
      <c r="L893" s="36">
        <f ca="1">Assumptions!$C$10*Assumptions!$C$13*I893*Assumptions!$C$15</f>
        <v>5346.5382991240403</v>
      </c>
      <c r="M893" s="36">
        <f ca="1">G893*(1+H893*Assumptions!$C$6)*(1+J893)+L893+K893</f>
        <v>67856.283563391364</v>
      </c>
    </row>
    <row r="894" spans="1:13" x14ac:dyDescent="0.25">
      <c r="A894" s="3">
        <v>881</v>
      </c>
      <c r="B894" s="3">
        <f t="shared" ref="B894:F903" ca="1" si="158">RAND()</f>
        <v>0.50318096469573559</v>
      </c>
      <c r="C894" s="3">
        <f t="shared" ca="1" si="158"/>
        <v>0.93934140372071961</v>
      </c>
      <c r="D894" s="3">
        <f t="shared" ca="1" si="158"/>
        <v>0.34228712008893358</v>
      </c>
      <c r="E894" s="3">
        <f t="shared" ca="1" si="158"/>
        <v>0.6641953485157206</v>
      </c>
      <c r="F894" s="3">
        <f t="shared" ca="1" si="158"/>
        <v>0.65766146302146566</v>
      </c>
      <c r="G894" s="36">
        <f t="shared" ca="1" si="149"/>
        <v>57861.532405948201</v>
      </c>
      <c r="H894" s="37">
        <f t="shared" ca="1" si="150"/>
        <v>0.20281107698295642</v>
      </c>
      <c r="I894" s="37">
        <f t="shared" ca="1" si="151"/>
        <v>7.3095600678709349E-2</v>
      </c>
      <c r="J894" s="38">
        <f t="shared" ca="1" si="152"/>
        <v>3.360964548316836E-2</v>
      </c>
      <c r="K894" s="36">
        <f t="shared" ca="1" si="153"/>
        <v>1758.8217628384696</v>
      </c>
      <c r="L894" s="36">
        <f ca="1">Assumptions!$C$10*Assumptions!$C$13*I894*Assumptions!$C$15</f>
        <v>5069.4610439941807</v>
      </c>
      <c r="M894" s="36">
        <f ca="1">G894*(1+H894*Assumptions!$C$6)*(1+J894)+L894+K894</f>
        <v>69060.394311760872</v>
      </c>
    </row>
    <row r="895" spans="1:13" x14ac:dyDescent="0.25">
      <c r="A895" s="3">
        <v>882</v>
      </c>
      <c r="B895" s="3">
        <f t="shared" ca="1" si="158"/>
        <v>0.8766088650942313</v>
      </c>
      <c r="C895" s="3">
        <f t="shared" ca="1" si="158"/>
        <v>0.66144061268333321</v>
      </c>
      <c r="D895" s="3">
        <f t="shared" ca="1" si="158"/>
        <v>0.19640880773166569</v>
      </c>
      <c r="E895" s="3">
        <f t="shared" ca="1" si="158"/>
        <v>0.37213879957944862</v>
      </c>
      <c r="F895" s="3">
        <f t="shared" ca="1" si="158"/>
        <v>1.4531102014508135E-2</v>
      </c>
      <c r="G895" s="36">
        <f t="shared" ca="1" si="149"/>
        <v>58306.924041423074</v>
      </c>
      <c r="H895" s="37">
        <f t="shared" ca="1" si="150"/>
        <v>0.15214128369467259</v>
      </c>
      <c r="I895" s="37">
        <f t="shared" ca="1" si="151"/>
        <v>6.5070065511309103E-2</v>
      </c>
      <c r="J895" s="38">
        <f t="shared" ca="1" si="152"/>
        <v>2.7254304960315237E-2</v>
      </c>
      <c r="K895" s="36">
        <f t="shared" ca="1" si="153"/>
        <v>255.71460471644284</v>
      </c>
      <c r="L895" s="36">
        <f ca="1">Assumptions!$C$10*Assumptions!$C$13*I895*Assumptions!$C$15</f>
        <v>4512.8593126920214</v>
      </c>
      <c r="M895" s="36">
        <f ca="1">G895*(1+H895*Assumptions!$C$6)*(1+J895)+L895+K895</f>
        <v>66487.144692092639</v>
      </c>
    </row>
    <row r="896" spans="1:13" x14ac:dyDescent="0.25">
      <c r="A896" s="3">
        <v>883</v>
      </c>
      <c r="B896" s="3">
        <f t="shared" ca="1" si="158"/>
        <v>0.37716008838131432</v>
      </c>
      <c r="C896" s="3">
        <f t="shared" ca="1" si="158"/>
        <v>0.63166411159837355</v>
      </c>
      <c r="D896" s="3">
        <f t="shared" ca="1" si="158"/>
        <v>1.7784078419332161E-2</v>
      </c>
      <c r="E896" s="3">
        <f t="shared" ca="1" si="158"/>
        <v>0.51664146718501958</v>
      </c>
      <c r="F896" s="3">
        <f t="shared" ca="1" si="158"/>
        <v>0.17129799650969912</v>
      </c>
      <c r="G896" s="36">
        <f t="shared" ca="1" si="149"/>
        <v>57753.931847924454</v>
      </c>
      <c r="H896" s="37">
        <f t="shared" ca="1" si="150"/>
        <v>0.14835907979752122</v>
      </c>
      <c r="I896" s="37">
        <f t="shared" ca="1" si="151"/>
        <v>4.7543808782164548E-2</v>
      </c>
      <c r="J896" s="38">
        <f t="shared" ca="1" si="152"/>
        <v>3.0335645796213284E-2</v>
      </c>
      <c r="K896" s="36">
        <f t="shared" ca="1" si="153"/>
        <v>877.97550324234328</v>
      </c>
      <c r="L896" s="36">
        <f ca="1">Assumptions!$C$10*Assumptions!$C$13*I896*Assumptions!$C$15</f>
        <v>3297.3459998461194</v>
      </c>
      <c r="M896" s="36">
        <f ca="1">G896*(1+H896*Assumptions!$C$6)*(1+J896)+L896+K896</f>
        <v>65446.905312851486</v>
      </c>
    </row>
    <row r="897" spans="1:13" x14ac:dyDescent="0.25">
      <c r="A897" s="3">
        <v>884</v>
      </c>
      <c r="B897" s="3">
        <f t="shared" ca="1" si="158"/>
        <v>0.46077584542544592</v>
      </c>
      <c r="C897" s="3">
        <f t="shared" ca="1" si="158"/>
        <v>0.67126291081642353</v>
      </c>
      <c r="D897" s="3">
        <f t="shared" ca="1" si="158"/>
        <v>0.20110138146949075</v>
      </c>
      <c r="E897" s="3">
        <f t="shared" ca="1" si="158"/>
        <v>0.76327296770054565</v>
      </c>
      <c r="F897" s="3">
        <f t="shared" ca="1" si="158"/>
        <v>0.55102086653266813</v>
      </c>
      <c r="G897" s="36">
        <f t="shared" ca="1" si="149"/>
        <v>57824.416861381818</v>
      </c>
      <c r="H897" s="37">
        <f t="shared" ca="1" si="150"/>
        <v>0.15342514433517349</v>
      </c>
      <c r="I897" s="37">
        <f t="shared" ca="1" si="151"/>
        <v>6.5367783125499374E-2</v>
      </c>
      <c r="J897" s="38">
        <f t="shared" ca="1" si="152"/>
        <v>3.6238400316839489E-2</v>
      </c>
      <c r="K897" s="36">
        <f t="shared" ca="1" si="153"/>
        <v>1578.5901011309252</v>
      </c>
      <c r="L897" s="36">
        <f ca="1">Assumptions!$C$10*Assumptions!$C$13*I897*Assumptions!$C$15</f>
        <v>4533.5071743038634</v>
      </c>
      <c r="M897" s="36">
        <f ca="1">G897*(1+H897*Assumptions!$C$6)*(1+J897)+L897+K897</f>
        <v>67870.621788308199</v>
      </c>
    </row>
    <row r="898" spans="1:13" x14ac:dyDescent="0.25">
      <c r="A898" s="3">
        <v>885</v>
      </c>
      <c r="B898" s="3">
        <f t="shared" ca="1" si="158"/>
        <v>0.57334596398138071</v>
      </c>
      <c r="C898" s="3">
        <f t="shared" ca="1" si="158"/>
        <v>0.39701215578708116</v>
      </c>
      <c r="D898" s="3">
        <f t="shared" ca="1" si="158"/>
        <v>2.6377864297219222E-2</v>
      </c>
      <c r="E898" s="3">
        <f t="shared" ca="1" si="158"/>
        <v>0.44467390439879018</v>
      </c>
      <c r="F898" s="3">
        <f t="shared" ca="1" si="158"/>
        <v>0.6303288207175578</v>
      </c>
      <c r="G898" s="36">
        <f t="shared" ca="1" si="149"/>
        <v>57926.613966157442</v>
      </c>
      <c r="H898" s="37">
        <f t="shared" ca="1" si="150"/>
        <v>0.12274761048040619</v>
      </c>
      <c r="I898" s="37">
        <f t="shared" ca="1" si="151"/>
        <v>4.9187446095139906E-2</v>
      </c>
      <c r="J898" s="38">
        <f t="shared" ca="1" si="152"/>
        <v>2.8861047784230653E-2</v>
      </c>
      <c r="K898" s="36">
        <f t="shared" ca="1" si="153"/>
        <v>1710.2247068690647</v>
      </c>
      <c r="L898" s="36">
        <f ca="1">Assumptions!$C$10*Assumptions!$C$13*I898*Assumptions!$C$15</f>
        <v>3411.3385691829335</v>
      </c>
      <c r="M898" s="36">
        <f ca="1">G898*(1+H898*Assumptions!$C$6)*(1+J898)+L898+K898</f>
        <v>66183.113155501342</v>
      </c>
    </row>
    <row r="899" spans="1:13" x14ac:dyDescent="0.25">
      <c r="A899" s="3">
        <v>886</v>
      </c>
      <c r="B899" s="3">
        <f t="shared" ca="1" si="158"/>
        <v>0.66039316076755428</v>
      </c>
      <c r="C899" s="3">
        <f t="shared" ca="1" si="158"/>
        <v>0.47468801567799535</v>
      </c>
      <c r="D899" s="3">
        <f t="shared" ca="1" si="158"/>
        <v>6.1156909022964667E-2</v>
      </c>
      <c r="E899" s="3">
        <f t="shared" ca="1" si="158"/>
        <v>0.68557601068035401</v>
      </c>
      <c r="F899" s="3">
        <f t="shared" ca="1" si="158"/>
        <v>0.73783287240316253</v>
      </c>
      <c r="G899" s="36">
        <f t="shared" ca="1" si="149"/>
        <v>58015.330777546777</v>
      </c>
      <c r="H899" s="37">
        <f t="shared" ca="1" si="150"/>
        <v>0.13056000163312453</v>
      </c>
      <c r="I899" s="37">
        <f t="shared" ca="1" si="151"/>
        <v>5.398935698570477E-2</v>
      </c>
      <c r="J899" s="38">
        <f t="shared" ca="1" si="152"/>
        <v>3.4140012879711509E-2</v>
      </c>
      <c r="K899" s="36">
        <f t="shared" ca="1" si="153"/>
        <v>1913.8360739806496</v>
      </c>
      <c r="L899" s="36">
        <f ca="1">Assumptions!$C$10*Assumptions!$C$13*I899*Assumptions!$C$15</f>
        <v>3744.3695583316476</v>
      </c>
      <c r="M899" s="36">
        <f ca="1">G899*(1+H899*Assumptions!$C$6)*(1+J899)+L899+K899</f>
        <v>67220.79546646752</v>
      </c>
    </row>
    <row r="900" spans="1:13" x14ac:dyDescent="0.25">
      <c r="A900" s="3">
        <v>887</v>
      </c>
      <c r="B900" s="3">
        <f t="shared" ca="1" si="158"/>
        <v>0.15511098671304624</v>
      </c>
      <c r="C900" s="3">
        <f t="shared" ca="1" si="158"/>
        <v>0.25211680003783121</v>
      </c>
      <c r="D900" s="3">
        <f t="shared" ca="1" si="158"/>
        <v>0.62694952907518808</v>
      </c>
      <c r="E900" s="3">
        <f t="shared" ca="1" si="158"/>
        <v>7.4872576022032011E-2</v>
      </c>
      <c r="F900" s="3">
        <f t="shared" ca="1" si="158"/>
        <v>0.89434253868106495</v>
      </c>
      <c r="G900" s="36">
        <f t="shared" ca="1" si="149"/>
        <v>57519.363767092633</v>
      </c>
      <c r="H900" s="37">
        <f t="shared" ca="1" si="150"/>
        <v>0.10790641968299504</v>
      </c>
      <c r="I900" s="37">
        <f t="shared" ca="1" si="151"/>
        <v>8.5449146074816074E-2</v>
      </c>
      <c r="J900" s="38">
        <f t="shared" ca="1" si="152"/>
        <v>1.7739383749215798E-2</v>
      </c>
      <c r="K900" s="36">
        <f t="shared" ca="1" si="153"/>
        <v>2310.4649567025563</v>
      </c>
      <c r="L900" s="36">
        <f ca="1">Assumptions!$C$10*Assumptions!$C$13*I900*Assumptions!$C$15</f>
        <v>5926.2269308503201</v>
      </c>
      <c r="M900" s="36">
        <f ca="1">G900*(1+H900*Assumptions!$C$6)*(1+J900)+L900+K900</f>
        <v>68039.776079989082</v>
      </c>
    </row>
    <row r="901" spans="1:13" x14ac:dyDescent="0.25">
      <c r="A901" s="3">
        <v>888</v>
      </c>
      <c r="B901" s="3">
        <f t="shared" ca="1" si="158"/>
        <v>0.18820933544594864</v>
      </c>
      <c r="C901" s="3">
        <f t="shared" ca="1" si="158"/>
        <v>3.2583910992513121E-2</v>
      </c>
      <c r="D901" s="3">
        <f t="shared" ca="1" si="158"/>
        <v>0.84473874139943927</v>
      </c>
      <c r="E901" s="3">
        <f t="shared" ca="1" si="158"/>
        <v>0.76383447415087857</v>
      </c>
      <c r="F901" s="3">
        <f t="shared" ca="1" si="158"/>
        <v>0.33824934429000975</v>
      </c>
      <c r="G901" s="36">
        <f t="shared" ca="1" si="149"/>
        <v>57561.944930250102</v>
      </c>
      <c r="H901" s="37">
        <f t="shared" ca="1" si="150"/>
        <v>7.081744499693525E-2</v>
      </c>
      <c r="I901" s="37">
        <f t="shared" ca="1" si="151"/>
        <v>9.7710181079205816E-2</v>
      </c>
      <c r="J901" s="38">
        <f t="shared" ca="1" si="152"/>
        <v>3.6254730971010528E-2</v>
      </c>
      <c r="K901" s="36">
        <f t="shared" ca="1" si="153"/>
        <v>1233.7431050688972</v>
      </c>
      <c r="L901" s="36">
        <f ca="1">Assumptions!$C$10*Assumptions!$C$13*I901*Assumptions!$C$15</f>
        <v>6776.5768662316887</v>
      </c>
      <c r="M901" s="36">
        <f ca="1">G901*(1+H901*Assumptions!$C$6)*(1+J901)+L901+K901</f>
        <v>68503.993386574773</v>
      </c>
    </row>
    <row r="902" spans="1:13" x14ac:dyDescent="0.25">
      <c r="A902" s="3">
        <v>889</v>
      </c>
      <c r="B902" s="3">
        <f t="shared" ca="1" si="158"/>
        <v>0.36453919075166641</v>
      </c>
      <c r="C902" s="3">
        <f t="shared" ca="1" si="158"/>
        <v>0.18850881503150763</v>
      </c>
      <c r="D902" s="3">
        <f t="shared" ca="1" si="158"/>
        <v>0.72938943781243037</v>
      </c>
      <c r="E902" s="3">
        <f t="shared" ca="1" si="158"/>
        <v>0.75772298294216445</v>
      </c>
      <c r="F902" s="3">
        <f t="shared" ca="1" si="158"/>
        <v>0.43404790913864744</v>
      </c>
      <c r="G902" s="36">
        <f t="shared" ca="1" si="149"/>
        <v>57742.897500272265</v>
      </c>
      <c r="H902" s="37">
        <f t="shared" ca="1" si="150"/>
        <v>0.10007162110336604</v>
      </c>
      <c r="I902" s="37">
        <f t="shared" ca="1" si="151"/>
        <v>9.0572907058286869E-2</v>
      </c>
      <c r="J902" s="38">
        <f t="shared" ca="1" si="152"/>
        <v>3.6078016892472954E-2</v>
      </c>
      <c r="K902" s="36">
        <f t="shared" ca="1" si="153"/>
        <v>1397.5748964273482</v>
      </c>
      <c r="L902" s="36">
        <f ca="1">Assumptions!$C$10*Assumptions!$C$13*I902*Assumptions!$C$15</f>
        <v>6281.5794618270338</v>
      </c>
      <c r="M902" s="36">
        <f ca="1">G902*(1+H902*Assumptions!$C$6)*(1+J902)+L902+K902</f>
        <v>68702.680987523767</v>
      </c>
    </row>
    <row r="903" spans="1:13" x14ac:dyDescent="0.25">
      <c r="A903" s="3">
        <v>890</v>
      </c>
      <c r="B903" s="3">
        <f t="shared" ca="1" si="158"/>
        <v>0.80232300191975414</v>
      </c>
      <c r="C903" s="3">
        <f t="shared" ca="1" si="158"/>
        <v>0.76872665492165348</v>
      </c>
      <c r="D903" s="3">
        <f t="shared" ca="1" si="158"/>
        <v>0.25763780838982087</v>
      </c>
      <c r="E903" s="3">
        <f t="shared" ca="1" si="158"/>
        <v>0.67454545194751492</v>
      </c>
      <c r="F903" s="3">
        <f t="shared" ca="1" si="158"/>
        <v>0.29671888701250726</v>
      </c>
      <c r="G903" s="36">
        <f t="shared" ca="1" si="149"/>
        <v>58189.35058150813</v>
      </c>
      <c r="H903" s="37">
        <f t="shared" ca="1" si="150"/>
        <v>0.16738435245908564</v>
      </c>
      <c r="I903" s="37">
        <f t="shared" ca="1" si="151"/>
        <v>6.8713080413766586E-2</v>
      </c>
      <c r="J903" s="38">
        <f t="shared" ca="1" si="152"/>
        <v>3.3864212493900772E-2</v>
      </c>
      <c r="K903" s="36">
        <f t="shared" ca="1" si="153"/>
        <v>1155.5236871463444</v>
      </c>
      <c r="L903" s="36">
        <f ca="1">Assumptions!$C$10*Assumptions!$C$13*I903*Assumptions!$C$15</f>
        <v>4765.516407773227</v>
      </c>
      <c r="M903" s="36">
        <f ca="1">G903*(1+H903*Assumptions!$C$6)*(1+J903)+L903+K903</f>
        <v>68094.891959135843</v>
      </c>
    </row>
    <row r="904" spans="1:13" x14ac:dyDescent="0.25">
      <c r="A904" s="3">
        <v>891</v>
      </c>
      <c r="B904" s="3">
        <f t="shared" ref="B904:F913" ca="1" si="159">RAND()</f>
        <v>0.73821962170116617</v>
      </c>
      <c r="C904" s="3">
        <f t="shared" ca="1" si="159"/>
        <v>0.93832928338619126</v>
      </c>
      <c r="D904" s="3">
        <f t="shared" ca="1" si="159"/>
        <v>0.45085081197199883</v>
      </c>
      <c r="E904" s="3">
        <f t="shared" ca="1" si="159"/>
        <v>0.78502259417288844</v>
      </c>
      <c r="F904" s="3">
        <f t="shared" ca="1" si="159"/>
        <v>0.47771834282929948</v>
      </c>
      <c r="G904" s="36">
        <f t="shared" ca="1" si="149"/>
        <v>58104.90861752518</v>
      </c>
      <c r="H904" s="37">
        <f t="shared" ca="1" si="150"/>
        <v>0.20250210220832587</v>
      </c>
      <c r="I904" s="37">
        <f t="shared" ca="1" si="151"/>
        <v>7.7983188364201289E-2</v>
      </c>
      <c r="J904" s="38">
        <f t="shared" ca="1" si="152"/>
        <v>3.6885812085314273E-2</v>
      </c>
      <c r="K904" s="36">
        <f t="shared" ca="1" si="153"/>
        <v>1466.196624853518</v>
      </c>
      <c r="L904" s="36">
        <f ca="1">Assumptions!$C$10*Assumptions!$C$13*I904*Assumptions!$C$15</f>
        <v>5408.434048397221</v>
      </c>
      <c r="M904" s="36">
        <f ca="1">G904*(1+H904*Assumptions!$C$6)*(1+J904)+L904+K904</f>
        <v>69562.861654111126</v>
      </c>
    </row>
    <row r="905" spans="1:13" x14ac:dyDescent="0.25">
      <c r="A905" s="3">
        <v>892</v>
      </c>
      <c r="B905" s="3">
        <f t="shared" ca="1" si="159"/>
        <v>0.85080116094784564</v>
      </c>
      <c r="C905" s="3">
        <f t="shared" ca="1" si="159"/>
        <v>0.61182906652234292</v>
      </c>
      <c r="D905" s="3">
        <f t="shared" ca="1" si="159"/>
        <v>0.47399570513501932</v>
      </c>
      <c r="E905" s="3">
        <f t="shared" ca="1" si="159"/>
        <v>0.29092078439975011</v>
      </c>
      <c r="F905" s="3">
        <f t="shared" ca="1" si="159"/>
        <v>0.51540054784829781</v>
      </c>
      <c r="G905" s="36">
        <f t="shared" ca="1" si="149"/>
        <v>58262.846419622561</v>
      </c>
      <c r="H905" s="37">
        <f t="shared" ca="1" si="150"/>
        <v>0.14592398135927209</v>
      </c>
      <c r="I905" s="37">
        <f t="shared" ca="1" si="151"/>
        <v>7.8945940179074664E-2</v>
      </c>
      <c r="J905" s="38">
        <f t="shared" ca="1" si="152"/>
        <v>2.525570803076016E-2</v>
      </c>
      <c r="K905" s="36">
        <f t="shared" ca="1" si="153"/>
        <v>1523.2814978193508</v>
      </c>
      <c r="L905" s="36">
        <f ca="1">Assumptions!$C$10*Assumptions!$C$13*I905*Assumptions!$C$15</f>
        <v>5475.204589650285</v>
      </c>
      <c r="M905" s="36">
        <f ca="1">G905*(1+H905*Assumptions!$C$6)*(1+J905)+L905+K905</f>
        <v>68476.135784056794</v>
      </c>
    </row>
    <row r="906" spans="1:13" x14ac:dyDescent="0.25">
      <c r="A906" s="3">
        <v>893</v>
      </c>
      <c r="B906" s="3">
        <f t="shared" ca="1" si="159"/>
        <v>0.80614995180235405</v>
      </c>
      <c r="C906" s="3">
        <f t="shared" ca="1" si="159"/>
        <v>0.93331062730363612</v>
      </c>
      <c r="D906" s="3">
        <f t="shared" ca="1" si="159"/>
        <v>0.64657733282464702</v>
      </c>
      <c r="E906" s="3">
        <f t="shared" ca="1" si="159"/>
        <v>0.2105375258119464</v>
      </c>
      <c r="F906" s="3">
        <f t="shared" ca="1" si="159"/>
        <v>0.33877874481484593</v>
      </c>
      <c r="G906" s="36">
        <f t="shared" ca="1" si="149"/>
        <v>58194.798273615641</v>
      </c>
      <c r="H906" s="37">
        <f t="shared" ca="1" si="150"/>
        <v>0.20100618385593561</v>
      </c>
      <c r="I906" s="37">
        <f t="shared" ca="1" si="151"/>
        <v>8.637036225349537E-2</v>
      </c>
      <c r="J906" s="38">
        <f t="shared" ca="1" si="152"/>
        <v>2.297805920195917E-2</v>
      </c>
      <c r="K906" s="36">
        <f t="shared" ca="1" si="153"/>
        <v>1234.7082050698484</v>
      </c>
      <c r="L906" s="36">
        <f ca="1">Assumptions!$C$10*Assumptions!$C$13*I906*Assumptions!$C$15</f>
        <v>5990.1168159808785</v>
      </c>
      <c r="M906" s="36">
        <f ca="1">G906*(1+H906*Assumptions!$C$6)*(1+J906)+L906+K906</f>
        <v>69150.086914210537</v>
      </c>
    </row>
    <row r="907" spans="1:13" x14ac:dyDescent="0.25">
      <c r="A907" s="3">
        <v>894</v>
      </c>
      <c r="B907" s="3">
        <f t="shared" ca="1" si="159"/>
        <v>0.32327882614314118</v>
      </c>
      <c r="C907" s="3">
        <f t="shared" ca="1" si="159"/>
        <v>0.476134748382818</v>
      </c>
      <c r="D907" s="3">
        <f t="shared" ca="1" si="159"/>
        <v>0.42087001969726623</v>
      </c>
      <c r="E907" s="3">
        <f t="shared" ca="1" si="159"/>
        <v>0.97531425383240034</v>
      </c>
      <c r="F907" s="3">
        <f t="shared" ca="1" si="159"/>
        <v>0.66980900331213011</v>
      </c>
      <c r="G907" s="36">
        <f t="shared" ca="1" si="149"/>
        <v>57705.422078582102</v>
      </c>
      <c r="H907" s="37">
        <f t="shared" ca="1" si="150"/>
        <v>0.13071080686146616</v>
      </c>
      <c r="I907" s="37">
        <f t="shared" ca="1" si="151"/>
        <v>7.6698556688666264E-2</v>
      </c>
      <c r="J907" s="38">
        <f t="shared" ca="1" si="152"/>
        <v>4.5556060651395017E-2</v>
      </c>
      <c r="K907" s="36">
        <f t="shared" ca="1" si="153"/>
        <v>1781.0416393102616</v>
      </c>
      <c r="L907" s="36">
        <f ca="1">Assumptions!$C$10*Assumptions!$C$13*I907*Assumptions!$C$15</f>
        <v>5319.3399008078068</v>
      </c>
      <c r="M907" s="36">
        <f ca="1">G907*(1+H907*Assumptions!$C$6)*(1+J907)+L907+K907</f>
        <v>69011.903125595432</v>
      </c>
    </row>
    <row r="908" spans="1:13" x14ac:dyDescent="0.25">
      <c r="A908" s="3">
        <v>895</v>
      </c>
      <c r="B908" s="3">
        <f t="shared" ca="1" si="159"/>
        <v>0.24368118650828874</v>
      </c>
      <c r="C908" s="3">
        <f t="shared" ca="1" si="159"/>
        <v>0.79502046122047765</v>
      </c>
      <c r="D908" s="3">
        <f t="shared" ca="1" si="159"/>
        <v>0.51462548442663336</v>
      </c>
      <c r="E908" s="3">
        <f t="shared" ca="1" si="159"/>
        <v>5.4941358740826396E-2</v>
      </c>
      <c r="F908" s="3">
        <f t="shared" ca="1" si="159"/>
        <v>0.7077134980800065</v>
      </c>
      <c r="G908" s="36">
        <f t="shared" ca="1" si="149"/>
        <v>57625.630581587677</v>
      </c>
      <c r="H908" s="37">
        <f t="shared" ca="1" si="150"/>
        <v>0.17163675341111195</v>
      </c>
      <c r="I908" s="37">
        <f t="shared" ca="1" si="151"/>
        <v>8.0589361210013699E-2</v>
      </c>
      <c r="J908" s="38">
        <f t="shared" ca="1" si="152"/>
        <v>1.6629712436649204E-2</v>
      </c>
      <c r="K908" s="36">
        <f t="shared" ca="1" si="153"/>
        <v>1853.1393900565026</v>
      </c>
      <c r="L908" s="36">
        <f ca="1">Assumptions!$C$10*Assumptions!$C$13*I908*Assumptions!$C$15</f>
        <v>5589.1821589960264</v>
      </c>
      <c r="M908" s="36">
        <f ca="1">G908*(1+H908*Assumptions!$C$6)*(1+J908)+L908+K908</f>
        <v>68037.280845474321</v>
      </c>
    </row>
    <row r="909" spans="1:13" x14ac:dyDescent="0.25">
      <c r="A909" s="3">
        <v>896</v>
      </c>
      <c r="B909" s="3">
        <f t="shared" ca="1" si="159"/>
        <v>0.97376291072612597</v>
      </c>
      <c r="C909" s="3">
        <f t="shared" ca="1" si="159"/>
        <v>0.177598144521255</v>
      </c>
      <c r="D909" s="3">
        <f t="shared" ca="1" si="159"/>
        <v>0.37071922687385184</v>
      </c>
      <c r="E909" s="3">
        <f t="shared" ca="1" si="159"/>
        <v>0.3776593869363658</v>
      </c>
      <c r="F909" s="3">
        <f t="shared" ca="1" si="159"/>
        <v>0.47527722377472137</v>
      </c>
      <c r="G909" s="36">
        <f t="shared" ca="1" si="149"/>
        <v>58545.366122594278</v>
      </c>
      <c r="H909" s="37">
        <f t="shared" ca="1" si="150"/>
        <v>9.8600980670483299E-2</v>
      </c>
      <c r="I909" s="37">
        <f t="shared" ca="1" si="151"/>
        <v>7.4442728201992436E-2</v>
      </c>
      <c r="J909" s="38">
        <f t="shared" ca="1" si="152"/>
        <v>2.7381815484841983E-2</v>
      </c>
      <c r="K909" s="36">
        <f t="shared" ca="1" si="153"/>
        <v>1462.4457278771906</v>
      </c>
      <c r="L909" s="36">
        <f ca="1">Assumptions!$C$10*Assumptions!$C$13*I909*Assumptions!$C$15</f>
        <v>5162.8895189935665</v>
      </c>
      <c r="M909" s="36">
        <f ca="1">G909*(1+H909*Assumptions!$C$6)*(1+J909)+L909+K909</f>
        <v>67959.9189055225</v>
      </c>
    </row>
    <row r="910" spans="1:13" x14ac:dyDescent="0.25">
      <c r="A910" s="3">
        <v>897</v>
      </c>
      <c r="B910" s="3">
        <f t="shared" ca="1" si="159"/>
        <v>0.3578897814505857</v>
      </c>
      <c r="C910" s="3">
        <f t="shared" ca="1" si="159"/>
        <v>0.29348998850823849</v>
      </c>
      <c r="D910" s="3">
        <f t="shared" ca="1" si="159"/>
        <v>0.85098491119673503</v>
      </c>
      <c r="E910" s="3">
        <f t="shared" ca="1" si="159"/>
        <v>0.83488603457179844</v>
      </c>
      <c r="F910" s="3">
        <f t="shared" ca="1" si="159"/>
        <v>0.88650924062519787</v>
      </c>
      <c r="G910" s="36">
        <f t="shared" ref="G910:G973" ca="1" si="160">IF(B910&lt;($F$5-$E$5)/($G$5-$E$5),$E$5+SQRT(B910*($G$5-$E$5)*($F$5-$E$5)),$G$5-SQRT((1-B910)*($G$5-$E$5)*($G$5-$F$5)))</f>
        <v>57737.007101252086</v>
      </c>
      <c r="H910" s="37">
        <f t="shared" ref="H910:H973" ca="1" si="161">IF(C910&lt;($F$6-$E$6)/($G$6-$E$6),$E$6+SQRT(C910*($G$6-$E$6)*($F$6-$E$6)),$G$6-SQRT((1-C910)*($G$6-$E$6)*($G$6-$F$6)))</f>
        <v>0.11247733066608698</v>
      </c>
      <c r="I910" s="37">
        <f t="shared" ref="I910:I973" ca="1" si="162">IF(D910&lt;($F$7-$E$7)/($G$7-$E$7),$E$7+SQRT(D910*($G$7-$E$7)*($F$7-$E$7)),$G$7-SQRT((1-D910)*($G$7-$E$7)*($G$7-$F$7)))</f>
        <v>9.8163143903701525E-2</v>
      </c>
      <c r="J910" s="38">
        <f t="shared" ref="J910:J973" ca="1" si="163">IF(E910&lt;($F$8-$E$8)/($G$8-$E$8),$E$8+SQRT(E910*($G$8-$E$8)*($F$8-$E$8)),$G$8-SQRT((1-E910)*($G$8-$E$8)*($G$8-$F$8)))</f>
        <v>3.8506907624900895E-2</v>
      </c>
      <c r="K910" s="36">
        <f t="shared" ref="K910:K973" ca="1" si="164">IF(F910&lt;($F$9-$E$9)/($G$9-$E$9),$E$9+SQRT(F910*($G$9-$E$9)*($F$9-$E$9)),$G$9-SQRT((1-F910)*($G$9-$E$9)*($G$9-$F$9)))</f>
        <v>2285.3613380269653</v>
      </c>
      <c r="L910" s="36">
        <f ca="1">Assumptions!$C$10*Assumptions!$C$13*I910*Assumptions!$C$15</f>
        <v>6807.9915802751757</v>
      </c>
      <c r="M910" s="36">
        <f ca="1">G910*(1+H910*Assumptions!$C$6)*(1+J910)+L910+K910</f>
        <v>70402.468082370804</v>
      </c>
    </row>
    <row r="911" spans="1:13" x14ac:dyDescent="0.25">
      <c r="A911" s="3">
        <v>898</v>
      </c>
      <c r="B911" s="3">
        <f t="shared" ca="1" si="159"/>
        <v>0.83380104909396924</v>
      </c>
      <c r="C911" s="3">
        <f t="shared" ca="1" si="159"/>
        <v>1.8400902378728823E-2</v>
      </c>
      <c r="D911" s="3">
        <f t="shared" ca="1" si="159"/>
        <v>0.40428342831687558</v>
      </c>
      <c r="E911" s="3">
        <f t="shared" ca="1" si="159"/>
        <v>0.41607437278449844</v>
      </c>
      <c r="F911" s="3">
        <f t="shared" ca="1" si="159"/>
        <v>0.42610769778664115</v>
      </c>
      <c r="G911" s="36">
        <f t="shared" ca="1" si="160"/>
        <v>58235.874253707712</v>
      </c>
      <c r="H911" s="37">
        <f t="shared" ca="1" si="161"/>
        <v>6.5643912606413182E-2</v>
      </c>
      <c r="I911" s="37">
        <f t="shared" ca="1" si="162"/>
        <v>7.5968138270057869E-2</v>
      </c>
      <c r="J911" s="38">
        <f t="shared" ca="1" si="163"/>
        <v>2.8244437459883455E-2</v>
      </c>
      <c r="K911" s="36">
        <f t="shared" ca="1" si="164"/>
        <v>1384.7326962413667</v>
      </c>
      <c r="L911" s="36">
        <f ca="1">Assumptions!$C$10*Assumptions!$C$13*I911*Assumptions!$C$15</f>
        <v>5268.6825741757048</v>
      </c>
      <c r="M911" s="36">
        <f ca="1">G911*(1+H911*Assumptions!$C$6)*(1+J911)+L911+K911</f>
        <v>67320.289900605581</v>
      </c>
    </row>
    <row r="912" spans="1:13" x14ac:dyDescent="0.25">
      <c r="A912" s="3">
        <v>899</v>
      </c>
      <c r="B912" s="3">
        <f t="shared" ca="1" si="159"/>
        <v>0.69953203078304638</v>
      </c>
      <c r="C912" s="3">
        <f t="shared" ca="1" si="159"/>
        <v>1.4702165948692447E-2</v>
      </c>
      <c r="D912" s="3">
        <f t="shared" ca="1" si="159"/>
        <v>0.94085847156122016</v>
      </c>
      <c r="E912" s="3">
        <f t="shared" ca="1" si="159"/>
        <v>0.58561900436928827</v>
      </c>
      <c r="F912" s="3">
        <f t="shared" ca="1" si="159"/>
        <v>0.22020545175844031</v>
      </c>
      <c r="G912" s="36">
        <f t="shared" ca="1" si="160"/>
        <v>58058.925272988679</v>
      </c>
      <c r="H912" s="37">
        <f t="shared" ca="1" si="161"/>
        <v>6.3983519124941671E-2</v>
      </c>
      <c r="I912" s="37">
        <f t="shared" ca="1" si="162"/>
        <v>0.10624307843287258</v>
      </c>
      <c r="J912" s="38">
        <f t="shared" ca="1" si="163"/>
        <v>3.1792726824025258E-2</v>
      </c>
      <c r="K912" s="36">
        <f t="shared" ca="1" si="164"/>
        <v>995.45192395865172</v>
      </c>
      <c r="L912" s="36">
        <f ca="1">Assumptions!$C$10*Assumptions!$C$13*I912*Assumptions!$C$15</f>
        <v>7368.3661165444546</v>
      </c>
      <c r="M912" s="36">
        <f ca="1">G912*(1+H912*Assumptions!$C$6)*(1+J912)+L912+K912</f>
        <v>69035.178551109741</v>
      </c>
    </row>
    <row r="913" spans="1:13" x14ac:dyDescent="0.25">
      <c r="A913" s="3">
        <v>900</v>
      </c>
      <c r="B913" s="3">
        <f t="shared" ca="1" si="159"/>
        <v>0.46081254314296916</v>
      </c>
      <c r="C913" s="3">
        <f t="shared" ca="1" si="159"/>
        <v>0.67179152288850463</v>
      </c>
      <c r="D913" s="3">
        <f t="shared" ca="1" si="159"/>
        <v>0.1752106776527681</v>
      </c>
      <c r="E913" s="3">
        <f t="shared" ca="1" si="159"/>
        <v>0.6204446487661528</v>
      </c>
      <c r="F913" s="3">
        <f t="shared" ca="1" si="159"/>
        <v>0.61439708480717292</v>
      </c>
      <c r="G913" s="36">
        <f t="shared" ca="1" si="160"/>
        <v>57824.448337578659</v>
      </c>
      <c r="H913" s="37">
        <f t="shared" ca="1" si="161"/>
        <v>0.15349477889663482</v>
      </c>
      <c r="I913" s="37">
        <f t="shared" ca="1" si="162"/>
        <v>6.3678559257033737E-2</v>
      </c>
      <c r="J913" s="38">
        <f t="shared" ca="1" si="163"/>
        <v>3.2574608153987536E-2</v>
      </c>
      <c r="K913" s="36">
        <f t="shared" ca="1" si="164"/>
        <v>1682.7251166261001</v>
      </c>
      <c r="L913" s="36">
        <f ca="1">Assumptions!$C$10*Assumptions!$C$13*I913*Assumptions!$C$15</f>
        <v>4416.3530020108929</v>
      </c>
      <c r="M913" s="36">
        <f ca="1">G913*(1+H913*Assumptions!$C$6)*(1+J913)+L913+K913</f>
        <v>67640.110206620811</v>
      </c>
    </row>
    <row r="914" spans="1:13" x14ac:dyDescent="0.25">
      <c r="A914" s="3">
        <v>901</v>
      </c>
      <c r="B914" s="3">
        <f t="shared" ref="B914:F923" ca="1" si="165">RAND()</f>
        <v>0.374559068241612</v>
      </c>
      <c r="C914" s="3">
        <f t="shared" ca="1" si="165"/>
        <v>0.32534712728262249</v>
      </c>
      <c r="D914" s="3">
        <f t="shared" ca="1" si="165"/>
        <v>0.11395710750213328</v>
      </c>
      <c r="E914" s="3">
        <f t="shared" ca="1" si="165"/>
        <v>0.31267778580067385</v>
      </c>
      <c r="F914" s="3">
        <f t="shared" ca="1" si="165"/>
        <v>0.45361442364753912</v>
      </c>
      <c r="G914" s="36">
        <f t="shared" ca="1" si="160"/>
        <v>57751.67308223241</v>
      </c>
      <c r="H914" s="37">
        <f t="shared" ca="1" si="161"/>
        <v>0.11578082389921002</v>
      </c>
      <c r="I914" s="37">
        <f t="shared" ca="1" si="162"/>
        <v>5.9096144741984616E-2</v>
      </c>
      <c r="J914" s="38">
        <f t="shared" ca="1" si="163"/>
        <v>2.5815885325853216E-2</v>
      </c>
      <c r="K914" s="36">
        <f t="shared" ca="1" si="164"/>
        <v>1428.7284229040613</v>
      </c>
      <c r="L914" s="36">
        <f ca="1">Assumptions!$C$10*Assumptions!$C$13*I914*Assumptions!$C$15</f>
        <v>4098.5449307210247</v>
      </c>
      <c r="M914" s="36">
        <f ca="1">G914*(1+H914*Assumptions!$C$6)*(1+J914)+L914+K914</f>
        <v>66141.688034551524</v>
      </c>
    </row>
    <row r="915" spans="1:13" x14ac:dyDescent="0.25">
      <c r="A915" s="3">
        <v>902</v>
      </c>
      <c r="B915" s="3">
        <f t="shared" ca="1" si="165"/>
        <v>0.89902204121373974</v>
      </c>
      <c r="C915" s="3">
        <f t="shared" ca="1" si="165"/>
        <v>0.71957442480811307</v>
      </c>
      <c r="D915" s="3">
        <f t="shared" ca="1" si="165"/>
        <v>0.36481005636056052</v>
      </c>
      <c r="E915" s="3">
        <f t="shared" ca="1" si="165"/>
        <v>0.9855309415996536</v>
      </c>
      <c r="F915" s="3">
        <f t="shared" ca="1" si="165"/>
        <v>0.59770695680160746</v>
      </c>
      <c r="G915" s="36">
        <f t="shared" ca="1" si="160"/>
        <v>58349.122940644229</v>
      </c>
      <c r="H915" s="37">
        <f t="shared" ca="1" si="161"/>
        <v>0.16003936522028467</v>
      </c>
      <c r="I915" s="37">
        <f t="shared" ca="1" si="162"/>
        <v>7.4167121335485572E-2</v>
      </c>
      <c r="J915" s="38">
        <f t="shared" ca="1" si="163"/>
        <v>4.659775857407545E-2</v>
      </c>
      <c r="K915" s="36">
        <f t="shared" ca="1" si="164"/>
        <v>1654.5191586675169</v>
      </c>
      <c r="L915" s="36">
        <f ca="1">Assumptions!$C$10*Assumptions!$C$13*I915*Assumptions!$C$15</f>
        <v>5143.7751227749068</v>
      </c>
      <c r="M915" s="36">
        <f ca="1">G915*(1+H915*Assumptions!$C$6)*(1+J915)+L915+K915</f>
        <v>69821.014318522939</v>
      </c>
    </row>
    <row r="916" spans="1:13" x14ac:dyDescent="0.25">
      <c r="A916" s="3">
        <v>903</v>
      </c>
      <c r="B916" s="3">
        <f t="shared" ca="1" si="165"/>
        <v>0.23318379094557584</v>
      </c>
      <c r="C916" s="3">
        <f t="shared" ca="1" si="165"/>
        <v>0.57080219646539265</v>
      </c>
      <c r="D916" s="3">
        <f t="shared" ca="1" si="165"/>
        <v>0.36823162683767685</v>
      </c>
      <c r="E916" s="3">
        <f t="shared" ca="1" si="165"/>
        <v>0.17947401460769008</v>
      </c>
      <c r="F916" s="3">
        <f t="shared" ca="1" si="165"/>
        <v>0.93626919356265126</v>
      </c>
      <c r="G916" s="36">
        <f t="shared" ca="1" si="160"/>
        <v>57614.184290476791</v>
      </c>
      <c r="H916" s="37">
        <f t="shared" ca="1" si="161"/>
        <v>0.1410772527646495</v>
      </c>
      <c r="I916" s="37">
        <f t="shared" ca="1" si="162"/>
        <v>7.4326974901388648E-2</v>
      </c>
      <c r="J916" s="38">
        <f t="shared" ca="1" si="163"/>
        <v>2.1982454326478863E-2</v>
      </c>
      <c r="K916" s="36">
        <f t="shared" ca="1" si="164"/>
        <v>2464.4735030196271</v>
      </c>
      <c r="L916" s="36">
        <f ca="1">Assumptions!$C$10*Assumptions!$C$13*I916*Assumptions!$C$15</f>
        <v>5154.8615823916925</v>
      </c>
      <c r="M916" s="36">
        <f ca="1">G916*(1+H916*Assumptions!$C$6)*(1+J916)+L916+K916</f>
        <v>68161.365619876815</v>
      </c>
    </row>
    <row r="917" spans="1:13" x14ac:dyDescent="0.25">
      <c r="A917" s="3">
        <v>904</v>
      </c>
      <c r="B917" s="3">
        <f t="shared" ca="1" si="165"/>
        <v>0.16800773356766741</v>
      </c>
      <c r="C917" s="3">
        <f t="shared" ca="1" si="165"/>
        <v>0.54041095477882273</v>
      </c>
      <c r="D917" s="3">
        <f t="shared" ca="1" si="165"/>
        <v>0.50086030505299206</v>
      </c>
      <c r="E917" s="3">
        <f t="shared" ca="1" si="165"/>
        <v>0.34574885804251343</v>
      </c>
      <c r="F917" s="3">
        <f t="shared" ca="1" si="165"/>
        <v>0.95060541045212521</v>
      </c>
      <c r="G917" s="36">
        <f t="shared" ca="1" si="160"/>
        <v>57536.449762159231</v>
      </c>
      <c r="H917" s="37">
        <f t="shared" ca="1" si="161"/>
        <v>0.13763481924480941</v>
      </c>
      <c r="I917" s="37">
        <f t="shared" ca="1" si="162"/>
        <v>8.0034427017363741E-2</v>
      </c>
      <c r="J917" s="38">
        <f t="shared" ca="1" si="163"/>
        <v>2.6631268335097318E-2</v>
      </c>
      <c r="K917" s="36">
        <f t="shared" ca="1" si="164"/>
        <v>2528.5388107538047</v>
      </c>
      <c r="L917" s="36">
        <f ca="1">Assumptions!$C$10*Assumptions!$C$13*I917*Assumptions!$C$15</f>
        <v>5550.6953383734726</v>
      </c>
      <c r="M917" s="36">
        <f ca="1">G917*(1+H917*Assumptions!$C$6)*(1+J917)+L917+K917</f>
        <v>68773.935019810262</v>
      </c>
    </row>
    <row r="918" spans="1:13" x14ac:dyDescent="0.25">
      <c r="A918" s="3">
        <v>905</v>
      </c>
      <c r="B918" s="3">
        <f t="shared" ca="1" si="165"/>
        <v>0.71730670774635941</v>
      </c>
      <c r="C918" s="3">
        <f t="shared" ca="1" si="165"/>
        <v>0.71386458615145476</v>
      </c>
      <c r="D918" s="3">
        <f t="shared" ca="1" si="165"/>
        <v>0.78021730041395165</v>
      </c>
      <c r="E918" s="3">
        <f t="shared" ca="1" si="165"/>
        <v>0.52119497333289855</v>
      </c>
      <c r="F918" s="3">
        <f t="shared" ca="1" si="165"/>
        <v>3.0949432605662186E-2</v>
      </c>
      <c r="G918" s="36">
        <f t="shared" ca="1" si="160"/>
        <v>58079.659760770679</v>
      </c>
      <c r="H918" s="37">
        <f t="shared" ca="1" si="161"/>
        <v>0.15922941478640362</v>
      </c>
      <c r="I918" s="37">
        <f t="shared" ca="1" si="162"/>
        <v>9.3480108622481975E-2</v>
      </c>
      <c r="J918" s="38">
        <f t="shared" ca="1" si="163"/>
        <v>3.0428489548997985E-2</v>
      </c>
      <c r="K918" s="36">
        <f t="shared" ca="1" si="164"/>
        <v>373.19223829747563</v>
      </c>
      <c r="L918" s="36">
        <f ca="1">Assumptions!$C$10*Assumptions!$C$13*I918*Assumptions!$C$15</f>
        <v>6483.2050718484415</v>
      </c>
      <c r="M918" s="36">
        <f ca="1">G918*(1+H918*Assumptions!$C$6)*(1+J918)+L918+K918</f>
        <v>68609.211912737912</v>
      </c>
    </row>
    <row r="919" spans="1:13" x14ac:dyDescent="0.25">
      <c r="A919" s="3">
        <v>906</v>
      </c>
      <c r="B919" s="3">
        <f t="shared" ca="1" si="165"/>
        <v>0.92433031402306853</v>
      </c>
      <c r="C919" s="3">
        <f t="shared" ca="1" si="165"/>
        <v>0.11672218606751217</v>
      </c>
      <c r="D919" s="3">
        <f t="shared" ca="1" si="165"/>
        <v>0.63110526172713699</v>
      </c>
      <c r="E919" s="3">
        <f t="shared" ca="1" si="165"/>
        <v>0.99333325678248163</v>
      </c>
      <c r="F919" s="3">
        <f t="shared" ca="1" si="165"/>
        <v>0.31563296803461338</v>
      </c>
      <c r="G919" s="36">
        <f t="shared" ca="1" si="160"/>
        <v>58402.896283862618</v>
      </c>
      <c r="H919" s="37">
        <f t="shared" ca="1" si="161"/>
        <v>8.940057200978066E-2</v>
      </c>
      <c r="I919" s="37">
        <f t="shared" ca="1" si="162"/>
        <v>8.5642130996332708E-2</v>
      </c>
      <c r="J919" s="38">
        <f t="shared" ca="1" si="163"/>
        <v>4.7690585664283108E-2</v>
      </c>
      <c r="K919" s="36">
        <f t="shared" ca="1" si="164"/>
        <v>1191.7836868139118</v>
      </c>
      <c r="L919" s="36">
        <f ca="1">Assumptions!$C$10*Assumptions!$C$13*I919*Assumptions!$C$15</f>
        <v>5939.611177407196</v>
      </c>
      <c r="M919" s="36">
        <f ca="1">G919*(1+H919*Assumptions!$C$6)*(1+J919)+L919+K919</f>
        <v>69413.61085966212</v>
      </c>
    </row>
    <row r="920" spans="1:13" x14ac:dyDescent="0.25">
      <c r="A920" s="3">
        <v>907</v>
      </c>
      <c r="B920" s="3">
        <f t="shared" ca="1" si="165"/>
        <v>0.27010438974721163</v>
      </c>
      <c r="C920" s="3">
        <f t="shared" ca="1" si="165"/>
        <v>0.14814847421590016</v>
      </c>
      <c r="D920" s="3">
        <f t="shared" ca="1" si="165"/>
        <v>8.4011312376202074E-3</v>
      </c>
      <c r="E920" s="3">
        <f t="shared" ca="1" si="165"/>
        <v>0.29524927290151115</v>
      </c>
      <c r="F920" s="3">
        <f t="shared" ca="1" si="165"/>
        <v>0.1491759739036056</v>
      </c>
      <c r="G920" s="36">
        <f t="shared" ca="1" si="160"/>
        <v>57653.395273777889</v>
      </c>
      <c r="H920" s="37">
        <f t="shared" ca="1" si="161"/>
        <v>9.4388902972155908E-2</v>
      </c>
      <c r="I920" s="37">
        <f t="shared" ca="1" si="162"/>
        <v>4.5184941654482204E-2</v>
      </c>
      <c r="J920" s="38">
        <f t="shared" ca="1" si="163"/>
        <v>2.5368780638723713E-2</v>
      </c>
      <c r="K920" s="36">
        <f t="shared" ca="1" si="164"/>
        <v>819.32404002703663</v>
      </c>
      <c r="L920" s="36">
        <f ca="1">Assumptions!$C$10*Assumptions!$C$13*I920*Assumptions!$C$15</f>
        <v>3133.7494919754731</v>
      </c>
      <c r="M920" s="36">
        <f ca="1">G920*(1+H920*Assumptions!$C$6)*(1+J920)+L920+K920</f>
        <v>64185.043862823688</v>
      </c>
    </row>
    <row r="921" spans="1:13" x14ac:dyDescent="0.25">
      <c r="A921" s="3">
        <v>908</v>
      </c>
      <c r="B921" s="3">
        <f t="shared" ca="1" si="165"/>
        <v>0.68251915169473354</v>
      </c>
      <c r="C921" s="3">
        <f t="shared" ca="1" si="165"/>
        <v>0.95564797333936535</v>
      </c>
      <c r="D921" s="3">
        <f t="shared" ca="1" si="165"/>
        <v>0.98959258737297284</v>
      </c>
      <c r="E921" s="3">
        <f t="shared" ca="1" si="165"/>
        <v>0.60064839875922171</v>
      </c>
      <c r="F921" s="3">
        <f t="shared" ca="1" si="165"/>
        <v>4.087569544905667E-2</v>
      </c>
      <c r="G921" s="36">
        <f t="shared" ca="1" si="160"/>
        <v>58039.646552858183</v>
      </c>
      <c r="H921" s="37">
        <f t="shared" ca="1" si="161"/>
        <v>0.20820021685824774</v>
      </c>
      <c r="I921" s="37">
        <f t="shared" ca="1" si="162"/>
        <v>0.11422906243262961</v>
      </c>
      <c r="J921" s="38">
        <f t="shared" ca="1" si="163"/>
        <v>3.2125960697351519E-2</v>
      </c>
      <c r="K921" s="36">
        <f t="shared" ca="1" si="164"/>
        <v>428.88300213549496</v>
      </c>
      <c r="L921" s="36">
        <f ca="1">Assumptions!$C$10*Assumptions!$C$13*I921*Assumptions!$C$15</f>
        <v>7922.2248222506796</v>
      </c>
      <c r="M921" s="36">
        <f ca="1">G921*(1+H921*Assumptions!$C$6)*(1+J921)+L921+K921</f>
        <v>70749.748348280205</v>
      </c>
    </row>
    <row r="922" spans="1:13" x14ac:dyDescent="0.25">
      <c r="A922" s="3">
        <v>909</v>
      </c>
      <c r="B922" s="3">
        <f t="shared" ca="1" si="165"/>
        <v>0.38919187529962807</v>
      </c>
      <c r="C922" s="3">
        <f t="shared" ca="1" si="165"/>
        <v>0.87697822886709564</v>
      </c>
      <c r="D922" s="3">
        <f t="shared" ca="1" si="165"/>
        <v>0.17618071642117972</v>
      </c>
      <c r="E922" s="3">
        <f t="shared" ca="1" si="165"/>
        <v>0.11205902905073029</v>
      </c>
      <c r="F922" s="3">
        <f t="shared" ca="1" si="165"/>
        <v>0.53209715892967002</v>
      </c>
      <c r="G922" s="36">
        <f t="shared" ca="1" si="160"/>
        <v>57764.28050519192</v>
      </c>
      <c r="H922" s="37">
        <f t="shared" ca="1" si="161"/>
        <v>0.18703872752821907</v>
      </c>
      <c r="I922" s="37">
        <f t="shared" ca="1" si="162"/>
        <v>6.3744015931340992E-2</v>
      </c>
      <c r="J922" s="38">
        <f t="shared" ca="1" si="163"/>
        <v>1.9468221757045205E-2</v>
      </c>
      <c r="K922" s="36">
        <f t="shared" ca="1" si="164"/>
        <v>1548.944251651066</v>
      </c>
      <c r="L922" s="36">
        <f ca="1">Assumptions!$C$10*Assumptions!$C$13*I922*Assumptions!$C$15</f>
        <v>4420.8926741305413</v>
      </c>
      <c r="M922" s="36">
        <f ca="1">G922*(1+H922*Assumptions!$C$6)*(1+J922)+L922+K922</f>
        <v>67061.584304847944</v>
      </c>
    </row>
    <row r="923" spans="1:13" x14ac:dyDescent="0.25">
      <c r="A923" s="3">
        <v>910</v>
      </c>
      <c r="B923" s="3">
        <f t="shared" ca="1" si="165"/>
        <v>0.30175387011010479</v>
      </c>
      <c r="C923" s="3">
        <f t="shared" ca="1" si="165"/>
        <v>0.75817041060777268</v>
      </c>
      <c r="D923" s="3">
        <f t="shared" ca="1" si="165"/>
        <v>0.5450991025410965</v>
      </c>
      <c r="E923" s="3">
        <f t="shared" ca="1" si="165"/>
        <v>0.949593142701744</v>
      </c>
      <c r="F923" s="3">
        <f t="shared" ca="1" si="165"/>
        <v>0.56063122342167371</v>
      </c>
      <c r="G923" s="36">
        <f t="shared" ca="1" si="160"/>
        <v>57684.919431150745</v>
      </c>
      <c r="H923" s="37">
        <f t="shared" ca="1" si="161"/>
        <v>0.1657456086272146</v>
      </c>
      <c r="I923" s="37">
        <f t="shared" ca="1" si="162"/>
        <v>8.1846587677266769E-2</v>
      </c>
      <c r="J923" s="38">
        <f t="shared" ca="1" si="163"/>
        <v>4.3649764898950213E-2</v>
      </c>
      <c r="K923" s="36">
        <f t="shared" ca="1" si="164"/>
        <v>1593.8849639512177</v>
      </c>
      <c r="L923" s="36">
        <f ca="1">Assumptions!$C$10*Assumptions!$C$13*I923*Assumptions!$C$15</f>
        <v>5676.3756499864394</v>
      </c>
      <c r="M923" s="36">
        <f ca="1">G923*(1+H923*Assumptions!$C$6)*(1+J923)+L923+K923</f>
        <v>69468.784905613371</v>
      </c>
    </row>
    <row r="924" spans="1:13" x14ac:dyDescent="0.25">
      <c r="A924" s="3">
        <v>911</v>
      </c>
      <c r="B924" s="3">
        <f t="shared" ref="B924:F933" ca="1" si="166">RAND()</f>
        <v>0.60023441017609525</v>
      </c>
      <c r="C924" s="3">
        <f t="shared" ca="1" si="166"/>
        <v>0.60557412591091031</v>
      </c>
      <c r="D924" s="3">
        <f t="shared" ca="1" si="166"/>
        <v>0.91689343651962318</v>
      </c>
      <c r="E924" s="3">
        <f t="shared" ca="1" si="166"/>
        <v>6.1764228378841768E-2</v>
      </c>
      <c r="F924" s="3">
        <f t="shared" ca="1" si="166"/>
        <v>0.59297616313235435</v>
      </c>
      <c r="G924" s="36">
        <f t="shared" ca="1" si="160"/>
        <v>57952.962615787292</v>
      </c>
      <c r="H924" s="37">
        <f t="shared" ca="1" si="161"/>
        <v>0.14516904551133503</v>
      </c>
      <c r="I924" s="37">
        <f t="shared" ca="1" si="162"/>
        <v>0.10369230233487248</v>
      </c>
      <c r="J924" s="38">
        <f t="shared" ca="1" si="163"/>
        <v>1.7029323061509793E-2</v>
      </c>
      <c r="K924" s="36">
        <f t="shared" ca="1" si="164"/>
        <v>1646.6311419629883</v>
      </c>
      <c r="L924" s="36">
        <f ca="1">Assumptions!$C$10*Assumptions!$C$13*I924*Assumptions!$C$15</f>
        <v>7191.459983470847</v>
      </c>
      <c r="M924" s="36">
        <f ca="1">G924*(1+H924*Assumptions!$C$6)*(1+J924)+L924+K924</f>
        <v>69489.202175628132</v>
      </c>
    </row>
    <row r="925" spans="1:13" x14ac:dyDescent="0.25">
      <c r="A925" s="3">
        <v>912</v>
      </c>
      <c r="B925" s="3">
        <f t="shared" ca="1" si="166"/>
        <v>0.91971255312630595</v>
      </c>
      <c r="C925" s="3">
        <f t="shared" ca="1" si="166"/>
        <v>0.53747601428069092</v>
      </c>
      <c r="D925" s="3">
        <f t="shared" ca="1" si="166"/>
        <v>0.90305318807615231</v>
      </c>
      <c r="E925" s="3">
        <f t="shared" ca="1" si="166"/>
        <v>0.8936957109428797</v>
      </c>
      <c r="F925" s="3">
        <f t="shared" ca="1" si="166"/>
        <v>0.72087846973640046</v>
      </c>
      <c r="G925" s="36">
        <f t="shared" ca="1" si="160"/>
        <v>58392.480021594529</v>
      </c>
      <c r="H925" s="37">
        <f t="shared" ca="1" si="161"/>
        <v>0.13730848684336056</v>
      </c>
      <c r="I925" s="37">
        <f t="shared" ca="1" si="162"/>
        <v>0.10238665851814845</v>
      </c>
      <c r="J925" s="38">
        <f t="shared" ca="1" si="163"/>
        <v>4.0778100453502206E-2</v>
      </c>
      <c r="K925" s="36">
        <f t="shared" ca="1" si="164"/>
        <v>1879.2650241086442</v>
      </c>
      <c r="L925" s="36">
        <f ca="1">Assumptions!$C$10*Assumptions!$C$13*I925*Assumptions!$C$15</f>
        <v>7100.9085630740483</v>
      </c>
      <c r="M925" s="36">
        <f ca="1">G925*(1+H925*Assumptions!$C$6)*(1+J925)+L925+K925</f>
        <v>71422.734632513864</v>
      </c>
    </row>
    <row r="926" spans="1:13" x14ac:dyDescent="0.25">
      <c r="A926" s="3">
        <v>913</v>
      </c>
      <c r="B926" s="3">
        <f t="shared" ca="1" si="166"/>
        <v>0.38251436426152874</v>
      </c>
      <c r="C926" s="3">
        <f t="shared" ca="1" si="166"/>
        <v>0.16995014830534072</v>
      </c>
      <c r="D926" s="3">
        <f t="shared" ca="1" si="166"/>
        <v>0.56086834026795251</v>
      </c>
      <c r="E926" s="3">
        <f t="shared" ca="1" si="166"/>
        <v>0.38097712743301237</v>
      </c>
      <c r="F926" s="3">
        <f t="shared" ca="1" si="166"/>
        <v>0.50761117953706336</v>
      </c>
      <c r="G926" s="36">
        <f t="shared" ca="1" si="160"/>
        <v>57758.557194792302</v>
      </c>
      <c r="H926" s="37">
        <f t="shared" ca="1" si="161"/>
        <v>9.7543001298414381E-2</v>
      </c>
      <c r="I926" s="37">
        <f t="shared" ca="1" si="162"/>
        <v>8.2513718360678237E-2</v>
      </c>
      <c r="J926" s="38">
        <f t="shared" ca="1" si="163"/>
        <v>2.7457998222774851E-2</v>
      </c>
      <c r="K926" s="36">
        <f t="shared" ca="1" si="164"/>
        <v>1511.4605507131446</v>
      </c>
      <c r="L926" s="36">
        <f ca="1">Assumptions!$C$10*Assumptions!$C$13*I926*Assumptions!$C$15</f>
        <v>5722.6437287682684</v>
      </c>
      <c r="M926" s="36">
        <f ca="1">G926*(1+H926*Assumptions!$C$6)*(1+J926)+L926+K926</f>
        <v>67736.323798450641</v>
      </c>
    </row>
    <row r="927" spans="1:13" x14ac:dyDescent="0.25">
      <c r="A927" s="3">
        <v>914</v>
      </c>
      <c r="B927" s="3">
        <f t="shared" ca="1" si="166"/>
        <v>0.92707101643254364</v>
      </c>
      <c r="C927" s="3">
        <f t="shared" ca="1" si="166"/>
        <v>0.38049082728883055</v>
      </c>
      <c r="D927" s="3">
        <f t="shared" ca="1" si="166"/>
        <v>0.70052218877959727</v>
      </c>
      <c r="E927" s="3">
        <f t="shared" ca="1" si="166"/>
        <v>4.2031516689936543E-2</v>
      </c>
      <c r="F927" s="3">
        <f t="shared" ca="1" si="166"/>
        <v>0.20560918151114405</v>
      </c>
      <c r="G927" s="36">
        <f t="shared" ca="1" si="160"/>
        <v>58409.229267512237</v>
      </c>
      <c r="H927" s="37">
        <f t="shared" ca="1" si="161"/>
        <v>0.12115215972591398</v>
      </c>
      <c r="I927" s="37">
        <f t="shared" ca="1" si="162"/>
        <v>8.9043110687517579E-2</v>
      </c>
      <c r="J927" s="38">
        <f t="shared" ca="1" si="163"/>
        <v>1.5798725148853776E-2</v>
      </c>
      <c r="K927" s="36">
        <f t="shared" ca="1" si="164"/>
        <v>961.89464953296635</v>
      </c>
      <c r="L927" s="36">
        <f ca="1">Assumptions!$C$10*Assumptions!$C$13*I927*Assumptions!$C$15</f>
        <v>6175.4821996819874</v>
      </c>
      <c r="M927" s="36">
        <f ca="1">G927*(1+H927*Assumptions!$C$6)*(1+J927)+L927+K927</f>
        <v>67907.037964050469</v>
      </c>
    </row>
    <row r="928" spans="1:13" x14ac:dyDescent="0.25">
      <c r="A928" s="3">
        <v>915</v>
      </c>
      <c r="B928" s="3">
        <f t="shared" ca="1" si="166"/>
        <v>0.42631677772466881</v>
      </c>
      <c r="C928" s="3">
        <f t="shared" ca="1" si="166"/>
        <v>0.35731291927138609</v>
      </c>
      <c r="D928" s="3">
        <f t="shared" ca="1" si="166"/>
        <v>0.96250019947391097</v>
      </c>
      <c r="E928" s="3">
        <f t="shared" ca="1" si="166"/>
        <v>0.57408597011907259</v>
      </c>
      <c r="F928" s="3">
        <f t="shared" ca="1" si="166"/>
        <v>0.4808237518906846</v>
      </c>
      <c r="G928" s="36">
        <f t="shared" ca="1" si="160"/>
        <v>57795.318967635154</v>
      </c>
      <c r="H928" s="37">
        <f t="shared" ca="1" si="161"/>
        <v>0.1189366508202236</v>
      </c>
      <c r="I928" s="37">
        <f t="shared" ca="1" si="162"/>
        <v>0.10904557798496493</v>
      </c>
      <c r="J928" s="38">
        <f t="shared" ca="1" si="163"/>
        <v>3.1541093642776616E-2</v>
      </c>
      <c r="K928" s="36">
        <f t="shared" ca="1" si="164"/>
        <v>1470.9544124506649</v>
      </c>
      <c r="L928" s="36">
        <f ca="1">Assumptions!$C$10*Assumptions!$C$13*I928*Assumptions!$C$15</f>
        <v>7562.7302393264899</v>
      </c>
      <c r="M928" s="36">
        <f ca="1">G928*(1+H928*Assumptions!$C$6)*(1+J928)+L928+K928</f>
        <v>70070.090101221416</v>
      </c>
    </row>
    <row r="929" spans="1:13" x14ac:dyDescent="0.25">
      <c r="A929" s="3">
        <v>916</v>
      </c>
      <c r="B929" s="3">
        <f t="shared" ca="1" si="166"/>
        <v>0.73447796066035431</v>
      </c>
      <c r="C929" s="3">
        <f t="shared" ca="1" si="166"/>
        <v>0.49558442045329643</v>
      </c>
      <c r="D929" s="3">
        <f t="shared" ca="1" si="166"/>
        <v>0.83010818341608217</v>
      </c>
      <c r="E929" s="3">
        <f t="shared" ca="1" si="166"/>
        <v>0.92122574092029563</v>
      </c>
      <c r="F929" s="3">
        <f t="shared" ca="1" si="166"/>
        <v>0.31289283766715126</v>
      </c>
      <c r="G929" s="36">
        <f t="shared" ca="1" si="160"/>
        <v>58100.319039358918</v>
      </c>
      <c r="H929" s="37">
        <f t="shared" ca="1" si="161"/>
        <v>0.13275879889862832</v>
      </c>
      <c r="I929" s="37">
        <f t="shared" ca="1" si="162"/>
        <v>9.668361492279437E-2</v>
      </c>
      <c r="J929" s="38">
        <f t="shared" ca="1" si="163"/>
        <v>4.2061523618239866E-2</v>
      </c>
      <c r="K929" s="36">
        <f t="shared" ca="1" si="164"/>
        <v>1186.5992455341359</v>
      </c>
      <c r="L929" s="36">
        <f ca="1">Assumptions!$C$10*Assumptions!$C$13*I929*Assumptions!$C$15</f>
        <v>6705.3805549531844</v>
      </c>
      <c r="M929" s="36">
        <f ca="1">G929*(1+H929*Assumptions!$C$6)*(1+J929)+L929+K929</f>
        <v>70043.639365981304</v>
      </c>
    </row>
    <row r="930" spans="1:13" x14ac:dyDescent="0.25">
      <c r="A930" s="3">
        <v>917</v>
      </c>
      <c r="B930" s="3">
        <f t="shared" ca="1" si="166"/>
        <v>0.39198737962006402</v>
      </c>
      <c r="C930" s="3">
        <f t="shared" ca="1" si="166"/>
        <v>0.64082207607016273</v>
      </c>
      <c r="D930" s="3">
        <f t="shared" ca="1" si="166"/>
        <v>0.17062669056774649</v>
      </c>
      <c r="E930" s="3">
        <f t="shared" ca="1" si="166"/>
        <v>0.78230335743579837</v>
      </c>
      <c r="F930" s="3">
        <f t="shared" ca="1" si="166"/>
        <v>4.9658460297849594E-2</v>
      </c>
      <c r="G930" s="36">
        <f t="shared" ca="1" si="160"/>
        <v>57766.661947905843</v>
      </c>
      <c r="H930" s="37">
        <f t="shared" ca="1" si="161"/>
        <v>0.14950548820176834</v>
      </c>
      <c r="I930" s="37">
        <f t="shared" ca="1" si="162"/>
        <v>6.3366758650201971E-2</v>
      </c>
      <c r="J930" s="38">
        <f t="shared" ca="1" si="163"/>
        <v>3.6803132415176652E-2</v>
      </c>
      <c r="K930" s="36">
        <f t="shared" ca="1" si="164"/>
        <v>472.71880789780641</v>
      </c>
      <c r="L930" s="36">
        <f ca="1">Assumptions!$C$10*Assumptions!$C$13*I930*Assumptions!$C$15</f>
        <v>4394.7284306940073</v>
      </c>
      <c r="M930" s="36">
        <f ca="1">G930*(1+H930*Assumptions!$C$6)*(1+J930)+L930+K930</f>
        <v>66550.959452042414</v>
      </c>
    </row>
    <row r="931" spans="1:13" x14ac:dyDescent="0.25">
      <c r="A931" s="3">
        <v>918</v>
      </c>
      <c r="B931" s="3">
        <f t="shared" ca="1" si="166"/>
        <v>0.6331624538993128</v>
      </c>
      <c r="C931" s="3">
        <f t="shared" ca="1" si="166"/>
        <v>0.99327116148002381</v>
      </c>
      <c r="D931" s="3">
        <f t="shared" ca="1" si="166"/>
        <v>0.89559017955867803</v>
      </c>
      <c r="E931" s="3">
        <f t="shared" ca="1" si="166"/>
        <v>0.23645604577668933</v>
      </c>
      <c r="F931" s="3">
        <f t="shared" ca="1" si="166"/>
        <v>0.31009528404499653</v>
      </c>
      <c r="G931" s="36">
        <f t="shared" ca="1" si="160"/>
        <v>57986.468133891074</v>
      </c>
      <c r="H931" s="37">
        <f t="shared" ca="1" si="161"/>
        <v>0.2276138174462243</v>
      </c>
      <c r="I931" s="37">
        <f t="shared" ca="1" si="162"/>
        <v>0.10172128490806231</v>
      </c>
      <c r="J931" s="38">
        <f t="shared" ca="1" si="163"/>
        <v>2.3753720828246859E-2</v>
      </c>
      <c r="K931" s="36">
        <f t="shared" ca="1" si="164"/>
        <v>1181.2826834430803</v>
      </c>
      <c r="L931" s="36">
        <f ca="1">Assumptions!$C$10*Assumptions!$C$13*I931*Assumptions!$C$15</f>
        <v>7054.7623440853058</v>
      </c>
      <c r="M931" s="36">
        <f ca="1">G931*(1+H931*Assumptions!$C$6)*(1+J931)+L931+K931</f>
        <v>70302.314610127767</v>
      </c>
    </row>
    <row r="932" spans="1:13" x14ac:dyDescent="0.25">
      <c r="A932" s="3">
        <v>919</v>
      </c>
      <c r="B932" s="3">
        <f t="shared" ca="1" si="166"/>
        <v>5.2047675840043328E-2</v>
      </c>
      <c r="C932" s="3">
        <f t="shared" ca="1" si="166"/>
        <v>0.67517087454029345</v>
      </c>
      <c r="D932" s="3">
        <f t="shared" ca="1" si="166"/>
        <v>0.11073530166799872</v>
      </c>
      <c r="E932" s="3">
        <f t="shared" ca="1" si="166"/>
        <v>0.93193280901798903</v>
      </c>
      <c r="F932" s="3">
        <f t="shared" ca="1" si="166"/>
        <v>0.90033353940260574</v>
      </c>
      <c r="G932" s="36">
        <f t="shared" ca="1" si="160"/>
        <v>57342.923928114535</v>
      </c>
      <c r="H932" s="37">
        <f t="shared" ca="1" si="161"/>
        <v>0.15394127551211723</v>
      </c>
      <c r="I932" s="37">
        <f t="shared" ca="1" si="162"/>
        <v>5.8824265333276511E-2</v>
      </c>
      <c r="J932" s="38">
        <f t="shared" ca="1" si="163"/>
        <v>4.2620721391246383E-2</v>
      </c>
      <c r="K932" s="36">
        <f t="shared" ca="1" si="164"/>
        <v>2330.2992663224313</v>
      </c>
      <c r="L932" s="36">
        <f ca="1">Assumptions!$C$10*Assumptions!$C$13*I932*Assumptions!$C$15</f>
        <v>4079.6890480370844</v>
      </c>
      <c r="M932" s="36">
        <f ca="1">G932*(1+H932*Assumptions!$C$6)*(1+J932)+L932+K932</f>
        <v>68037.643993661986</v>
      </c>
    </row>
    <row r="933" spans="1:13" x14ac:dyDescent="0.25">
      <c r="A933" s="3">
        <v>920</v>
      </c>
      <c r="B933" s="3">
        <f t="shared" ca="1" si="166"/>
        <v>0.44524025655439359</v>
      </c>
      <c r="C933" s="3">
        <f t="shared" ca="1" si="166"/>
        <v>0.32871329707486652</v>
      </c>
      <c r="D933" s="3">
        <f t="shared" ca="1" si="166"/>
        <v>9.5278978003993986E-2</v>
      </c>
      <c r="E933" s="3">
        <f t="shared" ca="1" si="166"/>
        <v>0.86665721964068654</v>
      </c>
      <c r="F933" s="3">
        <f t="shared" ca="1" si="166"/>
        <v>0.61817301046480266</v>
      </c>
      <c r="G933" s="36">
        <f t="shared" ca="1" si="160"/>
        <v>57811.186592208323</v>
      </c>
      <c r="H933" s="37">
        <f t="shared" ca="1" si="161"/>
        <v>0.11612024539500534</v>
      </c>
      <c r="I933" s="37">
        <f t="shared" ca="1" si="162"/>
        <v>5.7461177784238406E-2</v>
      </c>
      <c r="J933" s="38">
        <f t="shared" ca="1" si="163"/>
        <v>3.9671678534851332E-2</v>
      </c>
      <c r="K933" s="36">
        <f t="shared" ca="1" si="164"/>
        <v>1689.1905352384779</v>
      </c>
      <c r="L933" s="36">
        <f ca="1">Assumptions!$C$10*Assumptions!$C$13*I933*Assumptions!$C$15</f>
        <v>3985.1536838668721</v>
      </c>
      <c r="M933" s="36">
        <f ca="1">G933*(1+H933*Assumptions!$C$6)*(1+J933)+L933+K933</f>
        <v>67174.871042012048</v>
      </c>
    </row>
    <row r="934" spans="1:13" x14ac:dyDescent="0.25">
      <c r="A934" s="3">
        <v>921</v>
      </c>
      <c r="B934" s="3">
        <f t="shared" ref="B934:F943" ca="1" si="167">RAND()</f>
        <v>0.29036528729501376</v>
      </c>
      <c r="C934" s="3">
        <f t="shared" ca="1" si="167"/>
        <v>0.63451412659393414</v>
      </c>
      <c r="D934" s="3">
        <f t="shared" ca="1" si="167"/>
        <v>0.2178580231396966</v>
      </c>
      <c r="E934" s="3">
        <f t="shared" ca="1" si="167"/>
        <v>0.80809363145613489</v>
      </c>
      <c r="F934" s="3">
        <f t="shared" ca="1" si="167"/>
        <v>0.89484217487491591</v>
      </c>
      <c r="G934" s="36">
        <f t="shared" ca="1" si="160"/>
        <v>57673.77546357231</v>
      </c>
      <c r="H934" s="37">
        <f t="shared" ca="1" si="161"/>
        <v>0.14871430608436881</v>
      </c>
      <c r="I934" s="37">
        <f t="shared" ca="1" si="162"/>
        <v>6.6403516319744782E-2</v>
      </c>
      <c r="J934" s="38">
        <f t="shared" ca="1" si="163"/>
        <v>3.7609475602901545E-2</v>
      </c>
      <c r="K934" s="36">
        <f t="shared" ca="1" si="164"/>
        <v>2312.0972357499363</v>
      </c>
      <c r="L934" s="36">
        <f ca="1">Assumptions!$C$10*Assumptions!$C$13*I934*Assumptions!$C$15</f>
        <v>4605.3392549139917</v>
      </c>
      <c r="M934" s="36">
        <f ca="1">G934*(1+H934*Assumptions!$C$6)*(1+J934)+L934+K934</f>
        <v>68540.190163755862</v>
      </c>
    </row>
    <row r="935" spans="1:13" x14ac:dyDescent="0.25">
      <c r="A935" s="3">
        <v>922</v>
      </c>
      <c r="B935" s="3">
        <f t="shared" ca="1" si="167"/>
        <v>0.49184352528555131</v>
      </c>
      <c r="C935" s="3">
        <f t="shared" ca="1" si="167"/>
        <v>0.17497275090857078</v>
      </c>
      <c r="D935" s="3">
        <f t="shared" ca="1" si="167"/>
        <v>0.87620580073646137</v>
      </c>
      <c r="E935" s="3">
        <f t="shared" ca="1" si="167"/>
        <v>0.20328984724654431</v>
      </c>
      <c r="F935" s="3">
        <f t="shared" ca="1" si="167"/>
        <v>0.42845893800872192</v>
      </c>
      <c r="G935" s="36">
        <f t="shared" ca="1" si="160"/>
        <v>57851.458923692808</v>
      </c>
      <c r="H935" s="37">
        <f t="shared" ca="1" si="161"/>
        <v>9.824041445804535E-2</v>
      </c>
      <c r="I935" s="37">
        <f t="shared" ca="1" si="162"/>
        <v>0.10009669782062977</v>
      </c>
      <c r="J935" s="38">
        <f t="shared" ca="1" si="163"/>
        <v>2.2752720407710481E-2</v>
      </c>
      <c r="K935" s="36">
        <f t="shared" ca="1" si="164"/>
        <v>1388.5478821557608</v>
      </c>
      <c r="L935" s="36">
        <f ca="1">Assumptions!$C$10*Assumptions!$C$13*I935*Assumptions!$C$15</f>
        <v>6942.090981159984</v>
      </c>
      <c r="M935" s="36">
        <f ca="1">G935*(1+H935*Assumptions!$C$6)*(1+J935)+L935+K935</f>
        <v>68660.908458039834</v>
      </c>
    </row>
    <row r="936" spans="1:13" x14ac:dyDescent="0.25">
      <c r="A936" s="3">
        <v>923</v>
      </c>
      <c r="B936" s="3">
        <f t="shared" ca="1" si="167"/>
        <v>0.15524193573707956</v>
      </c>
      <c r="C936" s="3">
        <f t="shared" ca="1" si="167"/>
        <v>0.39844500836238916</v>
      </c>
      <c r="D936" s="3">
        <f t="shared" ca="1" si="167"/>
        <v>0.1718971698465358</v>
      </c>
      <c r="E936" s="3">
        <f t="shared" ca="1" si="167"/>
        <v>0.38141015462020345</v>
      </c>
      <c r="F936" s="3">
        <f t="shared" ca="1" si="167"/>
        <v>0.9926207556477592</v>
      </c>
      <c r="G936" s="36">
        <f t="shared" ca="1" si="160"/>
        <v>57519.540749045416</v>
      </c>
      <c r="H936" s="37">
        <f t="shared" ca="1" si="161"/>
        <v>0.12288700409716466</v>
      </c>
      <c r="I936" s="37">
        <f t="shared" ca="1" si="162"/>
        <v>6.3453591271038098E-2</v>
      </c>
      <c r="J936" s="38">
        <f t="shared" ca="1" si="163"/>
        <v>2.7467916982175142E-2</v>
      </c>
      <c r="K936" s="36">
        <f t="shared" ca="1" si="164"/>
        <v>2817.7732193526881</v>
      </c>
      <c r="L936" s="36">
        <f ca="1">Assumptions!$C$10*Assumptions!$C$13*I936*Assumptions!$C$15</f>
        <v>4400.7506069206111</v>
      </c>
      <c r="M936" s="36">
        <f ca="1">G936*(1+H936*Assumptions!$C$6)*(1+J936)+L936+K936</f>
        <v>67770.518220477097</v>
      </c>
    </row>
    <row r="937" spans="1:13" x14ac:dyDescent="0.25">
      <c r="A937" s="3">
        <v>924</v>
      </c>
      <c r="B937" s="3">
        <f t="shared" ca="1" si="167"/>
        <v>0.15043001550400026</v>
      </c>
      <c r="C937" s="3">
        <f t="shared" ca="1" si="167"/>
        <v>9.3625022277284975E-3</v>
      </c>
      <c r="D937" s="3">
        <f t="shared" ca="1" si="167"/>
        <v>0.18611765336338359</v>
      </c>
      <c r="E937" s="3">
        <f t="shared" ca="1" si="167"/>
        <v>0.8416696374841659</v>
      </c>
      <c r="F937" s="3">
        <f t="shared" ca="1" si="167"/>
        <v>0.31357630024319261</v>
      </c>
      <c r="G937" s="36">
        <f t="shared" ca="1" si="160"/>
        <v>57512.987469324507</v>
      </c>
      <c r="H937" s="37">
        <f t="shared" ca="1" si="161"/>
        <v>6.1158910324435316E-2</v>
      </c>
      <c r="I937" s="37">
        <f t="shared" ca="1" si="162"/>
        <v>6.4404435882905134E-2</v>
      </c>
      <c r="J937" s="38">
        <f t="shared" ca="1" si="163"/>
        <v>3.8745476908697229E-2</v>
      </c>
      <c r="K937" s="36">
        <f t="shared" ca="1" si="164"/>
        <v>1187.8945033521986</v>
      </c>
      <c r="L937" s="36">
        <f ca="1">Assumptions!$C$10*Assumptions!$C$13*I937*Assumptions!$C$15</f>
        <v>4466.6953378482513</v>
      </c>
      <c r="M937" s="36">
        <f ca="1">G937*(1+H937*Assumptions!$C$6)*(1+J937)+L937+K937</f>
        <v>66126.688680394553</v>
      </c>
    </row>
    <row r="938" spans="1:13" x14ac:dyDescent="0.25">
      <c r="A938" s="3">
        <v>925</v>
      </c>
      <c r="B938" s="3">
        <f t="shared" ca="1" si="167"/>
        <v>0.90549543033876723</v>
      </c>
      <c r="C938" s="3">
        <f t="shared" ca="1" si="167"/>
        <v>0.97408862271026375</v>
      </c>
      <c r="D938" s="3">
        <f t="shared" ca="1" si="167"/>
        <v>0.70091771797888336</v>
      </c>
      <c r="E938" s="3">
        <f t="shared" ca="1" si="167"/>
        <v>0.42727860123960792</v>
      </c>
      <c r="F938" s="3">
        <f t="shared" ca="1" si="167"/>
        <v>3.5330773374000812E-2</v>
      </c>
      <c r="G938" s="36">
        <f t="shared" ca="1" si="160"/>
        <v>58362.165798823378</v>
      </c>
      <c r="H938" s="37">
        <f t="shared" ca="1" si="161"/>
        <v>0.21569404595153716</v>
      </c>
      <c r="I938" s="37">
        <f t="shared" ca="1" si="162"/>
        <v>8.9063560281319162E-2</v>
      </c>
      <c r="J938" s="38">
        <f t="shared" ca="1" si="163"/>
        <v>2.8488452639193099E-2</v>
      </c>
      <c r="K938" s="36">
        <f t="shared" ca="1" si="164"/>
        <v>398.73359550331804</v>
      </c>
      <c r="L938" s="36">
        <f ca="1">Assumptions!$C$10*Assumptions!$C$13*I938*Assumptions!$C$15</f>
        <v>6176.9004576644111</v>
      </c>
      <c r="M938" s="36">
        <f ca="1">G938*(1+H938*Assumptions!$C$6)*(1+J938)+L938+K938</f>
        <v>69189.846628634594</v>
      </c>
    </row>
    <row r="939" spans="1:13" x14ac:dyDescent="0.25">
      <c r="A939" s="3">
        <v>926</v>
      </c>
      <c r="B939" s="3">
        <f t="shared" ca="1" si="167"/>
        <v>0.88571505182941213</v>
      </c>
      <c r="C939" s="3">
        <f t="shared" ca="1" si="167"/>
        <v>8.0632184666767692E-2</v>
      </c>
      <c r="D939" s="3">
        <f t="shared" ca="1" si="167"/>
        <v>0.9433425791337382</v>
      </c>
      <c r="E939" s="3">
        <f t="shared" ca="1" si="167"/>
        <v>0.34026796043668939</v>
      </c>
      <c r="F939" s="3">
        <f t="shared" ca="1" si="167"/>
        <v>0.28109350232651464</v>
      </c>
      <c r="G939" s="36">
        <f t="shared" ca="1" si="160"/>
        <v>58323.56425975672</v>
      </c>
      <c r="H939" s="37">
        <f t="shared" ca="1" si="161"/>
        <v>8.274764199248566E-2</v>
      </c>
      <c r="I939" s="37">
        <f t="shared" ca="1" si="162"/>
        <v>0.10653509202511811</v>
      </c>
      <c r="J939" s="38">
        <f t="shared" ca="1" si="163"/>
        <v>2.6498920217679446E-2</v>
      </c>
      <c r="K939" s="36">
        <f t="shared" ca="1" si="164"/>
        <v>1124.6869611004281</v>
      </c>
      <c r="L939" s="36">
        <f ca="1">Assumptions!$C$10*Assumptions!$C$13*I939*Assumptions!$C$15</f>
        <v>7388.6183822958828</v>
      </c>
      <c r="M939" s="36">
        <f ca="1">G939*(1+H939*Assumptions!$C$6)*(1+J939)+L939+K939</f>
        <v>69373.186048365853</v>
      </c>
    </row>
    <row r="940" spans="1:13" x14ac:dyDescent="0.25">
      <c r="A940" s="3">
        <v>927</v>
      </c>
      <c r="B940" s="3">
        <f t="shared" ca="1" si="167"/>
        <v>0.36650482833702069</v>
      </c>
      <c r="C940" s="3">
        <f t="shared" ca="1" si="167"/>
        <v>0.48173051103483999</v>
      </c>
      <c r="D940" s="3">
        <f t="shared" ca="1" si="167"/>
        <v>0.82041565466743993</v>
      </c>
      <c r="E940" s="3">
        <f t="shared" ca="1" si="167"/>
        <v>0.24745385320326097</v>
      </c>
      <c r="F940" s="3">
        <f t="shared" ca="1" si="167"/>
        <v>0.54101132652674166</v>
      </c>
      <c r="G940" s="36">
        <f t="shared" ca="1" si="160"/>
        <v>57744.628458959953</v>
      </c>
      <c r="H940" s="37">
        <f t="shared" ca="1" si="161"/>
        <v>0.13129607022556339</v>
      </c>
      <c r="I940" s="37">
        <f t="shared" ca="1" si="162"/>
        <v>9.602772632677091E-2</v>
      </c>
      <c r="J940" s="38">
        <f t="shared" ca="1" si="163"/>
        <v>2.4069935414301261E-2</v>
      </c>
      <c r="K940" s="36">
        <f t="shared" ca="1" si="164"/>
        <v>1562.8329844344246</v>
      </c>
      <c r="L940" s="36">
        <f ca="1">Assumptions!$C$10*Assumptions!$C$13*I940*Assumptions!$C$15</f>
        <v>6659.8921581705108</v>
      </c>
      <c r="M940" s="36">
        <f ca="1">G940*(1+H940*Assumptions!$C$6)*(1+J940)+L940+K940</f>
        <v>68910.08956822801</v>
      </c>
    </row>
    <row r="941" spans="1:13" x14ac:dyDescent="0.25">
      <c r="A941" s="3">
        <v>928</v>
      </c>
      <c r="B941" s="3">
        <f t="shared" ca="1" si="167"/>
        <v>0.92122136322126069</v>
      </c>
      <c r="C941" s="3">
        <f t="shared" ca="1" si="167"/>
        <v>0.64779956593595078</v>
      </c>
      <c r="D941" s="3">
        <f t="shared" ca="1" si="167"/>
        <v>0.21213573401823227</v>
      </c>
      <c r="E941" s="3">
        <f t="shared" ca="1" si="167"/>
        <v>0.23584525697043413</v>
      </c>
      <c r="F941" s="3">
        <f t="shared" ca="1" si="167"/>
        <v>0.99204111392587235</v>
      </c>
      <c r="G941" s="36">
        <f t="shared" ca="1" si="160"/>
        <v>58395.849682102722</v>
      </c>
      <c r="H941" s="37">
        <f t="shared" ca="1" si="161"/>
        <v>0.15038878476072137</v>
      </c>
      <c r="I941" s="37">
        <f t="shared" ca="1" si="162"/>
        <v>6.6054449694022382E-2</v>
      </c>
      <c r="J941" s="38">
        <f t="shared" ca="1" si="163"/>
        <v>2.3735945747430254E-2</v>
      </c>
      <c r="K941" s="36">
        <f t="shared" ca="1" si="164"/>
        <v>2810.751519600356</v>
      </c>
      <c r="L941" s="36">
        <f ca="1">Assumptions!$C$10*Assumptions!$C$13*I941*Assumptions!$C$15</f>
        <v>4581.130141856198</v>
      </c>
      <c r="M941" s="36">
        <f ca="1">G941*(1+H941*Assumptions!$C$6)*(1+J941)+L941+K941</f>
        <v>68971.918436251071</v>
      </c>
    </row>
    <row r="942" spans="1:13" x14ac:dyDescent="0.25">
      <c r="A942" s="3">
        <v>929</v>
      </c>
      <c r="B942" s="3">
        <f t="shared" ca="1" si="167"/>
        <v>0.81154175741354595</v>
      </c>
      <c r="C942" s="3">
        <f t="shared" ca="1" si="167"/>
        <v>4.2615306751259019E-2</v>
      </c>
      <c r="D942" s="3">
        <f t="shared" ca="1" si="167"/>
        <v>0.86815890910260918</v>
      </c>
      <c r="E942" s="3">
        <f t="shared" ca="1" si="167"/>
        <v>0.69530360252725953</v>
      </c>
      <c r="F942" s="3">
        <f t="shared" ca="1" si="167"/>
        <v>0.99486854301293803</v>
      </c>
      <c r="G942" s="36">
        <f t="shared" ca="1" si="160"/>
        <v>58202.565637358763</v>
      </c>
      <c r="H942" s="37">
        <f t="shared" ca="1" si="161"/>
        <v>7.3807216968636735E-2</v>
      </c>
      <c r="I942" s="37">
        <f t="shared" ca="1" si="162"/>
        <v>9.9460002656483845E-2</v>
      </c>
      <c r="J942" s="38">
        <f t="shared" ca="1" si="163"/>
        <v>3.438727704792683E-2</v>
      </c>
      <c r="K942" s="36">
        <f t="shared" ca="1" si="164"/>
        <v>2848.0409382702733</v>
      </c>
      <c r="L942" s="36">
        <f ca="1">Assumptions!$C$10*Assumptions!$C$13*I942*Assumptions!$C$15</f>
        <v>6897.9337226989101</v>
      </c>
      <c r="M942" s="36">
        <f ca="1">G942*(1+H942*Assumptions!$C$6)*(1+J942)+L942+K942</f>
        <v>70838.665888255986</v>
      </c>
    </row>
    <row r="943" spans="1:13" x14ac:dyDescent="0.25">
      <c r="A943" s="3">
        <v>930</v>
      </c>
      <c r="B943" s="3">
        <f t="shared" ca="1" si="167"/>
        <v>0.96848910191677373</v>
      </c>
      <c r="C943" s="3">
        <f t="shared" ca="1" si="167"/>
        <v>0.64652775052092371</v>
      </c>
      <c r="D943" s="3">
        <f t="shared" ca="1" si="167"/>
        <v>0.64414969342041251</v>
      </c>
      <c r="E943" s="3">
        <f t="shared" ca="1" si="167"/>
        <v>0.66428566616407225</v>
      </c>
      <c r="F943" s="3">
        <f t="shared" ca="1" si="167"/>
        <v>0.1019447229981677</v>
      </c>
      <c r="G943" s="36">
        <f t="shared" ca="1" si="160"/>
        <v>58525.798159721875</v>
      </c>
      <c r="H943" s="37">
        <f t="shared" ca="1" si="161"/>
        <v>0.15022713501217116</v>
      </c>
      <c r="I943" s="37">
        <f t="shared" ca="1" si="162"/>
        <v>8.6255059919231158E-2</v>
      </c>
      <c r="J943" s="38">
        <f t="shared" ca="1" si="163"/>
        <v>3.3611849797224147E-2</v>
      </c>
      <c r="K943" s="36">
        <f t="shared" ca="1" si="164"/>
        <v>677.31178455106965</v>
      </c>
      <c r="L943" s="36">
        <f ca="1">Assumptions!$C$10*Assumptions!$C$13*I943*Assumptions!$C$15</f>
        <v>5982.1201556291389</v>
      </c>
      <c r="M943" s="36">
        <f ca="1">G943*(1+H943*Assumptions!$C$6)*(1+J943)+L943+K943</f>
        <v>68969.92720558407</v>
      </c>
    </row>
    <row r="944" spans="1:13" x14ac:dyDescent="0.25">
      <c r="A944" s="3">
        <v>931</v>
      </c>
      <c r="B944" s="3">
        <f t="shared" ref="B944:F953" ca="1" si="168">RAND()</f>
        <v>0.11059196869524479</v>
      </c>
      <c r="C944" s="3">
        <f t="shared" ca="1" si="168"/>
        <v>0.80312357373747834</v>
      </c>
      <c r="D944" s="3">
        <f t="shared" ca="1" si="168"/>
        <v>9.9071580045091867E-2</v>
      </c>
      <c r="E944" s="3">
        <f t="shared" ca="1" si="168"/>
        <v>6.0576516538158987E-2</v>
      </c>
      <c r="F944" s="3">
        <f t="shared" ca="1" si="168"/>
        <v>0.88043260364661402</v>
      </c>
      <c r="G944" s="36">
        <f t="shared" ca="1" si="160"/>
        <v>57454.104478230183</v>
      </c>
      <c r="H944" s="37">
        <f t="shared" ca="1" si="161"/>
        <v>0.17300162301379612</v>
      </c>
      <c r="I944" s="37">
        <f t="shared" ca="1" si="162"/>
        <v>5.7805309773893122E-2</v>
      </c>
      <c r="J944" s="38">
        <f t="shared" ca="1" si="163"/>
        <v>1.6961408853854741E-2</v>
      </c>
      <c r="K944" s="36">
        <f t="shared" ca="1" si="164"/>
        <v>2266.4788458468038</v>
      </c>
      <c r="L944" s="36">
        <f ca="1">Assumptions!$C$10*Assumptions!$C$13*I944*Assumptions!$C$15</f>
        <v>4009.0205609340023</v>
      </c>
      <c r="M944" s="36">
        <f ca="1">G944*(1+H944*Assumptions!$C$6)*(1+J944)+L944+K944</f>
        <v>66725.755210883173</v>
      </c>
    </row>
    <row r="945" spans="1:13" x14ac:dyDescent="0.25">
      <c r="A945" s="3">
        <v>932</v>
      </c>
      <c r="B945" s="3">
        <f t="shared" ca="1" si="168"/>
        <v>0.12492072372705787</v>
      </c>
      <c r="C945" s="3">
        <f t="shared" ca="1" si="168"/>
        <v>0.6344908336111249</v>
      </c>
      <c r="D945" s="3">
        <f t="shared" ca="1" si="168"/>
        <v>0.53616832999534814</v>
      </c>
      <c r="E945" s="3">
        <f t="shared" ca="1" si="168"/>
        <v>0.14062088686026175</v>
      </c>
      <c r="F945" s="3">
        <f t="shared" ca="1" si="168"/>
        <v>2.3010189042535822E-2</v>
      </c>
      <c r="G945" s="36">
        <f t="shared" ca="1" si="160"/>
        <v>57476.345623818474</v>
      </c>
      <c r="H945" s="37">
        <f t="shared" ca="1" si="161"/>
        <v>0.14871139724113225</v>
      </c>
      <c r="I945" s="37">
        <f t="shared" ca="1" si="162"/>
        <v>8.147388750451344E-2</v>
      </c>
      <c r="J945" s="38">
        <f t="shared" ca="1" si="163"/>
        <v>2.0606446600450565E-2</v>
      </c>
      <c r="K945" s="36">
        <f t="shared" ca="1" si="164"/>
        <v>321.78541093624989</v>
      </c>
      <c r="L945" s="36">
        <f ca="1">Assumptions!$C$10*Assumptions!$C$13*I945*Assumptions!$C$15</f>
        <v>5650.5274595437932</v>
      </c>
      <c r="M945" s="36">
        <f ca="1">G945*(1+H945*Assumptions!$C$6)*(1+J945)+L945+K945</f>
        <v>66377.745531893917</v>
      </c>
    </row>
    <row r="946" spans="1:13" x14ac:dyDescent="0.25">
      <c r="A946" s="3">
        <v>933</v>
      </c>
      <c r="B946" s="3">
        <f t="shared" ca="1" si="168"/>
        <v>0.1163181434179531</v>
      </c>
      <c r="C946" s="3">
        <f t="shared" ca="1" si="168"/>
        <v>0.97027868552369834</v>
      </c>
      <c r="D946" s="3">
        <f t="shared" ca="1" si="168"/>
        <v>0.95201074010819076</v>
      </c>
      <c r="E946" s="3">
        <f t="shared" ca="1" si="168"/>
        <v>0.80306645350643158</v>
      </c>
      <c r="F946" s="3">
        <f t="shared" ca="1" si="168"/>
        <v>0.60317364178284694</v>
      </c>
      <c r="G946" s="36">
        <f t="shared" ca="1" si="160"/>
        <v>57463.156109969546</v>
      </c>
      <c r="H946" s="37">
        <f t="shared" ca="1" si="161"/>
        <v>0.21396836597407534</v>
      </c>
      <c r="I946" s="37">
        <f t="shared" ca="1" si="162"/>
        <v>0.10760783991171072</v>
      </c>
      <c r="J946" s="38">
        <f t="shared" ca="1" si="163"/>
        <v>3.7448233702189374E-2</v>
      </c>
      <c r="K946" s="36">
        <f t="shared" ca="1" si="164"/>
        <v>1663.6921716995037</v>
      </c>
      <c r="L946" s="36">
        <f ca="1">Assumptions!$C$10*Assumptions!$C$13*I946*Assumptions!$C$15</f>
        <v>7463.0175741844905</v>
      </c>
      <c r="M946" s="36">
        <f ca="1">G946*(1+H946*Assumptions!$C$6)*(1+J946)+L946+K946</f>
        <v>71292.906514154354</v>
      </c>
    </row>
    <row r="947" spans="1:13" x14ac:dyDescent="0.25">
      <c r="A947" s="3">
        <v>934</v>
      </c>
      <c r="B947" s="3">
        <f t="shared" ca="1" si="168"/>
        <v>5.7188472253229206E-2</v>
      </c>
      <c r="C947" s="3">
        <f t="shared" ca="1" si="168"/>
        <v>0.20851628508023101</v>
      </c>
      <c r="D947" s="3">
        <f t="shared" ca="1" si="168"/>
        <v>0.82220989109343467</v>
      </c>
      <c r="E947" s="3">
        <f t="shared" ca="1" si="168"/>
        <v>0.19624027237248431</v>
      </c>
      <c r="F947" s="3">
        <f t="shared" ca="1" si="168"/>
        <v>2.087862809911234E-2</v>
      </c>
      <c r="G947" s="36">
        <f t="shared" ca="1" si="160"/>
        <v>57354.638385470746</v>
      </c>
      <c r="H947" s="37">
        <f t="shared" ca="1" si="161"/>
        <v>0.10266181340940581</v>
      </c>
      <c r="I947" s="37">
        <f t="shared" ca="1" si="162"/>
        <v>9.6147781057079634E-2</v>
      </c>
      <c r="J947" s="38">
        <f t="shared" ca="1" si="163"/>
        <v>2.2529653542615911E-2</v>
      </c>
      <c r="K947" s="36">
        <f t="shared" ca="1" si="164"/>
        <v>306.51888432200315</v>
      </c>
      <c r="L947" s="36">
        <f ca="1">Assumptions!$C$10*Assumptions!$C$13*I947*Assumptions!$C$15</f>
        <v>6668.2184154663837</v>
      </c>
      <c r="M947" s="36">
        <f ca="1">G947*(1+H947*Assumptions!$C$6)*(1+J947)+L947+K947</f>
        <v>66825.713565082653</v>
      </c>
    </row>
    <row r="948" spans="1:13" x14ac:dyDescent="0.25">
      <c r="A948" s="3">
        <v>935</v>
      </c>
      <c r="B948" s="3">
        <f t="shared" ca="1" si="168"/>
        <v>0.51817804908778886</v>
      </c>
      <c r="C948" s="3">
        <f t="shared" ca="1" si="168"/>
        <v>0.89774107178536644</v>
      </c>
      <c r="D948" s="3">
        <f t="shared" ca="1" si="168"/>
        <v>0.68704348368692569</v>
      </c>
      <c r="E948" s="3">
        <f t="shared" ca="1" si="168"/>
        <v>0.87049324212670609</v>
      </c>
      <c r="F948" s="3">
        <f t="shared" ca="1" si="168"/>
        <v>0.29272454266253423</v>
      </c>
      <c r="G948" s="36">
        <f t="shared" ca="1" si="160"/>
        <v>57875.035813066614</v>
      </c>
      <c r="H948" s="37">
        <f t="shared" ca="1" si="161"/>
        <v>0.19171435447989077</v>
      </c>
      <c r="I948" s="37">
        <f t="shared" ca="1" si="162"/>
        <v>8.8354133726474826E-2</v>
      </c>
      <c r="J948" s="38">
        <f t="shared" ca="1" si="163"/>
        <v>3.9821325906649968E-2</v>
      </c>
      <c r="K948" s="36">
        <f t="shared" ca="1" si="164"/>
        <v>1147.7196704689713</v>
      </c>
      <c r="L948" s="36">
        <f ca="1">Assumptions!$C$10*Assumptions!$C$13*I948*Assumptions!$C$15</f>
        <v>6127.6989975222841</v>
      </c>
      <c r="M948" s="36">
        <f ca="1">G948*(1+H948*Assumptions!$C$6)*(1+J948)+L948+K948</f>
        <v>69762.577476568898</v>
      </c>
    </row>
    <row r="949" spans="1:13" x14ac:dyDescent="0.25">
      <c r="A949" s="3">
        <v>936</v>
      </c>
      <c r="B949" s="3">
        <f t="shared" ca="1" si="168"/>
        <v>0.5249620014532218</v>
      </c>
      <c r="C949" s="3">
        <f t="shared" ca="1" si="168"/>
        <v>0.76958368387661602</v>
      </c>
      <c r="D949" s="3">
        <f t="shared" ca="1" si="168"/>
        <v>0.79149381897543014</v>
      </c>
      <c r="E949" s="3">
        <f t="shared" ca="1" si="168"/>
        <v>0.19893704787471034</v>
      </c>
      <c r="F949" s="3">
        <f t="shared" ca="1" si="168"/>
        <v>0.16696523718100453</v>
      </c>
      <c r="G949" s="36">
        <f t="shared" ca="1" si="160"/>
        <v>57881.213086232681</v>
      </c>
      <c r="H949" s="37">
        <f t="shared" ca="1" si="161"/>
        <v>0.16751902313287192</v>
      </c>
      <c r="I949" s="37">
        <f t="shared" ca="1" si="162"/>
        <v>9.4169402266331054E-2</v>
      </c>
      <c r="J949" s="38">
        <f t="shared" ca="1" si="163"/>
        <v>2.2615452362074386E-2</v>
      </c>
      <c r="K949" s="36">
        <f t="shared" ca="1" si="164"/>
        <v>866.80076564024807</v>
      </c>
      <c r="L949" s="36">
        <f ca="1">Assumptions!$C$10*Assumptions!$C$13*I949*Assumptions!$C$15</f>
        <v>6531.0102371787743</v>
      </c>
      <c r="M949" s="36">
        <f ca="1">G949*(1+H949*Assumptions!$C$6)*(1+J949)+L949+K949</f>
        <v>68571.131570222831</v>
      </c>
    </row>
    <row r="950" spans="1:13" x14ac:dyDescent="0.25">
      <c r="A950" s="3">
        <v>937</v>
      </c>
      <c r="B950" s="3">
        <f t="shared" ca="1" si="168"/>
        <v>0.70871746117547985</v>
      </c>
      <c r="C950" s="3">
        <f t="shared" ca="1" si="168"/>
        <v>0.1115937493271405</v>
      </c>
      <c r="D950" s="3">
        <f t="shared" ca="1" si="168"/>
        <v>0.1600193435113817</v>
      </c>
      <c r="E950" s="3">
        <f t="shared" ca="1" si="168"/>
        <v>0.42772618565476928</v>
      </c>
      <c r="F950" s="3">
        <f t="shared" ca="1" si="168"/>
        <v>0.47878520648497092</v>
      </c>
      <c r="G950" s="36">
        <f t="shared" ca="1" si="160"/>
        <v>58069.561283278192</v>
      </c>
      <c r="H950" s="37">
        <f t="shared" ca="1" si="161"/>
        <v>8.8525275677806242E-2</v>
      </c>
      <c r="I950" s="37">
        <f t="shared" ca="1" si="162"/>
        <v>6.2628784749438518E-2</v>
      </c>
      <c r="J950" s="38">
        <f t="shared" ca="1" si="163"/>
        <v>2.8498133649744656E-2</v>
      </c>
      <c r="K950" s="36">
        <f t="shared" ca="1" si="164"/>
        <v>1467.8329023367644</v>
      </c>
      <c r="L950" s="36">
        <f ca="1">Assumptions!$C$10*Assumptions!$C$13*I950*Assumptions!$C$15</f>
        <v>4343.5471023149048</v>
      </c>
      <c r="M950" s="36">
        <f ca="1">G950*(1+H950*Assumptions!$C$6)*(1+J950)+L950+K950</f>
        <v>66593.239828090344</v>
      </c>
    </row>
    <row r="951" spans="1:13" x14ac:dyDescent="0.25">
      <c r="A951" s="3">
        <v>938</v>
      </c>
      <c r="B951" s="3">
        <f t="shared" ca="1" si="168"/>
        <v>0.50212479055133485</v>
      </c>
      <c r="C951" s="3">
        <f t="shared" ca="1" si="168"/>
        <v>7.8587411724088119E-3</v>
      </c>
      <c r="D951" s="3">
        <f t="shared" ca="1" si="168"/>
        <v>0.1871681126324376</v>
      </c>
      <c r="E951" s="3">
        <f t="shared" ca="1" si="168"/>
        <v>5.3739511966139131E-2</v>
      </c>
      <c r="F951" s="3">
        <f t="shared" ca="1" si="168"/>
        <v>0.36145025252145946</v>
      </c>
      <c r="G951" s="36">
        <f t="shared" ca="1" si="160"/>
        <v>57860.589157136208</v>
      </c>
      <c r="H951" s="37">
        <f t="shared" ca="1" si="161"/>
        <v>6.0223563840121369E-2</v>
      </c>
      <c r="I951" s="37">
        <f t="shared" ca="1" si="162"/>
        <v>6.4473209034039664E-2</v>
      </c>
      <c r="J951" s="38">
        <f t="shared" ca="1" si="163"/>
        <v>1.6556798729022517E-2</v>
      </c>
      <c r="K951" s="36">
        <f t="shared" ca="1" si="164"/>
        <v>1275.3533378427203</v>
      </c>
      <c r="L951" s="36">
        <f ca="1">Assumptions!$C$10*Assumptions!$C$13*I951*Assumptions!$C$15</f>
        <v>4471.4650203915498</v>
      </c>
      <c r="M951" s="36">
        <f ca="1">G951*(1+H951*Assumptions!$C$6)*(1+J951)+L951+K951</f>
        <v>65273.846489133983</v>
      </c>
    </row>
    <row r="952" spans="1:13" x14ac:dyDescent="0.25">
      <c r="A952" s="3">
        <v>939</v>
      </c>
      <c r="B952" s="3">
        <f t="shared" ca="1" si="168"/>
        <v>9.7650490326828931E-2</v>
      </c>
      <c r="C952" s="3">
        <f t="shared" ca="1" si="168"/>
        <v>0.75574763350870455</v>
      </c>
      <c r="D952" s="3">
        <f t="shared" ca="1" si="168"/>
        <v>0.97305928669249231</v>
      </c>
      <c r="E952" s="3">
        <f t="shared" ca="1" si="168"/>
        <v>0.34779642651857012</v>
      </c>
      <c r="F952" s="3">
        <f t="shared" ca="1" si="168"/>
        <v>0.5456661148553491</v>
      </c>
      <c r="G952" s="36">
        <f t="shared" ca="1" si="160"/>
        <v>57432.741399358471</v>
      </c>
      <c r="H952" s="37">
        <f t="shared" ca="1" si="161"/>
        <v>0.16537457567288788</v>
      </c>
      <c r="I952" s="37">
        <f t="shared" ca="1" si="162"/>
        <v>0.11071505074951808</v>
      </c>
      <c r="J952" s="38">
        <f t="shared" ca="1" si="163"/>
        <v>2.6680441877086354E-2</v>
      </c>
      <c r="K952" s="36">
        <f t="shared" ca="1" si="164"/>
        <v>1570.1389986607337</v>
      </c>
      <c r="L952" s="36">
        <f ca="1">Assumptions!$C$10*Assumptions!$C$13*I952*Assumptions!$C$15</f>
        <v>7678.5145965973452</v>
      </c>
      <c r="M952" s="36">
        <f ca="1">G952*(1+H952*Assumptions!$C$6)*(1+J952)+L952+K952</f>
        <v>70163.990676189438</v>
      </c>
    </row>
    <row r="953" spans="1:13" x14ac:dyDescent="0.25">
      <c r="A953" s="3">
        <v>940</v>
      </c>
      <c r="B953" s="3">
        <f t="shared" ca="1" si="168"/>
        <v>0.47889621349784461</v>
      </c>
      <c r="C953" s="3">
        <f t="shared" ca="1" si="168"/>
        <v>0.72558652033920512</v>
      </c>
      <c r="D953" s="3">
        <f t="shared" ca="1" si="168"/>
        <v>0.73850203509274481</v>
      </c>
      <c r="E953" s="3">
        <f t="shared" ca="1" si="168"/>
        <v>0.53164307080187179</v>
      </c>
      <c r="F953" s="3">
        <f t="shared" ca="1" si="168"/>
        <v>0.3950376274060694</v>
      </c>
      <c r="G953" s="36">
        <f t="shared" ca="1" si="160"/>
        <v>57840.091525555908</v>
      </c>
      <c r="H953" s="37">
        <f t="shared" ca="1" si="161"/>
        <v>0.16090115464644172</v>
      </c>
      <c r="I953" s="37">
        <f t="shared" ca="1" si="162"/>
        <v>9.1072616991797944E-2</v>
      </c>
      <c r="J953" s="38">
        <f t="shared" ca="1" si="163"/>
        <v>3.064320420734613E-2</v>
      </c>
      <c r="K953" s="36">
        <f t="shared" ca="1" si="164"/>
        <v>1333.2926622941088</v>
      </c>
      <c r="L953" s="36">
        <f ca="1">Assumptions!$C$10*Assumptions!$C$13*I953*Assumptions!$C$15</f>
        <v>6316.2362676773091</v>
      </c>
      <c r="M953" s="36">
        <f ca="1">G953*(1+H953*Assumptions!$C$6)*(1+J953)+L953+K953</f>
        <v>69180.370119664629</v>
      </c>
    </row>
    <row r="954" spans="1:13" x14ac:dyDescent="0.25">
      <c r="A954" s="3">
        <v>941</v>
      </c>
      <c r="B954" s="3">
        <f t="shared" ref="B954:F963" ca="1" si="169">RAND()</f>
        <v>0.14558882330783462</v>
      </c>
      <c r="C954" s="3">
        <f t="shared" ca="1" si="169"/>
        <v>0.93001879745395044</v>
      </c>
      <c r="D954" s="3">
        <f t="shared" ca="1" si="169"/>
        <v>0.4228135715893625</v>
      </c>
      <c r="E954" s="3">
        <f t="shared" ca="1" si="169"/>
        <v>0.26945124538288401</v>
      </c>
      <c r="F954" s="3">
        <f t="shared" ca="1" si="169"/>
        <v>7.7967564998186467E-2</v>
      </c>
      <c r="G954" s="36">
        <f t="shared" ca="1" si="160"/>
        <v>57506.287669961908</v>
      </c>
      <c r="H954" s="37">
        <f t="shared" ca="1" si="161"/>
        <v>0.20005539563282757</v>
      </c>
      <c r="I954" s="37">
        <f t="shared" ca="1" si="162"/>
        <v>7.6783194927656284E-2</v>
      </c>
      <c r="J954" s="38">
        <f t="shared" ca="1" si="163"/>
        <v>2.4681995651351596E-2</v>
      </c>
      <c r="K954" s="36">
        <f t="shared" ca="1" si="164"/>
        <v>592.32933617358435</v>
      </c>
      <c r="L954" s="36">
        <f ca="1">Assumptions!$C$10*Assumptions!$C$13*I954*Assumptions!$C$15</f>
        <v>5325.2098882134533</v>
      </c>
      <c r="M954" s="36">
        <f ca="1">G954*(1+H954*Assumptions!$C$6)*(1+J954)+L954+K954</f>
        <v>67200.875985849256</v>
      </c>
    </row>
    <row r="955" spans="1:13" x14ac:dyDescent="0.25">
      <c r="A955" s="3">
        <v>942</v>
      </c>
      <c r="B955" s="3">
        <f t="shared" ca="1" si="169"/>
        <v>0.58387315379850169</v>
      </c>
      <c r="C955" s="3">
        <f t="shared" ca="1" si="169"/>
        <v>0.8211541688489169</v>
      </c>
      <c r="D955" s="3">
        <f t="shared" ca="1" si="169"/>
        <v>0.64295985806928235</v>
      </c>
      <c r="E955" s="3">
        <f t="shared" ca="1" si="169"/>
        <v>0.59527585063271349</v>
      </c>
      <c r="F955" s="3">
        <f t="shared" ca="1" si="169"/>
        <v>0.42677761225176158</v>
      </c>
      <c r="G955" s="36">
        <f t="shared" ca="1" si="160"/>
        <v>57936.828041649962</v>
      </c>
      <c r="H955" s="37">
        <f t="shared" ca="1" si="161"/>
        <v>0.1761432466355774</v>
      </c>
      <c r="I955" s="37">
        <f t="shared" ca="1" si="162"/>
        <v>8.6198691531564994E-2</v>
      </c>
      <c r="J955" s="38">
        <f t="shared" ca="1" si="163"/>
        <v>3.2006131058223496E-2</v>
      </c>
      <c r="K955" s="36">
        <f t="shared" ca="1" si="164"/>
        <v>1385.8207875237429</v>
      </c>
      <c r="L955" s="36">
        <f ca="1">Assumptions!$C$10*Assumptions!$C$13*I955*Assumptions!$C$15</f>
        <v>5978.2107911429994</v>
      </c>
      <c r="M955" s="36">
        <f ca="1">G955*(1+H955*Assumptions!$C$6)*(1+J955)+L955+K955</f>
        <v>69261.555201974508</v>
      </c>
    </row>
    <row r="956" spans="1:13" x14ac:dyDescent="0.25">
      <c r="A956" s="3">
        <v>943</v>
      </c>
      <c r="B956" s="3">
        <f t="shared" ca="1" si="169"/>
        <v>0.1552033922711471</v>
      </c>
      <c r="C956" s="3">
        <f t="shared" ca="1" si="169"/>
        <v>0.37292384640699561</v>
      </c>
      <c r="D956" s="3">
        <f t="shared" ca="1" si="169"/>
        <v>0.61059642284515159</v>
      </c>
      <c r="E956" s="3">
        <f t="shared" ca="1" si="169"/>
        <v>3.8924471403251726E-2</v>
      </c>
      <c r="F956" s="3">
        <f t="shared" ca="1" si="169"/>
        <v>0.65558869312739576</v>
      </c>
      <c r="G956" s="36">
        <f t="shared" ca="1" si="160"/>
        <v>57519.488664026241</v>
      </c>
      <c r="H956" s="37">
        <f t="shared" ca="1" si="161"/>
        <v>0.12042853056886646</v>
      </c>
      <c r="I956" s="37">
        <f t="shared" ca="1" si="162"/>
        <v>8.4699979505735198E-2</v>
      </c>
      <c r="J956" s="38">
        <f t="shared" ca="1" si="163"/>
        <v>1.5580284681143192E-2</v>
      </c>
      <c r="K956" s="36">
        <f t="shared" ca="1" si="164"/>
        <v>1755.0699293025655</v>
      </c>
      <c r="L956" s="36">
        <f ca="1">Assumptions!$C$10*Assumptions!$C$13*I956*Assumptions!$C$15</f>
        <v>5874.2693478746805</v>
      </c>
      <c r="M956" s="36">
        <f ca="1">G956*(1+H956*Assumptions!$C$6)*(1+J956)+L956+K956</f>
        <v>67451.980336522116</v>
      </c>
    </row>
    <row r="957" spans="1:13" x14ac:dyDescent="0.25">
      <c r="A957" s="3">
        <v>944</v>
      </c>
      <c r="B957" s="3">
        <f t="shared" ca="1" si="169"/>
        <v>6.6409784573913E-2</v>
      </c>
      <c r="C957" s="3">
        <f t="shared" ca="1" si="169"/>
        <v>0.43314604111231014</v>
      </c>
      <c r="D957" s="3">
        <f t="shared" ca="1" si="169"/>
        <v>0.29510244836543364</v>
      </c>
      <c r="E957" s="3">
        <f t="shared" ca="1" si="169"/>
        <v>0.15506925280230677</v>
      </c>
      <c r="F957" s="3">
        <f t="shared" ca="1" si="169"/>
        <v>0.3263149668491937</v>
      </c>
      <c r="G957" s="36">
        <f t="shared" ca="1" si="160"/>
        <v>57374.400981386992</v>
      </c>
      <c r="H957" s="37">
        <f t="shared" ca="1" si="161"/>
        <v>0.12631503941752309</v>
      </c>
      <c r="I957" s="37">
        <f t="shared" ca="1" si="162"/>
        <v>7.0729917584812813E-2</v>
      </c>
      <c r="J957" s="38">
        <f t="shared" ca="1" si="163"/>
        <v>2.1138016081953079E-2</v>
      </c>
      <c r="K957" s="36">
        <f t="shared" ca="1" si="164"/>
        <v>1211.7827160103298</v>
      </c>
      <c r="L957" s="36">
        <f ca="1">Assumptions!$C$10*Assumptions!$C$13*I957*Assumptions!$C$15</f>
        <v>4905.3918226513242</v>
      </c>
      <c r="M957" s="36">
        <f ca="1">G957*(1+H957*Assumptions!$C$6)*(1+J957)+L957+K957</f>
        <v>66184.444971222445</v>
      </c>
    </row>
    <row r="958" spans="1:13" x14ac:dyDescent="0.25">
      <c r="A958" s="3">
        <v>945</v>
      </c>
      <c r="B958" s="3">
        <f t="shared" ca="1" si="169"/>
        <v>3.5983568514445063E-2</v>
      </c>
      <c r="C958" s="3">
        <f t="shared" ca="1" si="169"/>
        <v>0.61999013159423855</v>
      </c>
      <c r="D958" s="3">
        <f t="shared" ca="1" si="169"/>
        <v>0.29723828632604676</v>
      </c>
      <c r="E958" s="3">
        <f t="shared" ca="1" si="169"/>
        <v>0.38405969695336939</v>
      </c>
      <c r="F958" s="3">
        <f t="shared" ca="1" si="169"/>
        <v>0.49314575023401819</v>
      </c>
      <c r="G958" s="36">
        <f t="shared" ca="1" si="160"/>
        <v>57301.986219049744</v>
      </c>
      <c r="H958" s="37">
        <f t="shared" ca="1" si="161"/>
        <v>0.14691818115415145</v>
      </c>
      <c r="I958" s="37">
        <f t="shared" ca="1" si="162"/>
        <v>7.0840922752786584E-2</v>
      </c>
      <c r="J958" s="38">
        <f t="shared" ca="1" si="163"/>
        <v>2.7528484177552132E-2</v>
      </c>
      <c r="K958" s="36">
        <f t="shared" ca="1" si="164"/>
        <v>1489.6831461935394</v>
      </c>
      <c r="L958" s="36">
        <f ca="1">Assumptions!$C$10*Assumptions!$C$13*I958*Assumptions!$C$15</f>
        <v>4913.0904579932594</v>
      </c>
      <c r="M958" s="36">
        <f ca="1">G958*(1+H958*Assumptions!$C$6)*(1+J958)+L958+K958</f>
        <v>67012.28819229918</v>
      </c>
    </row>
    <row r="959" spans="1:13" x14ac:dyDescent="0.25">
      <c r="A959" s="3">
        <v>946</v>
      </c>
      <c r="B959" s="3">
        <f t="shared" ca="1" si="169"/>
        <v>0.88770530168043671</v>
      </c>
      <c r="C959" s="3">
        <f t="shared" ca="1" si="169"/>
        <v>2.7533375689980599E-2</v>
      </c>
      <c r="D959" s="3">
        <f t="shared" ca="1" si="169"/>
        <v>0.78299994349074853</v>
      </c>
      <c r="E959" s="3">
        <f t="shared" ca="1" si="169"/>
        <v>0.55090168128130068</v>
      </c>
      <c r="F959" s="3">
        <f t="shared" ca="1" si="169"/>
        <v>0.12438958987743087</v>
      </c>
      <c r="G959" s="36">
        <f t="shared" ca="1" si="160"/>
        <v>58327.28849253396</v>
      </c>
      <c r="H959" s="37">
        <f t="shared" ca="1" si="161"/>
        <v>6.9136193369548238E-2</v>
      </c>
      <c r="I959" s="37">
        <f t="shared" ca="1" si="162"/>
        <v>9.3648526021688938E-2</v>
      </c>
      <c r="J959" s="38">
        <f t="shared" ca="1" si="163"/>
        <v>3.1045352681335393E-2</v>
      </c>
      <c r="K959" s="36">
        <f t="shared" ca="1" si="164"/>
        <v>748.16652855393022</v>
      </c>
      <c r="L959" s="36">
        <f ca="1">Assumptions!$C$10*Assumptions!$C$13*I959*Assumptions!$C$15</f>
        <v>6494.885466242672</v>
      </c>
      <c r="M959" s="36">
        <f ca="1">G959*(1+H959*Assumptions!$C$6)*(1+J959)+L959+K959</f>
        <v>68212.675311410014</v>
      </c>
    </row>
    <row r="960" spans="1:13" x14ac:dyDescent="0.25">
      <c r="A960" s="3">
        <v>947</v>
      </c>
      <c r="B960" s="3">
        <f t="shared" ca="1" si="169"/>
        <v>0.61793743243009325</v>
      </c>
      <c r="C960" s="3">
        <f t="shared" ca="1" si="169"/>
        <v>0.54534065076222871</v>
      </c>
      <c r="D960" s="3">
        <f t="shared" ca="1" si="169"/>
        <v>0.79774647041136415</v>
      </c>
      <c r="E960" s="3">
        <f t="shared" ca="1" si="169"/>
        <v>0.1213932676499192</v>
      </c>
      <c r="F960" s="3">
        <f t="shared" ca="1" si="169"/>
        <v>0.50793344819742148</v>
      </c>
      <c r="G960" s="36">
        <f t="shared" ca="1" si="160"/>
        <v>57970.796875099775</v>
      </c>
      <c r="H960" s="37">
        <f t="shared" ca="1" si="161"/>
        <v>0.13818529986970846</v>
      </c>
      <c r="I960" s="37">
        <f t="shared" ca="1" si="162"/>
        <v>9.4559652229506866E-2</v>
      </c>
      <c r="J960" s="38">
        <f t="shared" ca="1" si="163"/>
        <v>1.9854674734355031E-2</v>
      </c>
      <c r="K960" s="36">
        <f t="shared" ca="1" si="164"/>
        <v>1511.9477552479539</v>
      </c>
      <c r="L960" s="36">
        <f ca="1">Assumptions!$C$10*Assumptions!$C$13*I960*Assumptions!$C$15</f>
        <v>6558.0755730864139</v>
      </c>
      <c r="M960" s="36">
        <f ca="1">G960*(1+H960*Assumptions!$C$6)*(1+J960)+L960+K960</f>
        <v>68825.763925485997</v>
      </c>
    </row>
    <row r="961" spans="1:13" x14ac:dyDescent="0.25">
      <c r="A961" s="3">
        <v>948</v>
      </c>
      <c r="B961" s="3">
        <f t="shared" ca="1" si="169"/>
        <v>0.40504164976215107</v>
      </c>
      <c r="C961" s="3">
        <f t="shared" ca="1" si="169"/>
        <v>0.86227842319666836</v>
      </c>
      <c r="D961" s="3">
        <f t="shared" ca="1" si="169"/>
        <v>0.48712957963086789</v>
      </c>
      <c r="E961" s="3">
        <f t="shared" ca="1" si="169"/>
        <v>0.82639491392470299</v>
      </c>
      <c r="F961" s="3">
        <f t="shared" ca="1" si="169"/>
        <v>0.91317205386123323</v>
      </c>
      <c r="G961" s="36">
        <f t="shared" ca="1" si="160"/>
        <v>57777.671881944123</v>
      </c>
      <c r="H961" s="37">
        <f t="shared" ca="1" si="161"/>
        <v>0.18396383354371962</v>
      </c>
      <c r="I961" s="37">
        <f t="shared" ca="1" si="162"/>
        <v>7.948182689312612E-2</v>
      </c>
      <c r="J961" s="38">
        <f t="shared" ca="1" si="163"/>
        <v>3.8215091478495153E-2</v>
      </c>
      <c r="K961" s="36">
        <f t="shared" ca="1" si="164"/>
        <v>2374.9193990976441</v>
      </c>
      <c r="L961" s="36">
        <f ca="1">Assumptions!$C$10*Assumptions!$C$13*I961*Assumptions!$C$15</f>
        <v>5512.3703943724995</v>
      </c>
      <c r="M961" s="36">
        <f ca="1">G961*(1+H961*Assumptions!$C$6)*(1+J961)+L961+K961</f>
        <v>70079.978751171555</v>
      </c>
    </row>
    <row r="962" spans="1:13" x14ac:dyDescent="0.25">
      <c r="A962" s="3">
        <v>949</v>
      </c>
      <c r="B962" s="3">
        <f t="shared" ca="1" si="169"/>
        <v>0.31611022669365207</v>
      </c>
      <c r="C962" s="3">
        <f t="shared" ca="1" si="169"/>
        <v>0.73172381574624312</v>
      </c>
      <c r="D962" s="3">
        <f t="shared" ca="1" si="169"/>
        <v>0.40276577376604605</v>
      </c>
      <c r="E962" s="3">
        <f t="shared" ca="1" si="169"/>
        <v>0.53625604186981879</v>
      </c>
      <c r="F962" s="3">
        <f t="shared" ca="1" si="169"/>
        <v>0.37141314187330077</v>
      </c>
      <c r="G962" s="36">
        <f t="shared" ca="1" si="160"/>
        <v>57698.671932566765</v>
      </c>
      <c r="H962" s="37">
        <f t="shared" ca="1" si="161"/>
        <v>0.16179068469174751</v>
      </c>
      <c r="I962" s="37">
        <f t="shared" ca="1" si="162"/>
        <v>7.5900563728879628E-2</v>
      </c>
      <c r="J962" s="38">
        <f t="shared" ca="1" si="163"/>
        <v>3.0738765187451118E-2</v>
      </c>
      <c r="K962" s="36">
        <f t="shared" ca="1" si="164"/>
        <v>1292.810557827346</v>
      </c>
      <c r="L962" s="36">
        <f ca="1">Assumptions!$C$10*Assumptions!$C$13*I962*Assumptions!$C$15</f>
        <v>5263.9960198429117</v>
      </c>
      <c r="M962" s="36">
        <f ca="1">G962*(1+H962*Assumptions!$C$6)*(1+J962)+L962+K962</f>
        <v>67953.475902290287</v>
      </c>
    </row>
    <row r="963" spans="1:13" x14ac:dyDescent="0.25">
      <c r="A963" s="3">
        <v>950</v>
      </c>
      <c r="B963" s="3">
        <f t="shared" ca="1" si="169"/>
        <v>3.4191908304150087E-2</v>
      </c>
      <c r="C963" s="3">
        <f t="shared" ca="1" si="169"/>
        <v>0.71975841509501293</v>
      </c>
      <c r="D963" s="3">
        <f t="shared" ca="1" si="169"/>
        <v>0.29098280519497888</v>
      </c>
      <c r="E963" s="3">
        <f t="shared" ca="1" si="169"/>
        <v>0.23502724918946627</v>
      </c>
      <c r="F963" s="3">
        <f t="shared" ca="1" si="169"/>
        <v>0.14787307036136921</v>
      </c>
      <c r="G963" s="36">
        <f t="shared" ca="1" si="160"/>
        <v>57296.89346169756</v>
      </c>
      <c r="H963" s="37">
        <f t="shared" ca="1" si="161"/>
        <v>0.16006560104789863</v>
      </c>
      <c r="I963" s="37">
        <f t="shared" ca="1" si="162"/>
        <v>7.051466822077429E-2</v>
      </c>
      <c r="J963" s="38">
        <f t="shared" ca="1" si="163"/>
        <v>2.3712104118317257E-2</v>
      </c>
      <c r="K963" s="36">
        <f t="shared" ca="1" si="164"/>
        <v>815.73820348575157</v>
      </c>
      <c r="L963" s="36">
        <f ca="1">Assumptions!$C$10*Assumptions!$C$13*I963*Assumptions!$C$15</f>
        <v>4890.4634513730844</v>
      </c>
      <c r="M963" s="36">
        <f ca="1">G963*(1+H963*Assumptions!$C$6)*(1+J963)+L963+K963</f>
        <v>66239.471340419623</v>
      </c>
    </row>
    <row r="964" spans="1:13" x14ac:dyDescent="0.25">
      <c r="A964" s="3">
        <v>951</v>
      </c>
      <c r="B964" s="3">
        <f t="shared" ref="B964:F973" ca="1" si="170">RAND()</f>
        <v>0.35416097379659506</v>
      </c>
      <c r="C964" s="3">
        <f t="shared" ca="1" si="170"/>
        <v>0.94145606686831396</v>
      </c>
      <c r="D964" s="3">
        <f t="shared" ca="1" si="170"/>
        <v>0.17400220884182327</v>
      </c>
      <c r="E964" s="3">
        <f t="shared" ca="1" si="170"/>
        <v>0.83596594536804769</v>
      </c>
      <c r="F964" s="3">
        <f t="shared" ca="1" si="170"/>
        <v>0.25909348067045335</v>
      </c>
      <c r="G964" s="36">
        <f t="shared" ca="1" si="160"/>
        <v>57733.679964733521</v>
      </c>
      <c r="H964" s="37">
        <f t="shared" ca="1" si="161"/>
        <v>0.2034650622636025</v>
      </c>
      <c r="I964" s="37">
        <f t="shared" ca="1" si="162"/>
        <v>6.3596759699031447E-2</v>
      </c>
      <c r="J964" s="38">
        <f t="shared" ca="1" si="163"/>
        <v>3.8544553971775614E-2</v>
      </c>
      <c r="K964" s="36">
        <f t="shared" ca="1" si="164"/>
        <v>1079.7780619261721</v>
      </c>
      <c r="L964" s="36">
        <f ca="1">Assumptions!$C$10*Assumptions!$C$13*I964*Assumptions!$C$15</f>
        <v>4410.679888049749</v>
      </c>
      <c r="M964" s="36">
        <f ca="1">G964*(1+H964*Assumptions!$C$6)*(1+J964)+L964+K964</f>
        <v>67889.369147320263</v>
      </c>
    </row>
    <row r="965" spans="1:13" x14ac:dyDescent="0.25">
      <c r="A965" s="3">
        <v>952</v>
      </c>
      <c r="B965" s="3">
        <f t="shared" ca="1" si="170"/>
        <v>0.20113527460789693</v>
      </c>
      <c r="C965" s="3">
        <f t="shared" ca="1" si="170"/>
        <v>0.51063847892822589</v>
      </c>
      <c r="D965" s="3">
        <f t="shared" ca="1" si="170"/>
        <v>0.31596294872177688</v>
      </c>
      <c r="E965" s="3">
        <f t="shared" ca="1" si="170"/>
        <v>0.91895282030784597</v>
      </c>
      <c r="F965" s="3">
        <f t="shared" ca="1" si="170"/>
        <v>0.56295642375496879</v>
      </c>
      <c r="G965" s="36">
        <f t="shared" ca="1" si="160"/>
        <v>57577.544388275754</v>
      </c>
      <c r="H965" s="37">
        <f t="shared" ca="1" si="161"/>
        <v>0.13437120335610914</v>
      </c>
      <c r="I965" s="37">
        <f t="shared" ca="1" si="162"/>
        <v>7.1797506756185875E-2</v>
      </c>
      <c r="J965" s="38">
        <f t="shared" ca="1" si="163"/>
        <v>4.1947811244529648E-2</v>
      </c>
      <c r="K965" s="36">
        <f t="shared" ca="1" si="164"/>
        <v>1597.6105772280509</v>
      </c>
      <c r="L965" s="36">
        <f ca="1">Assumptions!$C$10*Assumptions!$C$13*I965*Assumptions!$C$15</f>
        <v>4979.4332377982446</v>
      </c>
      <c r="M965" s="36">
        <f ca="1">G965*(1+H965*Assumptions!$C$6)*(1+J965)+L965+K965</f>
        <v>68182.101014933563</v>
      </c>
    </row>
    <row r="966" spans="1:13" x14ac:dyDescent="0.25">
      <c r="A966" s="3">
        <v>953</v>
      </c>
      <c r="B966" s="3">
        <f t="shared" ca="1" si="170"/>
        <v>0.89569008614813661</v>
      </c>
      <c r="C966" s="3">
        <f t="shared" ca="1" si="170"/>
        <v>0.65722879589565619</v>
      </c>
      <c r="D966" s="3">
        <f t="shared" ca="1" si="170"/>
        <v>0.37385379400232288</v>
      </c>
      <c r="E966" s="3">
        <f t="shared" ca="1" si="170"/>
        <v>0.25769975511944476</v>
      </c>
      <c r="F966" s="3">
        <f t="shared" ca="1" si="170"/>
        <v>0.33218763598380852</v>
      </c>
      <c r="G966" s="36">
        <f t="shared" ca="1" si="160"/>
        <v>58342.572548986282</v>
      </c>
      <c r="H966" s="37">
        <f t="shared" ca="1" si="161"/>
        <v>0.15159647374918217</v>
      </c>
      <c r="I966" s="37">
        <f t="shared" ca="1" si="162"/>
        <v>7.4588034647944848E-2</v>
      </c>
      <c r="J966" s="38">
        <f t="shared" ca="1" si="163"/>
        <v>2.4358266054630547E-2</v>
      </c>
      <c r="K966" s="36">
        <f t="shared" ca="1" si="164"/>
        <v>1222.6382792662507</v>
      </c>
      <c r="L966" s="36">
        <f ca="1">Assumptions!$C$10*Assumptions!$C$13*I966*Assumptions!$C$15</f>
        <v>5172.967079891313</v>
      </c>
      <c r="M966" s="36">
        <f ca="1">G966*(1+H966*Assumptions!$C$6)*(1+J966)+L966+K966</f>
        <v>67971.294940715437</v>
      </c>
    </row>
    <row r="967" spans="1:13" x14ac:dyDescent="0.25">
      <c r="A967" s="3">
        <v>954</v>
      </c>
      <c r="B967" s="3">
        <f t="shared" ca="1" si="170"/>
        <v>0.8040213456473867</v>
      </c>
      <c r="C967" s="3">
        <f t="shared" ca="1" si="170"/>
        <v>0.81175675245979517</v>
      </c>
      <c r="D967" s="3">
        <f t="shared" ca="1" si="170"/>
        <v>0.17108569659785122</v>
      </c>
      <c r="E967" s="3">
        <f t="shared" ca="1" si="170"/>
        <v>0.47631470582423741</v>
      </c>
      <c r="F967" s="3">
        <f t="shared" ca="1" si="170"/>
        <v>0.24328490538148706</v>
      </c>
      <c r="G967" s="36">
        <f t="shared" ca="1" si="160"/>
        <v>58191.761618273413</v>
      </c>
      <c r="H967" s="37">
        <f t="shared" ca="1" si="161"/>
        <v>0.17448705437917883</v>
      </c>
      <c r="I967" s="37">
        <f t="shared" ca="1" si="162"/>
        <v>6.339816721696645E-2</v>
      </c>
      <c r="J967" s="38">
        <f t="shared" ca="1" si="163"/>
        <v>2.9520547242825698E-2</v>
      </c>
      <c r="K967" s="36">
        <f t="shared" ca="1" si="164"/>
        <v>1046.3183426742989</v>
      </c>
      <c r="L967" s="36">
        <f ca="1">Assumptions!$C$10*Assumptions!$C$13*I967*Assumptions!$C$15</f>
        <v>4396.9067356013038</v>
      </c>
      <c r="M967" s="36">
        <f ca="1">G967*(1+H967*Assumptions!$C$6)*(1+J967)+L967+K967</f>
        <v>67443.529769007335</v>
      </c>
    </row>
    <row r="968" spans="1:13" x14ac:dyDescent="0.25">
      <c r="A968" s="3">
        <v>955</v>
      </c>
      <c r="B968" s="3">
        <f t="shared" ca="1" si="170"/>
        <v>0.73679947858147632</v>
      </c>
      <c r="C968" s="3">
        <f t="shared" ca="1" si="170"/>
        <v>0.52346374117630379</v>
      </c>
      <c r="D968" s="3">
        <f t="shared" ca="1" si="170"/>
        <v>0.96515412643766707</v>
      </c>
      <c r="E968" s="3">
        <f t="shared" ca="1" si="170"/>
        <v>0.6885620517351414</v>
      </c>
      <c r="F968" s="3">
        <f t="shared" ca="1" si="170"/>
        <v>0.59618941559166461</v>
      </c>
      <c r="G968" s="36">
        <f t="shared" ca="1" si="160"/>
        <v>58103.162810500704</v>
      </c>
      <c r="H968" s="37">
        <f t="shared" ca="1" si="161"/>
        <v>0.13576456120310965</v>
      </c>
      <c r="I968" s="37">
        <f t="shared" ca="1" si="162"/>
        <v>0.10944032219244046</v>
      </c>
      <c r="J968" s="38">
        <f t="shared" ca="1" si="163"/>
        <v>3.4215502586021726E-2</v>
      </c>
      <c r="K968" s="36">
        <f t="shared" ca="1" si="164"/>
        <v>1651.9838169229906</v>
      </c>
      <c r="L968" s="36">
        <f ca="1">Assumptions!$C$10*Assumptions!$C$13*I968*Assumptions!$C$15</f>
        <v>7590.1072683618695</v>
      </c>
      <c r="M968" s="36">
        <f ca="1">G968*(1+H968*Assumptions!$C$6)*(1+J968)+L968+K968</f>
        <v>70964.933668606333</v>
      </c>
    </row>
    <row r="969" spans="1:13" x14ac:dyDescent="0.25">
      <c r="A969" s="3">
        <v>956</v>
      </c>
      <c r="B969" s="3">
        <f t="shared" ca="1" si="170"/>
        <v>0.17585233486605933</v>
      </c>
      <c r="C969" s="3">
        <f t="shared" ca="1" si="170"/>
        <v>0.17462442148145563</v>
      </c>
      <c r="D969" s="3">
        <f t="shared" ca="1" si="170"/>
        <v>0.11240150188352716</v>
      </c>
      <c r="E969" s="3">
        <f t="shared" ca="1" si="170"/>
        <v>0.36846448411077559</v>
      </c>
      <c r="F969" s="3">
        <f t="shared" ca="1" si="170"/>
        <v>0.75389843311257454</v>
      </c>
      <c r="G969" s="36">
        <f t="shared" ca="1" si="160"/>
        <v>57546.522856203184</v>
      </c>
      <c r="H969" s="37">
        <f t="shared" ca="1" si="161"/>
        <v>9.8192372899696068E-2</v>
      </c>
      <c r="I969" s="37">
        <f t="shared" ca="1" si="162"/>
        <v>5.8965358051650041E-2</v>
      </c>
      <c r="J969" s="38">
        <f t="shared" ca="1" si="163"/>
        <v>2.7168913398599823E-2</v>
      </c>
      <c r="K969" s="36">
        <f t="shared" ca="1" si="164"/>
        <v>1947.642146894216</v>
      </c>
      <c r="L969" s="36">
        <f ca="1">Assumptions!$C$10*Assumptions!$C$13*I969*Assumptions!$C$15</f>
        <v>4089.4743707205898</v>
      </c>
      <c r="M969" s="36">
        <f ca="1">G969*(1+H969*Assumptions!$C$6)*(1+J969)+L969+K969</f>
        <v>66307.946089384641</v>
      </c>
    </row>
    <row r="970" spans="1:13" x14ac:dyDescent="0.25">
      <c r="A970" s="3">
        <v>957</v>
      </c>
      <c r="B970" s="3">
        <f t="shared" ca="1" si="170"/>
        <v>0.46917534541832373</v>
      </c>
      <c r="C970" s="3">
        <f t="shared" ca="1" si="170"/>
        <v>0.66744880705026355</v>
      </c>
      <c r="D970" s="3">
        <f t="shared" ca="1" si="170"/>
        <v>0.15061591025420584</v>
      </c>
      <c r="E970" s="3">
        <f t="shared" ca="1" si="170"/>
        <v>0.79610401326737912</v>
      </c>
      <c r="F970" s="3">
        <f t="shared" ca="1" si="170"/>
        <v>0.11997458697748575</v>
      </c>
      <c r="G970" s="36">
        <f t="shared" ca="1" si="160"/>
        <v>57831.649395013163</v>
      </c>
      <c r="H970" s="37">
        <f t="shared" ca="1" si="161"/>
        <v>0.15292435932332171</v>
      </c>
      <c r="I970" s="37">
        <f t="shared" ca="1" si="162"/>
        <v>6.1953835947584621E-2</v>
      </c>
      <c r="J970" s="38">
        <f t="shared" ca="1" si="163"/>
        <v>3.7228281658833191E-2</v>
      </c>
      <c r="K970" s="36">
        <f t="shared" ca="1" si="164"/>
        <v>734.76910754242101</v>
      </c>
      <c r="L970" s="36">
        <f ca="1">Assumptions!$C$10*Assumptions!$C$13*I970*Assumptions!$C$15</f>
        <v>4296.7368069494069</v>
      </c>
      <c r="M970" s="36">
        <f ca="1">G970*(1+H970*Assumptions!$C$6)*(1+J970)+L970+K970</f>
        <v>66850.750229713871</v>
      </c>
    </row>
    <row r="971" spans="1:13" x14ac:dyDescent="0.25">
      <c r="A971" s="3">
        <v>958</v>
      </c>
      <c r="B971" s="3">
        <f t="shared" ca="1" si="170"/>
        <v>0.84613743652999496</v>
      </c>
      <c r="C971" s="3">
        <f t="shared" ca="1" si="170"/>
        <v>0.31953009645079922</v>
      </c>
      <c r="D971" s="3">
        <f t="shared" ca="1" si="170"/>
        <v>0.13851303172391005</v>
      </c>
      <c r="E971" s="3">
        <f t="shared" ca="1" si="170"/>
        <v>0.51484476318888317</v>
      </c>
      <c r="F971" s="3">
        <f t="shared" ca="1" si="170"/>
        <v>0.42400588697115438</v>
      </c>
      <c r="G971" s="36">
        <f t="shared" ca="1" si="160"/>
        <v>58255.300435291945</v>
      </c>
      <c r="H971" s="37">
        <f t="shared" ca="1" si="161"/>
        <v>0.11519010878036352</v>
      </c>
      <c r="I971" s="37">
        <f t="shared" ca="1" si="162"/>
        <v>6.105330618968223E-2</v>
      </c>
      <c r="J971" s="38">
        <f t="shared" ca="1" si="163"/>
        <v>3.0299132266600706E-2</v>
      </c>
      <c r="K971" s="36">
        <f t="shared" ca="1" si="164"/>
        <v>1381.3133212165133</v>
      </c>
      <c r="L971" s="36">
        <f ca="1">Assumptions!$C$10*Assumptions!$C$13*I971*Assumptions!$C$15</f>
        <v>4234.2816046628841</v>
      </c>
      <c r="M971" s="36">
        <f ca="1">G971*(1+H971*Assumptions!$C$6)*(1+J971)+L971+K971</f>
        <v>67018.731360980702</v>
      </c>
    </row>
    <row r="972" spans="1:13" x14ac:dyDescent="0.25">
      <c r="A972" s="3">
        <v>959</v>
      </c>
      <c r="B972" s="3">
        <f t="shared" ca="1" si="170"/>
        <v>0.5501736670580285</v>
      </c>
      <c r="C972" s="3">
        <f t="shared" ca="1" si="170"/>
        <v>0.97698194020771645</v>
      </c>
      <c r="D972" s="3">
        <f t="shared" ca="1" si="170"/>
        <v>0.69797577117761622</v>
      </c>
      <c r="E972" s="3">
        <f t="shared" ca="1" si="170"/>
        <v>0.80962219133049718</v>
      </c>
      <c r="F972" s="3">
        <f t="shared" ca="1" si="170"/>
        <v>0.70906721668286044</v>
      </c>
      <c r="G972" s="36">
        <f t="shared" ca="1" si="160"/>
        <v>57904.56585350736</v>
      </c>
      <c r="H972" s="37">
        <f t="shared" ca="1" si="161"/>
        <v>0.21709122955582152</v>
      </c>
      <c r="I972" s="37">
        <f t="shared" ca="1" si="162"/>
        <v>8.8911778239474229E-2</v>
      </c>
      <c r="J972" s="38">
        <f t="shared" ca="1" si="163"/>
        <v>3.7658920349677577E-2</v>
      </c>
      <c r="K972" s="36">
        <f t="shared" ca="1" si="164"/>
        <v>1855.7983023403924</v>
      </c>
      <c r="L972" s="36">
        <f ca="1">Assumptions!$C$10*Assumptions!$C$13*I972*Assumptions!$C$15</f>
        <v>6166.3737892853815</v>
      </c>
      <c r="M972" s="36">
        <f ca="1">G972*(1+H972*Assumptions!$C$6)*(1+J972)+L972+K972</f>
        <v>70716.154902569077</v>
      </c>
    </row>
    <row r="973" spans="1:13" x14ac:dyDescent="0.25">
      <c r="A973" s="3">
        <v>960</v>
      </c>
      <c r="B973" s="3">
        <f t="shared" ca="1" si="170"/>
        <v>8.7319985508358178E-2</v>
      </c>
      <c r="C973" s="3">
        <f t="shared" ca="1" si="170"/>
        <v>0.36324389705959381</v>
      </c>
      <c r="D973" s="3">
        <f t="shared" ca="1" si="170"/>
        <v>0.33357710997154644</v>
      </c>
      <c r="E973" s="3">
        <f t="shared" ca="1" si="170"/>
        <v>0.94334425951864631</v>
      </c>
      <c r="F973" s="3">
        <f t="shared" ca="1" si="170"/>
        <v>2.0578800059906976E-2</v>
      </c>
      <c r="G973" s="36">
        <f t="shared" ca="1" si="160"/>
        <v>57414.64906970178</v>
      </c>
      <c r="H973" s="37">
        <f t="shared" ca="1" si="161"/>
        <v>0.1195064301406179</v>
      </c>
      <c r="I973" s="37">
        <f t="shared" ca="1" si="162"/>
        <v>7.2671803621914555E-2</v>
      </c>
      <c r="J973" s="38">
        <f t="shared" ca="1" si="163"/>
        <v>4.3267645851183784E-2</v>
      </c>
      <c r="K973" s="36">
        <f t="shared" ca="1" si="164"/>
        <v>304.31003971210248</v>
      </c>
      <c r="L973" s="36">
        <f ca="1">Assumptions!$C$10*Assumptions!$C$13*I973*Assumptions!$C$15</f>
        <v>5040.0690881167811</v>
      </c>
      <c r="M973" s="36">
        <f ca="1">G973*(1+H973*Assumptions!$C$6)*(1+J973)+L973+K973</f>
        <v>66674.884345707193</v>
      </c>
    </row>
    <row r="974" spans="1:13" x14ac:dyDescent="0.25">
      <c r="A974" s="3">
        <v>961</v>
      </c>
      <c r="B974" s="3">
        <f t="shared" ref="B974:F983" ca="1" si="171">RAND()</f>
        <v>0.59474126769521651</v>
      </c>
      <c r="C974" s="3">
        <f t="shared" ca="1" si="171"/>
        <v>0.49271655713209617</v>
      </c>
      <c r="D974" s="3">
        <f t="shared" ca="1" si="171"/>
        <v>0.87230918864971063</v>
      </c>
      <c r="E974" s="3">
        <f t="shared" ca="1" si="171"/>
        <v>0.48306049437168808</v>
      </c>
      <c r="F974" s="3">
        <f t="shared" ca="1" si="171"/>
        <v>0.7802269722975369</v>
      </c>
      <c r="G974" s="36">
        <f t="shared" ref="G974:G1013" ca="1" si="172">IF(B974&lt;($F$5-$E$5)/($G$5-$E$5),$E$5+SQRT(B974*($G$5-$E$5)*($F$5-$E$5)),$G$5-SQRT((1-B974)*($G$5-$E$5)*($G$5-$F$5)))</f>
        <v>57947.509378854949</v>
      </c>
      <c r="H974" s="37">
        <f t="shared" ref="H974:H1013" ca="1" si="173">IF(C974&lt;($F$6-$E$6)/($G$6-$E$6),$E$6+SQRT(C974*($G$6-$E$6)*($F$6-$E$6)),$G$6-SQRT((1-C974)*($G$6-$E$6)*($G$6-$F$6)))</f>
        <v>0.1324543701613673</v>
      </c>
      <c r="I974" s="37">
        <f t="shared" ref="I974:I1013" ca="1" si="174">IF(D974&lt;($F$7-$E$7)/($G$7-$E$7),$E$7+SQRT(D974*($G$7-$E$7)*($F$7-$E$7)),$G$7-SQRT((1-D974)*($G$7-$E$7)*($G$7-$F$7)))</f>
        <v>9.9785881262817164E-2</v>
      </c>
      <c r="J974" s="38">
        <f t="shared" ref="J974:J1013" ca="1" si="175">IF(E974&lt;($F$8-$E$8)/($G$8-$E$8),$E$8+SQRT(E974*($G$8-$E$8)*($F$8-$E$8)),$G$8-SQRT((1-E974)*($G$8-$E$8)*($G$8-$F$8)))</f>
        <v>2.9658290757269577E-2</v>
      </c>
      <c r="K974" s="36">
        <f t="shared" ref="K974:K1013" ca="1" si="176">IF(F974&lt;($F$9-$E$9)/($G$9-$E$9),$E$9+SQRT(F974*($G$9-$E$9)*($F$9-$E$9)),$G$9-SQRT((1-F974)*($G$9-$E$9)*($G$9-$F$9)))</f>
        <v>2005.5259557630054</v>
      </c>
      <c r="L974" s="36">
        <f ca="1">Assumptions!$C$10*Assumptions!$C$13*I974*Assumptions!$C$15</f>
        <v>6920.5346574273799</v>
      </c>
      <c r="M974" s="36">
        <f ca="1">G974*(1+H974*Assumptions!$C$6)*(1+J974)+L974+K974</f>
        <v>70172.802099362525</v>
      </c>
    </row>
    <row r="975" spans="1:13" x14ac:dyDescent="0.25">
      <c r="A975" s="3">
        <v>962</v>
      </c>
      <c r="B975" s="3">
        <f t="shared" ca="1" si="171"/>
        <v>0.12900320650443264</v>
      </c>
      <c r="C975" s="3">
        <f t="shared" ca="1" si="171"/>
        <v>0.81589469481253329</v>
      </c>
      <c r="D975" s="3">
        <f t="shared" ca="1" si="171"/>
        <v>0.6269085852898143</v>
      </c>
      <c r="E975" s="3">
        <f t="shared" ca="1" si="171"/>
        <v>0.19187815134882213</v>
      </c>
      <c r="F975" s="3">
        <f t="shared" ca="1" si="171"/>
        <v>0.78644928462400998</v>
      </c>
      <c r="G975" s="36">
        <f t="shared" ca="1" si="172"/>
        <v>57482.445783536939</v>
      </c>
      <c r="H975" s="37">
        <f t="shared" ca="1" si="173"/>
        <v>0.17521110466851403</v>
      </c>
      <c r="I975" s="37">
        <f t="shared" ca="1" si="174"/>
        <v>8.5447250079442386E-2</v>
      </c>
      <c r="J975" s="38">
        <f t="shared" ca="1" si="175"/>
        <v>2.2389613435416688E-2</v>
      </c>
      <c r="K975" s="36">
        <f t="shared" ca="1" si="176"/>
        <v>2019.7050345982821</v>
      </c>
      <c r="L975" s="36">
        <f ca="1">Assumptions!$C$10*Assumptions!$C$13*I975*Assumptions!$C$15</f>
        <v>5926.0954362788643</v>
      </c>
      <c r="M975" s="36">
        <f ca="1">G975*(1+H975*Assumptions!$C$6)*(1+J975)+L975+K975</f>
        <v>68774.66823945356</v>
      </c>
    </row>
    <row r="976" spans="1:13" x14ac:dyDescent="0.25">
      <c r="A976" s="3">
        <v>963</v>
      </c>
      <c r="B976" s="3">
        <f t="shared" ca="1" si="171"/>
        <v>0.29675914235296164</v>
      </c>
      <c r="C976" s="3">
        <f t="shared" ca="1" si="171"/>
        <v>1.1438626245204753E-2</v>
      </c>
      <c r="D976" s="3">
        <f t="shared" ca="1" si="171"/>
        <v>0.61817264357670731</v>
      </c>
      <c r="E976" s="3">
        <f t="shared" ca="1" si="171"/>
        <v>0.59494208339457455</v>
      </c>
      <c r="F976" s="3">
        <f t="shared" ca="1" si="171"/>
        <v>0.80415138805539887</v>
      </c>
      <c r="G976" s="36">
        <f t="shared" ca="1" si="172"/>
        <v>57680.058343739474</v>
      </c>
      <c r="H976" s="37">
        <f t="shared" ca="1" si="173"/>
        <v>6.2334250243173406E-2</v>
      </c>
      <c r="I976" s="37">
        <f t="shared" ca="1" si="174"/>
        <v>8.5045064146038879E-2</v>
      </c>
      <c r="J976" s="38">
        <f t="shared" ca="1" si="175"/>
        <v>3.1998713010333392E-2</v>
      </c>
      <c r="K976" s="36">
        <f t="shared" ca="1" si="176"/>
        <v>2061.214213065246</v>
      </c>
      <c r="L976" s="36">
        <f ca="1">Assumptions!$C$10*Assumptions!$C$13*I976*Assumptions!$C$15</f>
        <v>5898.2022949283564</v>
      </c>
      <c r="M976" s="36">
        <f ca="1">G976*(1+H976*Assumptions!$C$6)*(1+J976)+L976+K976</f>
        <v>68227.261034223309</v>
      </c>
    </row>
    <row r="977" spans="1:13" x14ac:dyDescent="0.25">
      <c r="A977" s="3">
        <v>964</v>
      </c>
      <c r="B977" s="3">
        <f t="shared" ca="1" si="171"/>
        <v>8.136732082582887E-2</v>
      </c>
      <c r="C977" s="3">
        <f t="shared" ca="1" si="171"/>
        <v>8.8054425547723247E-2</v>
      </c>
      <c r="D977" s="3">
        <f t="shared" ca="1" si="171"/>
        <v>0.25331041537308829</v>
      </c>
      <c r="E977" s="3">
        <f t="shared" ca="1" si="171"/>
        <v>0.12308659019999912</v>
      </c>
      <c r="F977" s="3">
        <f t="shared" ca="1" si="171"/>
        <v>0.87524187273204901</v>
      </c>
      <c r="G977" s="36">
        <f t="shared" ca="1" si="172"/>
        <v>57403.734855406277</v>
      </c>
      <c r="H977" s="37">
        <f t="shared" ca="1" si="173"/>
        <v>8.4221686980403512E-2</v>
      </c>
      <c r="I977" s="37">
        <f t="shared" ca="1" si="174"/>
        <v>6.8470920764771237E-2</v>
      </c>
      <c r="J977" s="38">
        <f t="shared" ca="1" si="175"/>
        <v>1.9923168453674426E-2</v>
      </c>
      <c r="K977" s="36">
        <f t="shared" ca="1" si="176"/>
        <v>2250.7259695506727</v>
      </c>
      <c r="L977" s="36">
        <f ca="1">Assumptions!$C$10*Assumptions!$C$13*I977*Assumptions!$C$15</f>
        <v>4748.7217047321337</v>
      </c>
      <c r="M977" s="36">
        <f ca="1">G977*(1+H977*Assumptions!$C$6)*(1+J977)+L977+K977</f>
        <v>66533.038953772993</v>
      </c>
    </row>
    <row r="978" spans="1:13" x14ac:dyDescent="0.25">
      <c r="A978" s="3">
        <v>965</v>
      </c>
      <c r="B978" s="3">
        <f t="shared" ca="1" si="171"/>
        <v>0.31297037549691675</v>
      </c>
      <c r="C978" s="3">
        <f t="shared" ca="1" si="171"/>
        <v>0.89073973065081469</v>
      </c>
      <c r="D978" s="3">
        <f t="shared" ca="1" si="171"/>
        <v>0.78310779501531991</v>
      </c>
      <c r="E978" s="3">
        <f t="shared" ca="1" si="171"/>
        <v>0.53087600587678541</v>
      </c>
      <c r="F978" s="3">
        <f t="shared" ca="1" si="171"/>
        <v>0.94091592771714117</v>
      </c>
      <c r="G978" s="36">
        <f t="shared" ca="1" si="172"/>
        <v>57695.691276277685</v>
      </c>
      <c r="H978" s="37">
        <f t="shared" ca="1" si="173"/>
        <v>0.19008873733152581</v>
      </c>
      <c r="I978" s="37">
        <f t="shared" ca="1" si="174"/>
        <v>9.3655075328424708E-2</v>
      </c>
      <c r="J978" s="38">
        <f t="shared" ca="1" si="175"/>
        <v>3.0627359619851205E-2</v>
      </c>
      <c r="K978" s="36">
        <f t="shared" ca="1" si="176"/>
        <v>2484.3660937517152</v>
      </c>
      <c r="L978" s="36">
        <f ca="1">Assumptions!$C$10*Assumptions!$C$13*I978*Assumptions!$C$15</f>
        <v>6495.3396858544384</v>
      </c>
      <c r="M978" s="36">
        <f ca="1">G978*(1+H978*Assumptions!$C$6)*(1+J978)+L978+K978</f>
        <v>70703.103856949107</v>
      </c>
    </row>
    <row r="979" spans="1:13" x14ac:dyDescent="0.25">
      <c r="A979" s="3">
        <v>966</v>
      </c>
      <c r="B979" s="3">
        <f t="shared" ca="1" si="171"/>
        <v>0.8543355968134474</v>
      </c>
      <c r="C979" s="3">
        <f t="shared" ca="1" si="171"/>
        <v>0.5895879156834325</v>
      </c>
      <c r="D979" s="3">
        <f t="shared" ca="1" si="171"/>
        <v>4.1969496430251274E-2</v>
      </c>
      <c r="E979" s="3">
        <f t="shared" ca="1" si="171"/>
        <v>0.51356180610643798</v>
      </c>
      <c r="F979" s="3">
        <f t="shared" ca="1" si="171"/>
        <v>0.46446035350368853</v>
      </c>
      <c r="G979" s="36">
        <f t="shared" ca="1" si="172"/>
        <v>58268.644083914056</v>
      </c>
      <c r="H979" s="37">
        <f t="shared" ca="1" si="173"/>
        <v>0.14326636819379859</v>
      </c>
      <c r="I979" s="37">
        <f t="shared" ca="1" si="174"/>
        <v>5.1588890739704303E-2</v>
      </c>
      <c r="J979" s="38">
        <f t="shared" ca="1" si="175"/>
        <v>3.0273100722240973E-2</v>
      </c>
      <c r="K979" s="36">
        <f t="shared" ca="1" si="176"/>
        <v>1445.7079894524338</v>
      </c>
      <c r="L979" s="36">
        <f ca="1">Assumptions!$C$10*Assumptions!$C$13*I979*Assumptions!$C$15</f>
        <v>3577.8879916090305</v>
      </c>
      <c r="M979" s="36">
        <f ca="1">G979*(1+H979*Assumptions!$C$6)*(1+J979)+L979+K979</f>
        <v>66776.343587402764</v>
      </c>
    </row>
    <row r="980" spans="1:13" x14ac:dyDescent="0.25">
      <c r="A980" s="3">
        <v>967</v>
      </c>
      <c r="B980" s="3">
        <f t="shared" ca="1" si="171"/>
        <v>0.82170695706567998</v>
      </c>
      <c r="C980" s="3">
        <f t="shared" ca="1" si="171"/>
        <v>0.2768823639215291</v>
      </c>
      <c r="D980" s="3">
        <f t="shared" ca="1" si="171"/>
        <v>0.37970274515471325</v>
      </c>
      <c r="E980" s="3">
        <f t="shared" ca="1" si="171"/>
        <v>0.41861728027597389</v>
      </c>
      <c r="F980" s="3">
        <f t="shared" ca="1" si="171"/>
        <v>1.9191326029194267E-3</v>
      </c>
      <c r="G980" s="36">
        <f t="shared" ca="1" si="172"/>
        <v>58217.517912627663</v>
      </c>
      <c r="H980" s="37">
        <f t="shared" ca="1" si="173"/>
        <v>0.11068389770076026</v>
      </c>
      <c r="I980" s="37">
        <f t="shared" ca="1" si="174"/>
        <v>7.4857549892312886E-2</v>
      </c>
      <c r="J980" s="38">
        <f t="shared" ca="1" si="175"/>
        <v>2.8300104486608239E-2</v>
      </c>
      <c r="K980" s="36">
        <f t="shared" ca="1" si="176"/>
        <v>92.93060159676908</v>
      </c>
      <c r="L980" s="36">
        <f ca="1">Assumptions!$C$10*Assumptions!$C$13*I980*Assumptions!$C$15</f>
        <v>5191.6589986853296</v>
      </c>
      <c r="M980" s="36">
        <f ca="1">G980*(1+H980*Assumptions!$C$6)*(1+J980)+L980+K980</f>
        <v>66474.889425422967</v>
      </c>
    </row>
    <row r="981" spans="1:13" x14ac:dyDescent="0.25">
      <c r="A981" s="3">
        <v>968</v>
      </c>
      <c r="B981" s="3">
        <f t="shared" ca="1" si="171"/>
        <v>0.37217025571546947</v>
      </c>
      <c r="C981" s="3">
        <f t="shared" ca="1" si="171"/>
        <v>0.75854190828956958</v>
      </c>
      <c r="D981" s="3">
        <f t="shared" ca="1" si="171"/>
        <v>0.34143487323086641</v>
      </c>
      <c r="E981" s="3">
        <f t="shared" ca="1" si="171"/>
        <v>0.23275448841342272</v>
      </c>
      <c r="F981" s="3">
        <f t="shared" ca="1" si="171"/>
        <v>9.2499312199140094E-2</v>
      </c>
      <c r="G981" s="36">
        <f t="shared" ca="1" si="172"/>
        <v>57749.591681769562</v>
      </c>
      <c r="H981" s="37">
        <f t="shared" ca="1" si="173"/>
        <v>0.16580266520286718</v>
      </c>
      <c r="I981" s="37">
        <f t="shared" ca="1" si="174"/>
        <v>7.3054373301255804E-2</v>
      </c>
      <c r="J981" s="38">
        <f t="shared" ca="1" si="175"/>
        <v>2.3645643653955578E-2</v>
      </c>
      <c r="K981" s="36">
        <f t="shared" ca="1" si="176"/>
        <v>645.17199636696137</v>
      </c>
      <c r="L981" s="36">
        <f ca="1">Assumptions!$C$10*Assumptions!$C$13*I981*Assumptions!$C$15</f>
        <v>5066.6017668009399</v>
      </c>
      <c r="M981" s="36">
        <f ca="1">G981*(1+H981*Assumptions!$C$6)*(1+J981)+L981+K981</f>
        <v>66787.180532912709</v>
      </c>
    </row>
    <row r="982" spans="1:13" x14ac:dyDescent="0.25">
      <c r="A982" s="3">
        <v>969</v>
      </c>
      <c r="B982" s="3">
        <f t="shared" ca="1" si="171"/>
        <v>0.7294806182620025</v>
      </c>
      <c r="C982" s="3">
        <f t="shared" ca="1" si="171"/>
        <v>0.25866629382313922</v>
      </c>
      <c r="D982" s="3">
        <f t="shared" ca="1" si="171"/>
        <v>0.71887178842130051</v>
      </c>
      <c r="E982" s="3">
        <f t="shared" ca="1" si="171"/>
        <v>0.57420057306432437</v>
      </c>
      <c r="F982" s="3">
        <f t="shared" ca="1" si="171"/>
        <v>0.74089783234051199</v>
      </c>
      <c r="G982" s="36">
        <f t="shared" ca="1" si="172"/>
        <v>58094.239367679089</v>
      </c>
      <c r="H982" s="37">
        <f t="shared" ca="1" si="173"/>
        <v>0.10865374419291365</v>
      </c>
      <c r="I982" s="37">
        <f t="shared" ca="1" si="174"/>
        <v>9.0006496085788201E-2</v>
      </c>
      <c r="J982" s="38">
        <f t="shared" ca="1" si="175"/>
        <v>3.1543577227736125E-2</v>
      </c>
      <c r="K982" s="36">
        <f t="shared" ca="1" si="176"/>
        <v>1920.2038366118834</v>
      </c>
      <c r="L982" s="36">
        <f ca="1">Assumptions!$C$10*Assumptions!$C$13*I982*Assumptions!$C$15</f>
        <v>6242.29668238051</v>
      </c>
      <c r="M982" s="36">
        <f ca="1">G982*(1+H982*Assumptions!$C$6)*(1+J982)+L982+K982</f>
        <v>69391.492937304356</v>
      </c>
    </row>
    <row r="983" spans="1:13" x14ac:dyDescent="0.25">
      <c r="A983" s="3">
        <v>970</v>
      </c>
      <c r="B983" s="3">
        <f t="shared" ca="1" si="171"/>
        <v>0.62027791687845979</v>
      </c>
      <c r="C983" s="3">
        <f t="shared" ca="1" si="171"/>
        <v>0.86503638581239228</v>
      </c>
      <c r="D983" s="3">
        <f t="shared" ca="1" si="171"/>
        <v>0.95210369738058898</v>
      </c>
      <c r="E983" s="3">
        <f t="shared" ca="1" si="171"/>
        <v>0.57256193118632215</v>
      </c>
      <c r="F983" s="3">
        <f t="shared" ca="1" si="171"/>
        <v>0.23178784685181997</v>
      </c>
      <c r="G983" s="36">
        <f t="shared" ca="1" si="172"/>
        <v>57973.185377268775</v>
      </c>
      <c r="H983" s="37">
        <f t="shared" ca="1" si="173"/>
        <v>0.18452775105084113</v>
      </c>
      <c r="I983" s="37">
        <f t="shared" ca="1" si="174"/>
        <v>0.10761984780456575</v>
      </c>
      <c r="J983" s="38">
        <f t="shared" ca="1" si="175"/>
        <v>3.150809758161853E-2</v>
      </c>
      <c r="K983" s="36">
        <f t="shared" ca="1" si="176"/>
        <v>1021.2958977853527</v>
      </c>
      <c r="L983" s="36">
        <f ca="1">Assumptions!$C$10*Assumptions!$C$13*I983*Assumptions!$C$15</f>
        <v>7463.8503677381905</v>
      </c>
      <c r="M983" s="36">
        <f ca="1">G983*(1+H983*Assumptions!$C$6)*(1+J983)+L983+K983</f>
        <v>70491.901321167403</v>
      </c>
    </row>
    <row r="984" spans="1:13" x14ac:dyDescent="0.25">
      <c r="A984" s="3">
        <v>971</v>
      </c>
      <c r="B984" s="3">
        <f t="shared" ref="B984:F993" ca="1" si="177">RAND()</f>
        <v>0.62438998472351448</v>
      </c>
      <c r="C984" s="3">
        <f t="shared" ca="1" si="177"/>
        <v>0.27712587920755061</v>
      </c>
      <c r="D984" s="3">
        <f t="shared" ca="1" si="177"/>
        <v>0.17300738825992723</v>
      </c>
      <c r="E984" s="3">
        <f t="shared" ca="1" si="177"/>
        <v>0.16232705163978889</v>
      </c>
      <c r="F984" s="3">
        <f t="shared" ca="1" si="177"/>
        <v>0.65254020098323884</v>
      </c>
      <c r="G984" s="36">
        <f t="shared" ca="1" si="172"/>
        <v>57977.399705784352</v>
      </c>
      <c r="H984" s="37">
        <f t="shared" ca="1" si="173"/>
        <v>0.11071057727826694</v>
      </c>
      <c r="I984" s="37">
        <f t="shared" ca="1" si="174"/>
        <v>6.3529208283148147E-2</v>
      </c>
      <c r="J984" s="38">
        <f t="shared" ca="1" si="175"/>
        <v>2.1395685205893987E-2</v>
      </c>
      <c r="K984" s="36">
        <f t="shared" ca="1" si="176"/>
        <v>1749.5724348945978</v>
      </c>
      <c r="L984" s="36">
        <f ca="1">Assumptions!$C$10*Assumptions!$C$13*I984*Assumptions!$C$15</f>
        <v>4405.9949375451051</v>
      </c>
      <c r="M984" s="36">
        <f ca="1">G984*(1+H984*Assumptions!$C$6)*(1+J984)+L984+K984</f>
        <v>66684.642095157164</v>
      </c>
    </row>
    <row r="985" spans="1:13" x14ac:dyDescent="0.25">
      <c r="A985" s="3">
        <v>972</v>
      </c>
      <c r="B985" s="3">
        <f t="shared" ca="1" si="177"/>
        <v>0.33402393348863102</v>
      </c>
      <c r="C985" s="3">
        <f t="shared" ca="1" si="177"/>
        <v>9.3352757082755478E-2</v>
      </c>
      <c r="D985" s="3">
        <f t="shared" ca="1" si="177"/>
        <v>0.66080280252708301</v>
      </c>
      <c r="E985" s="3">
        <f t="shared" ca="1" si="177"/>
        <v>0.83964014508529361</v>
      </c>
      <c r="F985" s="3">
        <f t="shared" ca="1" si="177"/>
        <v>0.62490282187329704</v>
      </c>
      <c r="G985" s="36">
        <f t="shared" ca="1" si="172"/>
        <v>57715.401311657297</v>
      </c>
      <c r="H985" s="37">
        <f t="shared" ca="1" si="173"/>
        <v>8.5236226659514039E-2</v>
      </c>
      <c r="I985" s="37">
        <f t="shared" ca="1" si="174"/>
        <v>8.705411965186946E-2</v>
      </c>
      <c r="J985" s="38">
        <f t="shared" ca="1" si="175"/>
        <v>3.8673575854146859E-2</v>
      </c>
      <c r="K985" s="36">
        <f t="shared" ca="1" si="176"/>
        <v>1700.793587773612</v>
      </c>
      <c r="L985" s="36">
        <f ca="1">Assumptions!$C$10*Assumptions!$C$13*I985*Assumptions!$C$15</f>
        <v>6037.538021394269</v>
      </c>
      <c r="M985" s="36">
        <f ca="1">G985*(1+H985*Assumptions!$C$6)*(1+J985)+L985+K985</f>
        <v>68707.73296761341</v>
      </c>
    </row>
    <row r="986" spans="1:13" x14ac:dyDescent="0.25">
      <c r="A986" s="3">
        <v>973</v>
      </c>
      <c r="B986" s="3">
        <f t="shared" ca="1" si="177"/>
        <v>0.8328902289329948</v>
      </c>
      <c r="C986" s="3">
        <f t="shared" ca="1" si="177"/>
        <v>0.55529318450264009</v>
      </c>
      <c r="D986" s="3">
        <f t="shared" ca="1" si="177"/>
        <v>0.16688376791624093</v>
      </c>
      <c r="E986" s="3">
        <f t="shared" ca="1" si="177"/>
        <v>0.93256992693056395</v>
      </c>
      <c r="F986" s="3">
        <f t="shared" ca="1" si="177"/>
        <v>0.93162872151184439</v>
      </c>
      <c r="G986" s="36">
        <f t="shared" ca="1" si="172"/>
        <v>58234.469030938941</v>
      </c>
      <c r="H986" s="37">
        <f t="shared" ca="1" si="173"/>
        <v>0.13930583237674682</v>
      </c>
      <c r="I986" s="37">
        <f t="shared" ca="1" si="174"/>
        <v>6.3109047088358516E-2</v>
      </c>
      <c r="J986" s="38">
        <f t="shared" ca="1" si="175"/>
        <v>4.2655338097941552E-2</v>
      </c>
      <c r="K986" s="36">
        <f t="shared" ca="1" si="176"/>
        <v>2445.3192330748252</v>
      </c>
      <c r="L986" s="36">
        <f ca="1">Assumptions!$C$10*Assumptions!$C$13*I986*Assumptions!$C$15</f>
        <v>4376.8551426818485</v>
      </c>
      <c r="M986" s="36">
        <f ca="1">G986*(1+H986*Assumptions!$C$6)*(1+J986)+L986+K986</f>
        <v>69232.342051474508</v>
      </c>
    </row>
    <row r="987" spans="1:13" x14ac:dyDescent="0.25">
      <c r="A987" s="3">
        <v>974</v>
      </c>
      <c r="B987" s="3">
        <f t="shared" ca="1" si="177"/>
        <v>0.33487522618789289</v>
      </c>
      <c r="C987" s="3">
        <f t="shared" ca="1" si="177"/>
        <v>0.50078200261789696</v>
      </c>
      <c r="D987" s="3">
        <f t="shared" ca="1" si="177"/>
        <v>0.43897986253800958</v>
      </c>
      <c r="E987" s="3">
        <f t="shared" ca="1" si="177"/>
        <v>0.31697628932422151</v>
      </c>
      <c r="F987" s="3">
        <f t="shared" ca="1" si="177"/>
        <v>0.25451306955720165</v>
      </c>
      <c r="G987" s="36">
        <f t="shared" ca="1" si="172"/>
        <v>57716.185017885829</v>
      </c>
      <c r="H987" s="37">
        <f t="shared" ca="1" si="173"/>
        <v>0.13331274518335401</v>
      </c>
      <c r="I987" s="37">
        <f t="shared" ca="1" si="174"/>
        <v>7.7479802028847883E-2</v>
      </c>
      <c r="J987" s="38">
        <f t="shared" ca="1" si="175"/>
        <v>2.592422781359828E-2</v>
      </c>
      <c r="K987" s="36">
        <f t="shared" ca="1" si="176"/>
        <v>1070.1910170653682</v>
      </c>
      <c r="L987" s="36">
        <f ca="1">Assumptions!$C$10*Assumptions!$C$13*I987*Assumptions!$C$15</f>
        <v>5373.5222699391716</v>
      </c>
      <c r="M987" s="36">
        <f ca="1">G987*(1+H987*Assumptions!$C$6)*(1+J987)+L987+K987</f>
        <v>67234.900220186013</v>
      </c>
    </row>
    <row r="988" spans="1:13" x14ac:dyDescent="0.25">
      <c r="A988" s="3">
        <v>975</v>
      </c>
      <c r="B988" s="3">
        <f t="shared" ca="1" si="177"/>
        <v>0.16770298274980011</v>
      </c>
      <c r="C988" s="3">
        <f t="shared" ca="1" si="177"/>
        <v>0.67973230418491082</v>
      </c>
      <c r="D988" s="3">
        <f t="shared" ca="1" si="177"/>
        <v>5.3378112112929976E-2</v>
      </c>
      <c r="E988" s="3">
        <f t="shared" ca="1" si="177"/>
        <v>0.12198191405985259</v>
      </c>
      <c r="F988" s="3">
        <f t="shared" ca="1" si="177"/>
        <v>0.94056369564826792</v>
      </c>
      <c r="G988" s="36">
        <f t="shared" ca="1" si="172"/>
        <v>57536.053742314711</v>
      </c>
      <c r="H988" s="37">
        <f t="shared" ca="1" si="173"/>
        <v>0.15454765383803654</v>
      </c>
      <c r="I988" s="37">
        <f t="shared" ca="1" si="174"/>
        <v>5.3069428402243761E-2</v>
      </c>
      <c r="J988" s="38">
        <f t="shared" ca="1" si="175"/>
        <v>1.9878538922729519E-2</v>
      </c>
      <c r="K988" s="36">
        <f t="shared" ca="1" si="176"/>
        <v>2482.831391533869</v>
      </c>
      <c r="L988" s="36">
        <f ca="1">Assumptions!$C$10*Assumptions!$C$13*I988*Assumptions!$C$15</f>
        <v>3680.568972881767</v>
      </c>
      <c r="M988" s="36">
        <f ca="1">G988*(1+H988*Assumptions!$C$6)*(1+J988)+L988+K988</f>
        <v>66656.95145448111</v>
      </c>
    </row>
    <row r="989" spans="1:13" x14ac:dyDescent="0.25">
      <c r="A989" s="3">
        <v>976</v>
      </c>
      <c r="B989" s="3">
        <f t="shared" ca="1" si="177"/>
        <v>0.95633782047457272</v>
      </c>
      <c r="C989" s="3">
        <f t="shared" ca="1" si="177"/>
        <v>0.2094691717185615</v>
      </c>
      <c r="D989" s="3">
        <f t="shared" ca="1" si="177"/>
        <v>0.37158188524999303</v>
      </c>
      <c r="E989" s="3">
        <f t="shared" ca="1" si="177"/>
        <v>0.7596577638363462</v>
      </c>
      <c r="F989" s="3">
        <f t="shared" ca="1" si="177"/>
        <v>0.44547901509835652</v>
      </c>
      <c r="G989" s="36">
        <f t="shared" ca="1" si="172"/>
        <v>58486.192345664836</v>
      </c>
      <c r="H989" s="37">
        <f t="shared" ca="1" si="173"/>
        <v>0.10278200435619007</v>
      </c>
      <c r="I989" s="37">
        <f t="shared" ca="1" si="174"/>
        <v>7.4482778785938605E-2</v>
      </c>
      <c r="J989" s="38">
        <f t="shared" ca="1" si="175"/>
        <v>3.6133717551884249E-2</v>
      </c>
      <c r="K989" s="36">
        <f t="shared" ca="1" si="176"/>
        <v>1415.8585974392374</v>
      </c>
      <c r="L989" s="36">
        <f ca="1">Assumptions!$C$10*Assumptions!$C$13*I989*Assumptions!$C$15</f>
        <v>5165.6671810309417</v>
      </c>
      <c r="M989" s="36">
        <f ca="1">G989*(1+H989*Assumptions!$C$6)*(1+J989)+L989+K989</f>
        <v>68426.749620493487</v>
      </c>
    </row>
    <row r="990" spans="1:13" x14ac:dyDescent="0.25">
      <c r="A990" s="3">
        <v>977</v>
      </c>
      <c r="B990" s="3">
        <f t="shared" ca="1" si="177"/>
        <v>0.879090072616865</v>
      </c>
      <c r="C990" s="3">
        <f t="shared" ca="1" si="177"/>
        <v>0.86057245875002653</v>
      </c>
      <c r="D990" s="3">
        <f t="shared" ca="1" si="177"/>
        <v>0.829017929496353</v>
      </c>
      <c r="E990" s="3">
        <f t="shared" ca="1" si="177"/>
        <v>0.36541103422480137</v>
      </c>
      <c r="F990" s="3">
        <f t="shared" ca="1" si="177"/>
        <v>0.14314129489480798</v>
      </c>
      <c r="G990" s="36">
        <f t="shared" ca="1" si="172"/>
        <v>58311.395420478344</v>
      </c>
      <c r="H990" s="37">
        <f t="shared" ca="1" si="173"/>
        <v>0.18361784022849609</v>
      </c>
      <c r="I990" s="37">
        <f t="shared" ca="1" si="174"/>
        <v>9.6608919956280973E-2</v>
      </c>
      <c r="J990" s="38">
        <f t="shared" ca="1" si="175"/>
        <v>2.7097626366833528E-2</v>
      </c>
      <c r="K990" s="36">
        <f t="shared" ca="1" si="176"/>
        <v>802.5807292893569</v>
      </c>
      <c r="L990" s="36">
        <f ca="1">Assumptions!$C$10*Assumptions!$C$13*I990*Assumptions!$C$15</f>
        <v>6700.2001717371477</v>
      </c>
      <c r="M990" s="36">
        <f ca="1">G990*(1+H990*Assumptions!$C$6)*(1+J990)+L990+K990</f>
        <v>69593.706149881255</v>
      </c>
    </row>
    <row r="991" spans="1:13" x14ac:dyDescent="0.25">
      <c r="A991" s="3">
        <v>978</v>
      </c>
      <c r="B991" s="3">
        <f t="shared" ca="1" si="177"/>
        <v>0.97088241762239791</v>
      </c>
      <c r="C991" s="3">
        <f t="shared" ca="1" si="177"/>
        <v>0.55824475638740334</v>
      </c>
      <c r="D991" s="3">
        <f t="shared" ca="1" si="177"/>
        <v>0.24159129399653045</v>
      </c>
      <c r="E991" s="3">
        <f t="shared" ca="1" si="177"/>
        <v>0.55368892173233986</v>
      </c>
      <c r="F991" s="3">
        <f t="shared" ca="1" si="177"/>
        <v>0.21828939188109953</v>
      </c>
      <c r="G991" s="36">
        <f t="shared" ca="1" si="172"/>
        <v>58534.457439453246</v>
      </c>
      <c r="H991" s="37">
        <f t="shared" ca="1" si="173"/>
        <v>0.13964054825594549</v>
      </c>
      <c r="I991" s="37">
        <f t="shared" ca="1" si="174"/>
        <v>6.7804534536454616E-2</v>
      </c>
      <c r="J991" s="38">
        <f t="shared" ca="1" si="175"/>
        <v>3.1104263374662312E-2</v>
      </c>
      <c r="K991" s="36">
        <f t="shared" ca="1" si="176"/>
        <v>991.11163017338663</v>
      </c>
      <c r="L991" s="36">
        <f ca="1">Assumptions!$C$10*Assumptions!$C$13*I991*Assumptions!$C$15</f>
        <v>4702.5052567744215</v>
      </c>
      <c r="M991" s="36">
        <f ca="1">G991*(1+H991*Assumptions!$C$6)*(1+J991)+L991+K991</f>
        <v>67734.350157205743</v>
      </c>
    </row>
    <row r="992" spans="1:13" x14ac:dyDescent="0.25">
      <c r="A992" s="3">
        <v>979</v>
      </c>
      <c r="B992" s="3">
        <f t="shared" ca="1" si="177"/>
        <v>0.23612168819418766</v>
      </c>
      <c r="C992" s="3">
        <f t="shared" ca="1" si="177"/>
        <v>9.5730352524240003E-2</v>
      </c>
      <c r="D992" s="3">
        <f t="shared" ca="1" si="177"/>
        <v>0.61697921577933545</v>
      </c>
      <c r="E992" s="3">
        <f t="shared" ca="1" si="177"/>
        <v>0.61766168492169593</v>
      </c>
      <c r="F992" s="3">
        <f t="shared" ca="1" si="177"/>
        <v>0.85419448626159322</v>
      </c>
      <c r="G992" s="36">
        <f t="shared" ca="1" si="172"/>
        <v>57617.413271884507</v>
      </c>
      <c r="H992" s="37">
        <f t="shared" ca="1" si="173"/>
        <v>8.5682120012302965E-2</v>
      </c>
      <c r="I992" s="37">
        <f t="shared" ca="1" si="174"/>
        <v>8.4990479730420093E-2</v>
      </c>
      <c r="J992" s="38">
        <f t="shared" ca="1" si="175"/>
        <v>3.2510841870957791E-2</v>
      </c>
      <c r="K992" s="36">
        <f t="shared" ca="1" si="176"/>
        <v>2189.9846842047796</v>
      </c>
      <c r="L992" s="36">
        <f ca="1">Assumptions!$C$10*Assumptions!$C$13*I992*Assumptions!$C$15</f>
        <v>5894.4166557651342</v>
      </c>
      <c r="M992" s="36">
        <f ca="1">G992*(1+H992*Assumptions!$C$6)*(1+J992)+L992+K992</f>
        <v>68594.461436065176</v>
      </c>
    </row>
    <row r="993" spans="1:13" x14ac:dyDescent="0.25">
      <c r="A993" s="3">
        <v>980</v>
      </c>
      <c r="B993" s="3">
        <f t="shared" ca="1" si="177"/>
        <v>0.50747407805198042</v>
      </c>
      <c r="C993" s="3">
        <f t="shared" ca="1" si="177"/>
        <v>0.78015058150937056</v>
      </c>
      <c r="D993" s="3">
        <f t="shared" ca="1" si="177"/>
        <v>0.10759903152773165</v>
      </c>
      <c r="E993" s="3">
        <f t="shared" ca="1" si="177"/>
        <v>0.97887169706465227</v>
      </c>
      <c r="F993" s="3">
        <f t="shared" ca="1" si="177"/>
        <v>0.855106920747849</v>
      </c>
      <c r="G993" s="36">
        <f t="shared" ca="1" si="172"/>
        <v>57865.37686272501</v>
      </c>
      <c r="H993" s="37">
        <f t="shared" ca="1" si="173"/>
        <v>0.16920051736356859</v>
      </c>
      <c r="I993" s="37">
        <f t="shared" ca="1" si="174"/>
        <v>5.8555778099792566E-2</v>
      </c>
      <c r="J993" s="38">
        <f t="shared" ca="1" si="175"/>
        <v>4.5888717675921759E-2</v>
      </c>
      <c r="K993" s="36">
        <f t="shared" ca="1" si="176"/>
        <v>2192.5231541185349</v>
      </c>
      <c r="L993" s="36">
        <f ca="1">Assumptions!$C$10*Assumptions!$C$13*I993*Assumptions!$C$15</f>
        <v>4061.0684257517669</v>
      </c>
      <c r="M993" s="36">
        <f ca="1">G993*(1+H993*Assumptions!$C$6)*(1+J993)+L993+K993</f>
        <v>68822.364651099488</v>
      </c>
    </row>
    <row r="994" spans="1:13" x14ac:dyDescent="0.25">
      <c r="A994" s="3">
        <v>981</v>
      </c>
      <c r="B994" s="3">
        <f t="shared" ref="B994:F1003" ca="1" si="178">RAND()</f>
        <v>0.85757215402526754</v>
      </c>
      <c r="C994" s="3">
        <f t="shared" ca="1" si="178"/>
        <v>0.34886920534884736</v>
      </c>
      <c r="D994" s="3">
        <f t="shared" ca="1" si="178"/>
        <v>0.17173946759842174</v>
      </c>
      <c r="E994" s="3">
        <f t="shared" ca="1" si="178"/>
        <v>2.350305865555824E-2</v>
      </c>
      <c r="F994" s="3">
        <f t="shared" ca="1" si="178"/>
        <v>0.44170680482697189</v>
      </c>
      <c r="G994" s="36">
        <f t="shared" ca="1" si="172"/>
        <v>58274.015141762844</v>
      </c>
      <c r="H994" s="37">
        <f t="shared" ca="1" si="173"/>
        <v>0.11811725501765077</v>
      </c>
      <c r="I994" s="37">
        <f t="shared" ca="1" si="174"/>
        <v>6.3442830381908871E-2</v>
      </c>
      <c r="J994" s="38">
        <f t="shared" ca="1" si="175"/>
        <v>1.433617883907555E-2</v>
      </c>
      <c r="K994" s="36">
        <f t="shared" ca="1" si="176"/>
        <v>1409.8512764548514</v>
      </c>
      <c r="L994" s="36">
        <f ca="1">Assumptions!$C$10*Assumptions!$C$13*I994*Assumptions!$C$15</f>
        <v>4400.0042978714637</v>
      </c>
      <c r="M994" s="36">
        <f ca="1">G994*(1+H994*Assumptions!$C$6)*(1+J994)+L994+K994</f>
        <v>66315.666422092181</v>
      </c>
    </row>
    <row r="995" spans="1:13" x14ac:dyDescent="0.25">
      <c r="A995" s="3">
        <v>982</v>
      </c>
      <c r="B995" s="3">
        <f t="shared" ca="1" si="178"/>
        <v>0.25025648076625862</v>
      </c>
      <c r="C995" s="3">
        <f t="shared" ca="1" si="178"/>
        <v>0.42867602210712674</v>
      </c>
      <c r="D995" s="3">
        <f t="shared" ca="1" si="178"/>
        <v>0.10799307114367784</v>
      </c>
      <c r="E995" s="3">
        <f t="shared" ca="1" si="178"/>
        <v>0.28223254168234169</v>
      </c>
      <c r="F995" s="3">
        <f t="shared" ca="1" si="178"/>
        <v>0.20155935974532291</v>
      </c>
      <c r="G995" s="36">
        <f t="shared" ca="1" si="172"/>
        <v>57632.674971191598</v>
      </c>
      <c r="H995" s="37">
        <f t="shared" ca="1" si="173"/>
        <v>0.12586767900389692</v>
      </c>
      <c r="I995" s="37">
        <f t="shared" ca="1" si="174"/>
        <v>5.8589723711227365E-2</v>
      </c>
      <c r="J995" s="38">
        <f t="shared" ca="1" si="175"/>
        <v>2.5026178268138355E-2</v>
      </c>
      <c r="K995" s="36">
        <f t="shared" ca="1" si="176"/>
        <v>952.3744635666967</v>
      </c>
      <c r="L995" s="36">
        <f ca="1">Assumptions!$C$10*Assumptions!$C$13*I995*Assumptions!$C$15</f>
        <v>4063.4226844648142</v>
      </c>
      <c r="M995" s="36">
        <f ca="1">G995*(1+H995*Assumptions!$C$6)*(1+J995)+L995+K995</f>
        <v>65577.924358878896</v>
      </c>
    </row>
    <row r="996" spans="1:13" x14ac:dyDescent="0.25">
      <c r="A996" s="3">
        <v>983</v>
      </c>
      <c r="B996" s="3">
        <f t="shared" ca="1" si="178"/>
        <v>0.25232176621031832</v>
      </c>
      <c r="C996" s="3">
        <f t="shared" ca="1" si="178"/>
        <v>0.60132606907194386</v>
      </c>
      <c r="D996" s="3">
        <f t="shared" ca="1" si="178"/>
        <v>0.47954642119082491</v>
      </c>
      <c r="E996" s="3">
        <f t="shared" ca="1" si="178"/>
        <v>0.62309639730416388</v>
      </c>
      <c r="F996" s="3">
        <f t="shared" ca="1" si="178"/>
        <v>0.95546281412893697</v>
      </c>
      <c r="G996" s="36">
        <f t="shared" ca="1" si="172"/>
        <v>57634.868451722868</v>
      </c>
      <c r="H996" s="37">
        <f t="shared" ca="1" si="173"/>
        <v>0.1446597376489886</v>
      </c>
      <c r="I996" s="37">
        <f t="shared" ca="1" si="174"/>
        <v>7.9173314230616743E-2</v>
      </c>
      <c r="J996" s="38">
        <f t="shared" ca="1" si="175"/>
        <v>3.2635585752560814E-2</v>
      </c>
      <c r="K996" s="36">
        <f t="shared" ca="1" si="176"/>
        <v>2552.32005135389</v>
      </c>
      <c r="L996" s="36">
        <f ca="1">Assumptions!$C$10*Assumptions!$C$13*I996*Assumptions!$C$15</f>
        <v>5490.9738546403114</v>
      </c>
      <c r="M996" s="36">
        <f ca="1">G996*(1+H996*Assumptions!$C$6)*(1+J996)+L996+K996</f>
        <v>69281.018519265257</v>
      </c>
    </row>
    <row r="997" spans="1:13" x14ac:dyDescent="0.25">
      <c r="A997" s="3">
        <v>984</v>
      </c>
      <c r="B997" s="3">
        <f t="shared" ca="1" si="178"/>
        <v>0.75371678194820158</v>
      </c>
      <c r="C997" s="3">
        <f t="shared" ca="1" si="178"/>
        <v>0.30961621167509201</v>
      </c>
      <c r="D997" s="3">
        <f t="shared" ca="1" si="178"/>
        <v>0.95438003758169587</v>
      </c>
      <c r="E997" s="3">
        <f t="shared" ca="1" si="178"/>
        <v>0.97052027676793384</v>
      </c>
      <c r="F997" s="3">
        <f t="shared" ca="1" si="178"/>
        <v>0.13972446345036249</v>
      </c>
      <c r="G997" s="36">
        <f t="shared" ca="1" si="172"/>
        <v>58124.276363815756</v>
      </c>
      <c r="H997" s="37">
        <f t="shared" ca="1" si="173"/>
        <v>0.11417083149904421</v>
      </c>
      <c r="I997" s="37">
        <f t="shared" ca="1" si="174"/>
        <v>0.10791762110598359</v>
      </c>
      <c r="J997" s="38">
        <f t="shared" ca="1" si="175"/>
        <v>4.5143686729045077E-2</v>
      </c>
      <c r="K997" s="36">
        <f t="shared" ca="1" si="176"/>
        <v>792.943935929036</v>
      </c>
      <c r="L997" s="36">
        <f ca="1">Assumptions!$C$10*Assumptions!$C$13*I997*Assumptions!$C$15</f>
        <v>7484.502091473445</v>
      </c>
      <c r="M997" s="36">
        <f ca="1">G997*(1+H997*Assumptions!$C$6)*(1+J997)+L997+K997</f>
        <v>70412.80148376408</v>
      </c>
    </row>
    <row r="998" spans="1:13" x14ac:dyDescent="0.25">
      <c r="A998" s="3">
        <v>985</v>
      </c>
      <c r="B998" s="3">
        <f t="shared" ca="1" si="178"/>
        <v>0.41158727121081484</v>
      </c>
      <c r="C998" s="3">
        <f t="shared" ca="1" si="178"/>
        <v>0.11328034265855558</v>
      </c>
      <c r="D998" s="3">
        <f t="shared" ca="1" si="178"/>
        <v>0.44722325797359119</v>
      </c>
      <c r="E998" s="3">
        <f t="shared" ca="1" si="178"/>
        <v>0.90420940164090269</v>
      </c>
      <c r="F998" s="3">
        <f t="shared" ca="1" si="178"/>
        <v>0.39793522091772027</v>
      </c>
      <c r="G998" s="36">
        <f t="shared" ca="1" si="172"/>
        <v>57783.125649469875</v>
      </c>
      <c r="H998" s="37">
        <f t="shared" ca="1" si="173"/>
        <v>8.8815313438883742E-2</v>
      </c>
      <c r="I998" s="37">
        <f t="shared" ca="1" si="174"/>
        <v>7.7830073030797753E-2</v>
      </c>
      <c r="J998" s="38">
        <f t="shared" ca="1" si="175"/>
        <v>4.1246002131181556E-2</v>
      </c>
      <c r="K998" s="36">
        <f t="shared" ca="1" si="176"/>
        <v>1338.1735665188357</v>
      </c>
      <c r="L998" s="36">
        <f ca="1">Assumptions!$C$10*Assumptions!$C$13*I998*Assumptions!$C$15</f>
        <v>5397.8149111205576</v>
      </c>
      <c r="M998" s="36">
        <f ca="1">G998*(1+H998*Assumptions!$C$6)*(1+J998)+L998+K998</f>
        <v>67971.177448499468</v>
      </c>
    </row>
    <row r="999" spans="1:13" x14ac:dyDescent="0.25">
      <c r="A999" s="3">
        <v>986</v>
      </c>
      <c r="B999" s="3">
        <f t="shared" ca="1" si="178"/>
        <v>0.33618437273490354</v>
      </c>
      <c r="C999" s="3">
        <f t="shared" ca="1" si="178"/>
        <v>0.78942452668376739</v>
      </c>
      <c r="D999" s="3">
        <f t="shared" ca="1" si="178"/>
        <v>0.96884042798888803</v>
      </c>
      <c r="E999" s="3">
        <f t="shared" ca="1" si="178"/>
        <v>0.22945824167129536</v>
      </c>
      <c r="F999" s="3">
        <f t="shared" ca="1" si="178"/>
        <v>9.0241076327917336E-2</v>
      </c>
      <c r="G999" s="36">
        <f t="shared" ca="1" si="172"/>
        <v>57717.388286396505</v>
      </c>
      <c r="H999" s="37">
        <f t="shared" ca="1" si="173"/>
        <v>0.17070987955263678</v>
      </c>
      <c r="I999" s="37">
        <f t="shared" ca="1" si="174"/>
        <v>0.11001447896023656</v>
      </c>
      <c r="J999" s="38">
        <f t="shared" ca="1" si="175"/>
        <v>2.354867496610042E-2</v>
      </c>
      <c r="K999" s="36">
        <f t="shared" ca="1" si="176"/>
        <v>637.24786659166466</v>
      </c>
      <c r="L999" s="36">
        <f ca="1">Assumptions!$C$10*Assumptions!$C$13*I999*Assumptions!$C$15</f>
        <v>7629.9272485037891</v>
      </c>
      <c r="M999" s="36">
        <f ca="1">G999*(1+H999*Assumptions!$C$6)*(1+J999)+L999+K999</f>
        <v>69360.721780316002</v>
      </c>
    </row>
    <row r="1000" spans="1:13" x14ac:dyDescent="0.25">
      <c r="A1000" s="3">
        <v>987</v>
      </c>
      <c r="B1000" s="3">
        <f t="shared" ca="1" si="178"/>
        <v>0.51905559413955638</v>
      </c>
      <c r="C1000" s="3">
        <f t="shared" ca="1" si="178"/>
        <v>0.75747863213851518</v>
      </c>
      <c r="D1000" s="3">
        <f t="shared" ca="1" si="178"/>
        <v>4.9586306763635957E-2</v>
      </c>
      <c r="E1000" s="3">
        <f t="shared" ca="1" si="178"/>
        <v>0.64027461013308296</v>
      </c>
      <c r="F1000" s="3">
        <f t="shared" ca="1" si="178"/>
        <v>0.4612788534862029</v>
      </c>
      <c r="G1000" s="36">
        <f t="shared" ca="1" si="172"/>
        <v>57875.832420749444</v>
      </c>
      <c r="H1000" s="37">
        <f t="shared" ca="1" si="173"/>
        <v>0.16563947830171002</v>
      </c>
      <c r="I1000" s="37">
        <f t="shared" ca="1" si="174"/>
        <v>5.2596673435619225E-2</v>
      </c>
      <c r="J1000" s="38">
        <f t="shared" ca="1" si="175"/>
        <v>3.3035911109242158E-2</v>
      </c>
      <c r="K1000" s="36">
        <f t="shared" ca="1" si="176"/>
        <v>1440.7480142925456</v>
      </c>
      <c r="L1000" s="36">
        <f ca="1">Assumptions!$C$10*Assumptions!$C$13*I1000*Assumptions!$C$15</f>
        <v>3647.7815976580218</v>
      </c>
      <c r="M1000" s="36">
        <f ca="1">G1000*(1+H1000*Assumptions!$C$6)*(1+J1000)+L1000+K1000</f>
        <v>66856.987327891795</v>
      </c>
    </row>
    <row r="1001" spans="1:13" x14ac:dyDescent="0.25">
      <c r="A1001" s="3">
        <v>988</v>
      </c>
      <c r="B1001" s="3">
        <f t="shared" ca="1" si="178"/>
        <v>0.96036225521117469</v>
      </c>
      <c r="C1001" s="3">
        <f t="shared" ca="1" si="178"/>
        <v>0.62942212646146833</v>
      </c>
      <c r="D1001" s="3">
        <f t="shared" ca="1" si="178"/>
        <v>0.33088424713043008</v>
      </c>
      <c r="E1001" s="3">
        <f t="shared" ca="1" si="178"/>
        <v>0.62907018983888519</v>
      </c>
      <c r="F1001" s="3">
        <f t="shared" ca="1" si="178"/>
        <v>0.20073801329511698</v>
      </c>
      <c r="G1001" s="36">
        <f t="shared" ca="1" si="172"/>
        <v>58498.615871985457</v>
      </c>
      <c r="H1001" s="37">
        <f t="shared" ca="1" si="173"/>
        <v>0.14808060315320534</v>
      </c>
      <c r="I1001" s="37">
        <f t="shared" ca="1" si="174"/>
        <v>7.2539661811662631E-2</v>
      </c>
      <c r="J1001" s="38">
        <f t="shared" ca="1" si="175"/>
        <v>3.2773745383023856E-2</v>
      </c>
      <c r="K1001" s="36">
        <f t="shared" ca="1" si="176"/>
        <v>950.43203851092187</v>
      </c>
      <c r="L1001" s="36">
        <f ca="1">Assumptions!$C$10*Assumptions!$C$13*I1001*Assumptions!$C$15</f>
        <v>5030.9045453380786</v>
      </c>
      <c r="M1001" s="36">
        <f ca="1">G1001*(1+H1001*Assumptions!$C$6)*(1+J1001)+L1001+K1001</f>
        <v>68186.453843606374</v>
      </c>
    </row>
    <row r="1002" spans="1:13" x14ac:dyDescent="0.25">
      <c r="A1002" s="3">
        <v>989</v>
      </c>
      <c r="B1002" s="3">
        <f t="shared" ca="1" si="178"/>
        <v>0.3936512619264001</v>
      </c>
      <c r="C1002" s="3">
        <f t="shared" ca="1" si="178"/>
        <v>0.46748661555567539</v>
      </c>
      <c r="D1002" s="3">
        <f t="shared" ca="1" si="178"/>
        <v>0.19047891597256195</v>
      </c>
      <c r="E1002" s="3">
        <f t="shared" ca="1" si="178"/>
        <v>0.90960249762655487</v>
      </c>
      <c r="F1002" s="3">
        <f t="shared" ca="1" si="178"/>
        <v>0.93887245053217194</v>
      </c>
      <c r="G1002" s="36">
        <f t="shared" ca="1" si="172"/>
        <v>57768.075351058549</v>
      </c>
      <c r="H1002" s="37">
        <f t="shared" ca="1" si="173"/>
        <v>0.12981240920443626</v>
      </c>
      <c r="I1002" s="37">
        <f t="shared" ca="1" si="174"/>
        <v>6.468871262565544E-2</v>
      </c>
      <c r="J1002" s="38">
        <f t="shared" ca="1" si="175"/>
        <v>4.1496000829094812E-2</v>
      </c>
      <c r="K1002" s="36">
        <f t="shared" ca="1" si="176"/>
        <v>2475.5250505455706</v>
      </c>
      <c r="L1002" s="36">
        <f ca="1">Assumptions!$C$10*Assumptions!$C$13*I1002*Assumptions!$C$15</f>
        <v>4486.4110233300717</v>
      </c>
      <c r="M1002" s="36">
        <f ca="1">G1002*(1+H1002*Assumptions!$C$6)*(1+J1002)+L1002+K1002</f>
        <v>68689.193945117164</v>
      </c>
    </row>
    <row r="1003" spans="1:13" x14ac:dyDescent="0.25">
      <c r="A1003" s="3">
        <v>990</v>
      </c>
      <c r="B1003" s="3">
        <f t="shared" ca="1" si="178"/>
        <v>0.62519118563426201</v>
      </c>
      <c r="C1003" s="3">
        <f t="shared" ca="1" si="178"/>
        <v>0.97807690677711079</v>
      </c>
      <c r="D1003" s="3">
        <f t="shared" ca="1" si="178"/>
        <v>0.33779531256014916</v>
      </c>
      <c r="E1003" s="3">
        <f t="shared" ca="1" si="178"/>
        <v>0.46496918039157287</v>
      </c>
      <c r="F1003" s="3">
        <f t="shared" ca="1" si="178"/>
        <v>3.4434337079280675E-2</v>
      </c>
      <c r="G1003" s="36">
        <f t="shared" ca="1" si="172"/>
        <v>57978.223512089178</v>
      </c>
      <c r="H1003" s="37">
        <f t="shared" ca="1" si="173"/>
        <v>0.21764275228294247</v>
      </c>
      <c r="I1003" s="37">
        <f t="shared" ca="1" si="174"/>
        <v>7.2877728026621263E-2</v>
      </c>
      <c r="J1003" s="38">
        <f t="shared" ca="1" si="175"/>
        <v>2.9286662342490943E-2</v>
      </c>
      <c r="K1003" s="36">
        <f t="shared" ca="1" si="176"/>
        <v>393.64262581275807</v>
      </c>
      <c r="L1003" s="36">
        <f ca="1">Assumptions!$C$10*Assumptions!$C$13*I1003*Assumptions!$C$15</f>
        <v>5054.3507376001326</v>
      </c>
      <c r="M1003" s="36">
        <f ca="1">G1003*(1+H1003*Assumptions!$C$6)*(1+J1003)+L1003+K1003</f>
        <v>67721.824543100724</v>
      </c>
    </row>
    <row r="1004" spans="1:13" x14ac:dyDescent="0.25">
      <c r="A1004" s="3">
        <v>991</v>
      </c>
      <c r="B1004" s="3">
        <f t="shared" ref="B1004:F1013" ca="1" si="179">RAND()</f>
        <v>0.54323432359300472</v>
      </c>
      <c r="C1004" s="3">
        <f t="shared" ca="1" si="179"/>
        <v>0.61002338053569383</v>
      </c>
      <c r="D1004" s="3">
        <f t="shared" ca="1" si="179"/>
        <v>0.16251364544731228</v>
      </c>
      <c r="E1004" s="3">
        <f t="shared" ca="1" si="179"/>
        <v>3.8261632702339954E-3</v>
      </c>
      <c r="F1004" s="3">
        <f t="shared" ca="1" si="179"/>
        <v>0.53627261524947478</v>
      </c>
      <c r="G1004" s="36">
        <f t="shared" ca="1" si="172"/>
        <v>57898.074263284747</v>
      </c>
      <c r="H1004" s="37">
        <f t="shared" ca="1" si="173"/>
        <v>0.14570542473829057</v>
      </c>
      <c r="I1004" s="37">
        <f t="shared" ca="1" si="174"/>
        <v>6.2804465909803708E-2</v>
      </c>
      <c r="J1004" s="38">
        <f t="shared" ca="1" si="175"/>
        <v>1.1749551547164928E-2</v>
      </c>
      <c r="K1004" s="36">
        <f t="shared" ca="1" si="176"/>
        <v>1555.433202867599</v>
      </c>
      <c r="L1004" s="36">
        <f ca="1">Assumptions!$C$10*Assumptions!$C$13*I1004*Assumptions!$C$15</f>
        <v>4355.7312664830015</v>
      </c>
      <c r="M1004" s="36">
        <f ca="1">G1004*(1+H1004*Assumptions!$C$6)*(1+J1004)+L1004+K1004</f>
        <v>66196.551833680118</v>
      </c>
    </row>
    <row r="1005" spans="1:13" x14ac:dyDescent="0.25">
      <c r="A1005" s="3">
        <v>992</v>
      </c>
      <c r="B1005" s="3">
        <f t="shared" ca="1" si="179"/>
        <v>0.74039202058384446</v>
      </c>
      <c r="C1005" s="3">
        <f t="shared" ca="1" si="179"/>
        <v>9.3906999989714413E-2</v>
      </c>
      <c r="D1005" s="3">
        <f t="shared" ca="1" si="179"/>
        <v>0.91554405956710194</v>
      </c>
      <c r="E1005" s="3">
        <f t="shared" ca="1" si="179"/>
        <v>0.75253836613125458</v>
      </c>
      <c r="F1005" s="3">
        <f t="shared" ca="1" si="179"/>
        <v>0.34533084269194692</v>
      </c>
      <c r="G1005" s="36">
        <f t="shared" ca="1" si="172"/>
        <v>58107.588373976781</v>
      </c>
      <c r="H1005" s="37">
        <f t="shared" ca="1" si="173"/>
        <v>8.5340672034685511E-2</v>
      </c>
      <c r="I1005" s="37">
        <f t="shared" ca="1" si="174"/>
        <v>0.10356044375947837</v>
      </c>
      <c r="J1005" s="38">
        <f t="shared" ca="1" si="175"/>
        <v>3.5929843387687677E-2</v>
      </c>
      <c r="K1005" s="36">
        <f t="shared" ca="1" si="176"/>
        <v>1246.5908679730335</v>
      </c>
      <c r="L1005" s="36">
        <f ca="1">Assumptions!$C$10*Assumptions!$C$13*I1005*Assumptions!$C$15</f>
        <v>7182.315084118899</v>
      </c>
      <c r="M1005" s="36">
        <f ca="1">G1005*(1+H1005*Assumptions!$C$6)*(1+J1005)+L1005+K1005</f>
        <v>69651.713796540178</v>
      </c>
    </row>
    <row r="1006" spans="1:13" x14ac:dyDescent="0.25">
      <c r="A1006" s="3">
        <v>993</v>
      </c>
      <c r="B1006" s="3">
        <f t="shared" ca="1" si="179"/>
        <v>0.44808094449937519</v>
      </c>
      <c r="C1006" s="3">
        <f t="shared" ca="1" si="179"/>
        <v>0.41810499165309056</v>
      </c>
      <c r="D1006" s="3">
        <f t="shared" ca="1" si="179"/>
        <v>0.62921829820080055</v>
      </c>
      <c r="E1006" s="3">
        <f t="shared" ca="1" si="179"/>
        <v>0.12782610028075225</v>
      </c>
      <c r="F1006" s="3">
        <f t="shared" ca="1" si="179"/>
        <v>0.90670054055186555</v>
      </c>
      <c r="G1006" s="36">
        <f t="shared" ca="1" si="172"/>
        <v>57813.591777656336</v>
      </c>
      <c r="H1006" s="37">
        <f t="shared" ca="1" si="173"/>
        <v>0.1248166410009261</v>
      </c>
      <c r="I1006" s="37">
        <f t="shared" ca="1" si="174"/>
        <v>8.5554369714614914E-2</v>
      </c>
      <c r="J1006" s="38">
        <f t="shared" ca="1" si="175"/>
        <v>2.0112412186249224E-2</v>
      </c>
      <c r="K1006" s="36">
        <f t="shared" ca="1" si="176"/>
        <v>2352.0435450459613</v>
      </c>
      <c r="L1006" s="36">
        <f ca="1">Assumptions!$C$10*Assumptions!$C$13*I1006*Assumptions!$C$15</f>
        <v>5933.5245949766768</v>
      </c>
      <c r="M1006" s="36">
        <f ca="1">G1006*(1+H1006*Assumptions!$C$6)*(1+J1006)+L1006+K1006</f>
        <v>68734.177000253359</v>
      </c>
    </row>
    <row r="1007" spans="1:13" x14ac:dyDescent="0.25">
      <c r="A1007" s="3">
        <v>994</v>
      </c>
      <c r="B1007" s="3">
        <f t="shared" ca="1" si="179"/>
        <v>0.73904960522039775</v>
      </c>
      <c r="C1007" s="3">
        <f t="shared" ca="1" si="179"/>
        <v>0.85363649352317572</v>
      </c>
      <c r="D1007" s="3">
        <f t="shared" ca="1" si="179"/>
        <v>0.7851636483055876</v>
      </c>
      <c r="E1007" s="3">
        <f t="shared" ca="1" si="179"/>
        <v>0.69873668898632846</v>
      </c>
      <c r="F1007" s="3">
        <f t="shared" ca="1" si="179"/>
        <v>4.9973698520427323E-2</v>
      </c>
      <c r="G1007" s="36">
        <f t="shared" ca="1" si="172"/>
        <v>58105.931123956943</v>
      </c>
      <c r="H1007" s="37">
        <f t="shared" ca="1" si="173"/>
        <v>0.18223246631825457</v>
      </c>
      <c r="I1007" s="37">
        <f t="shared" ca="1" si="174"/>
        <v>9.378023025611934E-2</v>
      </c>
      <c r="J1007" s="38">
        <f t="shared" ca="1" si="175"/>
        <v>3.4475482332422133E-2</v>
      </c>
      <c r="K1007" s="36">
        <f t="shared" ca="1" si="176"/>
        <v>474.21687374230254</v>
      </c>
      <c r="L1007" s="36">
        <f ca="1">Assumptions!$C$10*Assumptions!$C$13*I1007*Assumptions!$C$15</f>
        <v>6504.0196614551687</v>
      </c>
      <c r="M1007" s="36">
        <f ca="1">G1007*(1+H1007*Assumptions!$C$6)*(1+J1007)+L1007+K1007</f>
        <v>69278.16579708361</v>
      </c>
    </row>
    <row r="1008" spans="1:13" x14ac:dyDescent="0.25">
      <c r="A1008" s="3">
        <v>995</v>
      </c>
      <c r="B1008" s="3">
        <f t="shared" ca="1" si="179"/>
        <v>0.35910096729560059</v>
      </c>
      <c r="C1008" s="3">
        <f t="shared" ca="1" si="179"/>
        <v>0.21384103565467238</v>
      </c>
      <c r="D1008" s="3">
        <f t="shared" ca="1" si="179"/>
        <v>0.95016529763467616</v>
      </c>
      <c r="E1008" s="3">
        <f t="shared" ca="1" si="179"/>
        <v>0.83515380778177695</v>
      </c>
      <c r="F1008" s="3">
        <f t="shared" ca="1" si="179"/>
        <v>0.58252335607139116</v>
      </c>
      <c r="G1008" s="36">
        <f t="shared" ca="1" si="172"/>
        <v>57738.084084113638</v>
      </c>
      <c r="H1008" s="37">
        <f t="shared" ca="1" si="173"/>
        <v>0.10332997069385227</v>
      </c>
      <c r="I1008" s="37">
        <f t="shared" ca="1" si="174"/>
        <v>0.10737181534942428</v>
      </c>
      <c r="J1008" s="38">
        <f t="shared" ca="1" si="175"/>
        <v>3.851623085504683E-2</v>
      </c>
      <c r="K1008" s="36">
        <f t="shared" ca="1" si="176"/>
        <v>1629.363323969937</v>
      </c>
      <c r="L1008" s="36">
        <f ca="1">Assumptions!$C$10*Assumptions!$C$13*I1008*Assumptions!$C$15</f>
        <v>7446.648363003148</v>
      </c>
      <c r="M1008" s="36">
        <f ca="1">G1008*(1+H1008*Assumptions!$C$6)*(1+J1008)+L1008+K1008</f>
        <v>70277.122194892625</v>
      </c>
    </row>
    <row r="1009" spans="1:13" x14ac:dyDescent="0.25">
      <c r="A1009" s="3">
        <v>996</v>
      </c>
      <c r="B1009" s="3">
        <f t="shared" ca="1" si="179"/>
        <v>0.39280221579384222</v>
      </c>
      <c r="C1009" s="3">
        <f t="shared" ca="1" si="179"/>
        <v>0.5008571258993243</v>
      </c>
      <c r="D1009" s="3">
        <f t="shared" ca="1" si="179"/>
        <v>5.849082789431026E-2</v>
      </c>
      <c r="E1009" s="3">
        <f t="shared" ca="1" si="179"/>
        <v>0.93770800515492836</v>
      </c>
      <c r="F1009" s="3">
        <f t="shared" ca="1" si="179"/>
        <v>0.42337975106776682</v>
      </c>
      <c r="G1009" s="36">
        <f t="shared" ca="1" si="172"/>
        <v>57767.354493495244</v>
      </c>
      <c r="H1009" s="37">
        <f t="shared" ca="1" si="173"/>
        <v>0.13332077273669718</v>
      </c>
      <c r="I1009" s="37">
        <f t="shared" ca="1" si="174"/>
        <v>5.3681032463297237E-2</v>
      </c>
      <c r="J1009" s="38">
        <f t="shared" ca="1" si="175"/>
        <v>4.294070854291613E-2</v>
      </c>
      <c r="K1009" s="36">
        <f t="shared" ca="1" si="176"/>
        <v>1380.2930412796229</v>
      </c>
      <c r="L1009" s="36">
        <f ca="1">Assumptions!$C$10*Assumptions!$C$13*I1009*Assumptions!$C$15</f>
        <v>3722.986066839137</v>
      </c>
      <c r="M1009" s="36">
        <f ca="1">G1009*(1+H1009*Assumptions!$C$6)*(1+J1009)+L1009+K1009</f>
        <v>66957.66473426533</v>
      </c>
    </row>
    <row r="1010" spans="1:13" x14ac:dyDescent="0.25">
      <c r="A1010" s="3">
        <v>997</v>
      </c>
      <c r="B1010" s="3">
        <f t="shared" ca="1" si="179"/>
        <v>0.24071439493812075</v>
      </c>
      <c r="C1010" s="3">
        <f t="shared" ca="1" si="179"/>
        <v>0.33637985375014956</v>
      </c>
      <c r="D1010" s="3">
        <f t="shared" ca="1" si="179"/>
        <v>0.22999489145944407</v>
      </c>
      <c r="E1010" s="3">
        <f t="shared" ca="1" si="179"/>
        <v>0.89416954927898129</v>
      </c>
      <c r="F1010" s="3">
        <f t="shared" ca="1" si="179"/>
        <v>0.79245230734054595</v>
      </c>
      <c r="G1010" s="36">
        <f t="shared" ca="1" si="172"/>
        <v>57622.421035524378</v>
      </c>
      <c r="H1010" s="37">
        <f t="shared" ca="1" si="173"/>
        <v>0.11688686010627938</v>
      </c>
      <c r="I1010" s="37">
        <f t="shared" ca="1" si="174"/>
        <v>6.712901864554302E-2</v>
      </c>
      <c r="J1010" s="38">
        <f t="shared" ca="1" si="175"/>
        <v>4.0798676150856611E-2</v>
      </c>
      <c r="K1010" s="36">
        <f t="shared" ca="1" si="176"/>
        <v>2033.5815518278105</v>
      </c>
      <c r="L1010" s="36">
        <f ca="1">Assumptions!$C$10*Assumptions!$C$13*I1010*Assumptions!$C$15</f>
        <v>4655.6556316016595</v>
      </c>
      <c r="M1010" s="36">
        <f ca="1">G1010*(1+H1010*Assumptions!$C$6)*(1+J1010)+L1010+K1010</f>
        <v>68064.59578336931</v>
      </c>
    </row>
    <row r="1011" spans="1:13" x14ac:dyDescent="0.25">
      <c r="A1011" s="3">
        <v>998</v>
      </c>
      <c r="B1011" s="3">
        <f t="shared" ca="1" si="179"/>
        <v>0.42700414762313987</v>
      </c>
      <c r="C1011" s="3">
        <f t="shared" ca="1" si="179"/>
        <v>0.31657488797261679</v>
      </c>
      <c r="D1011" s="3">
        <f t="shared" ca="1" si="179"/>
        <v>0.11690308357532875</v>
      </c>
      <c r="E1011" s="3">
        <f t="shared" ca="1" si="179"/>
        <v>0.55441167278678649</v>
      </c>
      <c r="F1011" s="3">
        <f t="shared" ca="1" si="179"/>
        <v>0.69364032912231177</v>
      </c>
      <c r="G1011" s="36">
        <f t="shared" ca="1" si="172"/>
        <v>57795.890716172151</v>
      </c>
      <c r="H1011" s="37">
        <f t="shared" ca="1" si="173"/>
        <v>0.11488794965196392</v>
      </c>
      <c r="I1011" s="37">
        <f t="shared" ca="1" si="174"/>
        <v>5.9341402933630535E-2</v>
      </c>
      <c r="J1011" s="38">
        <f t="shared" ca="1" si="175"/>
        <v>3.1119569343614782E-2</v>
      </c>
      <c r="K1011" s="36">
        <f t="shared" ca="1" si="176"/>
        <v>1825.8541321668772</v>
      </c>
      <c r="L1011" s="36">
        <f ca="1">Assumptions!$C$10*Assumptions!$C$13*I1011*Assumptions!$C$15</f>
        <v>4115.5545296124064</v>
      </c>
      <c r="M1011" s="36">
        <f ca="1">G1011*(1+H1011*Assumptions!$C$6)*(1+J1011)+L1011+K1011</f>
        <v>66905.219991297097</v>
      </c>
    </row>
    <row r="1012" spans="1:13" x14ac:dyDescent="0.25">
      <c r="A1012" s="3">
        <v>999</v>
      </c>
      <c r="B1012" s="3">
        <f t="shared" ca="1" si="179"/>
        <v>0.27802148078100331</v>
      </c>
      <c r="C1012" s="3">
        <f t="shared" ca="1" si="179"/>
        <v>0.71388867105993037</v>
      </c>
      <c r="D1012" s="3">
        <f t="shared" ca="1" si="179"/>
        <v>6.077880834028071E-2</v>
      </c>
      <c r="E1012" s="3">
        <f t="shared" ca="1" si="179"/>
        <v>0.16827440951841488</v>
      </c>
      <c r="F1012" s="3">
        <f t="shared" ca="1" si="179"/>
        <v>0.43279242934982998</v>
      </c>
      <c r="G1012" s="36">
        <f t="shared" ca="1" si="172"/>
        <v>57661.447045280249</v>
      </c>
      <c r="H1012" s="37">
        <f t="shared" ca="1" si="173"/>
        <v>0.15923281421373164</v>
      </c>
      <c r="I1012" s="37">
        <f t="shared" ca="1" si="174"/>
        <v>5.3946045557393615E-2</v>
      </c>
      <c r="J1012" s="38">
        <f t="shared" ca="1" si="175"/>
        <v>2.160256556175107E-2</v>
      </c>
      <c r="K1012" s="36">
        <f t="shared" ca="1" si="176"/>
        <v>1395.552196112433</v>
      </c>
      <c r="L1012" s="36">
        <f ca="1">Assumptions!$C$10*Assumptions!$C$13*I1012*Assumptions!$C$15</f>
        <v>3741.3657441958517</v>
      </c>
      <c r="M1012" s="36">
        <f ca="1">G1012*(1+H1012*Assumptions!$C$6)*(1+J1012)+L1012+K1012</f>
        <v>65919.988272064089</v>
      </c>
    </row>
    <row r="1013" spans="1:13" x14ac:dyDescent="0.25">
      <c r="A1013" s="3">
        <v>1000</v>
      </c>
      <c r="B1013" s="3">
        <f t="shared" ca="1" si="179"/>
        <v>0.3616004114726703</v>
      </c>
      <c r="C1013" s="3">
        <f t="shared" ca="1" si="179"/>
        <v>0.22851518376756386</v>
      </c>
      <c r="D1013" s="3">
        <f t="shared" ca="1" si="179"/>
        <v>0.75786544930703426</v>
      </c>
      <c r="E1013" s="3">
        <f t="shared" ca="1" si="179"/>
        <v>0.63930617115394084</v>
      </c>
      <c r="F1013" s="3">
        <f t="shared" ca="1" si="179"/>
        <v>0.52246367052933496</v>
      </c>
      <c r="G1013" s="36">
        <f t="shared" ca="1" si="172"/>
        <v>57740.300856203336</v>
      </c>
      <c r="H1013" s="37">
        <f t="shared" ca="1" si="173"/>
        <v>0.10512941088120387</v>
      </c>
      <c r="I1013" s="37">
        <f t="shared" ca="1" si="174"/>
        <v>9.2164221544611138E-2</v>
      </c>
      <c r="J1013" s="38">
        <f t="shared" ca="1" si="175"/>
        <v>3.3013091420836832E-2</v>
      </c>
      <c r="K1013" s="36">
        <f t="shared" ca="1" si="176"/>
        <v>1534.0827163110489</v>
      </c>
      <c r="L1013" s="36">
        <f ca="1">Assumptions!$C$10*Assumptions!$C$13*I1013*Assumptions!$C$15</f>
        <v>6391.9432418939532</v>
      </c>
      <c r="M1013" s="36">
        <f ca="1">G1013*(1+H1013*Assumptions!$C$6)*(1+J1013)+L1013+K1013</f>
        <v>68826.632646549129</v>
      </c>
    </row>
  </sheetData>
  <mergeCells count="2">
    <mergeCell ref="A2:M2"/>
    <mergeCell ref="D11:G1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Summary</vt:lpstr>
      <vt:lpstr>Data</vt:lpstr>
      <vt:lpstr>Trend_Models</vt:lpstr>
      <vt:lpstr>Backtest</vt:lpstr>
      <vt:lpstr>Assumptions</vt:lpstr>
      <vt:lpstr>Forecast</vt:lpstr>
      <vt:lpstr>MonteCarlo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Eisen Hy</cp:lastModifiedBy>
  <cp:revision>1</cp:revision>
  <dcterms:created xsi:type="dcterms:W3CDTF">2026-09-21T04:18:53Z</dcterms:created>
  <dcterms:modified xsi:type="dcterms:W3CDTF">2026-09-25T01:36:53Z</dcterms:modified>
  <dc:language>en-US</dc:language>
</cp:coreProperties>
</file>