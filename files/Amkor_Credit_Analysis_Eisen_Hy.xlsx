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e483643a3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dit Summary" sheetId="1" r:id="R626af04070a847e0"/>
    <x:sheet xmlns:r="http://schemas.openxmlformats.org/officeDocument/2006/relationships" name="Assumptions" sheetId="2" r:id="R47783f65a3d6487a"/>
    <x:sheet xmlns:r="http://schemas.openxmlformats.org/officeDocument/2006/relationships" name="Forecast" sheetId="3" r:id="R1995158ca7f04196"/>
    <x:sheet xmlns:r="http://schemas.openxmlformats.org/officeDocument/2006/relationships" name="Debt Schedule" sheetId="4" r:id="Rb7b3c3f3549049b9"/>
    <x:sheet xmlns:r="http://schemas.openxmlformats.org/officeDocument/2006/relationships" name="Financials" sheetId="5" r:id="R0471006fab174991"/>
    <x:sheet xmlns:r="http://schemas.openxmlformats.org/officeDocument/2006/relationships" name="Raw Spread" sheetId="6" r:id="Rdbeb1eda962141c4"/>
    <x:sheet xmlns:r="http://schemas.openxmlformats.org/officeDocument/2006/relationships" name="Audit" sheetId="7" r:id="R601f3bf1d8214503"/>
    <x:sheet xmlns:r="http://schemas.openxmlformats.org/officeDocument/2006/relationships" name="Credit Break-even" sheetId="8" r:id="Rbdf450c312444357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14">
    <ns0:numFmt numFmtId="200" formatCode="#,##0.0;(#,##0.0);&quot;—&quot;"/>
    <ns0:numFmt numFmtId="201" formatCode="#,##0"/>
    <ns0:numFmt numFmtId="202" formatCode="#,##0;(#,##0);&quot;—&quot;"/>
    <ns0:numFmt numFmtId="203" formatCode="@"/>
    <ns0:numFmt numFmtId="204" formatCode="0.0%;(0.0%);&quot;—&quot;"/>
    <ns0:numFmt numFmtId="205" formatCode="0"/>
    <ns0:numFmt numFmtId="206" formatCode="  @"/>
    <ns0:numFmt numFmtId="207" formatCode="$#,##0.0;($#,##0.0);&quot;—&quot;"/>
    <ns0:numFmt numFmtId="208" formatCode="0.00&quot;x&quot;;(0.00&quot;x&quot;);&quot;—&quot;"/>
    <ns0:numFmt numFmtId="209" formatCode="0.0&quot; days&quot;"/>
    <ns0:numFmt numFmtId="210" formatCode="0.0"/>
    <ns0:numFmt numFmtId="211" formatCode="[&gt;=0.005]0.00;[&lt;=-0.005](0.00);0.00"/>
    <ns0:numFmt numFmtId="212" formatCode="#,##0.0;(#,##0.0);&quot;–&quot;"/>
    <ns0:numFmt numFmtId="213" formatCode="0.0%;(0.0%);&quot;–&quot;"/>
  </ns0:numFmts>
  <ns0:fonts count="30">
    <ns0:font>
      <ns0:sz val="11"/>
      <ns0:name val="Carlito"/>
    </ns0:font>
    <ns0:font>
      <ns0:sz val="11"/>
      <ns0:color rgb="FF182C3A"/>
      <ns0:name val="Aptos"/>
    </ns0:font>
    <ns0:font>
      <ns0:b/>
      <ns0:sz val="20"/>
      <ns0:color rgb="FFFFFFFF"/>
      <ns0:name val="Aptos"/>
    </ns0:font>
    <ns0:font>
      <ns0:sz val="10"/>
      <ns0:color rgb="FF647783"/>
      <ns0:name val="Aptos"/>
    </ns0:font>
    <ns0:font>
      <ns0:sz val="11"/>
      <ns0:color rgb="FF137447"/>
      <ns0:name val="Aptos"/>
    </ns0:font>
    <ns0:font>
      <ns0:sz val="10"/>
      <ns0:color rgb="FF0056B3"/>
      <ns0:name val="Aptos"/>
    </ns0:font>
    <ns0:font>
      <ns0:b/>
      <ns0:sz val="11"/>
      <ns0:color rgb="FFFFFFFF"/>
      <ns0:name val="Aptos"/>
    </ns0:font>
    <ns0:font>
      <ns0:sz val="11"/>
      <ns0:color rgb="FF0056B3"/>
      <ns0:name val="Aptos"/>
    </ns0:font>
    <ns0:font>
      <ns0:sz val="9"/>
      <ns0:color rgb="FF137447"/>
      <ns0:name val="Aptos"/>
    </ns0:font>
    <ns0:font>
      <ns0:sz val="11"/>
      <ns0:color rgb="FF000000"/>
      <ns0:name val="Aptos"/>
    </ns0:font>
    <ns0:font>
      <ns0:b/>
      <ns0:sz val="11"/>
      <ns0:color rgb="FF182C3A"/>
      <ns0:name val="Aptos"/>
    </ns0:font>
    <ns0:font>
      <ns0:b/>
      <ns0:sz val="11"/>
      <ns0:color rgb="FF137447"/>
      <ns0:name val="Aptos"/>
    </ns0:font>
    <ns0:font>
      <ns0:b/>
      <ns0:sz val="11"/>
      <ns0:color rgb="FF000000"/>
      <ns0:name val="Aptos"/>
    </ns0:font>
    <ns0:font>
      <ns0:i/>
      <ns0:sz val="11"/>
      <ns0:color rgb="FF182C3A"/>
      <ns0:name val="Aptos"/>
    </ns0:font>
    <ns0:font>
      <ns0:i/>
      <ns0:sz val="11"/>
      <ns0:color rgb="FF000000"/>
      <ns0:name val="Aptos"/>
    </ns0:font>
    <ns0:font>
      <ns0:i/>
      <ns0:sz val="11"/>
      <ns0:color rgb="FF137447"/>
      <ns0:name val="Aptos"/>
    </ns0:font>
    <ns0:font>
      <ns0:b/>
      <ns0:sz val="10"/>
      <ns0:color rgb="FF000000"/>
      <ns0:name val="Aptos"/>
    </ns0:font>
    <ns0:font>
      <ns0:b/>
      <ns0:sz val="14"/>
      <ns0:color rgb="FF182C3A"/>
      <ns0:name val="Aptos"/>
    </ns0:font>
    <ns0:font>
      <ns0:sz val="11"/>
      <ns0:color rgb="FF647783"/>
      <ns0:name val="Aptos"/>
    </ns0:font>
    <ns0:font>
      <ns0:b/>
      <ns0:sz val="10"/>
      <ns0:color rgb="FF182C3A"/>
      <ns0:name val="Aptos"/>
    </ns0:font>
    <ns0:font>
      <ns0:sz val="11"/>
      <ns0:color rgb="FF172B4D"/>
      <ns0:name val="Aptos"/>
    </ns0:font>
    <ns0:font>
      <ns0:b/>
      <ns0:sz val="16"/>
      <ns0:color rgb="FF234F78"/>
      <ns0:name val="Aptos"/>
    </ns0:font>
    <ns0:font>
      <ns0:i/>
      <ns0:sz val="11"/>
      <ns0:color rgb="FF58677A"/>
      <ns0:name val="Aptos"/>
    </ns0:font>
    <ns0:font>
      <ns0:b/>
      <ns0:sz val="11"/>
      <ns0:color rgb="FF00804A"/>
      <ns0:name val="Aptos"/>
    </ns0:font>
    <ns0:font>
      <ns0:sz val="11"/>
      <ns0:color rgb="FF58677A"/>
      <ns0:name val="Aptos"/>
    </ns0:font>
    <ns0:font>
      <ns0:b/>
      <ns0:sz val="11"/>
      <ns0:color rgb="FF234F78"/>
      <ns0:name val="Aptos"/>
    </ns0:font>
    <ns0:font>
      <ns0:i/>
      <ns0:sz val="11"/>
      <ns0:color rgb="FF172B4D"/>
      <ns0:name val="Aptos"/>
    </ns0:font>
    <ns0:font>
      <ns0:b/>
      <ns0:sz val="11"/>
      <ns0:color rgb="FF172B4D"/>
      <ns0:name val="Aptos"/>
    </ns0:font>
    <ns0:font>
      <ns0:b/>
      <ns0:i/>
      <ns0:sz val="11"/>
      <ns0:color rgb="FF172B4D"/>
      <ns0:name val="Aptos"/>
    </ns0:font>
    <ns0:font>
      <ns0:sz val="10"/>
      <ns0:color rgb="FF58677A"/>
      <ns0:name val="Aptos"/>
    </ns0:font>
  </ns0:fonts>
  <ns0:fills count="8">
    <ns0:fill>
      <ns0:patternFill patternType="none"/>
    </ns0:fill>
    <ns0:fill>
      <ns0:patternFill patternType="gray125"/>
    </ns0:fill>
    <ns0:fill>
      <ns0:patternFill patternType="solid">
        <ns0:fgColor rgb="FF15364A"/>
      </ns0:patternFill>
    </ns0:fill>
    <ns0:fill>
      <ns0:patternFill patternType="solid">
        <ns0:fgColor rgb="FFFFF3CC"/>
      </ns0:patternFill>
    </ns0:fill>
    <ns0:fill>
      <ns0:patternFill patternType="solid">
        <ns0:fgColor rgb="FF147D92"/>
      </ns0:patternFill>
    </ns0:fill>
    <ns0:fill>
      <ns0:patternFill patternType="solid">
        <ns0:fgColor rgb="FFE9F3F6"/>
      </ns0:patternFill>
    </ns0:fill>
    <ns0:fill>
      <ns0:patternFill patternType="solid">
        <ns0:fgColor rgb="FF234F78"/>
      </ns0:patternFill>
    </ns0:fill>
    <ns0:fill>
      <ns0:patternFill patternType="solid">
        <ns0:fgColor rgb="FFDFEAF3"/>
      </ns0:patternFill>
    </ns0:fill>
  </ns0:fills>
  <ns0:borders count="7">
    <ns0:border/>
    <ns0:border>
      <ns0:top style="thin">
        <ns0:color rgb="FF9AB0BC"/>
      </ns0:top>
    </ns0:border>
    <ns0:border>
      <ns0:bottom style="thin">
        <ns0:color rgb="FF234F78"/>
      </ns0:bottom>
    </ns0:border>
    <ns0:border>
      <ns0:left style="dotted">
        <ns0:color rgb="FF234F78"/>
      </ns0:left>
      <ns0:top style="dotted">
        <ns0:color rgb="FF234F78"/>
      </ns0:top>
      <ns0:bottom style="dotted">
        <ns0:color rgb="FF234F78"/>
      </ns0:bottom>
    </ns0:border>
    <ns0:border>
      <ns0:top style="dotted">
        <ns0:color rgb="FF234F78"/>
      </ns0:top>
      <ns0:bottom style="dotted">
        <ns0:color rgb="FF234F78"/>
      </ns0:bottom>
    </ns0:border>
    <ns0:border>
      <ns0:right style="dotted">
        <ns0:color rgb="FF234F78"/>
      </ns0:right>
      <ns0:top style="dotted">
        <ns0:color rgb="FF234F78"/>
      </ns0:top>
      <ns0:bottom style="dotted">
        <ns0:color rgb="FF234F78"/>
      </ns0:bottom>
    </ns0:border>
    <ns0:border>
      <ns0:top style="thin">
        <ns0:color rgb="FFCAD4DD"/>
      </ns0:top>
    </ns0:border>
  </ns0:borders>
  <ns0:cellStyleXfs count="1">
    <ns0:xf numFmtId="0" fontId="0" fillId="0" borderId="0"/>
  </ns0:cellStyleXfs>
  <ns0:cellXfs count="167">
    <ns0:xf numFmtId="0" fontId="0" fillId="0" borderId="0" xfId="0"/>
    <ns0:xf numFmtId="0" fontId="1" fillId="0" borderId="0" xfId="0" applyNumberFormat="1" applyFont="1" applyFill="1" applyBorder="1"/>
    <ns0:xf numFmtId="200" fontId="1" fillId="0" borderId="0" xfId="0" applyNumberFormat="1" applyFont="1" applyFill="1" applyBorder="1"/>
    <ns0:xf numFmtId="200" fontId="1" fillId="0" borderId="0" xfId="0" applyNumberFormat="1" applyFont="1" applyFill="1" applyBorder="1" applyAlignment="1">
      <ns0:alignment horizontal="right"/>
    </ns0:xf>
    <ns0:xf numFmtId="0" fontId="1" fillId="2" borderId="0" xfId="0" applyNumberFormat="1" applyFont="1" applyFill="1" applyBorder="1"/>
    <ns0:xf numFmtId="0" fontId="2" fillId="2" borderId="0" xfId="0" applyNumberFormat="1" applyFont="1" applyFill="1" applyBorder="1"/>
    <ns0:xf numFmtId="0" fontId="3" fillId="0" borderId="0" xfId="0" applyNumberFormat="1" applyFont="1" applyFill="1" applyBorder="1"/>
    <ns0:xf numFmtId="0" fontId="4" fillId="0" borderId="0" xfId="0" applyNumberFormat="1" applyFont="1" applyFill="1" applyBorder="1"/>
    <ns0:xf numFmtId="201" fontId="3" fillId="0" borderId="0" xfId="0" applyNumberFormat="1" applyFont="1" applyFill="1" applyBorder="1"/>
    <ns0:xf numFmtId="201" fontId="3" fillId="3" borderId="0" xfId="0" applyNumberFormat="1" applyFont="1" applyFill="1" applyBorder="1"/>
    <ns0:xf numFmtId="201" fontId="5" fillId="3" borderId="0" xfId="0" applyNumberFormat="1" applyFont="1" applyFill="1" applyBorder="1"/>
    <ns0:xf numFmtId="0" fontId="1" fillId="4" borderId="0" xfId="0" applyNumberFormat="1" applyFont="1" applyFill="1" applyBorder="1"/>
    <ns0:xf numFmtId="0" fontId="6" fillId="4" borderId="0" xfId="0" applyNumberFormat="1" applyFont="1" applyFill="1" applyBorder="1"/>
    <ns0:xf numFmtId="0" fontId="6" fillId="4" borderId="0" xfId="0" applyNumberFormat="1" applyFont="1" applyFill="1" applyBorder="1" applyAlignment="1">
      <ns0:alignment horizontal="center"/>
    </ns0:xf>
    <ns0:xf numFmtId="200" fontId="1" fillId="2" borderId="0" xfId="0" applyNumberFormat="1" applyFont="1" applyFill="1" applyBorder="1" applyAlignment="1">
      <ns0:alignment horizontal="right"/>
    </ns0:xf>
    <ns0:xf numFmtId="0" fontId="6" fillId="2" borderId="0" xfId="0" applyNumberFormat="1" applyFont="1" applyFill="1" applyBorder="1"/>
    <ns0:xf numFmtId="200" fontId="6" fillId="2" borderId="0" xfId="0" applyNumberFormat="1" applyFont="1" applyFill="1" applyBorder="1" applyAlignment="1">
      <ns0:alignment horizontal="right"/>
    </ns0:xf>
    <ns0:xf numFmtId="202" fontId="1" fillId="0" borderId="0" xfId="0" applyNumberFormat="1" applyFont="1" applyFill="1" applyBorder="1" applyAlignment="1">
      <ns0:alignment horizontal="right"/>
    </ns0:xf>
    <ns0:xf numFmtId="202" fontId="1" fillId="0" borderId="0" xfId="0" applyNumberFormat="1" applyFont="1" applyFill="1" applyBorder="1"/>
    <ns0:xf numFmtId="202" fontId="7" fillId="0" borderId="0" xfId="0" applyNumberFormat="1" applyFont="1" applyFill="1" applyBorder="1" applyAlignment="1">
      <ns0:alignment horizontal="right"/>
    </ns0:xf>
    <ns0:xf numFmtId="202" fontId="7" fillId="0" borderId="0" xfId="0" applyNumberFormat="1" applyFont="1" applyFill="1" applyBorder="1"/>
    <ns0:xf numFmtId="200" fontId="1" fillId="4" borderId="0" xfId="0" applyNumberFormat="1" applyFont="1" applyFill="1" applyBorder="1" applyAlignment="1">
      <ns0:alignment horizontal="right"/>
    </ns0:xf>
    <ns0:xf numFmtId="200" fontId="6" fillId="4" borderId="0" xfId="0" applyNumberFormat="1" applyFont="1" applyFill="1" applyBorder="1" applyAlignment="1">
      <ns0:alignment horizontal="right"/>
    </ns0:xf>
    <ns0:xf numFmtId="200" fontId="6" fillId="4" borderId="0" xfId="0" applyNumberFormat="1" applyFont="1" applyFill="1" applyBorder="1" applyAlignment="1">
      <ns0:alignment horizontal="right" wrapText="1"/>
    </ns0:xf>
    <ns0:xf numFmtId="0" fontId="6" fillId="4" borderId="0" xfId="0" applyNumberFormat="1" applyFont="1" applyFill="1" applyBorder="1" applyAlignment="1">
      <ns0:alignment wrapText="1"/>
    </ns0:xf>
    <ns0:xf numFmtId="203" fontId="6" fillId="4" borderId="0" xfId="0" applyNumberFormat="1" applyFont="1" applyFill="1" applyBorder="1" applyAlignment="1">
      <ns0:alignment horizontal="right" wrapText="1"/>
    </ns0:xf>
    <ns0:xf numFmtId="203" fontId="6" fillId="4" borderId="0" xfId="0" applyNumberFormat="1" applyFont="1" applyFill="1" applyBorder="1" applyAlignment="1">
      <ns0:alignment wrapText="1"/>
    </ns0:xf>
    <ns0:xf numFmtId="203" fontId="6" fillId="4" borderId="0" xfId="0" applyNumberFormat="1" applyFont="1" applyFill="1" applyBorder="1" applyAlignment="1">
      <ns0:alignment horizontal="center" wrapText="1"/>
    </ns0:xf>
    <ns0:xf numFmtId="201" fontId="1" fillId="0" borderId="0" xfId="0" applyNumberFormat="1" applyFont="1" applyFill="1" applyBorder="1" applyAlignment="1">
      <ns0:alignment horizontal="right"/>
    </ns0:xf>
    <ns0:xf numFmtId="201" fontId="1" fillId="0" borderId="0" xfId="0" applyNumberFormat="1" applyFont="1" applyFill="1" applyBorder="1"/>
    <ns0:xf numFmtId="201" fontId="7" fillId="0" borderId="0" xfId="0" applyNumberFormat="1" applyFont="1" applyFill="1" applyBorder="1" applyAlignment="1">
      <ns0:alignment horizontal="right"/>
    </ns0:xf>
    <ns0:xf numFmtId="201" fontId="7" fillId="0" borderId="0" xfId="0" applyNumberFormat="1" applyFont="1" applyFill="1" applyBorder="1"/>
    <ns0:xf numFmtId="200" fontId="3" fillId="0" borderId="0" xfId="0" applyNumberFormat="1" applyFont="1" applyFill="1" applyBorder="1" applyAlignment="1">
      <ns0:alignment horizontal="right"/>
    </ns0:xf>
    <ns0:xf numFmtId="0" fontId="3" fillId="0" borderId="0" xfId="0" applyNumberFormat="1" applyFont="1" applyFill="1" applyBorder="1" applyAlignment="1">
      <ns0:alignment wrapText="1"/>
    </ns0:xf>
    <ns0:xf numFmtId="200" fontId="3" fillId="0" borderId="0" xfId="0" applyNumberFormat="1" applyFont="1" applyFill="1" applyBorder="1" applyAlignment="1">
      <ns0:alignment horizontal="right" wrapText="1"/>
    </ns0:xf>
    <ns0:xf numFmtId="200" fontId="7" fillId="0" borderId="0" xfId="0" applyNumberFormat="1" applyFont="1" applyFill="1" applyBorder="1" applyAlignment="1">
      <ns0:alignment horizontal="right"/>
    </ns0:xf>
    <ns0:xf numFmtId="204" fontId="7" fillId="0" borderId="0" xfId="0" applyNumberFormat="1" applyFont="1" applyFill="1" applyBorder="1" applyAlignment="1">
      <ns0:alignment horizontal="right"/>
    </ns0:xf>
    <ns0:xf numFmtId="205" fontId="1" fillId="0" borderId="0" xfId="0" applyNumberFormat="1" applyFont="1" applyFill="1" applyBorder="1" applyAlignment="1">
      <ns0:alignment horizontal="right"/>
    </ns0:xf>
    <ns0:xf numFmtId="205" fontId="1" fillId="0" borderId="0" xfId="0" applyNumberFormat="1" applyFont="1" applyFill="1" applyBorder="1" applyAlignment="1">
      <ns0:alignment horizontal="center"/>
    </ns0:xf>
    <ns0:xf numFmtId="206" fontId="1" fillId="0" borderId="0" xfId="0" applyNumberFormat="1" applyFont="1" applyFill="1" applyBorder="1"/>
    <ns0:xf numFmtId="204" fontId="1" fillId="0" borderId="0" xfId="0" applyNumberFormat="1" applyFont="1" applyFill="1" applyBorder="1" applyAlignment="1">
      <ns0:alignment horizontal="right"/>
    </ns0:xf>
    <ns0:xf numFmtId="204" fontId="1" fillId="3" borderId="0" xfId="0" applyNumberFormat="1" applyFont="1" applyFill="1" applyBorder="1" applyAlignment="1">
      <ns0:alignment horizontal="right"/>
    </ns0:xf>
    <ns0:xf numFmtId="204" fontId="7" fillId="3" borderId="0" xfId="0" applyNumberFormat="1" applyFont="1" applyFill="1" applyBorder="1" applyAlignment="1">
      <ns0:alignment horizontal="right"/>
    </ns0:xf>
    <ns0:xf numFmtId="0" fontId="8" fillId="0" borderId="0" xfId="0" applyNumberFormat="1" applyFont="1" applyFill="1" applyBorder="1"/>
    <ns0:xf numFmtId="200" fontId="8" fillId="0" borderId="0" xfId="0" applyNumberFormat="1" applyFont="1" applyFill="1" applyBorder="1" applyAlignment="1">
      <ns0:alignment horizontal="right"/>
    </ns0:xf>
    <ns0:xf numFmtId="200" fontId="4" fillId="0" borderId="0" xfId="0" applyNumberFormat="1" applyFont="1" applyFill="1" applyBorder="1" applyAlignment="1">
      <ns0:alignment horizontal="right"/>
    </ns0:xf>
    <ns0:xf numFmtId="200" fontId="9" fillId="0" borderId="0" xfId="0" applyNumberFormat="1" applyFont="1" applyFill="1" applyBorder="1" applyAlignment="1">
      <ns0:alignment horizontal="right"/>
    </ns0:xf>
    <ns0:xf numFmtId="0" fontId="1" fillId="5" borderId="0" xfId="0" applyNumberFormat="1" applyFont="1" applyFill="1" applyBorder="1"/>
    <ns0:xf numFmtId="200" fontId="4" fillId="5" borderId="0" xfId="0" applyNumberFormat="1" applyFont="1" applyFill="1" applyBorder="1" applyAlignment="1">
      <ns0:alignment horizontal="right"/>
    </ns0:xf>
    <ns0:xf numFmtId="0" fontId="10" fillId="5" borderId="0" xfId="0" applyNumberFormat="1" applyFont="1" applyFill="1" applyBorder="1"/>
    <ns0:xf numFmtId="200" fontId="11" fillId="5" borderId="0" xfId="0" applyNumberFormat="1" applyFont="1" applyFill="1" applyBorder="1" applyAlignment="1">
      <ns0:alignment horizontal="right"/>
    </ns0:xf>
    <ns0:xf numFmtId="207" fontId="11" fillId="5" borderId="0" xfId="0" applyNumberFormat="1" applyFont="1" applyFill="1" applyBorder="1" applyAlignment="1">
      <ns0:alignment horizontal="right"/>
    </ns0:xf>
    <ns0:xf numFmtId="0" fontId="10" fillId="5" borderId="1" xfId="0" applyNumberFormat="1" applyFont="1" applyFill="1" applyBorder="1"/>
    <ns0:xf numFmtId="207" fontId="11" fillId="5" borderId="1" xfId="0" applyNumberFormat="1" applyFont="1" applyFill="1" applyBorder="1" applyAlignment="1">
      <ns0:alignment horizontal="right"/>
    </ns0:xf>
    <ns0:xf numFmtId="200" fontId="9" fillId="5" borderId="0" xfId="0" applyNumberFormat="1" applyFont="1" applyFill="1" applyBorder="1" applyAlignment="1">
      <ns0:alignment horizontal="right"/>
    </ns0:xf>
    <ns0:xf numFmtId="200" fontId="12" fillId="5" borderId="0" xfId="0" applyNumberFormat="1" applyFont="1" applyFill="1" applyBorder="1" applyAlignment="1">
      <ns0:alignment horizontal="right"/>
    </ns0:xf>
    <ns0:xf numFmtId="207" fontId="12" fillId="5" borderId="0" xfId="0" applyNumberFormat="1" applyFont="1" applyFill="1" applyBorder="1" applyAlignment="1">
      <ns0:alignment horizontal="right"/>
    </ns0:xf>
    <ns0:xf numFmtId="207" fontId="12" fillId="5" borderId="1" xfId="0" applyNumberFormat="1" applyFont="1" applyFill="1" applyBorder="1" applyAlignment="1">
      <ns0:alignment horizontal="right"/>
    </ns0:xf>
    <ns0:xf numFmtId="200" fontId="1" fillId="5" borderId="0" xfId="0" applyNumberFormat="1" applyFont="1" applyFill="1" applyBorder="1" applyAlignment="1">
      <ns0:alignment horizontal="right"/>
    </ns0:xf>
    <ns0:xf numFmtId="200" fontId="10" fillId="5" borderId="0" xfId="0" applyNumberFormat="1" applyFont="1" applyFill="1" applyBorder="1" applyAlignment="1">
      <ns0:alignment horizontal="right"/>
    </ns0:xf>
    <ns0:xf numFmtId="207" fontId="10" fillId="5" borderId="0" xfId="0" applyNumberFormat="1" applyFont="1" applyFill="1" applyBorder="1" applyAlignment="1">
      <ns0:alignment horizontal="right"/>
    </ns0:xf>
    <ns0:xf numFmtId="207" fontId="10" fillId="5" borderId="1" xfId="0" applyNumberFormat="1" applyFont="1" applyFill="1" applyBorder="1" applyAlignment="1">
      <ns0:alignment horizontal="right"/>
    </ns0:xf>
    <ns0:xf numFmtId="0" fontId="13" fillId="0" borderId="0" xfId="0" applyNumberFormat="1" applyFont="1" applyFill="1" applyBorder="1"/>
    <ns0:xf numFmtId="200" fontId="13" fillId="0" borderId="0" xfId="0" applyNumberFormat="1" applyFont="1" applyFill="1" applyBorder="1" applyAlignment="1">
      <ns0:alignment horizontal="right"/>
    </ns0:xf>
    <ns0:xf numFmtId="200" fontId="14" fillId="0" borderId="0" xfId="0" applyNumberFormat="1" applyFont="1" applyFill="1" applyBorder="1" applyAlignment="1">
      <ns0:alignment horizontal="right"/>
    </ns0:xf>
    <ns0:xf numFmtId="200" fontId="15" fillId="0" borderId="0" xfId="0" applyNumberFormat="1" applyFont="1" applyFill="1" applyBorder="1" applyAlignment="1">
      <ns0:alignment horizontal="right"/>
    </ns0:xf>
    <ns0:xf numFmtId="204" fontId="13" fillId="0" borderId="0" xfId="0" applyNumberFormat="1" applyFont="1" applyFill="1" applyBorder="1" applyAlignment="1">
      <ns0:alignment horizontal="right"/>
    </ns0:xf>
    <ns0:xf numFmtId="204" fontId="14" fillId="0" borderId="0" xfId="0" applyNumberFormat="1" applyFont="1" applyFill="1" applyBorder="1" applyAlignment="1">
      <ns0:alignment horizontal="right"/>
    </ns0:xf>
    <ns0:xf numFmtId="204" fontId="15" fillId="0" borderId="0" xfId="0" applyNumberFormat="1" applyFont="1" applyFill="1" applyBorder="1" applyAlignment="1">
      <ns0:alignment horizontal="right"/>
    </ns0:xf>
    <ns0:xf numFmtId="208" fontId="14" fillId="0" borderId="0" xfId="0" applyNumberFormat="1" applyFont="1" applyFill="1" applyBorder="1" applyAlignment="1">
      <ns0:alignment horizontal="right"/>
    </ns0:xf>
    <ns0:xf numFmtId="209" fontId="9" fillId="0" borderId="0" xfId="0" applyNumberFormat="1" applyFont="1" applyFill="1" applyBorder="1" applyAlignment="1">
      <ns0:alignment horizontal="right"/>
    </ns0:xf>
    <ns0:xf numFmtId="209" fontId="14" fillId="0" borderId="0" xfId="0" applyNumberFormat="1" applyFont="1" applyFill="1" applyBorder="1" applyAlignment="1">
      <ns0:alignment horizontal="right"/>
    </ns0:xf>
    <ns0:xf numFmtId="203" fontId="1" fillId="0" borderId="0" xfId="0" applyNumberFormat="1" applyFont="1" applyFill="1" applyBorder="1" applyAlignment="1">
      <ns0:alignment horizontal="right"/>
    </ns0:xf>
    <ns0:xf numFmtId="203" fontId="1" fillId="3" borderId="0" xfId="0" applyNumberFormat="1" applyFont="1" applyFill="1" applyBorder="1" applyAlignment="1">
      <ns0:alignment horizontal="right"/>
    </ns0:xf>
    <ns0:xf numFmtId="203" fontId="7" fillId="3" borderId="0" xfId="0" applyNumberFormat="1" applyFont="1" applyFill="1" applyBorder="1" applyAlignment="1">
      <ns0:alignment horizontal="right"/>
    </ns0:xf>
    <ns0:xf numFmtId="205" fontId="9" fillId="0" borderId="0" xfId="0" applyNumberFormat="1" applyFont="1" applyFill="1" applyBorder="1" applyAlignment="1">
      <ns0:alignment horizontal="right"/>
    </ns0:xf>
    <ns0:xf numFmtId="204" fontId="12" fillId="5" borderId="0" xfId="0" applyNumberFormat="1" applyFont="1" applyFill="1" applyBorder="1" applyAlignment="1">
      <ns0:alignment horizontal="right"/>
    </ns0:xf>
    <ns0:xf numFmtId="0" fontId="3" fillId="0" borderId="0" xfId="0" applyNumberFormat="1" applyFont="1" applyFill="1" applyBorder="1" applyAlignment="1">
      <ns0:alignment vertical="top" wrapText="1"/>
    </ns0:xf>
    <ns0:xf numFmtId="207" fontId="1" fillId="0" borderId="0" xfId="0" applyNumberFormat="1" applyFont="1" applyFill="1" applyBorder="1" applyAlignment="1">
      <ns0:alignment horizontal="right"/>
    </ns0:xf>
    <ns0:xf numFmtId="207" fontId="1" fillId="3" borderId="0" xfId="0" applyNumberFormat="1" applyFont="1" applyFill="1" applyBorder="1" applyAlignment="1">
      <ns0:alignment horizontal="right"/>
    </ns0:xf>
    <ns0:xf numFmtId="207" fontId="7" fillId="3" borderId="0" xfId="0" applyNumberFormat="1" applyFont="1" applyFill="1" applyBorder="1" applyAlignment="1">
      <ns0:alignment horizontal="right"/>
    </ns0:xf>
    <ns0:xf numFmtId="207" fontId="4" fillId="3" borderId="0" xfId="0" applyNumberFormat="1" applyFont="1" applyFill="1" applyBorder="1" applyAlignment="1">
      <ns0:alignment horizontal="right"/>
    </ns0:xf>
    <ns0:xf numFmtId="204" fontId="4" fillId="0" borderId="0" xfId="0" applyNumberFormat="1" applyFont="1" applyFill="1" applyBorder="1" applyAlignment="1">
      <ns0:alignment horizontal="right"/>
    </ns0:xf>
    <ns0:xf numFmtId="209" fontId="4" fillId="0" borderId="0" xfId="0" applyNumberFormat="1" applyFont="1" applyFill="1" applyBorder="1" applyAlignment="1">
      <ns0:alignment horizontal="right"/>
    </ns0:xf>
    <ns0:xf numFmtId="205" fontId="1" fillId="3" borderId="0" xfId="0" applyNumberFormat="1" applyFont="1" applyFill="1" applyBorder="1" applyAlignment="1">
      <ns0:alignment horizontal="right"/>
    </ns0:xf>
    <ns0:xf numFmtId="205" fontId="7" fillId="3" borderId="0" xfId="0" applyNumberFormat="1" applyFont="1" applyFill="1" applyBorder="1" applyAlignment="1">
      <ns0:alignment horizontal="right"/>
    </ns0:xf>
    <ns0:xf numFmtId="204" fontId="4" fillId="3" borderId="0" xfId="0" applyNumberFormat="1" applyFont="1" applyFill="1" applyBorder="1" applyAlignment="1">
      <ns0:alignment horizontal="right"/>
    </ns0:xf>
    <ns0:xf numFmtId="208" fontId="1" fillId="0" borderId="0" xfId="0" applyNumberFormat="1" applyFont="1" applyFill="1" applyBorder="1" applyAlignment="1">
      <ns0:alignment horizontal="right"/>
    </ns0:xf>
    <ns0:xf numFmtId="208" fontId="1" fillId="3" borderId="0" xfId="0" applyNumberFormat="1" applyFont="1" applyFill="1" applyBorder="1" applyAlignment="1">
      <ns0:alignment horizontal="right"/>
    </ns0:xf>
    <ns0:xf numFmtId="208" fontId="7" fillId="3" borderId="0" xfId="0" applyNumberFormat="1" applyFont="1" applyFill="1" applyBorder="1" applyAlignment="1">
      <ns0:alignment horizontal="right"/>
    </ns0:xf>
    <ns0:xf numFmtId="205" fontId="1" fillId="0" borderId="0" xfId="0" applyNumberFormat="1" applyFont="1" applyFill="1" applyBorder="1"/>
    <ns0:xf numFmtId="210" fontId="1" fillId="0" borderId="0" xfId="0" applyNumberFormat="1" applyFont="1" applyFill="1" applyBorder="1" applyAlignment="1">
      <ns0:alignment horizontal="right"/>
    </ns0:xf>
    <ns0:xf numFmtId="210" fontId="1" fillId="0" borderId="0" xfId="0" applyNumberFormat="1" applyFont="1" applyFill="1" applyBorder="1"/>
    <ns0:xf numFmtId="200" fontId="1" fillId="2" borderId="0" xfId="0" applyNumberFormat="1" applyFont="1" applyFill="1" applyBorder="1"/>
    <ns0:xf numFmtId="200" fontId="6" fillId="2" borderId="0" xfId="0" applyNumberFormat="1" applyFont="1" applyFill="1" applyBorder="1"/>
    <ns0:xf numFmtId="200" fontId="9" fillId="0" borderId="0" xfId="0" applyNumberFormat="1" applyFont="1" applyFill="1" applyBorder="1"/>
    <ns0:xf numFmtId="200" fontId="4" fillId="0" borderId="0" xfId="0" applyNumberFormat="1" applyFont="1" applyFill="1" applyBorder="1"/>
    <ns0:xf numFmtId="200" fontId="9" fillId="5" borderId="0" xfId="0" applyNumberFormat="1" applyFont="1" applyFill="1" applyBorder="1"/>
    <ns0:xf numFmtId="200" fontId="12" fillId="5" borderId="0" xfId="0" applyNumberFormat="1" applyFont="1" applyFill="1" applyBorder="1"/>
    <ns0:xf numFmtId="207" fontId="12" fillId="5" borderId="0" xfId="0" applyNumberFormat="1" applyFont="1" applyFill="1" applyBorder="1"/>
    <ns0:xf numFmtId="207" fontId="12" fillId="5" borderId="1" xfId="0" applyNumberFormat="1" applyFont="1" applyFill="1" applyBorder="1"/>
    <ns0:xf numFmtId="204" fontId="4" fillId="0" borderId="0" xfId="0" applyNumberFormat="1" applyFont="1" applyFill="1" applyBorder="1"/>
    <ns0:xf numFmtId="204" fontId="15" fillId="0" borderId="0" xfId="0" applyNumberFormat="1" applyFont="1" applyFill="1" applyBorder="1"/>
    <ns0:xf numFmtId="200" fontId="3" fillId="0" borderId="0" xfId="0" applyNumberFormat="1" applyFont="1" applyFill="1" applyBorder="1"/>
    <ns0:xf numFmtId="200" fontId="3" fillId="0" borderId="0" xfId="0" applyNumberFormat="1" applyFont="1" applyFill="1" applyBorder="1" applyAlignment="1">
      <ns0:alignment wrapText="1"/>
    </ns0:xf>
    <ns0:xf numFmtId="0" fontId="9" fillId="0" borderId="0" xfId="0" applyNumberFormat="1" applyFont="1" applyFill="1" applyBorder="1"/>
    <ns0:xf numFmtId="205" fontId="9" fillId="0" borderId="0" xfId="0" applyNumberFormat="1" applyFont="1" applyFill="1" applyBorder="1"/>
    <ns0:xf numFmtId="210" fontId="4" fillId="0" borderId="0" xfId="0" applyNumberFormat="1" applyFont="1" applyFill="1" applyBorder="1" applyAlignment="1">
      <ns0:alignment horizontal="right"/>
    </ns0:xf>
    <ns0:xf numFmtId="200" fontId="16" fillId="0" borderId="0" xfId="0" applyNumberFormat="1" applyFont="1" applyFill="1" applyBorder="1" applyAlignment="1">
      <ns0:alignment horizontal="right"/>
    </ns0:xf>
    <ns0:xf numFmtId="200" fontId="16" fillId="0" borderId="0" xfId="0" applyNumberFormat="1" applyFont="1" applyFill="1" applyBorder="1" applyAlignment="1">
      <ns0:alignment horizontal="right" wrapText="1"/>
    </ns0:xf>
    <ns0:xf numFmtId="0" fontId="1" fillId="3" borderId="0" xfId="0" applyNumberFormat="1" applyFont="1" applyFill="1" applyBorder="1"/>
    <ns0:xf numFmtId="200" fontId="1" fillId="3" borderId="0" xfId="0" applyNumberFormat="1" applyFont="1" applyFill="1" applyBorder="1" applyAlignment="1">
      <ns0:alignment horizontal="right"/>
    </ns0:xf>
    <ns0:xf numFmtId="0" fontId="17" fillId="3" borderId="0" xfId="0" applyNumberFormat="1" applyFont="1" applyFill="1" applyBorder="1"/>
    <ns0:xf numFmtId="200" fontId="17" fillId="3" borderId="0" xfId="0" applyNumberFormat="1" applyFont="1" applyFill="1" applyBorder="1" applyAlignment="1">
      <ns0:alignment horizontal="right"/>
    </ns0:xf>
    <ns0:xf numFmtId="0" fontId="17" fillId="3" borderId="0" xfId="0" applyNumberFormat="1" applyFont="1" applyFill="1" applyBorder="1" applyAlignment="1">
      <ns0:alignment wrapText="1"/>
    </ns0:xf>
    <ns0:xf numFmtId="200" fontId="17" fillId="3" borderId="0" xfId="0" applyNumberFormat="1" applyFont="1" applyFill="1" applyBorder="1" applyAlignment="1">
      <ns0:alignment horizontal="right" wrapText="1"/>
    </ns0:xf>
    <ns0:xf numFmtId="200" fontId="18" fillId="0" borderId="0" xfId="0" applyNumberFormat="1" applyFont="1" applyFill="1" applyBorder="1" applyAlignment="1">
      <ns0:alignment horizontal="right"/>
    </ns0:xf>
    <ns0:xf numFmtId="200" fontId="18" fillId="0" borderId="0" xfId="0" applyNumberFormat="1" applyFont="1" applyFill="1" applyBorder="1" applyAlignment="1">
      <ns0:alignment horizontal="right" wrapText="1"/>
    </ns0:xf>
    <ns0:xf numFmtId="200" fontId="18" fillId="0" borderId="0" xfId="0" applyNumberFormat="1" applyFont="1" applyFill="1" applyBorder="1" applyAlignment="1">
      <ns0:alignment horizontal="right" vertical="center" wrapText="1"/>
    </ns0:xf>
    <ns0:xf numFmtId="200" fontId="6" fillId="4" borderId="0" xfId="0" applyNumberFormat="1" applyFont="1" applyFill="1" applyBorder="1" applyAlignment="1">
      <ns0:alignment horizontal="center"/>
    </ns0:xf>
    <ns0:xf numFmtId="207" fontId="1" fillId="5" borderId="0" xfId="0" applyNumberFormat="1" applyFont="1" applyFill="1" applyBorder="1" applyAlignment="1">
      <ns0:alignment horizontal="right"/>
    </ns0:xf>
    <ns0:xf numFmtId="208" fontId="13" fillId="0" borderId="0" xfId="0" applyNumberFormat="1" applyFont="1" applyFill="1" applyBorder="1" applyAlignment="1">
      <ns0:alignment horizontal="right"/>
    </ns0:xf>
    <ns0:xf numFmtId="203" fontId="19" fillId="0" borderId="0" xfId="0" applyNumberFormat="1" applyFont="1" applyFill="1" applyBorder="1" applyAlignment="1">
      <ns0:alignment horizontal="right"/>
    </ns0:xf>
    <ns0:xf numFmtId="203" fontId="19" fillId="0" borderId="0" xfId="0" applyNumberFormat="1" applyFont="1" applyFill="1" applyBorder="1" applyAlignment="1">
      <ns0:alignment horizontal="right" wrapText="1"/>
    </ns0:xf>
    <ns0:xf numFmtId="207" fontId="3" fillId="0" borderId="0" xfId="0" applyNumberFormat="1" applyFont="1" applyFill="1" applyBorder="1" applyAlignment="1">
      <ns0:alignment horizontal="right"/>
    </ns0:xf>
    <ns0:xf numFmtId="211" fontId="1" fillId="0" borderId="0" xfId="0" applyNumberFormat="1" applyFont="1" applyFill="1" applyBorder="1" applyAlignment="1">
      <ns0:alignment horizontal="right"/>
    </ns0:xf>
    <ns0:xf numFmtId="211" fontId="6" fillId="2" borderId="0" xfId="0" applyNumberFormat="1" applyFont="1" applyFill="1" applyBorder="1" applyAlignment="1">
      <ns0:alignment horizontal="right"/>
    </ns0:xf>
    <ns0:xf numFmtId="211" fontId="4" fillId="0" borderId="0" xfId="0" applyNumberFormat="1" applyFont="1" applyFill="1" applyBorder="1" applyAlignment="1">
      <ns0:alignment horizontal="right"/>
    </ns0:xf>
    <ns0:xf numFmtId="211" fontId="10" fillId="2" borderId="0" xfId="0" applyNumberFormat="1" applyFont="1" applyFill="1" applyBorder="1" applyAlignment="1">
      <ns0:alignment horizontal="right"/>
    </ns0:xf>
    <ns0:xf numFmtId="200" fontId="11" fillId="0" borderId="0" xfId="0" applyNumberFormat="1" applyFont="1" applyFill="1" applyBorder="1" applyAlignment="1">
      <ns0:alignment horizontal="right"/>
    </ns0:xf>
    <ns0:xf numFmtId="200" fontId="12" fillId="0" borderId="0" xfId="0" applyNumberFormat="1" applyFont="1" applyFill="1" applyBorder="1" applyAlignment="1">
      <ns0:alignment horizontal="right"/>
    </ns0:xf>
    <ns0:xf numFmtId="0" fontId="20" fillId="0" borderId="0" xfId="0" applyNumberFormat="1" applyFont="1" applyFill="1" applyBorder="1"/>
    <ns0:xf numFmtId="0" fontId="20" fillId="0" borderId="0" xfId="0" applyNumberFormat="1" applyFont="1" applyFill="1" applyBorder="1" applyAlignment="1">
      <ns0:alignment vertical="center"/>
    </ns0:xf>
    <ns0:xf numFmtId="0" fontId="21" fillId="0" borderId="0" xfId="0" applyNumberFormat="1" applyFont="1" applyFill="1" applyBorder="1" applyAlignment="1">
      <ns0:alignment vertical="center"/>
    </ns0:xf>
    <ns0:xf numFmtId="0" fontId="21" fillId="0" borderId="2" xfId="0" applyNumberFormat="1" applyFont="1" applyFill="1" applyBorder="1" applyAlignment="1">
      <ns0:alignment vertical="center"/>
    </ns0:xf>
    <ns0:xf numFmtId="0" fontId="22" fillId="0" borderId="0" xfId="0" applyNumberFormat="1" applyFont="1" applyFill="1" applyBorder="1" applyAlignment="1">
      <ns0:alignment vertical="center"/>
    </ns0:xf>
    <ns0:xf numFmtId="0" fontId="23" fillId="0" borderId="0" xfId="0" applyNumberFormat="1" applyFont="1" applyFill="1" applyBorder="1" applyAlignment="1">
      <ns0:alignment vertical="center"/>
    </ns0:xf>
    <ns0:xf numFmtId="0" fontId="23" fillId="0" borderId="3" xfId="0" applyNumberFormat="1" applyFont="1" applyFill="1" applyBorder="1" applyAlignment="1">
      <ns0:alignment vertical="center"/>
    </ns0:xf>
    <ns0:xf numFmtId="0" fontId="23" fillId="0" borderId="4" xfId="0" applyNumberFormat="1" applyFont="1" applyFill="1" applyBorder="1" applyAlignment="1">
      <ns0:alignment vertical="center"/>
    </ns0:xf>
    <ns0:xf numFmtId="0" fontId="23" fillId="0" borderId="5" xfId="0" applyNumberFormat="1" applyFont="1" applyFill="1" applyBorder="1" applyAlignment="1">
      <ns0:alignment vertical="center"/>
    </ns0:xf>
    <ns0:xf numFmtId="0" fontId="23" fillId="0" borderId="3" xfId="0" applyNumberFormat="1" applyFont="1" applyFill="1" applyBorder="1" applyAlignment="1">
      <ns0:alignment horizontal="center" vertical="center"/>
    </ns0:xf>
    <ns0:xf numFmtId="0" fontId="23" fillId="0" borderId="4" xfId="0" applyNumberFormat="1" applyFont="1" applyFill="1" applyBorder="1" applyAlignment="1">
      <ns0:alignment horizontal="center" vertical="center"/>
    </ns0:xf>
    <ns0:xf numFmtId="0" fontId="23" fillId="0" borderId="5" xfId="0" applyNumberFormat="1" applyFont="1" applyFill="1" applyBorder="1" applyAlignment="1">
      <ns0:alignment horizontal="center" vertical="center"/>
    </ns0:xf>
    <ns0:xf numFmtId="0" fontId="24" fillId="0" borderId="0" xfId="0" applyNumberFormat="1" applyFont="1" applyFill="1" applyBorder="1" applyAlignment="1">
      <ns0:alignment vertical="center"/>
    </ns0:xf>
    <ns0:xf numFmtId="0" fontId="20" fillId="6" borderId="0" xfId="0" applyNumberFormat="1" applyFont="1" applyFill="1" applyBorder="1" applyAlignment="1">
      <ns0:alignment vertical="center"/>
    </ns0:xf>
    <ns0:xf numFmtId="0" fontId="6" fillId="6" borderId="0" xfId="0" applyNumberFormat="1" applyFont="1" applyFill="1" applyBorder="1" applyAlignment="1">
      <ns0:alignment vertical="center"/>
    </ns0:xf>
    <ns0:xf numFmtId="0" fontId="6" fillId="6" borderId="0" xfId="0" applyNumberFormat="1" applyFont="1" applyFill="1" applyBorder="1" applyAlignment="1">
      <ns0:alignment horizontal="center" vertical="center"/>
    </ns0:xf>
    <ns0:xf numFmtId="0" fontId="20" fillId="7" borderId="0" xfId="0" applyNumberFormat="1" applyFont="1" applyFill="1" applyBorder="1" applyAlignment="1">
      <ns0:alignment vertical="center"/>
    </ns0:xf>
    <ns0:xf numFmtId="0" fontId="25" fillId="7" borderId="0" xfId="0" applyNumberFormat="1" applyFont="1" applyFill="1" applyBorder="1" applyAlignment="1">
      <ns0:alignment vertical="center"/>
    </ns0:xf>
    <ns0:xf numFmtId="212" fontId="20" fillId="0" borderId="0" xfId="0" applyNumberFormat="1" applyFont="1" applyFill="1" applyBorder="1" applyAlignment="1">
      <ns0:alignment vertical="center"/>
    </ns0:xf>
    <ns0:xf numFmtId="212" fontId="25" fillId="7" borderId="0" xfId="0" applyNumberFormat="1" applyFont="1" applyFill="1" applyBorder="1" applyAlignment="1">
      <ns0:alignment vertical="center"/>
    </ns0:xf>
    <ns0:xf numFmtId="213" fontId="20" fillId="0" borderId="0" xfId="0" applyNumberFormat="1" applyFont="1" applyFill="1" applyBorder="1" applyAlignment="1">
      <ns0:alignment vertical="center"/>
    </ns0:xf>
    <ns0:xf numFmtId="213" fontId="20" fillId="0" borderId="0" xfId="0" applyNumberFormat="1" applyFont="1" applyFill="1" applyBorder="1" applyAlignment="1">
      <ns0:alignment horizontal="center" vertical="center"/>
    </ns0:xf>
    <ns0:xf numFmtId="0" fontId="26" fillId="0" borderId="0" xfId="0" applyNumberFormat="1" applyFont="1" applyFill="1" applyBorder="1" applyAlignment="1">
      <ns0:alignment vertical="center"/>
    </ns0:xf>
    <ns0:xf numFmtId="213" fontId="26" fillId="0" borderId="0" xfId="0" applyNumberFormat="1" applyFont="1" applyFill="1" applyBorder="1" applyAlignment="1">
      <ns0:alignment horizontal="center" vertical="center"/>
    </ns0:xf>
    <ns0:xf numFmtId="213" fontId="26" fillId="0" borderId="0" xfId="0" applyNumberFormat="1" applyFont="1" applyFill="1" applyBorder="1" applyAlignment="1">
      <ns0:alignment vertical="center"/>
    </ns0:xf>
    <ns0:xf numFmtId="0" fontId="27" fillId="0" borderId="0" xfId="0" applyNumberFormat="1" applyFont="1" applyFill="1" applyBorder="1" applyAlignment="1">
      <ns0:alignment vertical="center"/>
    </ns0:xf>
    <ns0:xf numFmtId="212" fontId="27" fillId="0" borderId="0" xfId="0" applyNumberFormat="1" applyFont="1" applyFill="1" applyBorder="1" applyAlignment="1">
      <ns0:alignment vertical="center"/>
    </ns0:xf>
    <ns0:xf numFmtId="0" fontId="27" fillId="0" borderId="6" xfId="0" applyNumberFormat="1" applyFont="1" applyFill="1" applyBorder="1" applyAlignment="1">
      <ns0:alignment vertical="center"/>
    </ns0:xf>
    <ns0:xf numFmtId="212" fontId="27" fillId="0" borderId="6" xfId="0" applyNumberFormat="1" applyFont="1" applyFill="1" applyBorder="1" applyAlignment="1">
      <ns0:alignment vertical="center"/>
    </ns0:xf>
    <ns0:xf numFmtId="0" fontId="28" fillId="0" borderId="0" xfId="0" applyNumberFormat="1" applyFont="1" applyFill="1" applyBorder="1" applyAlignment="1">
      <ns0:alignment vertical="center"/>
    </ns0:xf>
    <ns0:xf numFmtId="213" fontId="28" fillId="0" borderId="0" xfId="0" applyNumberFormat="1" applyFont="1" applyFill="1" applyBorder="1" applyAlignment="1">
      <ns0:alignment horizontal="center" vertical="center"/>
    </ns0:xf>
    <ns0:xf numFmtId="0" fontId="28" fillId="0" borderId="6" xfId="0" applyNumberFormat="1" applyFont="1" applyFill="1" applyBorder="1" applyAlignment="1">
      <ns0:alignment vertical="center"/>
    </ns0:xf>
    <ns0:xf numFmtId="213" fontId="28" fillId="0" borderId="6" xfId="0" applyNumberFormat="1" applyFont="1" applyFill="1" applyBorder="1" applyAlignment="1">
      <ns0:alignment horizontal="center" vertical="center"/>
    </ns0:xf>
    <ns0:xf numFmtId="0" fontId="29" fillId="0" borderId="0" xfId="0" applyNumberFormat="1" applyFont="1" applyFill="1" applyBorder="1" applyAlignment="1">
      <ns0:alignment vertical="center"/>
    </ns0:xf>
    <ns0:xf numFmtId="0" fontId="29" fillId="0" borderId="0" xfId="0" applyNumberFormat="1" applyFont="1" applyFill="1" applyBorder="1" applyAlignment="1">
      <ns0:alignment vertical="center" wrapText="1"/>
    </ns0:xf>
    <ns0:xf numFmtId="0" fontId="25" fillId="0" borderId="0" xfId="0" applyNumberFormat="1" applyFont="1" applyFill="1" applyBorder="1" applyAlignment="1">
      <ns0:alignment vertical="center" wrapText="1"/>
    </ns0:xf>
  </ns0:cellXfs>
  <ns0:cellStyles count="1">
    <ns0:cellStyle name="Normal" xfId="0"/>
  </ns0:cellStyles>
  <ns0:dxfs count="17"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b/>
        <ns0:color rgb="FFA32626"/>
      </ns0:font>
      <ns0:fill>
        <ns0:patternFill patternType="solid">
          <ns0:bgColor rgb="FFFDEBEC"/>
        </ns0:patternFill>
      </ns0:fill>
    </ns0:dxf>
    <ns0:dxf>
      <ns0:font>
        <ns0:color rgb="FF137447"/>
      </ns0:font>
      <ns0:fill>
        <ns0:patternFill patternType="solid">
          <ns0:bgColor rgb="FFE6F3EC"/>
        </ns0:patternFill>
      </ns0:fill>
    </ns0:dxf>
    <ns0:dxf>
      <ns0:font>
        <ns0:color rgb="FF137447"/>
      </ns0:font>
      <ns0:fill>
        <ns0:patternFill patternType="solid">
          <ns0:bgColor rgb="FFE6F3EC"/>
        </ns0:patternFill>
      </ns0:fill>
    </ns0:dxf>
    <ns0:dxf>
      <ns0:font>
        <ns0:color rgb="FF137447"/>
      </ns0:font>
      <ns0:fill>
        <ns0:patternFill patternType="solid">
          <ns0:bgColor rgb="FFE6F3EC"/>
        </ns0:patternFill>
      </ns0:fill>
    </ns0:dxf>
    <ns0:dxf>
      <ns0:font>
        <ns0:color rgb="FF137447"/>
      </ns0:font>
      <ns0:fill>
        <ns0:patternFill patternType="solid">
          <ns0:bgColor rgb="FFE6F3EC"/>
        </ns0:patternFill>
      </ns0:fill>
    </ns0:dxf>
    <ns0:dxf>
      <ns0:font>
        <ns0:b/>
        <ns0:color rgb="FFA32832"/>
      </ns0:font>
      <ns0:fill>
        <ns0:patternFill patternType="solid">
          <ns0:bgColor rgb="FFFDEBEC"/>
        </ns0:patternFill>
      </ns0:fill>
    </ns0:dxf>
    <ns0:dxf>
      <ns0:font>
        <ns0:b/>
        <ns0:color rgb="FFA32832"/>
      </ns0:font>
      <ns0:fill>
        <ns0:patternFill patternType="solid">
          <ns0:bgColor rgb="FFFDEBEC"/>
        </ns0:patternFill>
      </ns0:fill>
    </ns0:dxf>
  </ns0:dxf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7caeff3214471" /><Relationship Type="http://schemas.openxmlformats.org/officeDocument/2006/relationships/theme" Target="/xl/theme/theme1.xml" Id="Re3be94cf141b4935" /><Relationship Type="http://schemas.openxmlformats.org/officeDocument/2006/relationships/sharedStrings" Target="/xl/sharedStrings.xml" Id="Rcd0f8aa6e7954525" /><Relationship Type="http://schemas.openxmlformats.org/officeDocument/2006/relationships/worksheet" Target="/xl/worksheets/sheet1.xml" Id="R626af04070a847e0" /><Relationship Type="http://schemas.openxmlformats.org/officeDocument/2006/relationships/worksheet" Target="/xl/worksheets/sheet2.xml" Id="R47783f65a3d6487a" /><Relationship Type="http://schemas.openxmlformats.org/officeDocument/2006/relationships/worksheet" Target="/xl/worksheets/sheet3.xml" Id="R1995158ca7f04196" /><Relationship Type="http://schemas.openxmlformats.org/officeDocument/2006/relationships/worksheet" Target="/xl/worksheets/sheet4.xml" Id="Rb7b3c3f3549049b9" /><Relationship Type="http://schemas.openxmlformats.org/officeDocument/2006/relationships/worksheet" Target="/xl/worksheets/sheet5.xml" Id="R0471006fab174991" /><Relationship Type="http://schemas.openxmlformats.org/officeDocument/2006/relationships/worksheet" Target="/xl/worksheets/sheet6.xml" Id="Rdbeb1eda962141c4" /><Relationship Type="http://schemas.openxmlformats.org/officeDocument/2006/relationships/worksheet" Target="/xl/worksheets/sheet7.xml" Id="R601f3bf1d8214503" /><Relationship Type="http://schemas.openxmlformats.org/officeDocument/2006/relationships/worksheet" Target="/xl/worksheets/sheet8.xml" Id="Rbdf450c3124443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e64f59ceab43f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148a473ab2a47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ptos"/>
                <a:ea typeface="Aptos"/>
                <a:cs typeface="Aptos"/>
              </a:rPr>
              <a:t>Modeled liquidity vs minimum reserve | USD millions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Modeled liquid assets</c:v>
          </c:tx>
          <c:spPr>
            <a:solidFill xmlns:a="http://schemas.openxmlformats.org/drawingml/2006/main">
              <a:srgbClr val="147D92"/>
            </a:solidFill>
          </c:spPr>
          <c:marker>
            <c:symbol val="none"/>
          </c:marker>
          <c:cat>
            <c:strRef>
              <c:f>'Credit Summary'!$C$68:$C$71</c:f>
              <c:strCache>
                <c:ptCount val="0"/>
              </c:strCache>
            </c:strRef>
          </c:cat>
          <c:val>
            <c:numRef>
              <c:f>'Credit Summary'!$D$68:$D$71</c:f>
              <c:numCache>
                <c:formatCode>#,##0.0;(#,##0.0);"—"</c:formatCode>
                <c:ptCount val="0"/>
              </c:numCache>
            </c:numRef>
          </c:val>
          <c:smooth val="0"/>
        </c:ser>
        <c:ser>
          <c:idx val="1"/>
          <c:order val="1"/>
          <c:tx>
            <c:v>Minimum reserve</c:v>
          </c:tx>
          <c:spPr>
            <a:solidFill xmlns:a="http://schemas.openxmlformats.org/drawingml/2006/main">
              <a:srgbClr val="D18E29"/>
            </a:solidFill>
          </c:spPr>
          <c:marker>
            <c:symbol val="none"/>
          </c:marker>
          <c:cat>
            <c:strRef>
              <c:f>'Credit Summary'!$C$68:$C$71</c:f>
              <c:strCache>
                <c:ptCount val="0"/>
              </c:strCache>
            </c:strRef>
          </c:cat>
          <c:val>
            <c:numRef>
              <c:f>'Credit Summary'!$E$68:$E$71</c:f>
              <c:numCache>
                <c:formatCode>#,##0.0;(#,##0.0);"—"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($#,##0)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Existing debt maturities | USD millions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Existing principal due</c:v>
          </c:tx>
          <c:spPr>
            <a:solidFill xmlns:a="http://schemas.openxmlformats.org/drawingml/2006/main">
              <a:srgbClr val="147D92"/>
            </a:solidFill>
          </c:spPr>
          <c:cat>
            <c:strRef>
              <c:f>'Debt Schedule'!$C$61:$C$67</c:f>
              <c:strCache>
                <c:ptCount val="0"/>
              </c:strCache>
            </c:strRef>
          </c:cat>
          <c:val>
            <c:numRef>
              <c:f>'Debt Schedule'!$D$61:$D$67</c:f>
              <c:numCache>
                <c:formatCode>#,##0.0;(#,##0.0);"—"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36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e64f59ceab43f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59</xdr:row>
      <xdr:rowOff>0</xdr:rowOff>
    </xdr:from>
    <xdr:to>
      <xdr:col>10</xdr:col>
      <xdr:colOff>0</xdr:colOff>
      <xdr:row>77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48a473ab2a47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0690df033b44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14130684c204eb2" /></Relationships>
</file>

<file path=xl/worksheets/sheet1.xml><?xml version="1.0" encoding="utf-8"?>
<x:worksheet xmlns:x="http://schemas.openxmlformats.org/spreadsheetml/2006/main">
  <x:sheetPr>
    <x:tabColor rgb="FF147D9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</x:cols>
  <x:sheetData>
    <x:row r="1" ht="21" customHeight="1">
      <x:c r="A1" s="1"/>
      <x:c r="B1" s="1"/>
      <x:c r="C1" s="5" t="str">
        <x:v>AMKOR | CORPORATE CREDIT ANALYSIS</x:v>
      </x:c>
      <x:c r="D1" s="5"/>
      <x:c r="E1" s="5"/>
      <x:c r="F1" s="5"/>
      <x:c r="G1" s="5"/>
    </x:row>
    <x:row r="2" ht="21" customHeight="1">
      <x:c r="A2" s="1"/>
      <x:c r="B2" s="1"/>
      <x:c r="C2" s="5"/>
      <x:c r="D2" s="5"/>
      <x:c r="E2" s="5"/>
      <x:c r="F2" s="5"/>
      <x:c r="G2" s="5"/>
    </x:row>
    <x:row r="3" ht="21" customHeight="1">
      <x:c r="A3" s="1"/>
      <x:c r="B3" s="1"/>
      <x:c r="C3" s="6" t="str">
        <x:v>Amkor Technology | Independent credit study by Eisen Hy | 1-Oct-2026 | USD millions unless stated</x:v>
      </x:c>
      <x:c r="D3" s="6"/>
      <x:c r="E3" s="6"/>
      <x:c r="F3" s="6"/>
      <x:c r="G3" s="6"/>
    </x:row>
    <x:row r="4" ht="21" customHeight="1">
      <x:c r="A4" s="1"/>
      <x:c r="B4" s="1"/>
      <x:c r="C4" s="1" t="str">
        <x:v>Selected case</x:v>
      </x:c>
      <x:c r="D4" s="7" t="str">
        <x:f>'Assumptions'!$D$7</x:f>
        <x:v>Base</x:v>
      </x:c>
      <x:c r="E4" s="1"/>
      <x:c r="F4" s="1"/>
      <x:c r="G4" s="1"/>
    </x:row>
    <x:row r="5" ht="21" customHeight="1">
      <x:c r="A5" s="1"/>
      <x:c r="B5" s="1"/>
      <x:c r="C5" s="1"/>
      <x:c r="D5" s="1"/>
      <x:c r="E5" s="1"/>
      <x:c r="F5" s="1"/>
      <x:c r="G5" s="1"/>
    </x:row>
    <x:row r="6" ht="23" customHeight="1">
      <x:c r="A6" s="1"/>
      <x:c r="B6" s="1"/>
      <x:c r="C6" s="114" t="str">
        <x:f>IF(COUNTIFS('Forecast'!D88:G88,"DEFER")&gt;0,"PRELIMINARY: DEFER / RESTRUCTURE — close the funding gap before lending","PRELIMINARY: SCREEN PASSES — complete due diligence before lending")</x:f>
        <x:v>PRELIMINARY: DEFER / RESTRUCTURE — close the funding gap before lending</x:v>
      </x:c>
      <x:c r="D6" s="115"/>
      <x:c r="E6" s="115"/>
      <x:c r="F6" s="115"/>
      <x:c r="G6" s="115"/>
    </x:row>
    <x:row r="7" ht="23" customHeight="1">
      <x:c r="A7" s="1"/>
      <x:c r="B7" s="1"/>
      <x:c r="C7" s="114"/>
      <x:c r="D7" s="115"/>
      <x:c r="E7" s="115"/>
      <x:c r="F7" s="115"/>
      <x:c r="G7" s="115"/>
    </x:row>
    <x:row r="8" ht="21" customHeight="1">
      <x:c r="A8" s="1"/>
      <x:c r="B8" s="1"/>
      <x:c r="C8" s="1"/>
      <x:c r="D8" s="3"/>
      <x:c r="E8" s="3"/>
      <x:c r="F8" s="3"/>
      <x:c r="G8" s="3"/>
    </x:row>
    <x:row r="9" ht="25" customHeight="1">
      <x:c r="A9" s="1"/>
      <x:c r="B9" s="1"/>
      <x:c r="C9" s="15" t="str">
        <x:v>ILLUSTRATIVE LOAN | Proposed terms, not a commitment</x:v>
      </x:c>
      <x:c r="D9" s="16"/>
      <x:c r="E9" s="16"/>
      <x:c r="F9" s="16"/>
      <x:c r="G9" s="16"/>
    </x:row>
    <x:row r="10" ht="21" customHeight="1">
      <x:c r="A10" s="1"/>
      <x:c r="B10" s="1"/>
      <x:c r="C10" s="1" t="str">
        <x:v>Loan amount</x:v>
      </x:c>
      <x:c r="D10" s="78" t="n">
        <x:f>'Assumptions'!D60</x:f>
        <x:v>100</x:v>
      </x:c>
      <x:c r="E10" s="118" t="str">
        <x:v>Draw 1-Jan-2027; equal year-end amortization. Thresholds are analyst screens, not OCBC policy or actual covenant compliance.</x:v>
      </x:c>
      <x:c r="F10" s="118"/>
      <x:c r="G10" s="118"/>
    </x:row>
    <x:row r="11" ht="21" customHeight="1">
      <x:c r="A11" s="1"/>
      <x:c r="B11" s="1"/>
      <x:c r="C11" s="1" t="str">
        <x:v>Tenor (years)</x:v>
      </x:c>
      <x:c r="D11" s="37" t="n">
        <x:f>'Assumptions'!D61</x:f>
        <x:v>3</x:v>
      </x:c>
      <x:c r="E11" s="118"/>
      <x:c r="F11" s="118"/>
      <x:c r="G11" s="118"/>
    </x:row>
    <x:row r="12" ht="21" customHeight="1">
      <x:c r="A12" s="1"/>
      <x:c r="B12" s="1"/>
      <x:c r="C12" s="1" t="str">
        <x:v>Initial modeled cash interest rate</x:v>
      </x:c>
      <x:c r="D12" s="40" t="n">
        <x:f>'Debt Schedule'!E41</x:f>
        <x:v>0.057300000000000004</x:v>
      </x:c>
      <x:c r="E12" s="118"/>
      <x:c r="F12" s="118"/>
      <x:c r="G12" s="118"/>
    </x:row>
    <x:row r="13" ht="21" customHeight="1">
      <x:c r="A13" s="1"/>
      <x:c r="B13" s="1"/>
      <x:c r="C13" s="1"/>
      <x:c r="D13" s="3"/>
      <x:c r="E13" s="3"/>
      <x:c r="F13" s="3"/>
      <x:c r="G13" s="3"/>
    </x:row>
    <x:row r="14" ht="21" customHeight="1">
      <x:c r="A14" s="1"/>
      <x:c r="B14" s="1"/>
      <x:c r="C14" s="1"/>
      <x:c r="D14" s="3"/>
      <x:c r="E14" s="3"/>
      <x:c r="F14" s="3"/>
      <x:c r="G14" s="3"/>
    </x:row>
    <x:row r="15" ht="25" customHeight="1">
      <x:c r="A15" s="1"/>
      <x:c r="B15" s="1"/>
      <x:c r="C15" s="15" t="str">
        <x:v>REPORTED HISTORY &amp; LATEST CREDIT SNAPSHOT</x:v>
      </x:c>
      <x:c r="D15" s="16"/>
      <x:c r="E15" s="16"/>
      <x:c r="F15" s="16"/>
      <x:c r="G15" s="16"/>
    </x:row>
    <x:row r="16" ht="26" customHeight="1">
      <x:c r="A16" s="1"/>
      <x:c r="B16" s="1"/>
      <x:c r="C16" s="12"/>
      <x:c r="D16" s="119" t="str">
        <x:v>2023A</x:v>
      </x:c>
      <x:c r="E16" s="119" t="str">
        <x:v>2024A</x:v>
      </x:c>
      <x:c r="F16" s="119" t="str">
        <x:v>2025A</x:v>
      </x:c>
      <x:c r="G16" s="119" t="str">
        <x:v>LTM / Jun-26</x:v>
      </x:c>
    </x:row>
    <x:row r="17" ht="21" customHeight="1">
      <x:c r="A17" s="1"/>
      <x:c r="B17" s="1"/>
      <x:c r="C17" s="1" t="str">
        <x:v>Revenue</x:v>
      </x:c>
      <x:c r="D17" s="78" t="n">
        <x:f>'Financials'!D7</x:f>
        <x:v>6503.065</x:v>
      </x:c>
      <x:c r="E17" s="78" t="n">
        <x:f>'Financials'!E7</x:f>
        <x:v>6317.692</x:v>
      </x:c>
      <x:c r="F17" s="78" t="n">
        <x:f>'Financials'!F7</x:f>
        <x:v>6707.981</x:v>
      </x:c>
      <x:c r="G17" s="78" t="n">
        <x:f>'Financials'!G7</x:f>
        <x:v>7457.68</x:v>
      </x:c>
    </x:row>
    <x:row r="18" ht="21" customHeight="1">
      <x:c r="A18" s="1"/>
      <x:c r="B18" s="1"/>
      <x:c r="C18" s="52" t="str">
        <x:v>EBITDA proxy</x:v>
      </x:c>
      <x:c r="D18" s="61" t="n">
        <x:f>'Financials'!D22</x:f>
        <x:v>1101.7949999999994</x:v>
      </x:c>
      <x:c r="E18" s="61" t="n">
        <x:f>'Financials'!E22</x:f>
        <x:v>1033.1180000000004</x:v>
      </x:c>
      <x:c r="F18" s="61" t="n">
        <x:f>'Financials'!F22</x:f>
        <x:v>1109.3930000000003</x:v>
      </x:c>
      <x:c r="G18" s="61" t="n">
        <x:f>'Financials'!G22</x:f>
        <x:v>1323.9340000000002</x:v>
      </x:c>
    </x:row>
    <x:row r="19" ht="21" customHeight="1">
      <x:c r="A19" s="1"/>
      <x:c r="B19" s="1"/>
      <x:c r="C19" s="52" t="str">
        <x:v>Gross debt principal</x:v>
      </x:c>
      <x:c r="D19" s="61" t="n">
        <x:f>'Financials'!D41</x:f>
        <x:v>1209.785</x:v>
      </x:c>
      <x:c r="E19" s="61" t="n">
        <x:f>'Financials'!E41</x:f>
        <x:v>1164.462</x:v>
      </x:c>
      <x:c r="F19" s="61" t="n">
        <x:f>'Financials'!F41</x:f>
        <x:v>1456.171</x:v>
      </x:c>
      <x:c r="G19" s="61" t="n">
        <x:f>'Financials'!G41</x:f>
        <x:v>2515.751</x:v>
      </x:c>
    </x:row>
    <x:row r="20" ht="21" customHeight="1">
      <x:c r="A20" s="1"/>
      <x:c r="B20" s="1"/>
      <x:c r="C20" s="62" t="str">
        <x:v>Gross debt / EBITDA proxy</x:v>
      </x:c>
      <x:c r="D20" s="121" t="n">
        <x:f>'Financials'!D81</x:f>
        <x:v>1.0980127882228552</x:v>
      </x:c>
      <x:c r="E20" s="121" t="n">
        <x:f>'Financials'!E81</x:f>
        <x:v>1.1271335897738686</x:v>
      </x:c>
      <x:c r="F20" s="121" t="n">
        <x:f>'Financials'!F81</x:f>
        <x:v>1.3125835479401797</x:v>
      </x:c>
      <x:c r="G20" s="121" t="n">
        <x:f>'Financials'!G81</x:f>
        <x:v>1.9002087717363554</x:v>
      </x:c>
    </x:row>
    <x:row r="21" ht="21" customHeight="1">
      <x:c r="A21" s="1"/>
      <x:c r="B21" s="1"/>
      <x:c r="C21" s="52" t="str">
        <x:v>Liquid assets excl. restricted cash</x:v>
      </x:c>
      <x:c r="D21" s="61" t="n">
        <x:f>'Financials'!D27</x:f>
        <x:v>1594.687</x:v>
      </x:c>
      <x:c r="E21" s="61" t="n">
        <x:f>'Financials'!E27</x:f>
        <x:v>1646.5370000000003</x:v>
      </x:c>
      <x:c r="F21" s="61" t="n">
        <x:f>'Financials'!F27</x:f>
        <x:v>1991.385</x:v>
      </x:c>
      <x:c r="G21" s="61" t="n">
        <x:f>'Financials'!G27</x:f>
        <x:v>2512.1620000000003</x:v>
      </x:c>
    </x:row>
    <x:row r="22" ht="21" customHeight="1">
      <x:c r="A22" s="1"/>
      <x:c r="B22" s="1"/>
      <x:c r="C22" s="52" t="str">
        <x:v>Simple FCF (CFO − cash capex)</x:v>
      </x:c>
      <x:c r="D22" s="61" t="n">
        <x:f>'Financials'!D62</x:f>
        <x:v>520.553</x:v>
      </x:c>
      <x:c r="E22" s="61" t="n">
        <x:f>'Financials'!E62</x:f>
        <x:v>345.0719999999999</x:v>
      </x:c>
      <x:c r="F22" s="61" t="n">
        <x:f>'Financials'!F62</x:f>
        <x:v>190.99199999999996</x:v>
      </x:c>
      <x:c r="G22" s="61" t="n">
        <x:f>'Financials'!G62</x:f>
        <x:v>-172.38599999999997</x:v>
      </x:c>
    </x:row>
    <x:row r="23" ht="21" customHeight="1">
      <x:c r="A23" s="1"/>
      <x:c r="B23" s="1"/>
      <x:c r="C23" s="1"/>
      <x:c r="D23" s="3"/>
      <x:c r="E23" s="3"/>
      <x:c r="F23" s="3"/>
      <x:c r="G23" s="3"/>
    </x:row>
    <x:row r="24" ht="25" customHeight="1">
      <x:c r="A24" s="1"/>
      <x:c r="B24" s="1"/>
      <x:c r="C24" s="15" t="str">
        <x:v>ACTIVE FORECAST | Earnings coverage is not cash availability</x:v>
      </x:c>
      <x:c r="D24" s="16"/>
      <x:c r="E24" s="16"/>
      <x:c r="F24" s="16"/>
      <x:c r="G24" s="16"/>
    </x:row>
    <x:row r="25" ht="26" customHeight="1">
      <x:c r="A25" s="1"/>
      <x:c r="B25" s="1"/>
      <x:c r="C25" s="12"/>
      <x:c r="D25" s="119" t="str">
        <x:v>2026 H2E</x:v>
      </x:c>
      <x:c r="E25" s="119" t="str">
        <x:v>2027E</x:v>
      </x:c>
      <x:c r="F25" s="119" t="str">
        <x:v>2028E</x:v>
      </x:c>
      <x:c r="G25" s="119" t="str">
        <x:v>2029E</x:v>
      </x:c>
    </x:row>
    <x:row r="26" ht="21" customHeight="1">
      <x:c r="A26" s="1"/>
      <x:c r="B26" s="1"/>
      <x:c r="C26" s="1" t="str">
        <x:v>Annual revenue (2026 combines H1 + H2)</x:v>
      </x:c>
      <x:c r="D26" s="78" t="n">
        <x:f>'Forecast'!D65</x:f>
        <x:v>8038.9321</x:v>
      </x:c>
      <x:c r="E26" s="78" t="n">
        <x:f>'Forecast'!E65</x:f>
        <x:v>8842.82531</x:v>
      </x:c>
      <x:c r="F26" s="78" t="n">
        <x:f>'Forecast'!F65</x:f>
        <x:v>9550.251334800001</x:v>
      </x:c>
      <x:c r="G26" s="78" t="n">
        <x:f>'Forecast'!G65</x:f>
        <x:v>10027.763901540002</x:v>
      </x:c>
    </x:row>
    <x:row r="27" ht="21" customHeight="1">
      <x:c r="A27" s="1"/>
      <x:c r="B27" s="1"/>
      <x:c r="C27" s="52" t="str">
        <x:v>Annual EBITDA proxy</x:v>
      </x:c>
      <x:c r="D27" s="61" t="n">
        <x:f>'Forecast'!D66</x:f>
        <x:v>1524.0891755595862</x:v>
      </x:c>
      <x:c r="E27" s="61" t="n">
        <x:f>'Forecast'!E66</x:f>
        <x:v>1698.0692048527471</x:v>
      </x:c>
      <x:c r="F27" s="61" t="n">
        <x:f>'Forecast'!F66</x:f>
        <x:v>1881.6536606483296</x:v>
      </x:c>
      <x:c r="G27" s="61" t="n">
        <x:f>'Forecast'!G66</x:f>
        <x:v>1995.4047784765798</x:v>
      </x:c>
    </x:row>
    <x:row r="28" ht="21" customHeight="1">
      <x:c r="A28" s="1"/>
      <x:c r="B28" s="1"/>
      <x:c r="C28" s="62" t="str">
        <x:v>Gross debt / EBITDA proxy</x:v>
      </x:c>
      <x:c r="D28" s="121" t="n">
        <x:f>'Forecast'!D71</x:f>
        <x:v>1.5985488507294687</x:v>
      </x:c>
      <x:c r="E28" s="121" t="n">
        <x:f>'Forecast'!E71</x:f>
        <x:v>1.3899767217504804</x:v>
      </x:c>
      <x:c r="F28" s="121" t="n">
        <x:f>'Forecast'!F71</x:f>
        <x:v>1.1644222202817092</x:v>
      </x:c>
      <x:c r="G28" s="121" t="n">
        <x:f>'Forecast'!G71</x:f>
        <x:v>1.0490768703070787</x:v>
      </x:c>
    </x:row>
    <x:row r="29" ht="21" customHeight="1">
      <x:c r="A29" s="1"/>
      <x:c r="B29" s="1"/>
      <x:c r="C29" s="62" t="str">
        <x:v>EBITDA / cash interest proxy</x:v>
      </x:c>
      <x:c r="D29" s="121" t="n">
        <x:f>'Forecast'!D74</x:f>
        <x:v>22.23176192652945</x:v>
      </x:c>
      <x:c r="E29" s="121" t="n">
        <x:f>'Forecast'!E74</x:f>
        <x:v>24.488552297798073</x:v>
      </x:c>
      <x:c r="F29" s="121" t="n">
        <x:f>'Forecast'!F74</x:f>
        <x:v>30.40399826249579</x:v>
      </x:c>
      <x:c r="G29" s="121" t="n">
        <x:f>'Forecast'!G74</x:f>
        <x:v>35.60335876062903</x:v>
      </x:c>
    </x:row>
    <x:row r="30" ht="21" customHeight="1">
      <x:c r="A30" s="1"/>
      <x:c r="B30" s="1"/>
      <x:c r="C30" s="62" t="str">
        <x:v>Maintenance-capex DSCR — period</x:v>
      </x:c>
      <x:c r="D30" s="121" t="n">
        <x:f>'Forecast'!D79</x:f>
        <x:v>-0.2720587371819466</x:v>
      </x:c>
      <x:c r="E30" s="121" t="n">
        <x:f>'Forecast'!E79</x:f>
        <x:v>2.2299459991126995</x:v>
      </x:c>
      <x:c r="F30" s="121" t="n">
        <x:f>'Forecast'!F79</x:f>
        <x:v>3.0406559262162367</x:v>
      </x:c>
      <x:c r="G30" s="121" t="n">
        <x:f>'Forecast'!G79</x:f>
        <x:v>8.392895530507543</x:v>
      </x:c>
    </x:row>
    <x:row r="31" ht="21" customHeight="1">
      <x:c r="A31" s="1"/>
      <x:c r="B31" s="1"/>
      <x:c r="C31" s="62" t="str">
        <x:v>TOTAL-capex DSCR — period</x:v>
      </x:c>
      <x:c r="D31" s="121" t="n">
        <x:f>'Forecast'!D80</x:f>
        <x:v>-10.680480329123784</x:v>
      </x:c>
      <x:c r="E31" s="121" t="n">
        <x:f>'Forecast'!E80</x:f>
        <x:v>-4.862164429667881</x:v>
      </x:c>
      <x:c r="F31" s="121" t="n">
        <x:f>'Forecast'!F80</x:f>
        <x:v>-3.1724494191665538</x:v>
      </x:c>
      <x:c r="G31" s="121" t="n">
        <x:f>'Forecast'!G80</x:f>
        <x:v>1.5637045966841543</x:v>
      </x:c>
    </x:row>
    <x:row r="32" ht="21" customHeight="1">
      <x:c r="A32" s="1"/>
      <x:c r="B32" s="1"/>
      <x:c r="C32" s="52" t="str">
        <x:v>Modeled liquid assets / unfunded deficit</x:v>
      </x:c>
      <x:c r="D32" s="61" t="n">
        <x:f>'Forecast'!D59</x:f>
        <x:v>931.6386302362209</x:v>
      </x:c>
      <x:c r="E32" s="61" t="n">
        <x:f>'Forecast'!E59</x:f>
        <x:v>688.3566673074747</x:v>
      </x:c>
      <x:c r="F32" s="61" t="n">
        <x:f>'Forecast'!F59</x:f>
        <x:v>-1544.5139335999293</x:v>
      </x:c>
      <x:c r="G32" s="61" t="n">
        <x:f>'Forecast'!G59</x:f>
        <x:v>-2515.4906200948335</x:v>
      </x:c>
    </x:row>
    <x:row r="33" ht="21" customHeight="1">
      <x:c r="A33" s="1"/>
      <x:c r="B33" s="1"/>
      <x:c r="C33" s="52" t="str">
        <x:v>Cumulative gap vs minimum reserve</x:v>
      </x:c>
      <x:c r="D33" s="61" t="n">
        <x:f>'Forecast'!D61</x:f>
        <x:v>0</x:v>
      </x:c>
      <x:c r="E33" s="61" t="n">
        <x:f>'Forecast'!E61</x:f>
        <x:v>0</x:v>
      </x:c>
      <x:c r="F33" s="61" t="n">
        <x:f>'Forecast'!F61</x:f>
        <x:v>2044.5139335999293</x:v>
      </x:c>
      <x:c r="G33" s="61" t="n">
        <x:f>'Forecast'!G61</x:f>
        <x:v>3015.4906200948335</x:v>
      </x:c>
    </x:row>
    <x:row r="34" ht="42" customHeight="1">
      <x:c r="A34" s="1"/>
      <x:c r="B34" s="1"/>
      <x:c r="C34" s="1" t="str">
        <x:v>Credit-screen status</x:v>
      </x:c>
      <x:c r="D34" s="123" t="str">
        <x:f>'Forecast'!D88</x:f>
        <x:v>DEFER</x:v>
      </x:c>
      <x:c r="E34" s="123" t="str">
        <x:f>'Forecast'!E88</x:f>
        <x:v>SCREEN PASSES</x:v>
      </x:c>
      <x:c r="F34" s="123" t="str">
        <x:f>'Forecast'!F88</x:f>
        <x:v>DEFER</x:v>
      </x:c>
      <x:c r="G34" s="123" t="str">
        <x:f>'Forecast'!G88</x:f>
        <x:v>DEFER</x:v>
      </x:c>
    </x:row>
    <x:row r="35" ht="21" customHeight="1">
      <x:c r="A35" s="1"/>
      <x:c r="B35" s="1"/>
      <x:c r="C35" s="1"/>
      <x:c r="D35" s="3"/>
      <x:c r="E35" s="3"/>
      <x:c r="F35" s="3"/>
      <x:c r="G35" s="3"/>
    </x:row>
    <x:row r="36" ht="21" customHeight="1">
      <x:c r="A36" s="1"/>
      <x:c r="B36" s="1"/>
      <x:c r="C36" s="1"/>
      <x:c r="D36" s="3"/>
      <x:c r="E36" s="3"/>
      <x:c r="F36" s="3"/>
      <x:c r="G36" s="3"/>
    </x:row>
    <x:row r="37" ht="21" customHeight="1">
      <x:c r="A37" s="1"/>
      <x:c r="B37" s="1"/>
      <x:c r="C37" s="1"/>
      <x:c r="D37" s="3"/>
      <x:c r="E37" s="3"/>
      <x:c r="F37" s="3"/>
      <x:c r="G37" s="3"/>
    </x:row>
    <x:row r="38" ht="21" customHeight="1">
      <x:c r="A38" s="1"/>
      <x:c r="B38" s="1"/>
      <x:c r="C38" s="1"/>
      <x:c r="D38" s="3"/>
      <x:c r="E38" s="3"/>
      <x:c r="F38" s="3"/>
      <x:c r="G38" s="3"/>
    </x:row>
    <x:row r="39" ht="21" customHeight="1">
      <x:c r="A39" s="1"/>
      <x:c r="B39" s="1"/>
      <x:c r="C39" s="1"/>
      <x:c r="D39" s="3"/>
      <x:c r="E39" s="3"/>
      <x:c r="F39" s="3"/>
      <x:c r="G39" s="3"/>
    </x:row>
    <x:row r="40" ht="21" customHeight="1">
      <x:c r="A40" s="1"/>
      <x:c r="B40" s="1"/>
      <x:c r="C40" s="1"/>
      <x:c r="D40" s="3"/>
      <x:c r="E40" s="3"/>
      <x:c r="F40" s="3"/>
      <x:c r="G40" s="3"/>
    </x:row>
    <x:row r="41" ht="21" customHeight="1">
      <x:c r="A41" s="1"/>
      <x:c r="B41" s="1"/>
      <x:c r="C41" s="1"/>
      <x:c r="D41" s="3"/>
      <x:c r="E41" s="3"/>
      <x:c r="F41" s="3"/>
      <x:c r="G41" s="3"/>
    </x:row>
    <x:row r="42" ht="21" customHeight="1">
      <x:c r="A42" s="1"/>
      <x:c r="B42" s="1"/>
      <x:c r="C42" s="1"/>
      <x:c r="D42" s="3"/>
      <x:c r="E42" s="3"/>
      <x:c r="F42" s="3"/>
      <x:c r="G42" s="3"/>
    </x:row>
    <x:row r="43" ht="21" customHeight="1">
      <x:c r="A43" s="1"/>
      <x:c r="B43" s="1"/>
      <x:c r="C43" s="1"/>
      <x:c r="D43" s="3"/>
      <x:c r="E43" s="3"/>
      <x:c r="F43" s="3"/>
      <x:c r="G43" s="3"/>
    </x:row>
    <x:row r="44" ht="21" customHeight="1">
      <x:c r="A44" s="1"/>
      <x:c r="B44" s="1"/>
      <x:c r="C44" s="1"/>
      <x:c r="D44" s="3"/>
      <x:c r="E44" s="3"/>
      <x:c r="F44" s="3"/>
      <x:c r="G44" s="3"/>
    </x:row>
    <x:row r="45" ht="21" customHeight="1">
      <x:c r="A45" s="1"/>
      <x:c r="B45" s="1"/>
      <x:c r="C45" s="1"/>
      <x:c r="D45" s="3"/>
      <x:c r="E45" s="3"/>
      <x:c r="F45" s="3"/>
      <x:c r="G45" s="3"/>
    </x:row>
    <x:row r="46" ht="21" customHeight="1">
      <x:c r="A46" s="1"/>
      <x:c r="B46" s="1"/>
      <x:c r="C46" s="1"/>
      <x:c r="D46" s="3"/>
      <x:c r="E46" s="3"/>
      <x:c r="F46" s="3"/>
      <x:c r="G46" s="3"/>
    </x:row>
    <x:row r="47" ht="21" customHeight="1">
      <x:c r="A47" s="1"/>
      <x:c r="B47" s="1"/>
      <x:c r="C47" s="1"/>
      <x:c r="D47" s="3"/>
      <x:c r="E47" s="3"/>
      <x:c r="F47" s="3"/>
      <x:c r="G47" s="3"/>
    </x:row>
    <x:row r="48" ht="21" customHeight="1">
      <x:c r="A48" s="1"/>
      <x:c r="B48" s="1"/>
      <x:c r="C48" s="1"/>
      <x:c r="D48" s="3"/>
      <x:c r="E48" s="3"/>
      <x:c r="F48" s="3"/>
      <x:c r="G48" s="3"/>
    </x:row>
    <x:row r="49" ht="21" customHeight="1">
      <x:c r="A49" s="1"/>
      <x:c r="B49" s="1"/>
      <x:c r="C49" s="1"/>
      <x:c r="D49" s="3"/>
      <x:c r="E49" s="3"/>
      <x:c r="F49" s="3"/>
      <x:c r="G49" s="3"/>
    </x:row>
    <x:row r="50" ht="21" customHeight="1">
      <x:c r="A50" s="1"/>
      <x:c r="B50" s="1"/>
      <x:c r="C50" s="1"/>
      <x:c r="D50" s="3"/>
      <x:c r="E50" s="3"/>
      <x:c r="F50" s="3"/>
      <x:c r="G50" s="3"/>
    </x:row>
    <x:row r="51" ht="21" customHeight="1">
      <x:c r="A51" s="1"/>
      <x:c r="B51" s="1"/>
      <x:c r="C51" s="1"/>
      <x:c r="D51" s="3"/>
      <x:c r="E51" s="3"/>
      <x:c r="F51" s="3"/>
      <x:c r="G51" s="3"/>
    </x:row>
    <x:row r="52" ht="21" customHeight="1">
      <x:c r="A52" s="1"/>
      <x:c r="B52" s="1"/>
      <x:c r="C52" s="1"/>
      <x:c r="D52" s="3"/>
      <x:c r="E52" s="3"/>
      <x:c r="F52" s="3"/>
      <x:c r="G52" s="3"/>
    </x:row>
    <x:row r="53" ht="21" customHeight="1">
      <x:c r="A53" s="1"/>
      <x:c r="B53" s="1"/>
      <x:c r="C53" s="1"/>
      <x:c r="D53" s="3"/>
      <x:c r="E53" s="3"/>
      <x:c r="F53" s="3"/>
      <x:c r="G53" s="3"/>
    </x:row>
    <x:row r="54" ht="21" customHeight="1">
      <x:c r="A54" s="1"/>
      <x:c r="B54" s="1"/>
      <x:c r="C54" s="1"/>
      <x:c r="D54" s="3"/>
      <x:c r="E54" s="3"/>
      <x:c r="F54" s="3"/>
      <x:c r="G54" s="3"/>
    </x:row>
    <x:row r="55" ht="21" customHeight="1">
      <x:c r="A55" s="1"/>
      <x:c r="B55" s="1"/>
      <x:c r="C55" s="1"/>
      <x:c r="D55" s="3"/>
      <x:c r="E55" s="3"/>
      <x:c r="F55" s="3"/>
      <x:c r="G55" s="3"/>
    </x:row>
    <x:row r="56" ht="25" customHeight="1">
      <x:c r="A56" s="1"/>
      <x:c r="B56" s="1"/>
      <x:c r="C56" s="15" t="str">
        <x:v>CREDIT INTERPRETATION &amp; NEXT REQUIREMENTS</x:v>
      </x:c>
      <x:c r="D56" s="16"/>
      <x:c r="E56" s="16"/>
      <x:c r="F56" s="16"/>
      <x:c r="G56" s="16"/>
    </x:row>
    <x:row r="57" ht="40" customHeight="1">
      <x:c r="A57" s="1"/>
      <x:c r="B57" s="1"/>
      <x:c r="C57" s="33" t="str">
        <x:v>Do not approve on leverage alone. Secure the capex funding plan, verify timing of customer advances / credits, and assess access to subsidiary liquidity before finalizing loan size.</x:v>
      </x:c>
      <x:c r="D57" s="34"/>
      <x:c r="E57" s="34"/>
      <x:c r="F57" s="34"/>
      <x:c r="G57" s="34"/>
    </x:row>
    <x:row r="58" ht="21" customHeight="1">
      <x:c r="A58" s="1"/>
      <x:c r="B58" s="1"/>
      <x:c r="C58" s="1"/>
      <x:c r="D58" s="3"/>
      <x:c r="E58" s="3"/>
      <x:c r="F58" s="3"/>
      <x:c r="G58" s="3"/>
    </x:row>
    <x:row r="59" ht="40" customHeight="1">
      <x:c r="A59" s="1"/>
      <x:c r="B59" s="1"/>
      <x:c r="C59" s="33" t="str">
        <x:v>Future capex and maintenance allocation are estimates. Test all five cases on Assumptions. Total-capex DSCR shows the expansion funding burden even if maintenance-capex DSCR passes.</x:v>
      </x:c>
      <x:c r="D59" s="34"/>
      <x:c r="E59" s="34"/>
      <x:c r="F59" s="34"/>
      <x:c r="G59" s="34"/>
    </x:row>
    <x:row r="60" ht="21" customHeight="1">
      <x:c r="A60" s="1"/>
      <x:c r="B60" s="1"/>
      <x:c r="C60" s="1"/>
      <x:c r="D60" s="3"/>
      <x:c r="E60" s="3"/>
      <x:c r="F60" s="3"/>
      <x:c r="G60" s="3"/>
    </x:row>
    <x:row r="61" ht="40" customHeight="1">
      <x:c r="A61" s="1"/>
      <x:c r="B61" s="1"/>
      <x:c r="C61" s="33" t="str">
        <x:v>The 2030 Term A balloon and $1,150m convertible maturity in 2031 remain outside the 2029 operating forecast. Review refinancing, early conversion cash obligations, security and structural subordination.</x:v>
      </x:c>
      <x:c r="D61" s="34"/>
      <x:c r="E61" s="34"/>
      <x:c r="F61" s="34"/>
      <x:c r="G61" s="34"/>
    </x:row>
    <x:row r="62" ht="21" customHeight="1">
      <x:c r="A62" s="1"/>
      <x:c r="B62" s="1"/>
      <x:c r="C62" s="1"/>
      <x:c r="D62" s="3"/>
      <x:c r="E62" s="3"/>
      <x:c r="F62" s="3"/>
      <x:c r="G62" s="3"/>
    </x:row>
    <x:row r="63" ht="40" customHeight="1">
      <x:c r="A63" s="1"/>
      <x:c r="B63" s="1"/>
      <x:c r="C63" s="33" t="str">
        <x:v>Annual AI spread: 174/174 Sonnet values matched the benchmark and were approved by Eisen on 2-Oct-2026 after checking each against the 10-K pages. Source review: 41 minutes. No time-saving claim without a manual baseline.</x:v>
      </x:c>
      <x:c r="D63" s="34"/>
      <x:c r="E63" s="34"/>
      <x:c r="F63" s="34"/>
      <x:c r="G63" s="34"/>
    </x:row>
    <x:row r="64" ht="21" customHeight="1">
      <x:c r="A64" s="1"/>
      <x:c r="B64" s="1"/>
      <x:c r="C64" s="1"/>
      <x:c r="D64" s="3"/>
      <x:c r="E64" s="3"/>
      <x:c r="F64" s="3"/>
      <x:c r="G64" s="3"/>
    </x:row>
    <x:row r="65" ht="30" customHeight="1">
      <x:c r="A65" s="1"/>
      <x:c r="B65" s="1"/>
      <x:c r="C65" s="33" t="str">
        <x:v>Consolidated borrower analysis; no implied OCBC affiliation, relationship, loan commitment, credit policy or default-probability estimate.</x:v>
      </x:c>
      <x:c r="D65" s="34"/>
      <x:c r="E65" s="34"/>
      <x:c r="F65" s="34"/>
      <x:c r="G65" s="34"/>
    </x:row>
    <x:row r="66" ht="21" customHeight="1">
      <x:c r="A66" s="1"/>
      <x:c r="B66" s="1"/>
      <x:c r="C66" s="1"/>
      <x:c r="D66" s="3"/>
      <x:c r="E66" s="3"/>
      <x:c r="F66" s="3"/>
      <x:c r="G66" s="3"/>
    </x:row>
    <x:row r="67" ht="21" customHeight="1">
      <x:c r="A67" s="1"/>
      <x:c r="B67" s="1"/>
      <x:c r="C67" s="6" t="str">
        <x:v>Period</x:v>
      </x:c>
      <x:c r="D67" s="32" t="str">
        <x:v>Modeled liquid assets</x:v>
      </x:c>
      <x:c r="E67" s="32" t="str">
        <x:v>Minimum reserve</x:v>
      </x:c>
      <x:c r="F67" s="3"/>
      <x:c r="G67" s="3"/>
    </x:row>
    <x:row r="68" ht="21" customHeight="1">
      <x:c r="A68" s="1"/>
      <x:c r="B68" s="1"/>
      <x:c r="C68" s="6" t="str">
        <x:f>D25</x:f>
        <x:v>2026 H2E</x:v>
      </x:c>
      <x:c r="D68" s="124" t="n">
        <x:f>'Forecast'!D59</x:f>
        <x:v>931.6386302362209</x:v>
      </x:c>
      <x:c r="E68" s="124" t="n">
        <x:f>'Forecast'!D60</x:f>
        <x:v>500</x:v>
      </x:c>
      <x:c r="F68" s="3"/>
      <x:c r="G68" s="3"/>
    </x:row>
    <x:row r="69" ht="21" customHeight="1">
      <x:c r="A69" s="1"/>
      <x:c r="B69" s="1"/>
      <x:c r="C69" s="6" t="str">
        <x:f>E25</x:f>
        <x:v>2027E</x:v>
      </x:c>
      <x:c r="D69" s="124" t="n">
        <x:f>'Forecast'!E59</x:f>
        <x:v>688.3566673074747</x:v>
      </x:c>
      <x:c r="E69" s="124" t="n">
        <x:f>'Forecast'!E60</x:f>
        <x:v>500</x:v>
      </x:c>
      <x:c r="F69" s="3"/>
      <x:c r="G69" s="3"/>
    </x:row>
    <x:row r="70" ht="21" customHeight="1">
      <x:c r="A70" s="1"/>
      <x:c r="B70" s="1"/>
      <x:c r="C70" s="6" t="str">
        <x:f>F25</x:f>
        <x:v>2028E</x:v>
      </x:c>
      <x:c r="D70" s="124" t="n">
        <x:f>'Forecast'!F59</x:f>
        <x:v>-1544.5139335999293</x:v>
      </x:c>
      <x:c r="E70" s="124" t="n">
        <x:f>'Forecast'!F60</x:f>
        <x:v>500</x:v>
      </x:c>
      <x:c r="F70" s="3"/>
      <x:c r="G70" s="3"/>
    </x:row>
    <x:row r="71" ht="21" customHeight="1">
      <x:c r="A71" s="1"/>
      <x:c r="B71" s="1"/>
      <x:c r="C71" s="6" t="str">
        <x:f>G25</x:f>
        <x:v>2029E</x:v>
      </x:c>
      <x:c r="D71" s="124" t="n">
        <x:f>'Forecast'!G59</x:f>
        <x:v>-2515.4906200948335</x:v>
      </x:c>
      <x:c r="E71" s="124" t="n">
        <x:f>'Forecast'!G60</x:f>
        <x:v>500</x:v>
      </x:c>
      <x:c r="F71" s="3"/>
      <x:c r="G71" s="3"/>
    </x:row>
    <x:row r="72" ht="21" customHeight="1">
      <x:c r="A72" s="1"/>
      <x:c r="B72" s="1"/>
      <x:c r="C72" s="1"/>
      <x:c r="D72" s="3"/>
      <x:c r="E72" s="3"/>
      <x:c r="F72" s="3"/>
      <x:c r="G72" s="3"/>
    </x:row>
    <x:row r="73" ht="21" customHeight="1">
      <x:c r="A73" s="1"/>
      <x:c r="B73" s="1"/>
      <x:c r="C73" s="1"/>
      <x:c r="D73" s="3"/>
      <x:c r="E73" s="3"/>
      <x:c r="F73" s="3"/>
      <x:c r="G73" s="3"/>
    </x:row>
    <x:row r="74" ht="21" customHeight="1">
      <x:c r="A74" s="1"/>
      <x:c r="B74" s="1"/>
      <x:c r="C74" s="1"/>
      <x:c r="D74" s="3"/>
      <x:c r="E74" s="3"/>
      <x:c r="F74" s="3"/>
      <x:c r="G74" s="3"/>
    </x:row>
    <x:row r="75" ht="21" customHeight="1">
      <x:c r="A75" s="1"/>
      <x:c r="B75" s="1"/>
      <x:c r="C75" s="1"/>
      <x:c r="D75" s="3"/>
      <x:c r="E75" s="3"/>
      <x:c r="F75" s="3"/>
      <x:c r="G75" s="3"/>
    </x:row>
  </x:sheetData>
  <x:mergeCells>
    <x:mergeCell ref="C1:G2"/>
    <x:mergeCell ref="C3:G3"/>
    <x:mergeCell ref="D4:G4"/>
    <x:mergeCell ref="C6:G7"/>
    <x:mergeCell ref="C9:G9"/>
    <x:mergeCell ref="E10:G12"/>
    <x:mergeCell ref="C15:G15"/>
    <x:mergeCell ref="C24:G24"/>
    <x:mergeCell ref="C56:G56"/>
    <x:mergeCell ref="C57:G57"/>
    <x:mergeCell ref="C59:G59"/>
    <x:mergeCell ref="C61:G61"/>
    <x:mergeCell ref="C63:G63"/>
    <x:mergeCell ref="C65:G65"/>
  </x:mergeCells>
  <x:conditionalFormatting sqref="D34:G34">
    <x:cfRule type="containsText" dxfId="3" priority="1" operator="containsText" text="DEFER"/>
  </x:conditionalFormatting>
  <x:conditionalFormatting sqref="D32:G32">
    <x:cfRule type="cellIs" dxfId="4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90690df033b445a"/>
</x:worksheet>
</file>

<file path=xl/worksheets/sheet2.xml><?xml version="1.0" encoding="utf-8"?>
<x:worksheet xmlns:x="http://schemas.openxmlformats.org/spreadsheetml/2006/main">
  <x:sheetPr>
    <x:tabColor rgb="FF147D9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</x:cols>
  <x:sheetData>
    <x:row r="1" ht="21" customHeight="1">
      <x:c r="A1" s="1"/>
      <x:c r="B1" s="1"/>
      <x:c r="C1" s="5" t="str">
        <x:v>FORECAST &amp; LENDING ASSUMPTIONS</x:v>
      </x:c>
      <x:c r="D1" s="5"/>
      <x:c r="E1" s="5"/>
      <x:c r="F1" s="5"/>
      <x:c r="G1" s="5"/>
      <x:c r="H1" s="5"/>
    </x:row>
    <x:row r="2" ht="21" customHeight="1">
      <x:c r="A2" s="1"/>
      <x:c r="B2" s="1"/>
      <x:c r="C2" s="5"/>
      <x:c r="D2" s="5"/>
      <x:c r="E2" s="5"/>
      <x:c r="F2" s="5"/>
      <x:c r="G2" s="5"/>
      <x:c r="H2" s="5"/>
    </x:row>
    <x:row r="3" ht="21" customHeight="1">
      <x:c r="A3" s="1"/>
      <x:c r="B3" s="1"/>
      <x:c r="C3" s="6" t="str">
        <x:v>Amkor Technology | Independent credit study by Eisen Hy | 1-Oct-2026 | USD millions unless stated</x:v>
      </x:c>
      <x:c r="D3" s="6"/>
      <x:c r="E3" s="6"/>
      <x:c r="F3" s="6"/>
      <x:c r="G3" s="6"/>
      <x:c r="H3" s="6"/>
    </x:row>
    <x:row r="4" ht="21" customHeight="1">
      <x:c r="A4" s="1"/>
      <x:c r="B4" s="1"/>
      <x:c r="C4" s="1" t="str">
        <x:v>Selected case</x:v>
      </x:c>
      <x:c r="D4" s="7" t="str">
        <x:f>'Assumptions'!$D$7</x:f>
        <x:v>Base</x:v>
      </x:c>
      <x:c r="E4" s="1"/>
      <x:c r="F4" s="1"/>
      <x:c r="G4" s="1"/>
      <x:c r="H4" s="1"/>
    </x:row>
    <x:row r="5" ht="26" customHeight="1">
      <x:c r="A5" s="1"/>
      <x:c r="B5" s="1"/>
      <x:c r="C5" s="12"/>
      <x:c r="D5" s="13" t="str">
        <x:v>2026 H2E</x:v>
      </x:c>
      <x:c r="E5" s="13" t="str">
        <x:v>2027E</x:v>
      </x:c>
      <x:c r="F5" s="13" t="str">
        <x:v>2028E</x:v>
      </x:c>
      <x:c r="G5" s="13" t="str">
        <x:v>2029E</x:v>
      </x:c>
      <x:c r="H5" s="1"/>
    </x:row>
    <x:row r="6" ht="21" customHeight="1">
      <x:c r="A6" s="1"/>
      <x:c r="B6" s="1"/>
      <x:c r="C6" s="1"/>
      <x:c r="D6" s="3"/>
      <x:c r="E6" s="3"/>
      <x:c r="F6" s="3"/>
      <x:c r="G6" s="3"/>
      <x:c r="H6" s="1"/>
    </x:row>
    <x:row r="7" ht="21" customHeight="1">
      <x:c r="A7" s="1"/>
      <x:c r="B7" s="1"/>
      <x:c r="C7" s="1" t="str">
        <x:v>Scenario (editable dropdown)</x:v>
      </x:c>
      <x:c r="D7" s="74" t="str">
        <x:v>Base</x:v>
      </x:c>
      <x:c r="E7" s="3"/>
      <x:c r="F7" s="46"/>
      <x:c r="G7" s="3"/>
      <x:c r="H7" s="1" t="str">
        <x:v>Only this selector changes the active scenario.</x:v>
      </x:c>
    </x:row>
    <x:row r="8" ht="21" customHeight="1">
      <x:c r="A8" s="1"/>
      <x:c r="B8" s="1"/>
      <x:c r="C8" s="1" t="str">
        <x:v>Case index</x:v>
      </x:c>
      <x:c r="D8" s="75" t="n">
        <x:f>MATCH(D7,$C$11:$C$15,0)</x:f>
        <x:v>1</x:v>
      </x:c>
      <x:c r="E8" s="3"/>
      <x:c r="F8" s="3"/>
      <x:c r="G8" s="3"/>
      <x:c r="H8" s="1"/>
    </x:row>
    <x:row r="9" ht="21" customHeight="1">
      <x:c r="A9" s="1"/>
      <x:c r="B9" s="1"/>
      <x:c r="C9" s="1"/>
      <x:c r="D9" s="3"/>
      <x:c r="E9" s="3"/>
      <x:c r="F9" s="3"/>
      <x:c r="G9" s="3"/>
      <x:c r="H9" s="1"/>
    </x:row>
    <x:row r="10" ht="21" customHeight="1">
      <x:c r="A10" s="1"/>
      <x:c r="B10" s="1"/>
      <x:c r="C10" s="49" t="str">
        <x:v>Revenue growth | Active</x:v>
      </x:c>
      <x:c r="D10" s="76" t="n">
        <x:f>IF(COUNTBLANK(OFFSET(D11,$D$8-1,0))&gt;0,"INPUT NEEDED",CHOOSE($D$8,D11,D12,D13,D14,D15))</x:f>
        <x:v>0.15</x:v>
      </x:c>
      <x:c r="E10" s="76" t="n">
        <x:f>IF(COUNTBLANK(OFFSET(E11,$D$8-1,0))&gt;0,"INPUT NEEDED",CHOOSE($D$8,E11,E12,E13,E14,E15))</x:f>
        <x:v>0.1</x:v>
      </x:c>
      <x:c r="F10" s="76" t="n">
        <x:f>IF(COUNTBLANK(OFFSET(F11,$D$8-1,0))&gt;0,"INPUT NEEDED",CHOOSE($D$8,F11,F12,F13,F14,F15))</x:f>
        <x:v>0.08</x:v>
      </x:c>
      <x:c r="G10" s="76" t="n">
        <x:f>IF(COUNTBLANK(OFFSET(G11,$D$8-1,0))&gt;0,"INPUT NEEDED",CHOOSE($D$8,G11,G12,G13,G14,G15))</x:f>
        <x:v>0.05</x:v>
      </x:c>
      <x:c r="H10" s="77" t="str">
        <x:v>Analyst assumptions. 2026 H2 growth vs 2025 H2. Revenue stress starts in 2027: (1+10%)×(1−20%)−1 = −12%, exactly 20% below the base 2027 level. Growth thereafter follows the selected case; no shock to actuals.</x:v>
      </x:c>
    </x:row>
    <x:row r="11" ht="21" customHeight="1">
      <x:c r="A11" s="1"/>
      <x:c r="B11" s="1"/>
      <x:c r="C11" s="1" t="str">
        <x:v>Base</x:v>
      </x:c>
      <x:c r="D11" s="42" t="n">
        <x:v>0.15</x:v>
      </x:c>
      <x:c r="E11" s="42" t="n">
        <x:v>0.1</x:v>
      </x:c>
      <x:c r="F11" s="42" t="n">
        <x:v>0.08</x:v>
      </x:c>
      <x:c r="G11" s="42" t="n">
        <x:v>0.05</x:v>
      </x:c>
      <x:c r="H11" s="1"/>
    </x:row>
    <x:row r="12" ht="21" customHeight="1">
      <x:c r="A12" s="1"/>
      <x:c r="B12" s="1"/>
      <x:c r="C12" s="1" t="str">
        <x:v>Revenue −20%</x:v>
      </x:c>
      <x:c r="D12" s="42" t="n">
        <x:v>0.15</x:v>
      </x:c>
      <x:c r="E12" s="42" t="n">
        <x:v>-0.12</x:v>
      </x:c>
      <x:c r="F12" s="42" t="n">
        <x:v>0.08</x:v>
      </x:c>
      <x:c r="G12" s="42" t="n">
        <x:v>0.05</x:v>
      </x:c>
      <x:c r="H12" s="1"/>
    </x:row>
    <x:row r="13" ht="21" customHeight="1">
      <x:c r="A13" s="1"/>
      <x:c r="B13" s="1"/>
      <x:c r="C13" s="1" t="str">
        <x:v>Rates +200bp</x:v>
      </x:c>
      <x:c r="D13" s="42" t="n">
        <x:v>0.15</x:v>
      </x:c>
      <x:c r="E13" s="42" t="n">
        <x:v>0.1</x:v>
      </x:c>
      <x:c r="F13" s="42" t="n">
        <x:v>0.08</x:v>
      </x:c>
      <x:c r="G13" s="42" t="n">
        <x:v>0.05</x:v>
      </x:c>
      <x:c r="H13" s="1"/>
    </x:row>
    <x:row r="14" ht="21" customHeight="1">
      <x:c r="A14" s="1"/>
      <x:c r="B14" s="1"/>
      <x:c r="C14" s="1" t="str">
        <x:v>Combined stress</x:v>
      </x:c>
      <x:c r="D14" s="42" t="n">
        <x:v>0.15</x:v>
      </x:c>
      <x:c r="E14" s="42" t="n">
        <x:v>-0.12</x:v>
      </x:c>
      <x:c r="F14" s="42" t="n">
        <x:v>0.08</x:v>
      </x:c>
      <x:c r="G14" s="42" t="n">
        <x:v>0.05</x:v>
      </x:c>
      <x:c r="H14" s="1"/>
    </x:row>
    <x:row r="15" ht="21" customHeight="1">
      <x:c r="A15" s="1"/>
      <x:c r="B15" s="1"/>
      <x:c r="C15" s="1" t="str">
        <x:v>Severe funding</x:v>
      </x:c>
      <x:c r="D15" s="42" t="n">
        <x:v>0.15</x:v>
      </x:c>
      <x:c r="E15" s="42" t="n">
        <x:v>-0.12</x:v>
      </x:c>
      <x:c r="F15" s="42" t="n">
        <x:v>0.03</x:v>
      </x:c>
      <x:c r="G15" s="42" t="n">
        <x:v>0.03</x:v>
      </x:c>
      <x:c r="H15" s="1"/>
    </x:row>
    <x:row r="16" ht="21" customHeight="1">
      <x:c r="A16" s="1"/>
      <x:c r="B16" s="1"/>
      <x:c r="C16" s="1"/>
      <x:c r="D16" s="3"/>
      <x:c r="E16" s="3"/>
      <x:c r="F16" s="3"/>
      <x:c r="G16" s="3"/>
      <x:c r="H16" s="1"/>
    </x:row>
    <x:row r="17" ht="21" customHeight="1">
      <x:c r="A17" s="1"/>
      <x:c r="B17" s="1"/>
      <x:c r="C17" s="49" t="str">
        <x:v>Floating-rate shock | Active</x:v>
      </x:c>
      <x:c r="D17" s="76" t="n">
        <x:f>IF(COUNTBLANK(OFFSET(D18,$D$8-1,0))&gt;0,"INPUT NEEDED",CHOOSE($D$8,D18,D19,D20,D21,D22))</x:f>
        <x:v>0</x:v>
      </x:c>
      <x:c r="E17" s="76" t="n">
        <x:f>IF(COUNTBLANK(OFFSET(E18,$D$8-1,0))&gt;0,"INPUT NEEDED",CHOOSE($D$8,E18,E19,E20,E21,E22))</x:f>
        <x:v>0</x:v>
      </x:c>
      <x:c r="F17" s="76" t="n">
        <x:f>IF(COUNTBLANK(OFFSET(F18,$D$8-1,0))&gt;0,"INPUT NEEDED",CHOOSE($D$8,F18,F19,F20,F21,F22))</x:f>
        <x:v>0</x:v>
      </x:c>
      <x:c r="G17" s="76" t="n">
        <x:f>IF(COUNTBLANK(OFFSET(G18,$D$8-1,0))&gt;0,"INPUT NEEDED",CHOOSE($D$8,G18,G19,G20,G21,G22))</x:f>
        <x:v>0</x:v>
      </x:c>
      <x:c r="H17" s="77" t="str">
        <x:v>A +200bp shock starts in 2027 and affects Term A and the proposed floating-rate loan. Fixed-rate notes, subsidiary loans and the fixed finance-lease interest proxy do not reprice.</x:v>
      </x:c>
    </x:row>
    <x:row r="18" ht="21" customHeight="1">
      <x:c r="A18" s="1"/>
      <x:c r="B18" s="1"/>
      <x:c r="C18" s="1" t="str">
        <x:v>Base</x:v>
      </x:c>
      <x:c r="D18" s="42" t="n">
        <x:v>0</x:v>
      </x:c>
      <x:c r="E18" s="42" t="n">
        <x:v>0</x:v>
      </x:c>
      <x:c r="F18" s="42" t="n">
        <x:v>0</x:v>
      </x:c>
      <x:c r="G18" s="42" t="n">
        <x:v>0</x:v>
      </x:c>
      <x:c r="H18" s="1"/>
    </x:row>
    <x:row r="19" ht="21" customHeight="1">
      <x:c r="A19" s="1"/>
      <x:c r="B19" s="1"/>
      <x:c r="C19" s="1" t="str">
        <x:v>Revenue −20%</x:v>
      </x:c>
      <x:c r="D19" s="42" t="n">
        <x:v>0</x:v>
      </x:c>
      <x:c r="E19" s="42" t="n">
        <x:v>0</x:v>
      </x:c>
      <x:c r="F19" s="42" t="n">
        <x:v>0</x:v>
      </x:c>
      <x:c r="G19" s="42" t="n">
        <x:v>0</x:v>
      </x:c>
      <x:c r="H19" s="1"/>
    </x:row>
    <x:row r="20" ht="21" customHeight="1">
      <x:c r="A20" s="1"/>
      <x:c r="B20" s="1"/>
      <x:c r="C20" s="1" t="str">
        <x:v>Rates +200bp</x:v>
      </x:c>
      <x:c r="D20" s="42" t="n">
        <x:v>0</x:v>
      </x:c>
      <x:c r="E20" s="42" t="n">
        <x:v>0.02</x:v>
      </x:c>
      <x:c r="F20" s="42" t="n">
        <x:v>0.02</x:v>
      </x:c>
      <x:c r="G20" s="42" t="n">
        <x:v>0.02</x:v>
      </x:c>
      <x:c r="H20" s="1"/>
    </x:row>
    <x:row r="21" ht="21" customHeight="1">
      <x:c r="A21" s="1"/>
      <x:c r="B21" s="1"/>
      <x:c r="C21" s="1" t="str">
        <x:v>Combined stress</x:v>
      </x:c>
      <x:c r="D21" s="42" t="n">
        <x:v>0</x:v>
      </x:c>
      <x:c r="E21" s="42" t="n">
        <x:v>0.02</x:v>
      </x:c>
      <x:c r="F21" s="42" t="n">
        <x:v>0.02</x:v>
      </x:c>
      <x:c r="G21" s="42" t="n">
        <x:v>0.02</x:v>
      </x:c>
      <x:c r="H21" s="1"/>
    </x:row>
    <x:row r="22" ht="21" customHeight="1">
      <x:c r="A22" s="1"/>
      <x:c r="B22" s="1"/>
      <x:c r="C22" s="1" t="str">
        <x:v>Severe funding</x:v>
      </x:c>
      <x:c r="D22" s="42" t="n">
        <x:v>0</x:v>
      </x:c>
      <x:c r="E22" s="42" t="n">
        <x:v>0.02</x:v>
      </x:c>
      <x:c r="F22" s="42" t="n">
        <x:v>0.02</x:v>
      </x:c>
      <x:c r="G22" s="42" t="n">
        <x:v>0.02</x:v>
      </x:c>
      <x:c r="H22" s="1"/>
    </x:row>
    <x:row r="23" ht="21" customHeight="1">
      <x:c r="A23" s="1"/>
      <x:c r="B23" s="1"/>
      <x:c r="C23" s="1"/>
      <x:c r="D23" s="3"/>
      <x:c r="E23" s="3"/>
      <x:c r="F23" s="3"/>
      <x:c r="G23" s="3"/>
      <x:c r="H23" s="1"/>
    </x:row>
    <x:row r="24" ht="21" customHeight="1">
      <x:c r="A24" s="1"/>
      <x:c r="B24" s="1"/>
      <x:c r="C24" s="49" t="str">
        <x:v>Cash capex | Active</x:v>
      </x:c>
      <x:c r="D24" s="56" t="n">
        <x:f>IF(COUNTBLANK(OFFSET(D25,$D$8-1,0))&gt;0,"INPUT NEEDED",CHOOSE($D$8,D25,D26,D27,D28,D29))</x:f>
        <x:v>2061.575</x:v>
      </x:c>
      <x:c r="E24" s="56" t="n">
        <x:f>IF(COUNTBLANK(OFFSET(E25,$D$8-1,0))&gt;0,"INPUT NEEDED",CHOOSE($D$8,E25,E26,E27,E28,E29))</x:f>
        <x:v>3000</x:v>
      </x:c>
      <x:c r="F24" s="56" t="n">
        <x:f>IF(COUNTBLANK(OFFSET(F25,$D$8-1,0))&gt;0,"INPUT NEEDED",CHOOSE($D$8,F25,F26,F27,F28,F29))</x:f>
        <x:v>2500</x:v>
      </x:c>
      <x:c r="G24" s="56" t="n">
        <x:f>IF(COUNTBLANK(OFFSET(G25,$D$8-1,0))&gt;0,"INPUT NEEDED",CHOOSE($D$8,G25,G26,G27,G28,G29))</x:f>
        <x:v>1500</x:v>
      </x:c>
      <x:c r="H24" s="77" t="str">
        <x:v>2026 H2 = guidance midpoint $2,750m less actual H1 cash capex $688.425m. 2027–2029 are analyst spend scenarios, not Amkor guidance; severe case adds 25%. Cash settlements of capex payables are included within this cash-spend budget, not added twice.</x:v>
      </x:c>
    </x:row>
    <x:row r="25" ht="21" customHeight="1">
      <x:c r="A25" s="1"/>
      <x:c r="B25" s="1"/>
      <x:c r="C25" s="1" t="str">
        <x:v>Base</x:v>
      </x:c>
      <x:c r="D25" s="81" t="n">
        <x:f>AVERAGE('Raw Spread'!$H$77:$H$78)/'Raw Spread'!$D$3-'Raw Spread'!$H$56/'Raw Spread'!$D$3</x:f>
        <x:v>2061.575</x:v>
      </x:c>
      <x:c r="E25" s="80" t="n">
        <x:v>3000</x:v>
      </x:c>
      <x:c r="F25" s="80" t="n">
        <x:v>2500</x:v>
      </x:c>
      <x:c r="G25" s="80" t="n">
        <x:v>1500</x:v>
      </x:c>
      <x:c r="H25" s="1"/>
    </x:row>
    <x:row r="26" ht="21" customHeight="1">
      <x:c r="A26" s="1"/>
      <x:c r="B26" s="1"/>
      <x:c r="C26" s="1" t="str">
        <x:v>Revenue −20%</x:v>
      </x:c>
      <x:c r="D26" s="81" t="n">
        <x:f>AVERAGE('Raw Spread'!$H$77:$H$78)/'Raw Spread'!$D$3-'Raw Spread'!$H$56/'Raw Spread'!$D$3</x:f>
        <x:v>2061.575</x:v>
      </x:c>
      <x:c r="E26" s="80" t="n">
        <x:v>3000</x:v>
      </x:c>
      <x:c r="F26" s="80" t="n">
        <x:v>2500</x:v>
      </x:c>
      <x:c r="G26" s="80" t="n">
        <x:v>1500</x:v>
      </x:c>
      <x:c r="H26" s="1"/>
    </x:row>
    <x:row r="27" ht="21" customHeight="1">
      <x:c r="A27" s="1"/>
      <x:c r="B27" s="1"/>
      <x:c r="C27" s="1" t="str">
        <x:v>Rates +200bp</x:v>
      </x:c>
      <x:c r="D27" s="81" t="n">
        <x:f>AVERAGE('Raw Spread'!$H$77:$H$78)/'Raw Spread'!$D$3-'Raw Spread'!$H$56/'Raw Spread'!$D$3</x:f>
        <x:v>2061.575</x:v>
      </x:c>
      <x:c r="E27" s="80" t="n">
        <x:v>3000</x:v>
      </x:c>
      <x:c r="F27" s="80" t="n">
        <x:v>2500</x:v>
      </x:c>
      <x:c r="G27" s="80" t="n">
        <x:v>1500</x:v>
      </x:c>
      <x:c r="H27" s="1"/>
    </x:row>
    <x:row r="28" ht="21" customHeight="1">
      <x:c r="A28" s="1"/>
      <x:c r="B28" s="1"/>
      <x:c r="C28" s="1" t="str">
        <x:v>Combined stress</x:v>
      </x:c>
      <x:c r="D28" s="81" t="n">
        <x:f>AVERAGE('Raw Spread'!$H$77:$H$78)/'Raw Spread'!$D$3-'Raw Spread'!$H$56/'Raw Spread'!$D$3</x:f>
        <x:v>2061.575</x:v>
      </x:c>
      <x:c r="E28" s="80" t="n">
        <x:v>3000</x:v>
      </x:c>
      <x:c r="F28" s="80" t="n">
        <x:v>2500</x:v>
      </x:c>
      <x:c r="G28" s="80" t="n">
        <x:v>1500</x:v>
      </x:c>
      <x:c r="H28" s="1"/>
    </x:row>
    <x:row r="29" ht="21" customHeight="1">
      <x:c r="A29" s="1"/>
      <x:c r="B29" s="1"/>
      <x:c r="C29" s="1" t="str">
        <x:v>Severe funding</x:v>
      </x:c>
      <x:c r="D29" s="81" t="n">
        <x:f>AVERAGE('Raw Spread'!$H$77:$H$78)/'Raw Spread'!$D$3-'Raw Spread'!$H$56/'Raw Spread'!$D$3</x:f>
        <x:v>2061.575</x:v>
      </x:c>
      <x:c r="E29" s="80" t="n">
        <x:v>3750</x:v>
      </x:c>
      <x:c r="F29" s="80" t="n">
        <x:v>3125</x:v>
      </x:c>
      <x:c r="G29" s="80" t="n">
        <x:v>1875</x:v>
      </x:c>
      <x:c r="H29" s="1"/>
    </x:row>
    <x:row r="30" ht="21" customHeight="1">
      <x:c r="A30" s="1"/>
      <x:c r="B30" s="1"/>
      <x:c r="C30" s="1"/>
      <x:c r="D30" s="3"/>
      <x:c r="E30" s="3"/>
      <x:c r="F30" s="3"/>
      <x:c r="G30" s="3"/>
      <x:c r="H30" s="1"/>
    </x:row>
    <x:row r="31" ht="21" customHeight="1">
      <x:c r="A31" s="1"/>
      <x:c r="B31" s="1"/>
      <x:c r="C31" s="49" t="str">
        <x:v>Customer advance receipts | Active</x:v>
      </x:c>
      <x:c r="D31" s="56" t="n">
        <x:f>IF(COUNTBLANK(OFFSET(D32,$D$8-1,0))&gt;0,"INPUT NEEDED",CHOOSE($D$8,D32,D33,D34,D35,D36))</x:f>
        <x:v>100</x:v>
      </x:c>
      <x:c r="E31" s="56" t="n">
        <x:f>IF(COUNTBLANK(OFFSET(E32,$D$8-1,0))&gt;0,"INPUT NEEDED",CHOOSE($D$8,E32,E33,E34,E35,E36))</x:f>
        <x:v>1500</x:v>
      </x:c>
      <x:c r="F31" s="56" t="n">
        <x:f>IF(COUNTBLANK(OFFSET(F32,$D$8-1,0))&gt;0,"INPUT NEEDED",CHOOSE($D$8,F32,F33,F34,F35,F36))</x:f>
        <x:v>0</x:v>
      </x:c>
      <x:c r="G31" s="56" t="n">
        <x:f>IF(COUNTBLANK(OFFSET(G32,$D$8-1,0))&gt;0,"INPUT NEEDED",CHOOSE($D$8,G32,G33,G34,G35,G36))</x:f>
        <x:v>0</x:v>
      </x:c>
      <x:c r="H31" s="77" t="str">
        <x:v>S3: $100m received in July 2026; approximately $1,500m expected in 2027. Severe case delays the expected receipt to 2028. Advances are funding, not EBITDA; future customer credits reduce cash collections. Additional expected $300m is excluded until timing is verified.</x:v>
      </x:c>
    </x:row>
    <x:row r="32" ht="21" customHeight="1">
      <x:c r="A32" s="1"/>
      <x:c r="B32" s="1"/>
      <x:c r="C32" s="1" t="str">
        <x:v>Base</x:v>
      </x:c>
      <x:c r="D32" s="81" t="n">
        <x:f>'Raw Spread'!$H$79/'Raw Spread'!$D$3</x:f>
        <x:v>100</x:v>
      </x:c>
      <x:c r="E32" s="81" t="n">
        <x:f>'Raw Spread'!$H$80/'Raw Spread'!$D$3</x:f>
        <x:v>1500</x:v>
      </x:c>
      <x:c r="F32" s="80" t="n">
        <x:v>0</x:v>
      </x:c>
      <x:c r="G32" s="80" t="n">
        <x:v>0</x:v>
      </x:c>
      <x:c r="H32" s="1"/>
    </x:row>
    <x:row r="33" ht="21" customHeight="1">
      <x:c r="A33" s="1"/>
      <x:c r="B33" s="1"/>
      <x:c r="C33" s="1" t="str">
        <x:v>Revenue −20%</x:v>
      </x:c>
      <x:c r="D33" s="81" t="n">
        <x:f>'Raw Spread'!$H$79/'Raw Spread'!$D$3</x:f>
        <x:v>100</x:v>
      </x:c>
      <x:c r="E33" s="81" t="n">
        <x:f>'Raw Spread'!$H$80/'Raw Spread'!$D$3</x:f>
        <x:v>1500</x:v>
      </x:c>
      <x:c r="F33" s="80" t="n">
        <x:v>0</x:v>
      </x:c>
      <x:c r="G33" s="80" t="n">
        <x:v>0</x:v>
      </x:c>
      <x:c r="H33" s="1"/>
    </x:row>
    <x:row r="34" ht="21" customHeight="1">
      <x:c r="A34" s="1"/>
      <x:c r="B34" s="1"/>
      <x:c r="C34" s="1" t="str">
        <x:v>Rates +200bp</x:v>
      </x:c>
      <x:c r="D34" s="81" t="n">
        <x:f>'Raw Spread'!$H$79/'Raw Spread'!$D$3</x:f>
        <x:v>100</x:v>
      </x:c>
      <x:c r="E34" s="81" t="n">
        <x:f>'Raw Spread'!$H$80/'Raw Spread'!$D$3</x:f>
        <x:v>1500</x:v>
      </x:c>
      <x:c r="F34" s="80" t="n">
        <x:v>0</x:v>
      </x:c>
      <x:c r="G34" s="80" t="n">
        <x:v>0</x:v>
      </x:c>
      <x:c r="H34" s="1"/>
    </x:row>
    <x:row r="35" ht="21" customHeight="1">
      <x:c r="A35" s="1"/>
      <x:c r="B35" s="1"/>
      <x:c r="C35" s="1" t="str">
        <x:v>Combined stress</x:v>
      </x:c>
      <x:c r="D35" s="81" t="n">
        <x:f>'Raw Spread'!$H$79/'Raw Spread'!$D$3</x:f>
        <x:v>100</x:v>
      </x:c>
      <x:c r="E35" s="81" t="n">
        <x:f>'Raw Spread'!$H$80/'Raw Spread'!$D$3</x:f>
        <x:v>1500</x:v>
      </x:c>
      <x:c r="F35" s="80" t="n">
        <x:v>0</x:v>
      </x:c>
      <x:c r="G35" s="80" t="n">
        <x:v>0</x:v>
      </x:c>
      <x:c r="H35" s="1"/>
    </x:row>
    <x:row r="36" ht="21" customHeight="1">
      <x:c r="A36" s="1"/>
      <x:c r="B36" s="1"/>
      <x:c r="C36" s="1" t="str">
        <x:v>Severe funding</x:v>
      </x:c>
      <x:c r="D36" s="81" t="n">
        <x:f>'Raw Spread'!$H$79/'Raw Spread'!$D$3</x:f>
        <x:v>100</x:v>
      </x:c>
      <x:c r="E36" s="80" t="n">
        <x:v>0</x:v>
      </x:c>
      <x:c r="F36" s="81" t="n">
        <x:f>'Raw Spread'!$H$80/'Raw Spread'!$D$3</x:f>
        <x:v>1500</x:v>
      </x:c>
      <x:c r="G36" s="80" t="n">
        <x:v>0</x:v>
      </x:c>
      <x:c r="H36" s="1"/>
    </x:row>
    <x:row r="37" ht="21" customHeight="1">
      <x:c r="A37" s="1"/>
      <x:c r="B37" s="1"/>
      <x:c r="C37" s="1"/>
      <x:c r="D37" s="3"/>
      <x:c r="E37" s="3"/>
      <x:c r="F37" s="3"/>
      <x:c r="G37" s="3"/>
      <x:c r="H37" s="1"/>
    </x:row>
    <x:row r="38" ht="21" customHeight="1">
      <x:c r="A38" s="1"/>
      <x:c r="B38" s="1"/>
      <x:c r="C38" s="49" t="str">
        <x:v>Opening advance balance credited | Active</x:v>
      </x:c>
      <x:c r="D38" s="76" t="n">
        <x:f>IF(COUNTBLANK(OFFSET(D39,$D$8-1,0))&gt;0,"INPUT NEEDED",CHOOSE($D$8,D39,D40,D41,D42,D43))</x:f>
        <x:v>0.05</x:v>
      </x:c>
      <x:c r="E38" s="76" t="n">
        <x:f>IF(COUNTBLANK(OFFSET(E39,$D$8-1,0))&gt;0,"INPUT NEEDED",CHOOSE($D$8,E39,E40,E41,E42,E43))</x:f>
        <x:v>0.05</x:v>
      </x:c>
      <x:c r="F38" s="76" t="n">
        <x:f>IF(COUNTBLANK(OFFSET(F39,$D$8-1,0))&gt;0,"INPUT NEEDED",CHOOSE($D$8,F39,F40,F41,F42,F43))</x:f>
        <x:v>0.5</x:v>
      </x:c>
      <x:c r="G38" s="76" t="n">
        <x:f>IF(COUNTBLANK(OFFSET(G39,$D$8-1,0))&gt;0,"INPUT NEEDED",CHOOSE($D$8,G39,G40,G41,G42,G43))</x:f>
        <x:v>1</x:v>
      </x:c>
      <x:c r="H38" s="77" t="str">
        <x:v>Analyst timing assumption, not the contract: credit 5% of opening advances in H2 2026 and 2027, 50% in 2028, and remaining opening balance in 2029. New receipts in each period are not credited in that same period. Edit after reviewing customer agreements.</x:v>
      </x:c>
    </x:row>
    <x:row r="39" ht="21" customHeight="1">
      <x:c r="A39" s="1"/>
      <x:c r="B39" s="1"/>
      <x:c r="C39" s="1" t="str">
        <x:v>Base</x:v>
      </x:c>
      <x:c r="D39" s="42" t="n">
        <x:v>0.05</x:v>
      </x:c>
      <x:c r="E39" s="42" t="n">
        <x:v>0.05</x:v>
      </x:c>
      <x:c r="F39" s="42" t="n">
        <x:v>0.5</x:v>
      </x:c>
      <x:c r="G39" s="42" t="n">
        <x:v>1</x:v>
      </x:c>
      <x:c r="H39" s="1"/>
    </x:row>
    <x:row r="40" ht="21" customHeight="1">
      <x:c r="A40" s="1"/>
      <x:c r="B40" s="1"/>
      <x:c r="C40" s="1" t="str">
        <x:v>Revenue −20%</x:v>
      </x:c>
      <x:c r="D40" s="42" t="n">
        <x:v>0.05</x:v>
      </x:c>
      <x:c r="E40" s="42" t="n">
        <x:v>0.05</x:v>
      </x:c>
      <x:c r="F40" s="42" t="n">
        <x:v>0.5</x:v>
      </x:c>
      <x:c r="G40" s="42" t="n">
        <x:v>1</x:v>
      </x:c>
      <x:c r="H40" s="1"/>
    </x:row>
    <x:row r="41" ht="21" customHeight="1">
      <x:c r="A41" s="1"/>
      <x:c r="B41" s="1"/>
      <x:c r="C41" s="1" t="str">
        <x:v>Rates +200bp</x:v>
      </x:c>
      <x:c r="D41" s="42" t="n">
        <x:v>0.05</x:v>
      </x:c>
      <x:c r="E41" s="42" t="n">
        <x:v>0.05</x:v>
      </x:c>
      <x:c r="F41" s="42" t="n">
        <x:v>0.5</x:v>
      </x:c>
      <x:c r="G41" s="42" t="n">
        <x:v>1</x:v>
      </x:c>
      <x:c r="H41" s="1"/>
    </x:row>
    <x:row r="42" ht="21" customHeight="1">
      <x:c r="A42" s="1"/>
      <x:c r="B42" s="1"/>
      <x:c r="C42" s="1" t="str">
        <x:v>Combined stress</x:v>
      </x:c>
      <x:c r="D42" s="42" t="n">
        <x:v>0.05</x:v>
      </x:c>
      <x:c r="E42" s="42" t="n">
        <x:v>0.05</x:v>
      </x:c>
      <x:c r="F42" s="42" t="n">
        <x:v>0.5</x:v>
      </x:c>
      <x:c r="G42" s="42" t="n">
        <x:v>1</x:v>
      </x:c>
      <x:c r="H42" s="1"/>
    </x:row>
    <x:row r="43" ht="21" customHeight="1">
      <x:c r="A43" s="1"/>
      <x:c r="B43" s="1"/>
      <x:c r="C43" s="1" t="str">
        <x:v>Severe funding</x:v>
      </x:c>
      <x:c r="D43" s="42" t="n">
        <x:v>0.05</x:v>
      </x:c>
      <x:c r="E43" s="42" t="n">
        <x:v>0.05</x:v>
      </x:c>
      <x:c r="F43" s="42" t="n">
        <x:v>0.5</x:v>
      </x:c>
      <x:c r="G43" s="42" t="n">
        <x:v>1</x:v>
      </x:c>
      <x:c r="H43" s="1"/>
    </x:row>
    <x:row r="44" ht="21" customHeight="1">
      <x:c r="A44" s="1"/>
      <x:c r="B44" s="1"/>
      <x:c r="C44" s="1"/>
      <x:c r="D44" s="3"/>
      <x:c r="E44" s="3"/>
      <x:c r="F44" s="3"/>
      <x:c r="G44" s="3"/>
      <x:c r="H44" s="1"/>
    </x:row>
    <x:row r="45" ht="25" customHeight="1">
      <x:c r="A45" s="1"/>
      <x:c r="B45" s="1"/>
      <x:c r="C45" s="15" t="str">
        <x:v>OPERATING &amp; LIQUIDITY DRIVERS</x:v>
      </x:c>
      <x:c r="D45" s="16"/>
      <x:c r="E45" s="16"/>
      <x:c r="F45" s="16"/>
      <x:c r="G45" s="16"/>
      <x:c r="H45" s="15"/>
    </x:row>
    <x:row r="46" ht="34" customHeight="1">
      <x:c r="A46" s="1"/>
      <x:c r="B46" s="1"/>
      <x:c r="C46" s="1" t="str">
        <x:v>Variable cash cost / revenue</x:v>
      </x:c>
      <x:c r="D46" s="42" t="n">
        <x:v>0.7</x:v>
      </x:c>
      <x:c r="E46" s="3"/>
      <x:c r="F46" s="3"/>
      <x:c r="G46" s="3"/>
      <x:c r="H46" s="33" t="str">
        <x:v>Analyst cash-cost split; fixed cost calibrated to LTM EBITDA.</x:v>
      </x:c>
    </x:row>
    <x:row r="47" ht="34" customHeight="1">
      <x:c r="A47" s="1"/>
      <x:c r="B47" s="1"/>
      <x:c r="C47" s="1" t="str">
        <x:v>Annual fixed cash cost inflation</x:v>
      </x:c>
      <x:c r="D47" s="42" t="n">
        <x:v>0.03</x:v>
      </x:c>
      <x:c r="E47" s="3"/>
      <x:c r="F47" s="3"/>
      <x:c r="G47" s="3"/>
      <x:c r="H47" s="33" t="str">
        <x:v>Analyst estimate; no automatic margin expansion or savings.</x:v>
      </x:c>
    </x:row>
    <x:row r="48" ht="34" customHeight="1">
      <x:c r="A48" s="1"/>
      <x:c r="B48" s="1"/>
      <x:c r="C48" s="1" t="str">
        <x:v>D&amp;A / revenue</x:v>
      </x:c>
      <x:c r="D48" s="82" t="n">
        <x:f>'Financials'!G21/'Financials'!G7</x:f>
        <x:v>0.09116749444867572</x:v>
      </x:c>
      <x:c r="E48" s="3"/>
      <x:c r="F48" s="3"/>
      <x:c r="G48" s="3"/>
      <x:c r="H48" s="33" t="str">
        <x:v>Linked LTM reference; expense proxy, not an asset vintage schedule.</x:v>
      </x:c>
    </x:row>
    <x:row r="49" ht="34" customHeight="1">
      <x:c r="A49" s="1"/>
      <x:c r="B49" s="1"/>
      <x:c r="C49" s="1" t="str">
        <x:v>COGS / revenue for working capital</x:v>
      </x:c>
      <x:c r="D49" s="82" t="n">
        <x:f>'Financials'!G8/'Financials'!G7</x:f>
        <x:v>0.8448926475794081</x:v>
      </x:c>
      <x:c r="E49" s="3"/>
      <x:c r="F49" s="3"/>
      <x:c r="G49" s="3"/>
      <x:c r="H49" s="33" t="str">
        <x:v>LTM COGS ratio; working-capital denominator proxy.</x:v>
      </x:c>
    </x:row>
    <x:row r="50" ht="34" customHeight="1">
      <x:c r="A50" s="1"/>
      <x:c r="B50" s="1"/>
      <x:c r="C50" s="1" t="str">
        <x:v>Receivable days (DSO)</x:v>
      </x:c>
      <x:c r="D50" s="83" t="n">
        <x:f>'Financials'!G88</x:f>
        <x:v>69.516102192639</x:v>
      </x:c>
      <x:c r="E50" s="3"/>
      <x:c r="F50" s="3"/>
      <x:c r="G50" s="3"/>
      <x:c r="H50" s="33" t="str">
        <x:v>LTM revenue and latest receivables, not averaged balances.</x:v>
      </x:c>
    </x:row>
    <x:row r="51" ht="34" customHeight="1">
      <x:c r="A51" s="1"/>
      <x:c r="B51" s="1"/>
      <x:c r="C51" s="1" t="str">
        <x:v>Inventory days (DIO)</x:v>
      </x:c>
      <x:c r="D51" s="83" t="n">
        <x:f>'Financials'!G89</x:f>
        <x:v>32.47905828004366</x:v>
      </x:c>
      <x:c r="E51" s="3"/>
      <x:c r="F51" s="3"/>
      <x:c r="G51" s="3"/>
      <x:c r="H51" s="33" t="str">
        <x:v>LTM cost of sales and latest inventory.</x:v>
      </x:c>
    </x:row>
    <x:row r="52" ht="34" customHeight="1">
      <x:c r="A52" s="1"/>
      <x:c r="B52" s="1"/>
      <x:c r="C52" s="1" t="str">
        <x:v>Payable days (DPO)</x:v>
      </x:c>
      <x:c r="D52" s="83" t="n">
        <x:f>'Financials'!G90</x:f>
        <x:v>51.01626757535662</x:v>
      </x:c>
      <x:c r="E52" s="3"/>
      <x:c r="F52" s="3"/>
      <x:c r="G52" s="3"/>
      <x:c r="H52" s="33" t="str">
        <x:v>Trade AP only; capex payables excluded from operating NWC.</x:v>
      </x:c>
    </x:row>
    <x:row r="53" ht="34" customHeight="1">
      <x:c r="A53" s="1"/>
      <x:c r="B53" s="1"/>
      <x:c r="C53" s="1" t="str">
        <x:v>Cash tax rate</x:v>
      </x:c>
      <x:c r="D53" s="42" t="n">
        <x:v>0.18</x:v>
      </x:c>
      <x:c r="E53" s="3"/>
      <x:c r="F53" s="3"/>
      <x:c r="G53" s="3"/>
      <x:c r="H53" s="33" t="str">
        <x:v>Analyst rate on positive EBIT less modeled cash interest; no tax benefit in loss years.</x:v>
      </x:c>
    </x:row>
    <x:row r="54" ht="34" customHeight="1">
      <x:c r="A54" s="1"/>
      <x:c r="B54" s="1"/>
      <x:c r="C54" s="1" t="str">
        <x:v>Consolidated liquid assets accessible</x:v>
      </x:c>
      <x:c r="D54" s="42" t="n">
        <x:v>1</x:v>
      </x:c>
      <x:c r="E54" s="3"/>
      <x:c r="F54" s="3"/>
      <x:c r="G54" s="3"/>
      <x:c r="H54" s="33" t="str">
        <x:v>100% is a ceiling assumption. Restricted cash excluded. Confirm parent access / transfer taxes.</x:v>
      </x:c>
    </x:row>
    <x:row r="55" ht="34" customHeight="1">
      <x:c r="A55" s="1"/>
      <x:c r="B55" s="1"/>
      <x:c r="C55" s="1" t="str">
        <x:v>Minimum liquid asset reserve</x:v>
      </x:c>
      <x:c r="D55" s="80" t="n">
        <x:v>500</x:v>
      </x:c>
      <x:c r="E55" s="3"/>
      <x:c r="F55" s="3"/>
      <x:c r="G55" s="3"/>
      <x:c r="H55" s="33" t="str">
        <x:v>Illustrative credit buffer, not a disclosed bank covenant.</x:v>
      </x:c>
    </x:row>
    <x:row r="56" ht="34" customHeight="1">
      <x:c r="A56" s="1"/>
      <x:c r="B56" s="1"/>
      <x:c r="C56" s="1" t="str">
        <x:v>Annual cash dividends</x:v>
      </x:c>
      <x:c r="D56" s="81" t="n">
        <x:f>'Raw Spread'!H68/'Raw Spread'!$D$3*2</x:f>
        <x:v>82.806</x:v>
      </x:c>
      <x:c r="E56" s="3"/>
      <x:c r="F56" s="3"/>
      <x:c r="G56" s="3"/>
      <x:c r="H56" s="33" t="str">
        <x:v>H1:26 cash dividends ×2; shareholder distributions remain discretionary.</x:v>
      </x:c>
    </x:row>
    <x:row r="57" ht="34" customHeight="1">
      <x:c r="A57" s="1"/>
      <x:c r="B57" s="1"/>
      <x:c r="C57" s="1" t="str">
        <x:v>Maintenance share of total cash capex</x:v>
      </x:c>
      <x:c r="D57" s="42" t="n">
        <x:v>0.3</x:v>
      </x:c>
      <x:c r="E57" s="3"/>
      <x:c r="F57" s="3"/>
      <x:c r="G57" s="3"/>
      <x:c r="H57" s="33" t="str">
        <x:v>Analyst estimate; not company disclosed. Total-capex DSCR is also shown.</x:v>
      </x:c>
    </x:row>
    <x:row r="58" ht="21" customHeight="1">
      <x:c r="A58" s="1"/>
      <x:c r="B58" s="1"/>
      <x:c r="C58" s="1"/>
      <x:c r="D58" s="3"/>
      <x:c r="E58" s="3"/>
      <x:c r="F58" s="3"/>
      <x:c r="G58" s="3"/>
      <x:c r="H58" s="1"/>
    </x:row>
    <x:row r="59" ht="25" customHeight="1">
      <x:c r="A59" s="1"/>
      <x:c r="B59" s="1"/>
      <x:c r="C59" s="15" t="str">
        <x:v>ILLUSTRATIVE NEW LOAN &amp; LEASE CASH SERVICE</x:v>
      </x:c>
      <x:c r="D59" s="16"/>
      <x:c r="E59" s="16"/>
      <x:c r="F59" s="16"/>
      <x:c r="G59" s="16"/>
      <x:c r="H59" s="15"/>
    </x:row>
    <x:row r="60" ht="34" customHeight="1">
      <x:c r="A60" s="1"/>
      <x:c r="B60" s="1"/>
      <x:c r="C60" s="1" t="str">
        <x:v>New loan amount</x:v>
      </x:c>
      <x:c r="D60" s="80" t="n">
        <x:v>100</x:v>
      </x:c>
      <x:c r="E60" s="3"/>
      <x:c r="F60" s="3"/>
      <x:c r="G60" s="3"/>
      <x:c r="H60" s="33" t="str">
        <x:v>Hypothetical incremental corporate term loan; not an approved commitment.</x:v>
      </x:c>
    </x:row>
    <x:row r="61" ht="34" customHeight="1">
      <x:c r="A61" s="1"/>
      <x:c r="B61" s="1"/>
      <x:c r="C61" s="1" t="str">
        <x:v>Loan tenor (years)</x:v>
      </x:c>
      <x:c r="D61" s="85" t="n">
        <x:v>3</x:v>
      </x:c>
      <x:c r="E61" s="3"/>
      <x:c r="F61" s="3"/>
      <x:c r="G61" s="3"/>
      <x:c r="H61" s="33" t="str">
        <x:v>Originates 1-Jan-2027; equal year-end principal payments; tenor 1–3 years.</x:v>
      </x:c>
    </x:row>
    <x:row r="62" ht="34" customHeight="1">
      <x:c r="A62" s="1"/>
      <x:c r="B62" s="1"/>
      <x:c r="C62" s="1" t="str">
        <x:v>Loan benchmark rate</x:v>
      </x:c>
      <x:c r="D62" s="86" t="n">
        <x:f>'Raw Spread'!E96-'Raw Spread'!E104</x:f>
        <x:v>0.0373</x:v>
      </x:c>
      <x:c r="E62" s="3"/>
      <x:c r="F62" s="3"/>
      <x:c r="G62" s="3"/>
      <x:c r="H62" s="33" t="str">
        <x:v>June 2026 Term A rate 5.48% less contractual 1.75% spread; not current SOFR.</x:v>
      </x:c>
    </x:row>
    <x:row r="63" ht="34" customHeight="1">
      <x:c r="A63" s="1"/>
      <x:c r="B63" s="1"/>
      <x:c r="C63" s="1" t="str">
        <x:v>New loan spread</x:v>
      </x:c>
      <x:c r="D63" s="42" t="n">
        <x:v>0.02</x:v>
      </x:c>
      <x:c r="E63" s="3"/>
      <x:c r="F63" s="3"/>
      <x:c r="G63" s="3"/>
      <x:c r="H63" s="33" t="str">
        <x:v>Illustrative 200bp margin; not OCBC pricing.</x:v>
      </x:c>
    </x:row>
    <x:row r="64" ht="34" customHeight="1">
      <x:c r="A64" s="1"/>
      <x:c r="B64" s="1"/>
      <x:c r="C64" s="1" t="str">
        <x:v>New loan upfront fee</x:v>
      </x:c>
      <x:c r="D64" s="42" t="n">
        <x:v>0.01</x:v>
      </x:c>
      <x:c r="E64" s="3"/>
      <x:c r="F64" s="3"/>
      <x:c r="G64" s="3"/>
      <x:c r="H64" s="33" t="str">
        <x:v>Illustrative 1% cash fee at disbursement.</x:v>
      </x:c>
    </x:row>
    <x:row r="65" ht="34" customHeight="1">
      <x:c r="A65" s="1"/>
      <x:c r="B65" s="1"/>
      <x:c r="C65" s="1" t="str">
        <x:v>Annual finance lease principal</x:v>
      </x:c>
      <x:c r="D65" s="81" t="n">
        <x:f>'Raw Spread'!H67/'Raw Spread'!$D$3*2</x:f>
        <x:v>50.708</x:v>
      </x:c>
      <x:c r="E65" s="3"/>
      <x:c r="F65" s="3"/>
      <x:c r="G65" s="3"/>
      <x:c r="H65" s="33" t="str">
        <x:v>H1:26 payments ×2; capped by lease balance. Contractual schedule not disclosed here.</x:v>
      </x:c>
    </x:row>
    <x:row r="66" ht="34" customHeight="1">
      <x:c r="A66" s="1"/>
      <x:c r="B66" s="1"/>
      <x:c r="C66" s="1" t="str">
        <x:v>Annual new finance lease principal</x:v>
      </x:c>
      <x:c r="D66" s="80" t="n">
        <x:v>0</x:v>
      </x:c>
      <x:c r="E66" s="3"/>
      <x:c r="F66" s="3"/>
      <x:c r="G66" s="3"/>
      <x:c r="H66" s="33" t="str">
        <x:v>Default zero additions; raise after reviewing expansion equipment leases.</x:v>
      </x:c>
    </x:row>
    <x:row r="67" ht="34" customHeight="1">
      <x:c r="A67" s="1"/>
      <x:c r="B67" s="1"/>
      <x:c r="C67" s="1" t="str">
        <x:v>Finance lease cash interest rate</x:v>
      </x:c>
      <x:c r="D67" s="42" t="n">
        <x:v>0.04</x:v>
      </x:c>
      <x:c r="E67" s="3"/>
      <x:c r="F67" s="3"/>
      <x:c r="G67" s="3"/>
      <x:c r="H67" s="33" t="str">
        <x:v>Analyst 4% fixed cash-interest proxy, not a disclosed lease rate.</x:v>
      </x:c>
    </x:row>
    <x:row r="68" ht="34" customHeight="1">
      <x:c r="A68" s="1"/>
      <x:c r="B68" s="1"/>
      <x:c r="C68" s="1" t="str">
        <x:v>Annual share repurchases</x:v>
      </x:c>
      <x:c r="D68" s="80" t="n">
        <x:v>0</x:v>
      </x:c>
      <x:c r="E68" s="3"/>
      <x:c r="F68" s="3"/>
      <x:c r="G68" s="3"/>
      <x:c r="H68" s="33" t="str">
        <x:v>No buybacks assumed despite authorization; edit if funded.</x:v>
      </x:c>
    </x:row>
    <x:row r="69" ht="21" customHeight="1">
      <x:c r="A69" s="1"/>
      <x:c r="B69" s="1"/>
      <x:c r="C69" s="1"/>
      <x:c r="D69" s="3"/>
      <x:c r="E69" s="3"/>
      <x:c r="F69" s="3"/>
      <x:c r="G69" s="3"/>
      <x:c r="H69" s="1"/>
    </x:row>
    <x:row r="70" ht="25" customHeight="1">
      <x:c r="A70" s="1"/>
      <x:c r="B70" s="1"/>
      <x:c r="C70" s="15" t="str">
        <x:v>ILLUSTRATIVE SCREEN THRESHOLDS | Not actual legal covenants</x:v>
      </x:c>
      <x:c r="D70" s="16"/>
      <x:c r="E70" s="16"/>
      <x:c r="F70" s="16"/>
      <x:c r="G70" s="16"/>
      <x:c r="H70" s="15"/>
    </x:row>
    <x:row r="71" ht="34" customHeight="1">
      <x:c r="A71" s="1"/>
      <x:c r="B71" s="1"/>
      <x:c r="C71" s="1" t="str">
        <x:v>Maximum gross debt / EBITDA</x:v>
      </x:c>
      <x:c r="D71" s="89" t="n">
        <x:v>3</x:v>
      </x:c>
      <x:c r="E71" s="3"/>
      <x:c r="F71" s="3"/>
      <x:c r="G71" s="3"/>
      <x:c r="H71" s="33" t="str">
        <x:v>Principal debt, excluding leases; unadjusted EBITDA proxy.</x:v>
      </x:c>
    </x:row>
    <x:row r="72" ht="34" customHeight="1">
      <x:c r="A72" s="1"/>
      <x:c r="B72" s="1"/>
      <x:c r="C72" s="1" t="str">
        <x:v>Minimum EBITDA / cash interest</x:v>
      </x:c>
      <x:c r="D72" s="89" t="n">
        <x:v>4</x:v>
      </x:c>
      <x:c r="E72" s="3"/>
      <x:c r="F72" s="3"/>
      <x:c r="G72" s="3"/>
      <x:c r="H72" s="33" t="str">
        <x:v>Forecast includes estimated lease interest; no investment-income offset.</x:v>
      </x:c>
    </x:row>
    <x:row r="73" ht="34" customHeight="1">
      <x:c r="A73" s="1"/>
      <x:c r="B73" s="1"/>
      <x:c r="C73" s="1" t="str">
        <x:v>Minimum maintenance-capex DSCR</x:v>
      </x:c>
      <x:c r="D73" s="89" t="n">
        <x:v>1.25</x:v>
      </x:c>
      <x:c r="E73" s="3"/>
      <x:c r="F73" s="3"/>
      <x:c r="G73" s="3"/>
      <x:c r="H73" s="33" t="str">
        <x:v>Recurring CFADS excludes customer advance receipts; maintenance allocation is assumed.</x:v>
      </x:c>
    </x:row>
    <x:row r="74" ht="21" customHeight="1">
      <x:c r="A74" s="1"/>
      <x:c r="B74" s="1"/>
      <x:c r="C74" s="1"/>
      <x:c r="D74" s="3"/>
      <x:c r="E74" s="3"/>
      <x:c r="F74" s="3"/>
      <x:c r="G74" s="3"/>
      <x:c r="H74" s="1"/>
    </x:row>
    <x:row r="75" ht="21" customHeight="1">
      <x:c r="A75" s="1"/>
      <x:c r="B75" s="1"/>
      <x:c r="C75" s="1"/>
      <x:c r="D75" s="3"/>
      <x:c r="E75" s="3"/>
      <x:c r="F75" s="3"/>
      <x:c r="G75" s="3"/>
      <x:c r="H75" s="1"/>
    </x:row>
    <x:row r="76" ht="25" customHeight="1">
      <x:c r="A76" s="1"/>
      <x:c r="B76" s="1"/>
      <x:c r="C76" s="15" t="str">
        <x:v>ADDITIONAL EQUITY / GRANTS ACTUALLY ASSUMED RECEIVED</x:v>
      </x:c>
      <x:c r="D76" s="16"/>
      <x:c r="E76" s="16"/>
      <x:c r="F76" s="16"/>
      <x:c r="G76" s="16"/>
      <x:c r="H76" s="15"/>
    </x:row>
    <x:row r="77" ht="21" customHeight="1">
      <x:c r="A77" s="1"/>
      <x:c r="B77" s="1"/>
      <x:c r="C77" s="1" t="str">
        <x:v>Cash receipt (no automatic funding plug)</x:v>
      </x:c>
      <x:c r="D77" s="80" t="n">
        <x:v>0</x:v>
      </x:c>
      <x:c r="E77" s="80" t="n">
        <x:v>0</x:v>
      </x:c>
      <x:c r="F77" s="80" t="n">
        <x:v>0</x:v>
      </x:c>
      <x:c r="G77" s="80" t="n">
        <x:v>0</x:v>
      </x:c>
      <x:c r="H77" s="1"/>
    </x:row>
    <x:row r="78" ht="21" customHeight="1">
      <x:c r="A78" s="1"/>
      <x:c r="B78" s="1"/>
      <x:c r="C78" s="1"/>
      <x:c r="D78" s="3"/>
      <x:c r="E78" s="3"/>
      <x:c r="F78" s="3"/>
      <x:c r="G78" s="3"/>
      <x:c r="H78" s="1"/>
    </x:row>
    <x:row r="79" ht="38" customHeight="1">
      <x:c r="A79" s="1"/>
      <x:c r="B79" s="1"/>
      <x:c r="C79" s="33" t="str">
        <x:v>Default excludes conditional incentives and undrawn credit lines. If assumed grant / equity receipts are added here, document their source, timing and conditions. Do not enter borrowed funds here: unmodeled debt would understate leverage.</x:v>
      </x:c>
      <x:c r="D79" s="34"/>
      <x:c r="E79" s="34"/>
      <x:c r="F79" s="34"/>
      <x:c r="G79" s="34"/>
      <x:c r="H79" s="33"/>
    </x:row>
    <x:row r="80" ht="21" customHeight="1">
      <x:c r="A80" s="1"/>
      <x:c r="B80" s="1"/>
      <x:c r="C80" s="1"/>
      <x:c r="D80" s="3"/>
      <x:c r="E80" s="3"/>
      <x:c r="F80" s="3"/>
      <x:c r="G80" s="3"/>
      <x:c r="H80" s="1"/>
    </x:row>
    <x:row r="81" ht="38" customHeight="1">
      <x:c r="A81" s="1"/>
      <x:c r="B81" s="1"/>
      <x:c r="C81" s="33" t="str">
        <x:v>Cash expense model: LTM fixed cost is revenue × (1 − variable cost share) − EBITDA. Fixed costs inflate; D&amp;A, taxes and working-capital days are simple proxies. Forecast is not a complete future GAAP balance sheet.</x:v>
      </x:c>
      <x:c r="D81" s="34"/>
      <x:c r="E81" s="34"/>
      <x:c r="F81" s="34"/>
      <x:c r="G81" s="34"/>
      <x:c r="H81" s="33"/>
    </x:row>
    <x:row r="82" ht="21" customHeight="1">
      <x:c r="A82" s="1"/>
      <x:c r="B82" s="1"/>
      <x:c r="C82" s="1"/>
      <x:c r="D82" s="3"/>
      <x:c r="E82" s="3"/>
      <x:c r="F82" s="3"/>
      <x:c r="G82" s="3"/>
      <x:c r="H82" s="1"/>
    </x:row>
    <x:row r="83" ht="38" customHeight="1">
      <x:c r="A83" s="1"/>
      <x:c r="B83" s="1"/>
      <x:c r="C83" s="33" t="str">
        <x:v>2026 forecast begins after the June balance sheet. It does not model a loan before 2027. Period DSCR uses half-year cash flows and payments in 2026, annual flows thereafter. Ratio rows separately combine actual H1 with estimated H2 for full-year coverage.</x:v>
      </x:c>
      <x:c r="D83" s="34"/>
      <x:c r="E83" s="34"/>
      <x:c r="F83" s="34"/>
      <x:c r="G83" s="34"/>
      <x:c r="H83" s="33"/>
    </x:row>
    <x:row r="84" ht="21" customHeight="1">
      <x:c r="A84" s="1"/>
      <x:c r="B84" s="1"/>
      <x:c r="C84" s="1"/>
      <x:c r="D84" s="3"/>
      <x:c r="E84" s="3"/>
      <x:c r="F84" s="3"/>
      <x:c r="G84" s="3"/>
      <x:c r="H84" s="1"/>
    </x:row>
    <x:row r="85" ht="38" customHeight="1">
      <x:c r="A85" s="1"/>
      <x:c r="B85" s="1"/>
      <x:c r="C85" s="33" t="str">
        <x:v>Interest on existing debt uses average opening / closing balances; the new loan uses beginning balance plus disbursement (year-end principal repayment). All modeled coupon interest is expensed; no capitalization assumed.</x:v>
      </x:c>
      <x:c r="D85" s="34"/>
      <x:c r="E85" s="34"/>
      <x:c r="F85" s="34"/>
      <x:c r="G85" s="34"/>
      <x:c r="H85" s="33"/>
    </x:row>
    <x:row r="86" ht="21" customHeight="1">
      <x:c r="A86" s="1"/>
      <x:c r="B86" s="1"/>
      <x:c r="C86" s="1"/>
      <x:c r="D86" s="3"/>
      <x:c r="E86" s="3"/>
      <x:c r="F86" s="3"/>
      <x:c r="G86" s="3"/>
      <x:c r="H86" s="1"/>
    </x:row>
    <x:row r="87" ht="30" customHeight="1">
      <x:c r="A87" s="1"/>
      <x:c r="B87" s="1"/>
      <x:c r="C87" s="33" t="str">
        <x:v>Blue numeric cells are editable assumptions; yellow fill identifies controls. Green formulas link across sheets. Grey/teal sections distinguish active drivers and calculated results.</x:v>
      </x:c>
      <x:c r="D87" s="34"/>
      <x:c r="E87" s="34"/>
      <x:c r="F87" s="34"/>
      <x:c r="G87" s="34"/>
      <x:c r="H87" s="33"/>
    </x:row>
    <x:row r="88" ht="21" customHeight="1">
      <x:c r="A88" s="1"/>
      <x:c r="B88" s="1"/>
      <x:c r="C88" s="1"/>
      <x:c r="D88" s="3"/>
      <x:c r="E88" s="3"/>
      <x:c r="F88" s="3"/>
      <x:c r="G88" s="3"/>
      <x:c r="H88" s="1"/>
    </x:row>
    <x:row r="89" ht="21" customHeight="1">
      <x:c r="A89" s="1"/>
      <x:c r="B89" s="1"/>
      <x:c r="C89" s="1"/>
      <x:c r="D89" s="3"/>
      <x:c r="E89" s="3"/>
      <x:c r="F89" s="3"/>
      <x:c r="G89" s="3"/>
      <x:c r="H89" s="1"/>
    </x:row>
    <x:row r="90" ht="21" customHeight="1">
      <x:c r="A90" s="1"/>
      <x:c r="B90" s="1"/>
      <x:c r="C90" s="1"/>
      <x:c r="D90" s="3"/>
      <x:c r="E90" s="3"/>
      <x:c r="F90" s="3"/>
      <x:c r="G90" s="3"/>
      <x:c r="H90" s="1"/>
    </x:row>
    <x:row r="91" ht="21" customHeight="1">
      <x:c r="A91" s="1"/>
      <x:c r="B91" s="1"/>
      <x:c r="C91" s="1"/>
      <x:c r="D91" s="3"/>
      <x:c r="E91" s="3"/>
      <x:c r="F91" s="3"/>
      <x:c r="G91" s="3"/>
      <x:c r="H91" s="1"/>
    </x:row>
    <x:row r="92" ht="21" customHeight="1">
      <x:c r="A92" s="1"/>
      <x:c r="B92" s="1"/>
      <x:c r="C92" s="1"/>
      <x:c r="D92" s="3"/>
      <x:c r="E92" s="3"/>
      <x:c r="F92" s="3"/>
      <x:c r="G92" s="3"/>
      <x:c r="H92" s="1"/>
    </x:row>
  </x:sheetData>
  <x:mergeCells>
    <x:mergeCell ref="C1:H2"/>
    <x:mergeCell ref="C3:H3"/>
    <x:mergeCell ref="D4:G4"/>
    <x:mergeCell ref="F7:G7"/>
    <x:mergeCell ref="H10:H15"/>
    <x:mergeCell ref="H17:H22"/>
    <x:mergeCell ref="H24:H29"/>
    <x:mergeCell ref="H31:H36"/>
    <x:mergeCell ref="H38:H43"/>
    <x:mergeCell ref="C45:H45"/>
    <x:mergeCell ref="C59:H59"/>
    <x:mergeCell ref="C70:H70"/>
    <x:mergeCell ref="C76:H76"/>
    <x:mergeCell ref="C79:H79"/>
    <x:mergeCell ref="C81:H81"/>
    <x:mergeCell ref="C83:H83"/>
    <x:mergeCell ref="C85:H85"/>
    <x:mergeCell ref="C87:H87"/>
  </x:mergeCells>
  <x:dataValidations count="8">
    <x:dataValidation type="list" sqref="D7">
      <x:formula1>"Base,Revenue −20%,Rates +200bp,Combined stress,Severe funding"</x:formula1>
    </x:dataValidation>
    <x:dataValidation type="whole" operator="between" sqref="D61">
      <x:formula1>1</x:formula1>
      <x:formula2>3</x:formula2>
    </x:dataValidation>
    <x:dataValidation type="decimal" operator="between" sqref="D46">
      <x:formula1>0</x:formula1>
      <x:formula2>1</x:formula2>
    </x:dataValidation>
    <x:dataValidation type="decimal" operator="between" sqref="D48">
      <x:formula1>0</x:formula1>
      <x:formula2>1</x:formula2>
    </x:dataValidation>
    <x:dataValidation type="decimal" operator="between" sqref="D49">
      <x:formula1>0</x:formula1>
      <x:formula2>1</x:formula2>
    </x:dataValidation>
    <x:dataValidation type="decimal" operator="between" sqref="D53">
      <x:formula1>0</x:formula1>
      <x:formula2>1</x:formula2>
    </x:dataValidation>
    <x:dataValidation type="decimal" operator="between" sqref="D54">
      <x:formula1>0</x:formula1>
      <x:formula2>1</x:formula2>
    </x:dataValidation>
    <x:dataValidation type="decimal" operator="between" sqref="D57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47D9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</x:cols>
  <x:sheetData>
    <x:row r="1" ht="21" customHeight="1">
      <x:c r="A1" s="1"/>
      <x:c r="B1" s="1"/>
      <x:c r="C1" s="5" t="str">
        <x:v>OPERATING CASH FLOW &amp; CREDIT FORECAST</x:v>
      </x:c>
      <x:c r="D1" s="5"/>
      <x:c r="E1" s="5"/>
      <x:c r="F1" s="5"/>
      <x:c r="G1" s="5"/>
      <x:c r="H1" s="5"/>
    </x:row>
    <x:row r="2" ht="21" customHeight="1">
      <x:c r="A2" s="1"/>
      <x:c r="B2" s="1"/>
      <x:c r="C2" s="5"/>
      <x:c r="D2" s="5"/>
      <x:c r="E2" s="5"/>
      <x:c r="F2" s="5"/>
      <x:c r="G2" s="5"/>
      <x:c r="H2" s="5"/>
    </x:row>
    <x:row r="3" ht="21" customHeight="1">
      <x:c r="A3" s="1"/>
      <x:c r="B3" s="1"/>
      <x:c r="C3" s="6" t="str">
        <x:v>Amkor Technology | Independent credit study by Eisen Hy | 1-Oct-2026 | USD millions unless stated</x:v>
      </x:c>
      <x:c r="D3" s="6"/>
      <x:c r="E3" s="6"/>
      <x:c r="F3" s="6"/>
      <x:c r="G3" s="6"/>
      <x:c r="H3" s="6"/>
    </x:row>
    <x:row r="4" ht="21" customHeight="1">
      <x:c r="A4" s="1"/>
      <x:c r="B4" s="1"/>
      <x:c r="C4" s="1" t="str">
        <x:v>Selected case</x:v>
      </x:c>
      <x:c r="D4" s="7" t="str">
        <x:f>'Assumptions'!$D$7</x:f>
        <x:v>Base</x:v>
      </x:c>
      <x:c r="E4" s="1"/>
      <x:c r="F4" s="1"/>
      <x:c r="G4" s="1"/>
      <x:c r="H4" s="1"/>
    </x:row>
    <x:row r="5" ht="26" customHeight="1">
      <x:c r="A5" s="1"/>
      <x:c r="B5" s="1"/>
      <x:c r="C5" s="12"/>
      <x:c r="D5" s="13" t="str">
        <x:v>2026 H2E</x:v>
      </x:c>
      <x:c r="E5" s="13" t="str">
        <x:v>2027E</x:v>
      </x:c>
      <x:c r="F5" s="13" t="str">
        <x:v>2028E</x:v>
      </x:c>
      <x:c r="G5" s="13" t="str">
        <x:v>2029E</x:v>
      </x:c>
      <x:c r="H5" s="1"/>
    </x:row>
    <x:row r="6" ht="21" customHeight="1">
      <x:c r="A6" s="1"/>
      <x:c r="B6" s="1"/>
      <x:c r="C6" s="1" t="str">
        <x:v>Period fraction (years)</x:v>
      </x:c>
      <x:c r="D6" s="107" t="n">
        <x:f>'Debt Schedule'!D7</x:f>
        <x:v>0.5</x:v>
      </x:c>
      <x:c r="E6" s="107" t="n">
        <x:f>'Debt Schedule'!E7</x:f>
        <x:v>1</x:v>
      </x:c>
      <x:c r="F6" s="107" t="n">
        <x:f>'Debt Schedule'!F7</x:f>
        <x:v>1</x:v>
      </x:c>
      <x:c r="G6" s="107" t="n">
        <x:f>'Debt Schedule'!G7</x:f>
        <x:v>1</x:v>
      </x:c>
      <x:c r="H6" s="1"/>
    </x:row>
    <x:row r="7" ht="21" customHeight="1">
      <x:c r="A7" s="1"/>
      <x:c r="B7" s="1"/>
      <x:c r="C7" s="1"/>
      <x:c r="D7" s="3"/>
      <x:c r="E7" s="3"/>
      <x:c r="F7" s="3"/>
      <x:c r="G7" s="3"/>
      <x:c r="H7" s="1"/>
    </x:row>
    <x:row r="8" ht="21" customHeight="1">
      <x:c r="A8" s="1"/>
      <x:c r="B8" s="1"/>
      <x:c r="C8" s="62" t="str">
        <x:v>Active revenue growth</x:v>
      </x:c>
      <x:c r="D8" s="68" t="n">
        <x:f>'Assumptions'!D10</x:f>
        <x:v>0.15</x:v>
      </x:c>
      <x:c r="E8" s="68" t="n">
        <x:f>'Assumptions'!E10</x:f>
        <x:v>0.1</x:v>
      </x:c>
      <x:c r="F8" s="68" t="n">
        <x:f>'Assumptions'!F10</x:f>
        <x:v>0.08</x:v>
      </x:c>
      <x:c r="G8" s="68" t="n">
        <x:f>'Assumptions'!G10</x:f>
        <x:v>0.05</x:v>
      </x:c>
      <x:c r="H8" s="1"/>
    </x:row>
    <x:row r="9" ht="21" customHeight="1">
      <x:c r="A9" s="1"/>
      <x:c r="B9" s="1"/>
      <x:c r="C9" s="1"/>
      <x:c r="D9" s="3"/>
      <x:c r="E9" s="3"/>
      <x:c r="F9" s="3"/>
      <x:c r="G9" s="3"/>
      <x:c r="H9" s="1"/>
    </x:row>
    <x:row r="10" ht="25" customHeight="1">
      <x:c r="A10" s="1"/>
      <x:c r="B10" s="1"/>
      <x:c r="C10" s="15" t="str">
        <x:v>OPERATING FORECAST</x:v>
      </x:c>
      <x:c r="D10" s="16"/>
      <x:c r="E10" s="16"/>
      <x:c r="F10" s="16"/>
      <x:c r="G10" s="16"/>
      <x:c r="H10" s="15"/>
    </x:row>
    <x:row r="11" ht="21" customHeight="1">
      <x:c r="A11" s="1"/>
      <x:c r="B11" s="1"/>
      <x:c r="C11" s="1"/>
      <x:c r="D11" s="3"/>
      <x:c r="E11" s="3"/>
      <x:c r="F11" s="3"/>
      <x:c r="G11" s="3"/>
      <x:c r="H11" s="1"/>
    </x:row>
    <x:row r="12" ht="21" customHeight="1">
      <x:c r="A12" s="1"/>
      <x:c r="B12" s="1"/>
      <x:c r="C12" s="52" t="str">
        <x:v>Revenue — period</x:v>
      </x:c>
      <x:c r="D12" s="53" t="n">
        <x:f>('Raw Spread'!F7-'Raw Spread'!G7)/'Raw Spread'!$D$3*(1+D8)</x:f>
        <x:v>4456.2661</x:v>
      </x:c>
      <x:c r="E12" s="57" t="n">
        <x:f>D65*(1+E8)</x:f>
        <x:v>8842.82531</x:v>
      </x:c>
      <x:c r="F12" s="57" t="n">
        <x:f>E65*(1+F8)</x:f>
        <x:v>9550.251334800001</x:v>
      </x:c>
      <x:c r="G12" s="57" t="n">
        <x:f>F65*(1+G8)</x:f>
        <x:v>10027.763901540002</x:v>
      </x:c>
      <x:c r="H12" s="1"/>
    </x:row>
    <x:row r="13" ht="21" customHeight="1">
      <x:c r="A13" s="1"/>
      <x:c r="B13" s="1"/>
      <x:c r="C13" s="1" t="str">
        <x:v>Variable cash operating costs</x:v>
      </x:c>
      <x:c r="D13" s="45" t="n">
        <x:f>D12*'Assumptions'!$D$46</x:f>
        <x:v>3119.3862699999995</x:v>
      </x:c>
      <x:c r="E13" s="45" t="n">
        <x:f>E12*'Assumptions'!$D$46</x:f>
        <x:v>6189.977717</x:v>
      </x:c>
      <x:c r="F13" s="45" t="n">
        <x:f>F12*'Assumptions'!$D$46</x:f>
        <x:v>6685.175934360001</x:v>
      </x:c>
      <x:c r="G13" s="45" t="n">
        <x:f>G12*'Assumptions'!$D$46</x:f>
        <x:v>7019.434731078001</x:v>
      </x:c>
      <x:c r="H13" s="1"/>
    </x:row>
    <x:row r="14" ht="21" customHeight="1">
      <x:c r="A14" s="1"/>
      <x:c r="B14" s="1"/>
      <x:c r="C14" s="1" t="str">
        <x:v>Annual fixed cash cost run-rate</x:v>
      </x:c>
      <x:c r="D14" s="45" t="n">
        <x:f>('Financials'!G7*(1-'Assumptions'!$D$46)-'Financials'!G22)*(1+'Assumptions'!$D$47)^D6</x:f>
        <x:v>926.9693088808284</x:v>
      </x:c>
      <x:c r="E14" s="45" t="n">
        <x:f>D14*(1+'Assumptions'!$D$47)</x:f>
        <x:v>954.7783881472533</x:v>
      </x:c>
      <x:c r="F14" s="45" t="n">
        <x:f>E14*(1+'Assumptions'!$D$47)</x:f>
        <x:v>983.4217397916709</x:v>
      </x:c>
      <x:c r="G14" s="45" t="n">
        <x:f>F14*(1+'Assumptions'!$D$47)</x:f>
        <x:v>1012.924391985421</x:v>
      </x:c>
      <x:c r="H14" s="1"/>
    </x:row>
    <x:row r="15" ht="21" customHeight="1">
      <x:c r="A15" s="1"/>
      <x:c r="B15" s="1"/>
      <x:c r="C15" s="1" t="str">
        <x:v>Fixed cash operating costs — period</x:v>
      </x:c>
      <x:c r="D15" s="46" t="n">
        <x:f>D14*D6</x:f>
        <x:v>463.4846544404142</x:v>
      </x:c>
      <x:c r="E15" s="46" t="n">
        <x:f>E14*E6</x:f>
        <x:v>954.7783881472533</x:v>
      </x:c>
      <x:c r="F15" s="46" t="n">
        <x:f>F14*F6</x:f>
        <x:v>983.4217397916709</x:v>
      </x:c>
      <x:c r="G15" s="46" t="n">
        <x:f>G14*G6</x:f>
        <x:v>1012.924391985421</x:v>
      </x:c>
      <x:c r="H15" s="1"/>
    </x:row>
    <x:row r="16" ht="21" customHeight="1">
      <x:c r="A16" s="1"/>
      <x:c r="B16" s="1"/>
      <x:c r="C16" s="52" t="str">
        <x:v>EBITDA proxy — period</x:v>
      </x:c>
      <x:c r="D16" s="57" t="n">
        <x:f>D12-SUM(D13,D15)</x:f>
        <x:v>873.3951755595863</x:v>
      </x:c>
      <x:c r="E16" s="57" t="n">
        <x:f>E12-SUM(E13,E15)</x:f>
        <x:v>1698.0692048527471</x:v>
      </x:c>
      <x:c r="F16" s="57" t="n">
        <x:f>F12-SUM(F13,F15)</x:f>
        <x:v>1881.6536606483296</x:v>
      </x:c>
      <x:c r="G16" s="57" t="n">
        <x:f>G12-SUM(G13,G15)</x:f>
        <x:v>1995.4047784765798</x:v>
      </x:c>
      <x:c r="H16" s="1"/>
    </x:row>
    <x:row r="17" ht="21" customHeight="1">
      <x:c r="A17" s="1"/>
      <x:c r="B17" s="1"/>
      <x:c r="C17" s="62" t="str">
        <x:v>EBITDA margin</x:v>
      </x:c>
      <x:c r="D17" s="67" t="n">
        <x:f>D16/D12</x:f>
        <x:v>0.19599259917615475</x:v>
      </x:c>
      <x:c r="E17" s="67" t="n">
        <x:f>E16/E12</x:f>
        <x:v>0.19202790344987003</x:v>
      </x:c>
      <x:c r="F17" s="67" t="n">
        <x:f>F16/F12</x:f>
        <x:v>0.19702661162348714</x:v>
      </x:c>
      <x:c r="G17" s="67" t="n">
        <x:f>G16/G12</x:f>
        <x:v>0.1989880094973255</x:v>
      </x:c>
      <x:c r="H17" s="1"/>
    </x:row>
    <x:row r="18" ht="21" customHeight="1">
      <x:c r="A18" s="1"/>
      <x:c r="B18" s="1"/>
      <x:c r="C18" s="1" t="str">
        <x:v>Depreciation and amortization</x:v>
      </x:c>
      <x:c r="D18" s="45" t="n">
        <x:f>D12*'Assumptions'!$D$48</x:f>
        <x:v>406.2666149335718</x:v>
      </x:c>
      <x:c r="E18" s="45" t="n">
        <x:f>E12*'Assumptions'!$D$48</x:f>
        <x:v>806.1782273600342</x:v>
      </x:c>
      <x:c r="F18" s="45" t="n">
        <x:f>F12*'Assumptions'!$D$48</x:f>
        <x:v>870.672485548837</x:v>
      </x:c>
      <x:c r="G18" s="45" t="n">
        <x:f>G12*'Assumptions'!$D$48</x:f>
        <x:v>914.206109826279</x:v>
      </x:c>
      <x:c r="H18" s="1"/>
    </x:row>
    <x:row r="19" ht="21" customHeight="1">
      <x:c r="A19" s="1"/>
      <x:c r="B19" s="1"/>
      <x:c r="C19" s="52" t="str">
        <x:v>EBIT proxy</x:v>
      </x:c>
      <x:c r="D19" s="57" t="n">
        <x:f>D16-D18</x:f>
        <x:v>467.12856062601446</x:v>
      </x:c>
      <x:c r="E19" s="57" t="n">
        <x:f>E16-E18</x:f>
        <x:v>891.890977492713</x:v>
      </x:c>
      <x:c r="F19" s="57" t="n">
        <x:f>F16-F18</x:f>
        <x:v>1010.9811750994926</x:v>
      </x:c>
      <x:c r="G19" s="57" t="n">
        <x:f>G16-G18</x:f>
        <x:v>1081.198668650301</x:v>
      </x:c>
      <x:c r="H19" s="1"/>
    </x:row>
    <x:row r="20" ht="21" customHeight="1">
      <x:c r="A20" s="1"/>
      <x:c r="B20" s="1"/>
      <x:c r="C20" s="1" t="str">
        <x:v>Cash interest (debt + finance leases)</x:v>
      </x:c>
      <x:c r="D20" s="45" t="n">
        <x:f>'Debt Schedule'!D51</x:f>
        <x:v>33.87358332975718</x:v>
      </x:c>
      <x:c r="E20" s="45" t="n">
        <x:f>'Debt Schedule'!E51</x:f>
        <x:v>69.34134709978065</x:v>
      </x:c>
      <x:c r="F20" s="45" t="n">
        <x:f>'Debt Schedule'!F51</x:f>
        <x:v>61.888362326655034</x:v>
      </x:c>
      <x:c r="G20" s="45" t="n">
        <x:f>'Debt Schedule'!G51</x:f>
        <x:v>56.04540829679087</x:v>
      </x:c>
      <x:c r="H20" s="1"/>
    </x:row>
    <x:row r="21" ht="21" customHeight="1">
      <x:c r="A21" s="1"/>
      <x:c r="B21" s="1"/>
      <x:c r="C21" s="1" t="str">
        <x:v>Pre-tax earnings proxy</x:v>
      </x:c>
      <x:c r="D21" s="46" t="n">
        <x:f>D19-D20</x:f>
        <x:v>433.25497729625727</x:v>
      </x:c>
      <x:c r="E21" s="46" t="n">
        <x:f>E19-E20</x:f>
        <x:v>822.5496303929324</x:v>
      </x:c>
      <x:c r="F21" s="46" t="n">
        <x:f>F19-F20</x:f>
        <x:v>949.0928127728375</x:v>
      </x:c>
      <x:c r="G21" s="46" t="n">
        <x:f>G19-G20</x:f>
        <x:v>1025.1532603535102</x:v>
      </x:c>
      <x:c r="H21" s="1"/>
    </x:row>
    <x:row r="22" ht="21" customHeight="1">
      <x:c r="A22" s="1"/>
      <x:c r="B22" s="1"/>
      <x:c r="C22" s="1" t="str">
        <x:v>Cash tax expense proxy</x:v>
      </x:c>
      <x:c r="D22" s="45" t="n">
        <x:f>MAX(0,D21)*'Assumptions'!$D$53</x:f>
        <x:v>77.9858959133263</x:v>
      </x:c>
      <x:c r="E22" s="45" t="n">
        <x:f>MAX(0,E21)*'Assumptions'!$D$53</x:f>
        <x:v>148.05893347072782</x:v>
      </x:c>
      <x:c r="F22" s="45" t="n">
        <x:f>MAX(0,F21)*'Assumptions'!$D$53</x:f>
        <x:v>170.83670629911074</x:v>
      </x:c>
      <x:c r="G22" s="45" t="n">
        <x:f>MAX(0,G21)*'Assumptions'!$D$53</x:f>
        <x:v>184.52758686363183</x:v>
      </x:c>
      <x:c r="H22" s="1"/>
    </x:row>
    <x:row r="23" ht="21" customHeight="1">
      <x:c r="A23" s="1"/>
      <x:c r="B23" s="1"/>
      <x:c r="C23" s="52" t="str">
        <x:v>Net income proxy</x:v>
      </x:c>
      <x:c r="D23" s="57" t="n">
        <x:f>D21-D22</x:f>
        <x:v>355.26908138293095</x:v>
      </x:c>
      <x:c r="E23" s="57" t="n">
        <x:f>E21-E22</x:f>
        <x:v>674.4906969222045</x:v>
      </x:c>
      <x:c r="F23" s="57" t="n">
        <x:f>F21-F22</x:f>
        <x:v>778.2561064737267</x:v>
      </x:c>
      <x:c r="G23" s="57" t="n">
        <x:f>G21-G22</x:f>
        <x:v>840.6256734898784</x:v>
      </x:c>
      <x:c r="H23" s="1"/>
    </x:row>
    <x:row r="24" ht="21" customHeight="1">
      <x:c r="A24" s="1"/>
      <x:c r="B24" s="1"/>
      <x:c r="C24" s="1"/>
      <x:c r="D24" s="3"/>
      <x:c r="E24" s="3"/>
      <x:c r="F24" s="3"/>
      <x:c r="G24" s="3"/>
      <x:c r="H24" s="1"/>
    </x:row>
    <x:row r="25" ht="25" customHeight="1">
      <x:c r="A25" s="1"/>
      <x:c r="B25" s="1"/>
      <x:c r="C25" s="15" t="str">
        <x:v>OPERATING WORKING CAPITAL | Trade balances only</x:v>
      </x:c>
      <x:c r="D25" s="16"/>
      <x:c r="E25" s="16"/>
      <x:c r="F25" s="16"/>
      <x:c r="G25" s="16"/>
      <x:c r="H25" s="15"/>
    </x:row>
    <x:row r="26" ht="21" customHeight="1">
      <x:c r="A26" s="1"/>
      <x:c r="B26" s="1"/>
      <x:c r="C26" s="1" t="str">
        <x:v>Annualized revenue for WC balances</x:v>
      </x:c>
      <x:c r="D26" s="46" t="n">
        <x:f>D12/D6</x:f>
        <x:v>8912.5322</x:v>
      </x:c>
      <x:c r="E26" s="46" t="n">
        <x:f>E12/E6</x:f>
        <x:v>8842.82531</x:v>
      </x:c>
      <x:c r="F26" s="46" t="n">
        <x:f>F12/F6</x:f>
        <x:v>9550.251334800001</x:v>
      </x:c>
      <x:c r="G26" s="46" t="n">
        <x:f>G12/G6</x:f>
        <x:v>10027.763901540002</x:v>
      </x:c>
      <x:c r="H26" s="1"/>
    </x:row>
    <x:row r="27" ht="21" customHeight="1">
      <x:c r="A27" s="1"/>
      <x:c r="B27" s="1"/>
      <x:c r="C27" s="1" t="str">
        <x:v>Annualized COGS for WC balances</x:v>
      </x:c>
      <x:c r="D27" s="45" t="n">
        <x:f>D26*'Assumptions'!$D$49</x:f>
        <x:v>7530.132927094726</x:v>
      </x:c>
      <x:c r="E27" s="45" t="n">
        <x:f>E26*'Assumptions'!$D$49</x:f>
        <x:v>7471.2380882481</x:v>
      </x:c>
      <x:c r="F27" s="45" t="n">
        <x:f>F26*'Assumptions'!$D$49</x:f>
        <x:v>8068.937135307949</x:v>
      </x:c>
      <x:c r="G27" s="45" t="n">
        <x:f>G26*'Assumptions'!$D$49</x:f>
        <x:v>8472.383992073346</x:v>
      </x:c>
      <x:c r="H27" s="1"/>
    </x:row>
    <x:row r="28" ht="21" customHeight="1">
      <x:c r="A28" s="1"/>
      <x:c r="B28" s="1"/>
      <x:c r="C28" s="1" t="str">
        <x:v>Ending accounts receivable</x:v>
      </x:c>
      <x:c r="D28" s="45" t="n">
        <x:f>D26*'Assumptions'!$D$50/365</x:f>
        <x:v>1697.4369841380428</x:v>
      </x:c>
      <x:c r="E28" s="45" t="n">
        <x:f>E26*'Assumptions'!$D$50/365</x:f>
        <x:v>1684.1609532099033</x:v>
      </x:c>
      <x:c r="F28" s="45" t="n">
        <x:f>F26*'Assumptions'!$D$50/365</x:f>
        <x:v>1818.8938294666957</x:v>
      </x:c>
      <x:c r="G28" s="45" t="n">
        <x:f>G26*'Assumptions'!$D$50/365</x:f>
        <x:v>1909.8385209400303</x:v>
      </x:c>
      <x:c r="H28" s="1"/>
    </x:row>
    <x:row r="29" ht="21" customHeight="1">
      <x:c r="A29" s="1"/>
      <x:c r="B29" s="1"/>
      <x:c r="C29" s="1" t="str">
        <x:v>Ending inventory</x:v>
      </x:c>
      <x:c r="D29" s="45" t="n">
        <x:f>D27*'Assumptions'!$D$51/365</x:f>
        <x:v>670.0592498509188</x:v>
      </x:c>
      <x:c r="E29" s="45" t="n">
        <x:f>E27*'Assumptions'!$D$51/365</x:f>
        <x:v>664.8185679240877</x:v>
      </x:c>
      <x:c r="F29" s="45" t="n">
        <x:f>F27*'Assumptions'!$D$51/365</x:f>
        <x:v>718.0040533580147</x:v>
      </x:c>
      <x:c r="G29" s="45" t="n">
        <x:f>G27*'Assumptions'!$D$51/365</x:f>
        <x:v>753.9042560259156</x:v>
      </x:c>
      <x:c r="H29" s="1"/>
    </x:row>
    <x:row r="30" ht="21" customHeight="1">
      <x:c r="A30" s="1"/>
      <x:c r="B30" s="1"/>
      <x:c r="C30" s="1" t="str">
        <x:v>Ending trade accounts payable</x:v>
      </x:c>
      <x:c r="D30" s="45" t="n">
        <x:f>D27*'Assumptions'!$D$52/365</x:f>
        <x:v>1052.4911679086792</x:v>
      </x:c>
      <x:c r="E30" s="45" t="n">
        <x:f>E27*'Assumptions'!$D$52/365</x:f>
        <x:v>1044.2594011760573</x:v>
      </x:c>
      <x:c r="F30" s="45" t="n">
        <x:f>F27*'Assumptions'!$D$52/365</x:f>
        <x:v>1127.800153270142</x:v>
      </x:c>
      <x:c r="G30" s="45" t="n">
        <x:f>G27*'Assumptions'!$D$52/365</x:f>
        <x:v>1184.1901609336492</x:v>
      </x:c>
      <x:c r="H30" s="1"/>
    </x:row>
    <x:row r="31" ht="21" customHeight="1">
      <x:c r="A31" s="1"/>
      <x:c r="B31" s="1"/>
      <x:c r="C31" s="52" t="str">
        <x:v>Ending operating net working capital</x:v>
      </x:c>
      <x:c r="D31" s="57" t="n">
        <x:f>SUM(D28:D29)-D30</x:f>
        <x:v>1315.0050660802824</x:v>
      </x:c>
      <x:c r="E31" s="57" t="n">
        <x:f>SUM(E28:E29)-E30</x:f>
        <x:v>1304.7201199579338</x:v>
      </x:c>
      <x:c r="F31" s="57" t="n">
        <x:f>SUM(F28:F29)-F30</x:f>
        <x:v>1409.0977295545686</x:v>
      </x:c>
      <x:c r="G31" s="57" t="n">
        <x:f>SUM(G28:G29)-G30</x:f>
        <x:v>1479.552616032297</x:v>
      </x:c>
      <x:c r="H31" s="1"/>
    </x:row>
    <x:row r="32" ht="21" customHeight="1">
      <x:c r="A32" s="1"/>
      <x:c r="B32" s="1"/>
      <x:c r="C32" s="1" t="str">
        <x:v>Opening operating net working capital</x:v>
      </x:c>
      <x:c r="D32" s="45" t="n">
        <x:f>'Financials'!G91</x:f>
        <x:v>1100.348</x:v>
      </x:c>
      <x:c r="E32" s="46" t="n">
        <x:f>D31</x:f>
        <x:v>1315.0050660802824</x:v>
      </x:c>
      <x:c r="F32" s="46" t="n">
        <x:f>E31</x:f>
        <x:v>1304.7201199579338</x:v>
      </x:c>
      <x:c r="G32" s="46" t="n">
        <x:f>F31</x:f>
        <x:v>1409.0977295545686</x:v>
      </x:c>
      <x:c r="H32" s="1"/>
    </x:row>
    <x:row r="33" ht="21" customHeight="1">
      <x:c r="A33" s="1"/>
      <x:c r="B33" s="1"/>
      <x:c r="C33" s="52" t="str">
        <x:v>Increase / (decrease) in operating NWC</x:v>
      </x:c>
      <x:c r="D33" s="57" t="n">
        <x:f>D31-D32</x:f>
        <x:v>214.65706608028245</x:v>
      </x:c>
      <x:c r="E33" s="57" t="n">
        <x:f>E31-E32</x:f>
        <x:v>-10.284946122348629</x:v>
      </x:c>
      <x:c r="F33" s="57" t="n">
        <x:f>F31-F32</x:f>
        <x:v>104.37760959663478</x:v>
      </x:c>
      <x:c r="G33" s="57" t="n">
        <x:f>G31-G32</x:f>
        <x:v>70.45488647772845</x:v>
      </x:c>
      <x:c r="H33" s="1"/>
    </x:row>
    <x:row r="34" ht="21" customHeight="1">
      <x:c r="A34" s="1"/>
      <x:c r="B34" s="1"/>
      <x:c r="C34" s="1"/>
      <x:c r="D34" s="3"/>
      <x:c r="E34" s="3"/>
      <x:c r="F34" s="3"/>
      <x:c r="G34" s="3"/>
      <x:c r="H34" s="1"/>
    </x:row>
    <x:row r="35" ht="25" customHeight="1">
      <x:c r="A35" s="1"/>
      <x:c r="B35" s="1"/>
      <x:c r="C35" s="15" t="str">
        <x:v>CUSTOMER ADVANCE LIABILITY &amp; CASH CREDITS</x:v>
      </x:c>
      <x:c r="D35" s="16"/>
      <x:c r="E35" s="16"/>
      <x:c r="F35" s="16"/>
      <x:c r="G35" s="16"/>
      <x:c r="H35" s="15"/>
    </x:row>
    <x:row r="36" ht="21" customHeight="1">
      <x:c r="A36" s="1"/>
      <x:c r="B36" s="1"/>
      <x:c r="C36" s="1" t="str">
        <x:v>Opening customer advance balance</x:v>
      </x:c>
      <x:c r="D36" s="45" t="n">
        <x:f>'Raw Spread'!H81/'Raw Spread'!$D$3</x:f>
        <x:v>393</x:v>
      </x:c>
      <x:c r="E36" s="46" t="n">
        <x:f>D39</x:f>
        <x:v>473.35</x:v>
      </x:c>
      <x:c r="F36" s="46" t="n">
        <x:f>E39</x:f>
        <x:v>1949.6825</x:v>
      </x:c>
      <x:c r="G36" s="46" t="n">
        <x:f>F39</x:f>
        <x:v>974.84125</x:v>
      </x:c>
      <x:c r="H36" s="1"/>
    </x:row>
    <x:row r="37" ht="21" customHeight="1">
      <x:c r="A37" s="1"/>
      <x:c r="B37" s="1"/>
      <x:c r="C37" s="1" t="str">
        <x:v>Advance cash received</x:v>
      </x:c>
      <x:c r="D37" s="45" t="n">
        <x:f>'Assumptions'!D31</x:f>
        <x:v>100</x:v>
      </x:c>
      <x:c r="E37" s="45" t="n">
        <x:f>'Assumptions'!E31</x:f>
        <x:v>1500</x:v>
      </x:c>
      <x:c r="F37" s="45" t="n">
        <x:f>'Assumptions'!F31</x:f>
        <x:v>0</x:v>
      </x:c>
      <x:c r="G37" s="45" t="n">
        <x:f>'Assumptions'!G31</x:f>
        <x:v>0</x:v>
      </x:c>
      <x:c r="H37" s="1"/>
    </x:row>
    <x:row r="38" ht="21" customHeight="1">
      <x:c r="A38" s="1"/>
      <x:c r="B38" s="1"/>
      <x:c r="C38" s="1" t="str">
        <x:v>Customer credits reducing collections</x:v>
      </x:c>
      <x:c r="D38" s="45" t="n">
        <x:f>MIN(D36,D36*'Assumptions'!D38)</x:f>
        <x:v>19.650000000000002</x:v>
      </x:c>
      <x:c r="E38" s="45" t="n">
        <x:f>MIN(E36,E36*'Assumptions'!E38)</x:f>
        <x:v>23.667500000000004</x:v>
      </x:c>
      <x:c r="F38" s="45" t="n">
        <x:f>MIN(F36,F36*'Assumptions'!F38)</x:f>
        <x:v>974.84125</x:v>
      </x:c>
      <x:c r="G38" s="45" t="n">
        <x:f>MIN(G36,G36*'Assumptions'!G38)</x:f>
        <x:v>974.84125</x:v>
      </x:c>
      <x:c r="H38" s="1"/>
    </x:row>
    <x:row r="39" ht="21" customHeight="1">
      <x:c r="A39" s="1"/>
      <x:c r="B39" s="1"/>
      <x:c r="C39" s="52" t="str">
        <x:v>Closing customer advance balance</x:v>
      </x:c>
      <x:c r="D39" s="57" t="n">
        <x:f>SUM(D36:D37)-D38</x:f>
        <x:v>473.35</x:v>
      </x:c>
      <x:c r="E39" s="57" t="n">
        <x:f>SUM(E36:E37)-E38</x:f>
        <x:v>1949.6825</x:v>
      </x:c>
      <x:c r="F39" s="57" t="n">
        <x:f>SUM(F36:F37)-F38</x:f>
        <x:v>974.84125</x:v>
      </x:c>
      <x:c r="G39" s="57" t="n">
        <x:f>SUM(G36:G37)-G38</x:f>
        <x:v>0</x:v>
      </x:c>
      <x:c r="H39" s="1"/>
    </x:row>
    <x:row r="40" ht="21" customHeight="1">
      <x:c r="A40" s="1"/>
      <x:c r="B40" s="1"/>
      <x:c r="C40" s="1"/>
      <x:c r="D40" s="3"/>
      <x:c r="E40" s="3"/>
      <x:c r="F40" s="3"/>
      <x:c r="G40" s="3"/>
      <x:c r="H40" s="1"/>
    </x:row>
    <x:row r="41" ht="25" customHeight="1">
      <x:c r="A41" s="1"/>
      <x:c r="B41" s="1"/>
      <x:c r="C41" s="15" t="str">
        <x:v>CASH FLOW &amp; FUNDING REQUIREMENT</x:v>
      </x:c>
      <x:c r="D41" s="16"/>
      <x:c r="E41" s="16"/>
      <x:c r="F41" s="16"/>
      <x:c r="G41" s="16"/>
      <x:c r="H41" s="15"/>
    </x:row>
    <x:row r="42" ht="21" customHeight="1">
      <x:c r="A42" s="1"/>
      <x:c r="B42" s="1"/>
      <x:c r="C42" s="1" t="str">
        <x:v>EBITDA proxy</x:v>
      </x:c>
      <x:c r="D42" s="46" t="n">
        <x:f>D16</x:f>
        <x:v>873.3951755595863</x:v>
      </x:c>
      <x:c r="E42" s="46" t="n">
        <x:f>E16</x:f>
        <x:v>1698.0692048527471</x:v>
      </x:c>
      <x:c r="F42" s="46" t="n">
        <x:f>F16</x:f>
        <x:v>1881.6536606483296</x:v>
      </x:c>
      <x:c r="G42" s="46" t="n">
        <x:f>G16</x:f>
        <x:v>1995.4047784765798</x:v>
      </x:c>
      <x:c r="H42" s="1"/>
    </x:row>
    <x:row r="43" ht="21" customHeight="1">
      <x:c r="A43" s="1"/>
      <x:c r="B43" s="1"/>
      <x:c r="C43" s="1" t="str">
        <x:v>Cash interest outflow</x:v>
      </x:c>
      <x:c r="D43" s="46" t="n">
        <x:f>D20</x:f>
        <x:v>33.87358332975718</x:v>
      </x:c>
      <x:c r="E43" s="46" t="n">
        <x:f>E20</x:f>
        <x:v>69.34134709978065</x:v>
      </x:c>
      <x:c r="F43" s="46" t="n">
        <x:f>F20</x:f>
        <x:v>61.888362326655034</x:v>
      </x:c>
      <x:c r="G43" s="46" t="n">
        <x:f>G20</x:f>
        <x:v>56.04540829679087</x:v>
      </x:c>
      <x:c r="H43" s="1"/>
    </x:row>
    <x:row r="44" ht="21" customHeight="1">
      <x:c r="A44" s="1"/>
      <x:c r="B44" s="1"/>
      <x:c r="C44" s="1" t="str">
        <x:v>Cash tax outflow</x:v>
      </x:c>
      <x:c r="D44" s="46" t="n">
        <x:f>D22</x:f>
        <x:v>77.9858959133263</x:v>
      </x:c>
      <x:c r="E44" s="46" t="n">
        <x:f>E22</x:f>
        <x:v>148.05893347072782</x:v>
      </x:c>
      <x:c r="F44" s="46" t="n">
        <x:f>F22</x:f>
        <x:v>170.83670629911074</x:v>
      </x:c>
      <x:c r="G44" s="46" t="n">
        <x:f>G22</x:f>
        <x:v>184.52758686363183</x:v>
      </x:c>
      <x:c r="H44" s="1"/>
    </x:row>
    <x:row r="45" ht="21" customHeight="1">
      <x:c r="A45" s="1"/>
      <x:c r="B45" s="1"/>
      <x:c r="C45" s="1" t="str">
        <x:v>Increase / (decrease) in NWC</x:v>
      </x:c>
      <x:c r="D45" s="46" t="n">
        <x:f>D33</x:f>
        <x:v>214.65706608028245</x:v>
      </x:c>
      <x:c r="E45" s="46" t="n">
        <x:f>E33</x:f>
        <x:v>-10.284946122348629</x:v>
      </x:c>
      <x:c r="F45" s="46" t="n">
        <x:f>F33</x:f>
        <x:v>104.37760959663478</x:v>
      </x:c>
      <x:c r="G45" s="46" t="n">
        <x:f>G33</x:f>
        <x:v>70.45488647772845</x:v>
      </x:c>
      <x:c r="H45" s="1"/>
    </x:row>
    <x:row r="46" ht="21" customHeight="1">
      <x:c r="A46" s="1"/>
      <x:c r="B46" s="1"/>
      <x:c r="C46" s="52" t="str">
        <x:v>Recurring CFO proxy (no new advances)</x:v>
      </x:c>
      <x:c r="D46" s="57" t="n">
        <x:f>D42-SUM(D43:D45)</x:f>
        <x:v>546.8786302362204</x:v>
      </x:c>
      <x:c r="E46" s="57" t="n">
        <x:f>E42-SUM(E43:E45)</x:f>
        <x:v>1490.9538704045872</x:v>
      </x:c>
      <x:c r="F46" s="57" t="n">
        <x:f>F42-SUM(F43:F45)</x:f>
        <x:v>1544.550982425929</x:v>
      </x:c>
      <x:c r="G46" s="57" t="n">
        <x:f>G42-SUM(G43:G45)</x:f>
        <x:v>1684.3768968384288</x:v>
      </x:c>
      <x:c r="H46" s="1"/>
    </x:row>
    <x:row r="47" ht="21" customHeight="1">
      <x:c r="A47" s="1"/>
      <x:c r="B47" s="1"/>
      <x:c r="C47" s="1" t="str">
        <x:v>Net customer advance cash</x:v>
      </x:c>
      <x:c r="D47" s="46" t="n">
        <x:f>D37-D38</x:f>
        <x:v>80.35</x:v>
      </x:c>
      <x:c r="E47" s="46" t="n">
        <x:f>E37-E38</x:f>
        <x:v>1476.3325</x:v>
      </x:c>
      <x:c r="F47" s="46" t="n">
        <x:f>F37-F38</x:f>
        <x:v>-974.84125</x:v>
      </x:c>
      <x:c r="G47" s="46" t="n">
        <x:f>G37-G38</x:f>
        <x:v>-974.84125</x:v>
      </x:c>
      <x:c r="H47" s="1"/>
    </x:row>
    <x:row r="48" ht="21" customHeight="1">
      <x:c r="A48" s="1"/>
      <x:c r="B48" s="1"/>
      <x:c r="C48" s="52" t="str">
        <x:v>Total CFO proxy incl. advances</x:v>
      </x:c>
      <x:c r="D48" s="57" t="n">
        <x:f>SUM(D46:D47)</x:f>
        <x:v>627.2286302362204</x:v>
      </x:c>
      <x:c r="E48" s="57" t="n">
        <x:f>SUM(E46:E47)</x:f>
        <x:v>2967.286370404587</x:v>
      </x:c>
      <x:c r="F48" s="57" t="n">
        <x:f>SUM(F46:F47)</x:f>
        <x:v>569.7097324259291</x:v>
      </x:c>
      <x:c r="G48" s="57" t="n">
        <x:f>SUM(G46:G47)</x:f>
        <x:v>709.5356468384289</x:v>
      </x:c>
      <x:c r="H48" s="1"/>
    </x:row>
    <x:row r="49" ht="21" customHeight="1">
      <x:c r="A49" s="1"/>
      <x:c r="B49" s="1"/>
      <x:c r="C49" s="1" t="str">
        <x:v>Cash capex outflow</x:v>
      </x:c>
      <x:c r="D49" s="45" t="n">
        <x:f>'Assumptions'!D24</x:f>
        <x:v>2061.575</x:v>
      </x:c>
      <x:c r="E49" s="45" t="n">
        <x:f>'Assumptions'!E24</x:f>
        <x:v>3000</x:v>
      </x:c>
      <x:c r="F49" s="45" t="n">
        <x:f>'Assumptions'!F24</x:f>
        <x:v>2500</x:v>
      </x:c>
      <x:c r="G49" s="45" t="n">
        <x:f>'Assumptions'!G24</x:f>
        <x:v>1500</x:v>
      </x:c>
      <x:c r="H49" s="1"/>
    </x:row>
    <x:row r="50" ht="21" customHeight="1">
      <x:c r="A50" s="1"/>
      <x:c r="B50" s="1"/>
      <x:c r="C50" s="52" t="str">
        <x:v>Simple free cash flow proxy</x:v>
      </x:c>
      <x:c r="D50" s="57" t="n">
        <x:f>D48-D49</x:f>
        <x:v>-1434.3463697637794</x:v>
      </x:c>
      <x:c r="E50" s="57" t="n">
        <x:f>E48-E49</x:f>
        <x:v>-32.71362959541284</x:v>
      </x:c>
      <x:c r="F50" s="57" t="n">
        <x:f>F48-F49</x:f>
        <x:v>-1930.2902675740709</x:v>
      </x:c>
      <x:c r="G50" s="57" t="n">
        <x:f>G48-G49</x:f>
        <x:v>-790.4643531615711</x:v>
      </x:c>
      <x:c r="H50" s="1"/>
    </x:row>
    <x:row r="51" ht="21" customHeight="1">
      <x:c r="A51" s="1"/>
      <x:c r="B51" s="1"/>
      <x:c r="C51" s="1" t="str">
        <x:v>Debt / lease principal repayments</x:v>
      </x:c>
      <x:c r="D51" s="45" t="n">
        <x:f>'Debt Schedule'!D52</x:f>
        <x:v>104.774</x:v>
      </x:c>
      <x:c r="E51" s="45" t="n">
        <x:f>'Debt Schedule'!E52</x:f>
        <x:v>226.76233333333334</x:v>
      </x:c>
      <x:c r="F51" s="45" t="n">
        <x:f>'Debt Schedule'!F52</x:f>
        <x:v>219.77433333333335</x:v>
      </x:c>
      <x:c r="G51" s="45" t="n">
        <x:f>'Debt Schedule'!G52</x:f>
        <x:v>97.7063333333333</x:v>
      </x:c>
      <x:c r="H51" s="1"/>
    </x:row>
    <x:row r="52" ht="21" customHeight="1">
      <x:c r="A52" s="1"/>
      <x:c r="B52" s="1"/>
      <x:c r="C52" s="1" t="str">
        <x:v>Cash dividends</x:v>
      </x:c>
      <x:c r="D52" s="45" t="n">
        <x:f>'Assumptions'!$D$56*D6</x:f>
        <x:v>41.403</x:v>
      </x:c>
      <x:c r="E52" s="45" t="n">
        <x:f>'Assumptions'!$D$56*E6</x:f>
        <x:v>82.806</x:v>
      </x:c>
      <x:c r="F52" s="45" t="n">
        <x:f>'Assumptions'!$D$56*F6</x:f>
        <x:v>82.806</x:v>
      </x:c>
      <x:c r="G52" s="45" t="n">
        <x:f>'Assumptions'!$D$56*G6</x:f>
        <x:v>82.806</x:v>
      </x:c>
      <x:c r="H52" s="1"/>
    </x:row>
    <x:row r="53" ht="21" customHeight="1">
      <x:c r="A53" s="1"/>
      <x:c r="B53" s="1"/>
      <x:c r="C53" s="1" t="str">
        <x:v>Share repurchases</x:v>
      </x:c>
      <x:c r="D53" s="45" t="n">
        <x:f>'Assumptions'!$D$68*D6</x:f>
        <x:v>0</x:v>
      </x:c>
      <x:c r="E53" s="45" t="n">
        <x:f>'Assumptions'!$D$68*E6</x:f>
        <x:v>0</x:v>
      </x:c>
      <x:c r="F53" s="45" t="n">
        <x:f>'Assumptions'!$D$68*F6</x:f>
        <x:v>0</x:v>
      </x:c>
      <x:c r="G53" s="45" t="n">
        <x:f>'Assumptions'!$D$68*G6</x:f>
        <x:v>0</x:v>
      </x:c>
      <x:c r="H53" s="1"/>
    </x:row>
    <x:row r="54" ht="21" customHeight="1">
      <x:c r="A54" s="1"/>
      <x:c r="B54" s="1"/>
      <x:c r="C54" s="1" t="str">
        <x:v>New loan proceeds</x:v>
      </x:c>
      <x:c r="D54" s="45" t="n">
        <x:f>'Debt Schedule'!D38</x:f>
        <x:v>0</x:v>
      </x:c>
      <x:c r="E54" s="45" t="n">
        <x:f>'Debt Schedule'!E38</x:f>
        <x:v>100</x:v>
      </x:c>
      <x:c r="F54" s="45" t="n">
        <x:f>'Debt Schedule'!F38</x:f>
        <x:v>0</x:v>
      </x:c>
      <x:c r="G54" s="45" t="n">
        <x:f>'Debt Schedule'!G38</x:f>
        <x:v>0</x:v>
      </x:c>
      <x:c r="H54" s="1"/>
    </x:row>
    <x:row r="55" ht="21" customHeight="1">
      <x:c r="A55" s="1"/>
      <x:c r="B55" s="1"/>
      <x:c r="C55" s="1" t="str">
        <x:v>Loan upfront fee</x:v>
      </x:c>
      <x:c r="D55" s="45" t="n">
        <x:f>D54*'Assumptions'!$D$64</x:f>
        <x:v>0</x:v>
      </x:c>
      <x:c r="E55" s="45" t="n">
        <x:f>E54*'Assumptions'!$D$64</x:f>
        <x:v>1</x:v>
      </x:c>
      <x:c r="F55" s="45" t="n">
        <x:f>F54*'Assumptions'!$D$64</x:f>
        <x:v>0</x:v>
      </x:c>
      <x:c r="G55" s="45" t="n">
        <x:f>G54*'Assumptions'!$D$64</x:f>
        <x:v>0</x:v>
      </x:c>
      <x:c r="H55" s="1"/>
    </x:row>
    <x:row r="56" ht="21" customHeight="1">
      <x:c r="A56" s="1"/>
      <x:c r="B56" s="1"/>
      <x:c r="C56" s="1" t="str">
        <x:v>Assumed grant / equity cash received</x:v>
      </x:c>
      <x:c r="D56" s="45" t="n">
        <x:f>'Assumptions'!D77</x:f>
        <x:v>0</x:v>
      </x:c>
      <x:c r="E56" s="45" t="n">
        <x:f>'Assumptions'!E77</x:f>
        <x:v>0</x:v>
      </x:c>
      <x:c r="F56" s="45" t="n">
        <x:f>'Assumptions'!F77</x:f>
        <x:v>0</x:v>
      </x:c>
      <x:c r="G56" s="45" t="n">
        <x:f>'Assumptions'!G77</x:f>
        <x:v>0</x:v>
      </x:c>
      <x:c r="H56" s="1"/>
    </x:row>
    <x:row r="57" ht="21" customHeight="1">
      <x:c r="A57" s="1"/>
      <x:c r="B57" s="1"/>
      <x:c r="C57" s="52" t="str">
        <x:v>Net change in modeled liquid assets</x:v>
      </x:c>
      <x:c r="D57" s="57" t="n">
        <x:f>D50-SUM(D51:D53)+D54-D55+D56</x:f>
        <x:v>-1580.5233697637793</x:v>
      </x:c>
      <x:c r="E57" s="57" t="n">
        <x:f>E50-SUM(E51:E53)+E54-E55+E56</x:f>
        <x:v>-243.28196292874617</x:v>
      </x:c>
      <x:c r="F57" s="57" t="n">
        <x:f>F50-SUM(F51:F53)+F54-F55+F56</x:f>
        <x:v>-2232.870600907404</x:v>
      </x:c>
      <x:c r="G57" s="57" t="n">
        <x:f>G50-SUM(G51:G53)+G54-G55+G56</x:f>
        <x:v>-970.9766864949045</x:v>
      </x:c>
      <x:c r="H57" s="1"/>
    </x:row>
    <x:row r="58" ht="21" customHeight="1">
      <x:c r="A58" s="1"/>
      <x:c r="B58" s="1"/>
      <x:c r="C58" s="1" t="str">
        <x:v>Opening modeled liquid assets</x:v>
      </x:c>
      <x:c r="D58" s="45" t="n">
        <x:f>'Financials'!G27*'Assumptions'!$D$54</x:f>
        <x:v>2512.1620000000003</x:v>
      </x:c>
      <x:c r="E58" s="46" t="n">
        <x:f>D59</x:f>
        <x:v>931.6386302362209</x:v>
      </x:c>
      <x:c r="F58" s="46" t="n">
        <x:f>E59</x:f>
        <x:v>688.3566673074747</x:v>
      </x:c>
      <x:c r="G58" s="46" t="n">
        <x:f>F59</x:f>
        <x:v>-1544.5139335999293</x:v>
      </x:c>
      <x:c r="H58" s="1"/>
    </x:row>
    <x:row r="59" ht="21" customHeight="1">
      <x:c r="A59" s="1"/>
      <x:c r="B59" s="1"/>
      <x:c r="C59" s="52" t="str">
        <x:v>Closing modeled liquid assets / deficit</x:v>
      </x:c>
      <x:c r="D59" s="57" t="n">
        <x:f>SUM(D57:D58)</x:f>
        <x:v>931.6386302362209</x:v>
      </x:c>
      <x:c r="E59" s="57" t="n">
        <x:f>SUM(E57:E58)</x:f>
        <x:v>688.3566673074747</x:v>
      </x:c>
      <x:c r="F59" s="57" t="n">
        <x:f>SUM(F57:F58)</x:f>
        <x:v>-1544.5139335999293</x:v>
      </x:c>
      <x:c r="G59" s="57" t="n">
        <x:f>SUM(G57:G58)</x:f>
        <x:v>-2515.4906200948335</x:v>
      </x:c>
      <x:c r="H59" s="1"/>
    </x:row>
    <x:row r="60" ht="21" customHeight="1">
      <x:c r="A60" s="1"/>
      <x:c r="B60" s="1"/>
      <x:c r="C60" s="1" t="str">
        <x:v>Minimum liquid asset reserve</x:v>
      </x:c>
      <x:c r="D60" s="45" t="n">
        <x:f>'Assumptions'!$D$55</x:f>
        <x:v>500</x:v>
      </x:c>
      <x:c r="E60" s="45" t="n">
        <x:f>'Assumptions'!$D$55</x:f>
        <x:v>500</x:v>
      </x:c>
      <x:c r="F60" s="45" t="n">
        <x:f>'Assumptions'!$D$55</x:f>
        <x:v>500</x:v>
      </x:c>
      <x:c r="G60" s="45" t="n">
        <x:f>'Assumptions'!$D$55</x:f>
        <x:v>500</x:v>
      </x:c>
      <x:c r="H60" s="1"/>
    </x:row>
    <x:row r="61" ht="21" customHeight="1">
      <x:c r="A61" s="1"/>
      <x:c r="B61" s="1"/>
      <x:c r="C61" s="52" t="str">
        <x:v>Cumulative gap vs minimum reserve</x:v>
      </x:c>
      <x:c r="D61" s="57" t="n">
        <x:f>MAX(0,D60-D59)</x:f>
        <x:v>0</x:v>
      </x:c>
      <x:c r="E61" s="57" t="n">
        <x:f>MAX(0,E60-E59)</x:f>
        <x:v>0</x:v>
      </x:c>
      <x:c r="F61" s="57" t="n">
        <x:f>MAX(0,F60-F59)</x:f>
        <x:v>2044.5139335999293</x:v>
      </x:c>
      <x:c r="G61" s="57" t="n">
        <x:f>MAX(0,G60-G59)</x:f>
        <x:v>3015.4906200948335</x:v>
      </x:c>
      <x:c r="H61" s="1"/>
    </x:row>
    <x:row r="62" ht="21" customHeight="1">
      <x:c r="A62" s="1"/>
      <x:c r="B62" s="1"/>
      <x:c r="C62" s="1" t="str">
        <x:v>Undrawn US revolver (reference only)</x:v>
      </x:c>
      <x:c r="D62" s="45" t="n">
        <x:f>'Raw Spread'!$H$82/'Raw Spread'!$D$3</x:f>
        <x:v>1000</x:v>
      </x:c>
      <x:c r="E62" s="45" t="n">
        <x:f>'Raw Spread'!$H$82/'Raw Spread'!$D$3</x:f>
        <x:v>1000</x:v>
      </x:c>
      <x:c r="F62" s="45" t="n">
        <x:f>'Raw Spread'!$H$82/'Raw Spread'!$D$3</x:f>
        <x:v>1000</x:v>
      </x:c>
      <x:c r="G62" s="45" t="n">
        <x:f>'Raw Spread'!$H$82/'Raw Spread'!$D$3</x:f>
        <x:v>1000</x:v>
      </x:c>
      <x:c r="H62" s="1"/>
    </x:row>
    <x:row r="63" ht="21" customHeight="1">
      <x:c r="A63" s="1"/>
      <x:c r="B63" s="1"/>
      <x:c r="C63" s="1"/>
      <x:c r="D63" s="3"/>
      <x:c r="E63" s="3"/>
      <x:c r="F63" s="3"/>
      <x:c r="G63" s="3"/>
      <x:c r="H63" s="1"/>
    </x:row>
    <x:row r="64" ht="25" customHeight="1">
      <x:c r="A64" s="1"/>
      <x:c r="B64" s="1"/>
      <x:c r="C64" s="15" t="str">
        <x:v>LENDER RATIOS | Full-year earnings; period cash service</x:v>
      </x:c>
      <x:c r="D64" s="16"/>
      <x:c r="E64" s="16"/>
      <x:c r="F64" s="16"/>
      <x:c r="G64" s="16"/>
      <x:c r="H64" s="15"/>
    </x:row>
    <x:row r="65" ht="21" customHeight="1">
      <x:c r="A65" s="1"/>
      <x:c r="B65" s="1"/>
      <x:c r="C65" s="1" t="str">
        <x:v>Revenue — full-year view</x:v>
      </x:c>
      <x:c r="D65" s="45" t="n">
        <x:f>'Raw Spread'!H7/'Raw Spread'!$D$3+D12</x:f>
        <x:v>8038.9321</x:v>
      </x:c>
      <x:c r="E65" s="46" t="n">
        <x:f>E12</x:f>
        <x:v>8842.82531</x:v>
      </x:c>
      <x:c r="F65" s="46" t="n">
        <x:f>F12</x:f>
        <x:v>9550.251334800001</x:v>
      </x:c>
      <x:c r="G65" s="46" t="n">
        <x:f>G12</x:f>
        <x:v>10027.763901540002</x:v>
      </x:c>
      <x:c r="H65" s="1"/>
    </x:row>
    <x:row r="66" ht="21" customHeight="1">
      <x:c r="A66" s="1"/>
      <x:c r="B66" s="1"/>
      <x:c r="C66" s="52" t="str">
        <x:v>EBITDA proxy — full-year view</x:v>
      </x:c>
      <x:c r="D66" s="53" t="n">
        <x:f>('Raw Spread'!H13+'Raw Spread'!H54)/'Raw Spread'!$D$3+D16</x:f>
        <x:v>1524.0891755595862</x:v>
      </x:c>
      <x:c r="E66" s="57" t="n">
        <x:f>E16</x:f>
        <x:v>1698.0692048527471</x:v>
      </x:c>
      <x:c r="F66" s="57" t="n">
        <x:f>F16</x:f>
        <x:v>1881.6536606483296</x:v>
      </x:c>
      <x:c r="G66" s="57" t="n">
        <x:f>G16</x:f>
        <x:v>1995.4047784765798</x:v>
      </x:c>
      <x:c r="H66" s="1"/>
    </x:row>
    <x:row r="67" ht="21" customHeight="1">
      <x:c r="A67" s="1"/>
      <x:c r="B67" s="1"/>
      <x:c r="C67" s="1" t="str">
        <x:v>EBIT proxy — full-year view</x:v>
      </x:c>
      <x:c r="D67" s="45" t="n">
        <x:f>'Raw Spread'!H13/'Raw Spread'!$D$3+D19</x:f>
        <x:v>767.2695606260145</x:v>
      </x:c>
      <x:c r="E67" s="46" t="n">
        <x:f>E19</x:f>
        <x:v>891.890977492713</x:v>
      </x:c>
      <x:c r="F67" s="46" t="n">
        <x:f>F19</x:f>
        <x:v>1010.9811750994926</x:v>
      </x:c>
      <x:c r="G67" s="46" t="n">
        <x:f>G19</x:f>
        <x:v>1081.198668650301</x:v>
      </x:c>
      <x:c r="H67" s="1"/>
    </x:row>
    <x:row r="68" ht="21" customHeight="1">
      <x:c r="A68" s="1"/>
      <x:c r="B68" s="1"/>
      <x:c r="C68" s="1" t="str">
        <x:v>Cash interest — full-year proxy</x:v>
      </x:c>
      <x:c r="D68" s="45" t="n">
        <x:f>'Raw Spread'!H14/'Raw Spread'!$D$3+D20</x:f>
        <x:v>68.55458332975718</x:v>
      </x:c>
      <x:c r="E68" s="46" t="n">
        <x:f>E20</x:f>
        <x:v>69.34134709978065</x:v>
      </x:c>
      <x:c r="F68" s="46" t="n">
        <x:f>F20</x:f>
        <x:v>61.888362326655034</x:v>
      </x:c>
      <x:c r="G68" s="46" t="n">
        <x:f>G20</x:f>
        <x:v>56.04540829679087</x:v>
      </x:c>
      <x:c r="H68" s="1"/>
    </x:row>
    <x:row r="69" ht="21" customHeight="1">
      <x:c r="A69" s="1"/>
      <x:c r="B69" s="1"/>
      <x:c r="C69" s="52" t="str">
        <x:v>Ending gross debt principal</x:v>
      </x:c>
      <x:c r="D69" s="53" t="n">
        <x:f>'Debt Schedule'!D50</x:f>
        <x:v>2436.331</x:v>
      </x:c>
      <x:c r="E69" s="53" t="n">
        <x:f>'Debt Schedule'!E50</x:f>
        <x:v>2360.276666666666</x:v>
      </x:c>
      <x:c r="F69" s="53" t="n">
        <x:f>'Debt Schedule'!F50</x:f>
        <x:v>2191.0393333333336</x:v>
      </x:c>
      <x:c r="G69" s="53" t="n">
        <x:f>'Debt Schedule'!G50</x:f>
        <x:v>2093.333</x:v>
      </x:c>
      <x:c r="H69" s="1"/>
    </x:row>
    <x:row r="70" ht="21" customHeight="1">
      <x:c r="A70" s="1"/>
      <x:c r="B70" s="1"/>
      <x:c r="C70" s="52" t="str">
        <x:v>Ending gross debt incl. finance leases</x:v>
      </x:c>
      <x:c r="D70" s="53" t="n">
        <x:f>'Debt Schedule'!D49</x:f>
        <x:v>2537.576</x:v>
      </x:c>
      <x:c r="E70" s="53" t="n">
        <x:f>'Debt Schedule'!E49</x:f>
        <x:v>2410.813666666666</x:v>
      </x:c>
      <x:c r="F70" s="53" t="n">
        <x:f>'Debt Schedule'!F49</x:f>
        <x:v>2191.0393333333336</x:v>
      </x:c>
      <x:c r="G70" s="53" t="n">
        <x:f>'Debt Schedule'!G49</x:f>
        <x:v>2093.333</x:v>
      </x:c>
      <x:c r="H70" s="1"/>
    </x:row>
    <x:row r="71" ht="21" customHeight="1">
      <x:c r="A71" s="1"/>
      <x:c r="B71" s="1"/>
      <x:c r="C71" s="62" t="str">
        <x:v>Gross debt / EBITDA proxy</x:v>
      </x:c>
      <x:c r="D71" s="69" t="n">
        <x:f>IF(D66&gt;0,D69/D66,"n.m.")</x:f>
        <x:v>1.5985488507294687</x:v>
      </x:c>
      <x:c r="E71" s="69" t="n">
        <x:f>IF(E66&gt;0,E69/E66,"n.m.")</x:f>
        <x:v>1.3899767217504804</x:v>
      </x:c>
      <x:c r="F71" s="69" t="n">
        <x:f>IF(F66&gt;0,F69/F66,"n.m.")</x:f>
        <x:v>1.1644222202817092</x:v>
      </x:c>
      <x:c r="G71" s="69" t="n">
        <x:f>IF(G66&gt;0,G69/G66,"n.m.")</x:f>
        <x:v>1.0490768703070787</x:v>
      </x:c>
      <x:c r="H71" s="1"/>
    </x:row>
    <x:row r="72" ht="21" customHeight="1">
      <x:c r="A72" s="1"/>
      <x:c r="B72" s="1"/>
      <x:c r="C72" s="1" t="str">
        <x:v>Net debt (cash capped at zero)</x:v>
      </x:c>
      <x:c r="D72" s="46" t="n">
        <x:f>D69-MAX(0,D59)</x:f>
        <x:v>1504.6923697637792</x:v>
      </x:c>
      <x:c r="E72" s="46" t="n">
        <x:f>E69-MAX(0,E59)</x:f>
        <x:v>1671.9199993591915</x:v>
      </x:c>
      <x:c r="F72" s="46" t="n">
        <x:f>F69-MAX(0,F59)</x:f>
        <x:v>2191.0393333333336</x:v>
      </x:c>
      <x:c r="G72" s="46" t="n">
        <x:f>G69-MAX(0,G59)</x:f>
        <x:v>2093.333</x:v>
      </x:c>
      <x:c r="H72" s="1"/>
    </x:row>
    <x:row r="73" ht="21" customHeight="1">
      <x:c r="A73" s="1"/>
      <x:c r="B73" s="1"/>
      <x:c r="C73" s="62" t="str">
        <x:v>EBIT / cash interest proxy</x:v>
      </x:c>
      <x:c r="D73" s="69" t="n">
        <x:f>IF(D68&gt;0,D67/D68,"n.a.")</x:f>
        <x:v>11.192097207204077</x:v>
      </x:c>
      <x:c r="E73" s="69" t="n">
        <x:f>IF(E68&gt;0,E67/E68,"n.a.")</x:f>
        <x:v>12.862325507021112</x:v>
      </x:c>
      <x:c r="F73" s="69" t="n">
        <x:f>IF(F68&gt;0,F67/F68,"n.a.")</x:f>
        <x:v>16.33556192298964</x:v>
      </x:c>
      <x:c r="G73" s="69" t="n">
        <x:f>IF(G68&gt;0,G67/G68,"n.a.")</x:f>
        <x:v>19.291476349405237</x:v>
      </x:c>
      <x:c r="H73" s="1"/>
    </x:row>
    <x:row r="74" ht="21" customHeight="1">
      <x:c r="A74" s="1"/>
      <x:c r="B74" s="1"/>
      <x:c r="C74" s="62" t="str">
        <x:v>EBITDA / cash interest proxy</x:v>
      </x:c>
      <x:c r="D74" s="69" t="n">
        <x:f>IF(D68&gt;0,D66/D68,"n.a.")</x:f>
        <x:v>22.23176192652945</x:v>
      </x:c>
      <x:c r="E74" s="69" t="n">
        <x:f>IF(E68&gt;0,E66/E68,"n.a.")</x:f>
        <x:v>24.488552297798073</x:v>
      </x:c>
      <x:c r="F74" s="69" t="n">
        <x:f>IF(F68&gt;0,F66/F68,"n.a.")</x:f>
        <x:v>30.40399826249579</x:v>
      </x:c>
      <x:c r="G74" s="69" t="n">
        <x:f>IF(G68&gt;0,G66/G68,"n.a.")</x:f>
        <x:v>35.60335876062903</x:v>
      </x:c>
      <x:c r="H74" s="1"/>
    </x:row>
    <x:row r="75" ht="21" customHeight="1">
      <x:c r="A75" s="1"/>
      <x:c r="B75" s="1"/>
      <x:c r="C75" s="1" t="str">
        <x:v>Maintenance cash capex (assumed)</x:v>
      </x:c>
      <x:c r="D75" s="45" t="n">
        <x:f>D49*'Assumptions'!$D$57</x:f>
        <x:v>618.4725</x:v>
      </x:c>
      <x:c r="E75" s="45" t="n">
        <x:f>E49*'Assumptions'!$D$57</x:f>
        <x:v>900</x:v>
      </x:c>
      <x:c r="F75" s="45" t="n">
        <x:f>F49*'Assumptions'!$D$57</x:f>
        <x:v>750</x:v>
      </x:c>
      <x:c r="G75" s="45" t="n">
        <x:f>G49*'Assumptions'!$D$57</x:f>
        <x:v>450</x:v>
      </x:c>
      <x:c r="H75" s="1"/>
    </x:row>
    <x:row r="76" ht="21" customHeight="1">
      <x:c r="A76" s="1"/>
      <x:c r="B76" s="1"/>
      <x:c r="C76" s="52" t="str">
        <x:v>Recurring CFADS after maintenance capex</x:v>
      </x:c>
      <x:c r="D76" s="57" t="n">
        <x:f>D46+D43-D75</x:f>
        <x:v>-37.720286434022455</x:v>
      </x:c>
      <x:c r="E76" s="57" t="n">
        <x:f>E46+E43-E75</x:f>
        <x:v>660.2952175043679</x:v>
      </x:c>
      <x:c r="F76" s="57" t="n">
        <x:f>F46+F43-F75</x:f>
        <x:v>856.439344752584</x:v>
      </x:c>
      <x:c r="G76" s="57" t="n">
        <x:f>G46+G43-G75</x:f>
        <x:v>1290.4223051352196</x:v>
      </x:c>
      <x:c r="H76" s="1"/>
    </x:row>
    <x:row r="77" ht="21" customHeight="1">
      <x:c r="A77" s="1"/>
      <x:c r="B77" s="1"/>
      <x:c r="C77" s="52" t="str">
        <x:v>Recurring CFADS after TOTAL capex</x:v>
      </x:c>
      <x:c r="D77" s="57" t="n">
        <x:f>D46+D43-D49</x:f>
        <x:v>-1480.8227864340224</x:v>
      </x:c>
      <x:c r="E77" s="57" t="n">
        <x:f>E46+E43-E49</x:f>
        <x:v>-1439.7047824956321</x:v>
      </x:c>
      <x:c r="F77" s="57" t="n">
        <x:f>F46+F43-F49</x:f>
        <x:v>-893.560655247416</x:v>
      </x:c>
      <x:c r="G77" s="57" t="n">
        <x:f>G46+G43-G49</x:f>
        <x:v>240.42230513521963</x:v>
      </x:c>
      <x:c r="H77" s="1"/>
    </x:row>
    <x:row r="78" ht="21" customHeight="1">
      <x:c r="A78" s="1"/>
      <x:c r="B78" s="1"/>
      <x:c r="C78" s="52" t="str">
        <x:v>Cash debt service (interest + principal)</x:v>
      </x:c>
      <x:c r="D78" s="53" t="n">
        <x:f>'Debt Schedule'!D53</x:f>
        <x:v>138.6475833297572</x:v>
      </x:c>
      <x:c r="E78" s="53" t="n">
        <x:f>'Debt Schedule'!E53</x:f>
        <x:v>296.103680433114</x:v>
      </x:c>
      <x:c r="F78" s="53" t="n">
        <x:f>'Debt Schedule'!F53</x:f>
        <x:v>281.6626956599884</x:v>
      </x:c>
      <x:c r="G78" s="53" t="n">
        <x:f>'Debt Schedule'!G53</x:f>
        <x:v>153.75174163012417</x:v>
      </x:c>
      <x:c r="H78" s="1"/>
    </x:row>
    <x:row r="79" ht="21" customHeight="1">
      <x:c r="A79" s="1"/>
      <x:c r="B79" s="1"/>
      <x:c r="C79" s="62" t="str">
        <x:v>Maintenance-capex DSCR (period)</x:v>
      </x:c>
      <x:c r="D79" s="69" t="n">
        <x:f>IF(D78&gt;0,D76/D78,"n.a.")</x:f>
        <x:v>-0.2720587371819466</x:v>
      </x:c>
      <x:c r="E79" s="69" t="n">
        <x:f>IF(E78&gt;0,E76/E78,"n.a.")</x:f>
        <x:v>2.2299459991126995</x:v>
      </x:c>
      <x:c r="F79" s="69" t="n">
        <x:f>IF(F78&gt;0,F76/F78,"n.a.")</x:f>
        <x:v>3.0406559262162367</x:v>
      </x:c>
      <x:c r="G79" s="69" t="n">
        <x:f>IF(G78&gt;0,G76/G78,"n.a.")</x:f>
        <x:v>8.392895530507543</x:v>
      </x:c>
      <x:c r="H79" s="1"/>
    </x:row>
    <x:row r="80" ht="21" customHeight="1">
      <x:c r="A80" s="1"/>
      <x:c r="B80" s="1"/>
      <x:c r="C80" s="62" t="str">
        <x:v>TOTAL-capex DSCR (period)</x:v>
      </x:c>
      <x:c r="D80" s="69" t="n">
        <x:f>IF(D78&gt;0,D77/D78,"n.a.")</x:f>
        <x:v>-10.680480329123784</x:v>
      </x:c>
      <x:c r="E80" s="69" t="n">
        <x:f>IF(E78&gt;0,E77/E78,"n.a.")</x:f>
        <x:v>-4.862164429667881</x:v>
      </x:c>
      <x:c r="F80" s="69" t="n">
        <x:f>IF(F78&gt;0,F77/F78,"n.a.")</x:f>
        <x:v>-3.1724494191665538</x:v>
      </x:c>
      <x:c r="G80" s="69" t="n">
        <x:f>IF(G78&gt;0,G77/G78,"n.a.")</x:f>
        <x:v>1.5637045966841543</x:v>
      </x:c>
      <x:c r="H80" s="1"/>
    </x:row>
    <x:row r="81" ht="21" customHeight="1">
      <x:c r="A81" s="1"/>
      <x:c r="B81" s="1"/>
      <x:c r="C81" s="1"/>
      <x:c r="D81" s="3"/>
      <x:c r="E81" s="3"/>
      <x:c r="F81" s="3"/>
      <x:c r="G81" s="3"/>
      <x:c r="H81" s="1"/>
    </x:row>
    <x:row r="82" ht="25" customHeight="1">
      <x:c r="A82" s="1"/>
      <x:c r="B82" s="1"/>
      <x:c r="C82" s="15" t="str">
        <x:v>ILLUSTRATIVE COVENANT HEADROOM | Positive = buffer</x:v>
      </x:c>
      <x:c r="D82" s="16"/>
      <x:c r="E82" s="16"/>
      <x:c r="F82" s="16"/>
      <x:c r="G82" s="16"/>
      <x:c r="H82" s="15"/>
    </x:row>
    <x:row r="83" ht="21" customHeight="1">
      <x:c r="A83" s="1"/>
      <x:c r="B83" s="1"/>
      <x:c r="C83" s="52" t="str">
        <x:v>Leverage headroom — debt capacity</x:v>
      </x:c>
      <x:c r="D83" s="53" t="n">
        <x:f>'Assumptions'!$D$71*D66-D69</x:f>
        <x:v>2135.936526678759</x:v>
      </x:c>
      <x:c r="E83" s="53" t="n">
        <x:f>'Assumptions'!$D$71*E66-E69</x:f>
        <x:v>2733.930947891575</x:v>
      </x:c>
      <x:c r="F83" s="53" t="n">
        <x:f>'Assumptions'!$D$71*F66-F69</x:f>
        <x:v>3453.921648611655</x:v>
      </x:c>
      <x:c r="G83" s="53" t="n">
        <x:f>'Assumptions'!$D$71*G66-G69</x:f>
        <x:v>3892.8813354297395</x:v>
      </x:c>
      <x:c r="H83" s="1"/>
    </x:row>
    <x:row r="84" ht="21" customHeight="1">
      <x:c r="A84" s="1"/>
      <x:c r="B84" s="1"/>
      <x:c r="C84" s="52" t="str">
        <x:v>Interest cover headroom — EBITDA</x:v>
      </x:c>
      <x:c r="D84" s="53" t="n">
        <x:f>D66-'Assumptions'!$D$72*D68</x:f>
        <x:v>1249.8708422405575</x:v>
      </x:c>
      <x:c r="E84" s="53" t="n">
        <x:f>E66-'Assumptions'!$D$72*E68</x:f>
        <x:v>1420.7038164536245</x:v>
      </x:c>
      <x:c r="F84" s="53" t="n">
        <x:f>F66-'Assumptions'!$D$72*F68</x:f>
        <x:v>1634.1002113417094</x:v>
      </x:c>
      <x:c r="G84" s="53" t="n">
        <x:f>G66-'Assumptions'!$D$72*G68</x:f>
        <x:v>1771.2231452894164</x:v>
      </x:c>
      <x:c r="H84" s="1"/>
    </x:row>
    <x:row r="85" ht="21" customHeight="1">
      <x:c r="A85" s="1"/>
      <x:c r="B85" s="1"/>
      <x:c r="C85" s="52" t="str">
        <x:v>Maintenance DSCR headroom — CFADS</x:v>
      </x:c>
      <x:c r="D85" s="53" t="n">
        <x:f>D76-'Assumptions'!$D$73*D78</x:f>
        <x:v>-211.02976559621897</x:v>
      </x:c>
      <x:c r="E85" s="53" t="n">
        <x:f>E76-'Assumptions'!$D$73*E78</x:f>
        <x:v>290.1656169629754</x:v>
      </x:c>
      <x:c r="F85" s="53" t="n">
        <x:f>F76-'Assumptions'!$D$73*F78</x:f>
        <x:v>504.3609751775985</x:v>
      </x:c>
      <x:c r="G85" s="53" t="n">
        <x:f>G76-'Assumptions'!$D$73*G78</x:f>
        <x:v>1098.2326280975644</x:v>
      </x:c>
      <x:c r="H85" s="1"/>
    </x:row>
    <x:row r="86" ht="21" customHeight="1">
      <x:c r="A86" s="1"/>
      <x:c r="B86" s="1"/>
      <x:c r="C86" s="52" t="str">
        <x:v>Liquidity headroom vs reserve</x:v>
      </x:c>
      <x:c r="D86" s="57" t="n">
        <x:f>D59-D60</x:f>
        <x:v>431.63863023622093</x:v>
      </x:c>
      <x:c r="E86" s="57" t="n">
        <x:f>E59-E60</x:f>
        <x:v>188.3566673074747</x:v>
      </x:c>
      <x:c r="F86" s="57" t="n">
        <x:f>F59-F60</x:f>
        <x:v>-2044.5139335999293</x:v>
      </x:c>
      <x:c r="G86" s="57" t="n">
        <x:f>G59-G60</x:f>
        <x:v>-3015.4906200948335</x:v>
      </x:c>
      <x:c r="H86" s="1"/>
    </x:row>
    <x:row r="87" ht="21" customHeight="1">
      <x:c r="A87" s="1"/>
      <x:c r="B87" s="1"/>
      <x:c r="C87" s="52" t="str">
        <x:v>FCF incl. advances after principal</x:v>
      </x:c>
      <x:c r="D87" s="57" t="n">
        <x:f>D50-D51</x:f>
        <x:v>-1539.1203697637793</x:v>
      </x:c>
      <x:c r="E87" s="57" t="n">
        <x:f>E50-E51</x:f>
        <x:v>-259.4759629287462</x:v>
      </x:c>
      <x:c r="F87" s="57" t="n">
        <x:f>F50-F51</x:f>
        <x:v>-2150.0646009074044</x:v>
      </x:c>
      <x:c r="G87" s="57" t="n">
        <x:f>G50-G51</x:f>
        <x:v>-888.1706864949044</x:v>
      </x:c>
      <x:c r="H87" s="1"/>
    </x:row>
    <x:row r="88" ht="42" customHeight="1">
      <x:c r="A88" s="1"/>
      <x:c r="B88" s="1"/>
      <x:c r="C88" s="1" t="str">
        <x:v>Illustrative credit-screen status</x:v>
      </x:c>
      <x:c r="D88" s="109" t="str">
        <x:f>IF(OR(D66&lt;=0,D83&lt;0,D84&lt;0,D85&lt;0,D86&lt;0),"DEFER","SCREEN PASSES")</x:f>
        <x:v>DEFER</x:v>
      </x:c>
      <x:c r="E88" s="109" t="str">
        <x:f>IF(OR(E66&lt;=0,E83&lt;0,E84&lt;0,E85&lt;0,E86&lt;0),"DEFER","SCREEN PASSES")</x:f>
        <x:v>SCREEN PASSES</x:v>
      </x:c>
      <x:c r="F88" s="109" t="str">
        <x:f>IF(OR(F66&lt;=0,F83&lt;0,F84&lt;0,F85&lt;0,F86&lt;0),"DEFER","SCREEN PASSES")</x:f>
        <x:v>DEFER</x:v>
      </x:c>
      <x:c r="G88" s="109" t="str">
        <x:f>IF(OR(G66&lt;=0,G83&lt;0,G84&lt;0,G85&lt;0,G86&lt;0),"DEFER","SCREEN PASSES")</x:f>
        <x:v>DEFER</x:v>
      </x:c>
      <x:c r="H88" s="1"/>
    </x:row>
    <x:row r="89" ht="21" customHeight="1">
      <x:c r="A89" s="1"/>
      <x:c r="B89" s="1"/>
      <x:c r="C89" s="1"/>
      <x:c r="D89" s="3"/>
      <x:c r="E89" s="3"/>
      <x:c r="F89" s="3"/>
      <x:c r="G89" s="3"/>
      <x:c r="H89" s="1"/>
    </x:row>
    <x:row r="90" ht="38" customHeight="1">
      <x:c r="A90" s="1"/>
      <x:c r="B90" s="1"/>
      <x:c r="C90" s="33" t="str">
        <x:v>Unfunded deficits measure external funding / capex reduction needed, not real negative bank balances. The revolver is undrawn reference capacity. Leverage excludes any unarranged debt needed to close the gap; debt-funded gaps would increase leverage.</x:v>
      </x:c>
      <x:c r="D90" s="34"/>
      <x:c r="E90" s="34"/>
      <x:c r="F90" s="34"/>
      <x:c r="G90" s="34"/>
      <x:c r="H90" s="33"/>
    </x:row>
    <x:row r="91" ht="21" customHeight="1">
      <x:c r="A91" s="1"/>
      <x:c r="B91" s="1"/>
      <x:c r="C91" s="1"/>
      <x:c r="D91" s="3"/>
      <x:c r="E91" s="3"/>
      <x:c r="F91" s="3"/>
      <x:c r="G91" s="3"/>
      <x:c r="H91" s="1"/>
    </x:row>
    <x:row r="92" ht="38" customHeight="1">
      <x:c r="A92" s="1"/>
      <x:c r="B92" s="1"/>
      <x:c r="C92" s="33" t="str">
        <x:v>CFADS is before cash interest but after taxes, NWC and the chosen capex basis. DSCR divides CFADS by interest + principal including finance leases. CFO already deducts interest, so it is added back once for CFADS.</x:v>
      </x:c>
      <x:c r="D92" s="34"/>
      <x:c r="E92" s="34"/>
      <x:c r="F92" s="34"/>
      <x:c r="G92" s="34"/>
      <x:c r="H92" s="33"/>
    </x:row>
    <x:row r="93" ht="21" customHeight="1">
      <x:c r="A93" s="1"/>
      <x:c r="B93" s="1"/>
      <x:c r="C93" s="1"/>
      <x:c r="D93" s="3"/>
      <x:c r="E93" s="3"/>
      <x:c r="F93" s="3"/>
      <x:c r="G93" s="3"/>
      <x:c r="H93" s="1"/>
    </x:row>
    <x:row r="94" ht="38" customHeight="1">
      <x:c r="A94" s="1"/>
      <x:c r="B94" s="1"/>
      <x:c r="C94" s="33" t="str">
        <x:v>2026 full-year cash-interest proxy uses actual H1 GAAP expense plus modeled H2 coupons. DSCR remains on matching period cash flows. No investment income, early convertible settlement, additional tax incentives or automatic refinancing.</x:v>
      </x:c>
      <x:c r="D94" s="34"/>
      <x:c r="E94" s="34"/>
      <x:c r="F94" s="34"/>
      <x:c r="G94" s="34"/>
      <x:c r="H94" s="33"/>
    </x:row>
    <x:row r="95" ht="21" customHeight="1">
      <x:c r="A95" s="1"/>
      <x:c r="B95" s="1"/>
      <x:c r="C95" s="1"/>
      <x:c r="D95" s="3"/>
      <x:c r="E95" s="3"/>
      <x:c r="F95" s="3"/>
      <x:c r="G95" s="3"/>
      <x:c r="H95" s="1"/>
    </x:row>
    <x:row r="96" ht="21" customHeight="1">
      <x:c r="A96" s="1"/>
      <x:c r="B96" s="1"/>
      <x:c r="C96" s="1"/>
      <x:c r="D96" s="3"/>
      <x:c r="E96" s="3"/>
      <x:c r="F96" s="3"/>
      <x:c r="G96" s="3"/>
      <x:c r="H96" s="1"/>
    </x:row>
  </x:sheetData>
  <x:mergeCells>
    <x:mergeCell ref="C1:H2"/>
    <x:mergeCell ref="C3:H3"/>
    <x:mergeCell ref="D4:G4"/>
    <x:mergeCell ref="C10:H10"/>
    <x:mergeCell ref="C25:H25"/>
    <x:mergeCell ref="C35:H35"/>
    <x:mergeCell ref="C41:H41"/>
    <x:mergeCell ref="C64:H64"/>
    <x:mergeCell ref="C82:H82"/>
    <x:mergeCell ref="C90:H90"/>
    <x:mergeCell ref="C92:H92"/>
    <x:mergeCell ref="C94:H94"/>
  </x:mergeCells>
  <x:conditionalFormatting sqref="D59:G59">
    <x:cfRule type="cellIs" dxfId="0" priority="1" operator="lessThan">
      <x:formula>0</x:formula>
    </x:cfRule>
  </x:conditionalFormatting>
  <x:conditionalFormatting sqref="D83:G86">
    <x:cfRule type="cellIs" dxfId="1" priority="2" operator="lessThan">
      <x:formula>0</x:formula>
    </x:cfRule>
  </x:conditionalFormatting>
  <x:conditionalFormatting sqref="D88:G88">
    <x:cfRule type="containsText" dxfId="2" priority="3" operator="containsText" text="DEFER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47D9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1" customHeight="1">
      <x:c r="A1" s="1"/>
      <x:c r="B1" s="1"/>
      <x:c r="C1" s="5" t="str">
        <x:v>DEBT MATURITIES &amp; CASH SERVICE</x:v>
      </x:c>
      <x:c r="D1" s="5"/>
      <x:c r="E1" s="5"/>
      <x:c r="F1" s="5"/>
      <x:c r="G1" s="5"/>
      <x:c r="H1" s="5"/>
      <x:c r="I1" s="5"/>
      <x:c r="J1" s="5"/>
    </x:row>
    <x:row r="2" ht="21" customHeight="1">
      <x:c r="A2" s="1"/>
      <x:c r="B2" s="1"/>
      <x:c r="C2" s="5"/>
      <x:c r="D2" s="5"/>
      <x:c r="E2" s="5"/>
      <x:c r="F2" s="5"/>
      <x:c r="G2" s="5"/>
      <x:c r="H2" s="5"/>
      <x:c r="I2" s="5"/>
      <x:c r="J2" s="5"/>
    </x:row>
    <x:row r="3" ht="21" customHeight="1">
      <x:c r="A3" s="1"/>
      <x:c r="B3" s="1"/>
      <x:c r="C3" s="6" t="str">
        <x:v>Amkor Technology | Independent credit study by Eisen Hy | 1-Oct-2026 | USD millions unless stated</x:v>
      </x:c>
      <x:c r="D3" s="6"/>
      <x:c r="E3" s="6"/>
      <x:c r="F3" s="6"/>
      <x:c r="G3" s="6"/>
      <x:c r="H3" s="6"/>
      <x:c r="I3" s="6"/>
      <x:c r="J3" s="6"/>
    </x:row>
    <x:row r="4" ht="21" customHeight="1">
      <x:c r="A4" s="1"/>
      <x:c r="B4" s="1"/>
      <x:c r="C4" s="1" t="str">
        <x:v>Selected case</x:v>
      </x:c>
      <x:c r="D4" s="7" t="str">
        <x:f>'Assumptions'!$D$7</x:f>
        <x:v>Base</x:v>
      </x:c>
      <x:c r="E4" s="1"/>
      <x:c r="F4" s="1"/>
      <x:c r="G4" s="1"/>
      <x:c r="H4" s="1"/>
      <x:c r="I4" s="1"/>
      <x:c r="J4" s="1"/>
    </x:row>
    <x:row r="5" ht="26" customHeight="1">
      <x:c r="A5" s="1"/>
      <x:c r="B5" s="1"/>
      <x:c r="C5" s="12"/>
      <x:c r="D5" s="12" t="str">
        <x:v>2026 H2E</x:v>
      </x:c>
      <x:c r="E5" s="12" t="str">
        <x:v>2027E</x:v>
      </x:c>
      <x:c r="F5" s="12" t="str">
        <x:v>2028E</x:v>
      </x:c>
      <x:c r="G5" s="12" t="str">
        <x:v>2029E</x:v>
      </x:c>
      <x:c r="H5" s="12" t="str">
        <x:v>2030E</x:v>
      </x:c>
      <x:c r="I5" s="12" t="str">
        <x:v>2031E</x:v>
      </x:c>
      <x:c r="J5" s="12" t="str">
        <x:v>2033E</x:v>
      </x:c>
    </x:row>
    <x:row r="6" ht="21" customHeight="1">
      <x:c r="A6" s="1"/>
      <x:c r="B6" s="1"/>
      <x:c r="C6" s="1" t="str">
        <x:v>Calendar year</x:v>
      </x:c>
      <x:c r="D6" s="37" t="n">
        <x:v>2026</x:v>
      </x:c>
      <x:c r="E6" s="37" t="n">
        <x:v>2027</x:v>
      </x:c>
      <x:c r="F6" s="37" t="n">
        <x:v>2028</x:v>
      </x:c>
      <x:c r="G6" s="37" t="n">
        <x:v>2029</x:v>
      </x:c>
      <x:c r="H6" s="90" t="n">
        <x:v>2030</x:v>
      </x:c>
      <x:c r="I6" s="90" t="n">
        <x:v>2031</x:v>
      </x:c>
      <x:c r="J6" s="90" t="n">
        <x:v>2033</x:v>
      </x:c>
    </x:row>
    <x:row r="7" ht="21" customHeight="1">
      <x:c r="A7" s="1"/>
      <x:c r="B7" s="1"/>
      <x:c r="C7" s="1" t="str">
        <x:v>Period fraction</x:v>
      </x:c>
      <x:c r="D7" s="91" t="n">
        <x:v>0.5</x:v>
      </x:c>
      <x:c r="E7" s="91" t="n">
        <x:v>1</x:v>
      </x:c>
      <x:c r="F7" s="91" t="n">
        <x:v>1</x:v>
      </x:c>
      <x:c r="G7" s="91" t="n">
        <x:v>1</x:v>
      </x:c>
      <x:c r="H7" s="92" t="n">
        <x:v>1</x:v>
      </x:c>
      <x:c r="I7" s="92" t="n">
        <x:v>1</x:v>
      </x:c>
      <x:c r="J7" s="92" t="n">
        <x:v>1</x:v>
      </x:c>
    </x:row>
    <x:row r="8" ht="21" customHeight="1">
      <x:c r="A8" s="1"/>
      <x:c r="B8" s="1"/>
      <x:c r="C8" s="1"/>
      <x:c r="D8" s="3"/>
      <x:c r="E8" s="3"/>
      <x:c r="F8" s="3"/>
      <x:c r="G8" s="3"/>
      <x:c r="H8" s="2"/>
      <x:c r="I8" s="2"/>
      <x:c r="J8" s="2"/>
    </x:row>
    <x:row r="9" ht="25" customHeight="1">
      <x:c r="A9" s="1"/>
      <x:c r="B9" s="1"/>
      <x:c r="C9" s="15" t="str">
        <x:v>FIXED-RATE SENIOR NOTES | $500m due 2033</x:v>
      </x:c>
      <x:c r="D9" s="16"/>
      <x:c r="E9" s="16"/>
      <x:c r="F9" s="16"/>
      <x:c r="G9" s="16"/>
      <x:c r="H9" s="94"/>
      <x:c r="I9" s="94"/>
      <x:c r="J9" s="94"/>
    </x:row>
    <x:row r="10" ht="21" customHeight="1">
      <x:c r="A10" s="1"/>
      <x:c r="B10" s="1"/>
      <x:c r="C10" s="1" t="str">
        <x:v>Opening senior note principal</x:v>
      </x:c>
      <x:c r="D10" s="45" t="n">
        <x:f>'Raw Spread'!D94/'Raw Spread'!$D$3</x:f>
        <x:v>500</x:v>
      </x:c>
      <x:c r="E10" s="46" t="n">
        <x:f>D12</x:f>
        <x:v>500</x:v>
      </x:c>
      <x:c r="F10" s="46" t="n">
        <x:f>E12</x:f>
        <x:v>500</x:v>
      </x:c>
      <x:c r="G10" s="46" t="n">
        <x:f>F12</x:f>
        <x:v>500</x:v>
      </x:c>
      <x:c r="H10" s="95" t="n">
        <x:f>G12</x:f>
        <x:v>500</x:v>
      </x:c>
      <x:c r="I10" s="95" t="n">
        <x:f>H12</x:f>
        <x:v>500</x:v>
      </x:c>
      <x:c r="J10" s="95" t="n">
        <x:f>I12</x:f>
        <x:v>500</x:v>
      </x:c>
    </x:row>
    <x:row r="11" ht="21" customHeight="1">
      <x:c r="A11" s="1"/>
      <x:c r="B11" s="1"/>
      <x:c r="C11" s="1" t="str">
        <x:v>Principal repayment</x:v>
      </x:c>
      <x:c r="D11" s="45" t="n">
        <x:f>IF(D$6='Raw Spread'!$G$94,D10,0)</x:f>
        <x:v>0</x:v>
      </x:c>
      <x:c r="E11" s="45" t="n">
        <x:f>IF(E$6='Raw Spread'!$G$94,E10,0)</x:f>
        <x:v>0</x:v>
      </x:c>
      <x:c r="F11" s="45" t="n">
        <x:f>IF(F$6='Raw Spread'!$G$94,F10,0)</x:f>
        <x:v>0</x:v>
      </x:c>
      <x:c r="G11" s="45" t="n">
        <x:f>IF(G$6='Raw Spread'!$G$94,G10,0)</x:f>
        <x:v>0</x:v>
      </x:c>
      <x:c r="H11" s="96" t="n">
        <x:f>IF(H$6='Raw Spread'!$G$94,H10,0)</x:f>
        <x:v>0</x:v>
      </x:c>
      <x:c r="I11" s="96" t="n">
        <x:f>IF(I$6='Raw Spread'!$G$94,I10,0)</x:f>
        <x:v>0</x:v>
      </x:c>
      <x:c r="J11" s="96" t="n">
        <x:f>IF(J$6='Raw Spread'!$G$94,J10,0)</x:f>
        <x:v>500</x:v>
      </x:c>
    </x:row>
    <x:row r="12" ht="21" customHeight="1">
      <x:c r="A12" s="1"/>
      <x:c r="B12" s="1"/>
      <x:c r="C12" s="52" t="str">
        <x:v>Closing senior note principal</x:v>
      </x:c>
      <x:c r="D12" s="57" t="n">
        <x:f>D10-D11</x:f>
        <x:v>500</x:v>
      </x:c>
      <x:c r="E12" s="57" t="n">
        <x:f>E10-E11</x:f>
        <x:v>500</x:v>
      </x:c>
      <x:c r="F12" s="57" t="n">
        <x:f>F10-F11</x:f>
        <x:v>500</x:v>
      </x:c>
      <x:c r="G12" s="57" t="n">
        <x:f>G10-G11</x:f>
        <x:v>500</x:v>
      </x:c>
      <x:c r="H12" s="100" t="n">
        <x:f>H10-H11</x:f>
        <x:v>500</x:v>
      </x:c>
      <x:c r="I12" s="100" t="n">
        <x:f>I10-I11</x:f>
        <x:v>500</x:v>
      </x:c>
      <x:c r="J12" s="100" t="n">
        <x:f>J10-J11</x:f>
        <x:v>0</x:v>
      </x:c>
    </x:row>
    <x:row r="13" ht="21" customHeight="1">
      <x:c r="A13" s="1"/>
      <x:c r="B13" s="1"/>
      <x:c r="C13" s="1" t="str">
        <x:v>Cash coupon interest</x:v>
      </x:c>
      <x:c r="D13" s="45" t="n">
        <x:f>AVERAGE(D10,D12)*'Raw Spread'!$E$94*D$7</x:f>
        <x:v>14.6875</x:v>
      </x:c>
      <x:c r="E13" s="45" t="n">
        <x:f>AVERAGE(E10,E12)*'Raw Spread'!$E$94*E$7</x:f>
        <x:v>29.375</x:v>
      </x:c>
      <x:c r="F13" s="45" t="n">
        <x:f>AVERAGE(F10,F12)*'Raw Spread'!$E$94*F$7</x:f>
        <x:v>29.375</x:v>
      </x:c>
      <x:c r="G13" s="45" t="n">
        <x:f>AVERAGE(G10,G12)*'Raw Spread'!$E$94*G$7</x:f>
        <x:v>29.375</x:v>
      </x:c>
      <x:c r="H13" s="96" t="n">
        <x:f>AVERAGE(H10,H12)*'Raw Spread'!$E$94*H$7</x:f>
        <x:v>29.375</x:v>
      </x:c>
      <x:c r="I13" s="96" t="n">
        <x:f>AVERAGE(I10,I12)*'Raw Spread'!$E$94*I$7</x:f>
        <x:v>29.375</x:v>
      </x:c>
      <x:c r="J13" s="96" t="n">
        <x:f>AVERAGE(J10,J12)*'Raw Spread'!$E$94*J$7</x:f>
        <x:v>14.6875</x:v>
      </x:c>
    </x:row>
    <x:row r="14" ht="25" customHeight="1">
      <x:c r="A14" s="1"/>
      <x:c r="B14" s="1"/>
      <x:c r="C14" s="15" t="str">
        <x:v>FIXED-RATE SUBSIDIARY TERM LOANS | Amortizing</x:v>
      </x:c>
      <x:c r="D14" s="16"/>
      <x:c r="E14" s="16"/>
      <x:c r="F14" s="16"/>
      <x:c r="G14" s="16"/>
      <x:c r="H14" s="94"/>
      <x:c r="I14" s="94"/>
      <x:c r="J14" s="94"/>
    </x:row>
    <x:row r="15" ht="21" customHeight="1">
      <x:c r="A15" s="1"/>
      <x:c r="B15" s="1"/>
      <x:c r="C15" s="1" t="str">
        <x:v>Opening subsidiary loan principal</x:v>
      </x:c>
      <x:c r="D15" s="45" t="n">
        <x:f>SUM('Raw Spread'!D97:D100,'Raw Spread'!D102:D103)/'Raw Spread'!$D$3</x:f>
        <x:v>372.001</x:v>
      </x:c>
      <x:c r="E15" s="46" t="n">
        <x:f>D17</x:f>
        <x:v>298.83099999999996</x:v>
      </x:c>
      <x:c r="F15" s="46" t="n">
        <x:f>E17</x:f>
        <x:v>168.60999999999996</x:v>
      </x:c>
      <x:c r="G15" s="46" t="n">
        <x:f>F17</x:f>
        <x:v>57.70599999999996</x:v>
      </x:c>
      <x:c r="H15" s="95" t="n">
        <x:f>G17</x:f>
        <x:v>18.332999999999963</x:v>
      </x:c>
      <x:c r="I15" s="95" t="n">
        <x:f>H17</x:f>
        <x:v>0</x:v>
      </x:c>
      <x:c r="J15" s="95" t="n">
        <x:f>I17</x:f>
        <x:v>0</x:v>
      </x:c>
    </x:row>
    <x:row r="16" ht="21" customHeight="1">
      <x:c r="A16" s="1"/>
      <x:c r="B16" s="1"/>
      <x:c r="C16" s="1" t="str">
        <x:v>Principal repayment</x:v>
      </x:c>
      <x:c r="D16" s="45" t="n">
        <x:f>MIN(D15,'Raw Spread'!D87/'Raw Spread'!$D$3)</x:f>
        <x:v>73.17</x:v>
      </x:c>
      <x:c r="E16" s="45" t="n">
        <x:f>MIN(E15,'Raw Spread'!E87/'Raw Spread'!$D$3)</x:f>
        <x:v>130.221</x:v>
      </x:c>
      <x:c r="F16" s="45" t="n">
        <x:f>MIN(F15,'Raw Spread'!F87/'Raw Spread'!$D$3)</x:f>
        <x:v>110.904</x:v>
      </x:c>
      <x:c r="G16" s="45" t="n">
        <x:f>MIN(G15,'Raw Spread'!G87/'Raw Spread'!$D$3)</x:f>
        <x:v>39.373</x:v>
      </x:c>
      <x:c r="H16" s="96" t="n">
        <x:f>MIN(H15,'Raw Spread'!H87/'Raw Spread'!$D$3)</x:f>
        <x:v>18.332999999999963</x:v>
      </x:c>
      <x:c r="I16" s="95" t="n">
        <x:f>0</x:f>
        <x:v>0</x:v>
      </x:c>
      <x:c r="J16" s="95" t="n">
        <x:f>0</x:f>
        <x:v>0</x:v>
      </x:c>
    </x:row>
    <x:row r="17" ht="21" customHeight="1">
      <x:c r="A17" s="1"/>
      <x:c r="B17" s="1"/>
      <x:c r="C17" s="52" t="str">
        <x:v>Closing subsidiary loan principal</x:v>
      </x:c>
      <x:c r="D17" s="57" t="n">
        <x:f>D15-D16</x:f>
        <x:v>298.83099999999996</x:v>
      </x:c>
      <x:c r="E17" s="57" t="n">
        <x:f>E15-E16</x:f>
        <x:v>168.60999999999996</x:v>
      </x:c>
      <x:c r="F17" s="57" t="n">
        <x:f>F15-F16</x:f>
        <x:v>57.70599999999996</x:v>
      </x:c>
      <x:c r="G17" s="57" t="n">
        <x:f>G15-G16</x:f>
        <x:v>18.332999999999963</x:v>
      </x:c>
      <x:c r="H17" s="100" t="n">
        <x:f>H15-H16</x:f>
        <x:v>0</x:v>
      </x:c>
      <x:c r="I17" s="100" t="n">
        <x:f>I15-I16</x:f>
        <x:v>0</x:v>
      </x:c>
      <x:c r="J17" s="100" t="n">
        <x:f>J15-J16</x:f>
        <x:v>0</x:v>
      </x:c>
    </x:row>
    <x:row r="18" ht="21" customHeight="1">
      <x:c r="A18" s="1"/>
      <x:c r="B18" s="1"/>
      <x:c r="C18" s="1" t="str">
        <x:v>Cash interest (weighted fixed-rate proxy)</x:v>
      </x:c>
      <x:c r="D18" s="45" t="n">
        <x:f>AVERAGE(D15,D17)*(SUMPRODUCT('Raw Spread'!$D$97:$D$100,'Raw Spread'!$E$97:$E$100)+SUMPRODUCT('Raw Spread'!$D$102:$D$103,'Raw Spread'!$E$102:$E$103))/SUM('Raw Spread'!$D$97:$D$100,'Raw Spread'!$D$102:$D$103)*D$7</x:f>
        <x:v>3.464518329757177</x:v>
      </x:c>
      <x:c r="E18" s="45" t="n">
        <x:f>AVERAGE(E15,E17)*(SUMPRODUCT('Raw Spread'!$D$97:$D$100,'Raw Spread'!$E$97:$E$100)+SUMPRODUCT('Raw Spread'!$D$102:$D$103,'Raw Spread'!$E$102:$E$103))/SUM('Raw Spread'!$D$97:$D$100,'Raw Spread'!$D$102:$D$103)*E$7</x:f>
        <x:v>4.828207099780644</x:v>
      </x:c>
      <x:c r="F18" s="45" t="n">
        <x:f>AVERAGE(F15,F17)*(SUMPRODUCT('Raw Spread'!$D$97:$D$100,'Raw Spread'!$E$97:$E$100)+SUMPRODUCT('Raw Spread'!$D$102:$D$103,'Raw Spread'!$E$102:$E$103))/SUM('Raw Spread'!$D$97:$D$100,'Raw Spread'!$D$102:$D$103)*F$7</x:f>
        <x:v>2.337622326655035</x:v>
      </x:c>
      <x:c r="G18" s="45" t="n">
        <x:f>AVERAGE(G15,G17)*(SUMPRODUCT('Raw Spread'!$D$97:$D$100,'Raw Spread'!$E$97:$E$100)+SUMPRODUCT('Raw Spread'!$D$102:$D$103,'Raw Spread'!$E$102:$E$103))/SUM('Raw Spread'!$D$97:$D$100,'Raw Spread'!$D$102:$D$103)*G$7</x:f>
        <x:v>0.7854082967908681</x:v>
      </x:c>
      <x:c r="H18" s="96" t="n">
        <x:f>AVERAGE(H15,H17)*(SUMPRODUCT('Raw Spread'!$D$97:$D$100,'Raw Spread'!$E$97:$E$100)+SUMPRODUCT('Raw Spread'!$D$102:$D$103,'Raw Spread'!$E$102:$E$103))/SUM('Raw Spread'!$D$97:$D$100,'Raw Spread'!$D$102:$D$103)*H$7</x:f>
        <x:v>0.1893619104021222</x:v>
      </x:c>
      <x:c r="I18" s="96" t="n">
        <x:f>AVERAGE(I15,I17)*(SUMPRODUCT('Raw Spread'!$D$97:$D$100,'Raw Spread'!$E$97:$E$100)+SUMPRODUCT('Raw Spread'!$D$102:$D$103,'Raw Spread'!$E$102:$E$103))/SUM('Raw Spread'!$D$97:$D$100,'Raw Spread'!$D$102:$D$103)*I$7</x:f>
        <x:v>0</x:v>
      </x:c>
      <x:c r="J18" s="96" t="n">
        <x:f>AVERAGE(J15,J17)*(SUMPRODUCT('Raw Spread'!$D$97:$D$100,'Raw Spread'!$E$97:$E$100)+SUMPRODUCT('Raw Spread'!$D$102:$D$103,'Raw Spread'!$E$102:$E$103))/SUM('Raw Spread'!$D$97:$D$100,'Raw Spread'!$D$102:$D$103)*J$7</x:f>
        <x:v>0</x:v>
      </x:c>
    </x:row>
    <x:row r="19" ht="25" customHeight="1">
      <x:c r="A19" s="1"/>
      <x:c r="B19" s="1"/>
      <x:c r="C19" s="15" t="str">
        <x:v>FLOATING TERM A | Maturity May 2030</x:v>
      </x:c>
      <x:c r="D19" s="16"/>
      <x:c r="E19" s="16"/>
      <x:c r="F19" s="16"/>
      <x:c r="G19" s="16"/>
      <x:c r="H19" s="94"/>
      <x:c r="I19" s="94"/>
      <x:c r="J19" s="94"/>
    </x:row>
    <x:row r="20" ht="21" customHeight="1">
      <x:c r="A20" s="1"/>
      <x:c r="B20" s="1"/>
      <x:c r="C20" s="1" t="str">
        <x:v>Opening Term A principal</x:v>
      </x:c>
      <x:c r="D20" s="45" t="n">
        <x:f>'Raw Spread'!D96/'Raw Spread'!$D$3</x:f>
        <x:v>493.75</x:v>
      </x:c>
      <x:c r="E20" s="46" t="n">
        <x:f>D22</x:f>
        <x:v>487.5</x:v>
      </x:c>
      <x:c r="F20" s="46" t="n">
        <x:f>E22</x:f>
        <x:v>475</x:v>
      </x:c>
      <x:c r="G20" s="46" t="n">
        <x:f>F22</x:f>
        <x:v>450</x:v>
      </x:c>
      <x:c r="H20" s="95" t="n">
        <x:f>G22</x:f>
        <x:v>425</x:v>
      </x:c>
      <x:c r="I20" s="95" t="n">
        <x:f>H22</x:f>
        <x:v>0</x:v>
      </x:c>
      <x:c r="J20" s="95" t="n">
        <x:f>I22</x:f>
        <x:v>0</x:v>
      </x:c>
    </x:row>
    <x:row r="21" ht="21" customHeight="1">
      <x:c r="A21" s="1"/>
      <x:c r="B21" s="1"/>
      <x:c r="C21" s="1" t="str">
        <x:v>Principal repayment</x:v>
      </x:c>
      <x:c r="D21" s="45" t="n">
        <x:f>MIN(D20,'Raw Spread'!D88/'Raw Spread'!$D$3)</x:f>
        <x:v>6.25</x:v>
      </x:c>
      <x:c r="E21" s="45" t="n">
        <x:f>MIN(E20,'Raw Spread'!E88/'Raw Spread'!$D$3)</x:f>
        <x:v>12.5</x:v>
      </x:c>
      <x:c r="F21" s="45" t="n">
        <x:f>MIN(F20,'Raw Spread'!F88/'Raw Spread'!$D$3)</x:f>
        <x:v>25</x:v>
      </x:c>
      <x:c r="G21" s="45" t="n">
        <x:f>MIN(G20,'Raw Spread'!G88/'Raw Spread'!$D$3)</x:f>
        <x:v>25</x:v>
      </x:c>
      <x:c r="H21" s="96" t="n">
        <x:f>MIN(H20,'Raw Spread'!H88/'Raw Spread'!$D$3)</x:f>
        <x:v>425</x:v>
      </x:c>
      <x:c r="I21" s="95" t="n">
        <x:f>0</x:f>
        <x:v>0</x:v>
      </x:c>
      <x:c r="J21" s="95" t="n">
        <x:f>0</x:f>
        <x:v>0</x:v>
      </x:c>
    </x:row>
    <x:row r="22" ht="21" customHeight="1">
      <x:c r="A22" s="1"/>
      <x:c r="B22" s="1"/>
      <x:c r="C22" s="52" t="str">
        <x:v>Closing Term A principal</x:v>
      </x:c>
      <x:c r="D22" s="57" t="n">
        <x:f>D20-D21</x:f>
        <x:v>487.5</x:v>
      </x:c>
      <x:c r="E22" s="57" t="n">
        <x:f>E20-E21</x:f>
        <x:v>475</x:v>
      </x:c>
      <x:c r="F22" s="57" t="n">
        <x:f>F20-F21</x:f>
        <x:v>450</x:v>
      </x:c>
      <x:c r="G22" s="57" t="n">
        <x:f>G20-G21</x:f>
        <x:v>425</x:v>
      </x:c>
      <x:c r="H22" s="100" t="n">
        <x:f>H20-H21</x:f>
        <x:v>0</x:v>
      </x:c>
      <x:c r="I22" s="100" t="n">
        <x:f>I20-I21</x:f>
        <x:v>0</x:v>
      </x:c>
      <x:c r="J22" s="100" t="n">
        <x:f>J20-J21</x:f>
        <x:v>0</x:v>
      </x:c>
    </x:row>
    <x:row r="23" ht="21" customHeight="1">
      <x:c r="A23" s="1"/>
      <x:c r="B23" s="1"/>
      <x:c r="C23" s="62" t="str">
        <x:v>Floating cash interest rate</x:v>
      </x:c>
      <x:c r="D23" s="68" t="n">
        <x:f>'Raw Spread'!$E$96+'Assumptions'!D17</x:f>
        <x:v>0.0548</x:v>
      </x:c>
      <x:c r="E23" s="68" t="n">
        <x:f>'Raw Spread'!$E$96+'Assumptions'!E17</x:f>
        <x:v>0.0548</x:v>
      </x:c>
      <x:c r="F23" s="68" t="n">
        <x:f>'Raw Spread'!$E$96+'Assumptions'!F17</x:f>
        <x:v>0.0548</x:v>
      </x:c>
      <x:c r="G23" s="68" t="n">
        <x:f>'Raw Spread'!$E$96+'Assumptions'!G17</x:f>
        <x:v>0.0548</x:v>
      </x:c>
      <x:c r="H23" s="102" t="n">
        <x:f>'Raw Spread'!$E$96+'Assumptions'!$G$17</x:f>
        <x:v>0.0548</x:v>
      </x:c>
      <x:c r="I23" s="102" t="n">
        <x:f>'Raw Spread'!$E$96+'Assumptions'!$G$17</x:f>
        <x:v>0.0548</x:v>
      </x:c>
      <x:c r="J23" s="102" t="n">
        <x:f>'Raw Spread'!$E$96+'Assumptions'!$G$17</x:f>
        <x:v>0.0548</x:v>
      </x:c>
    </x:row>
    <x:row r="24" ht="21" customHeight="1">
      <x:c r="A24" s="1"/>
      <x:c r="B24" s="1"/>
      <x:c r="C24" s="1" t="str">
        <x:v>Cash interest</x:v>
      </x:c>
      <x:c r="D24" s="46" t="n">
        <x:f>AVERAGE(D20,D22)*D23*D$7</x:f>
        <x:v>13.443125</x:v>
      </x:c>
      <x:c r="E24" s="46" t="n">
        <x:f>AVERAGE(E20,E22)*E23*E$7</x:f>
        <x:v>26.372500000000002</x:v>
      </x:c>
      <x:c r="F24" s="46" t="n">
        <x:f>AVERAGE(F20,F22)*F23*F$7</x:f>
        <x:v>25.345000000000002</x:v>
      </x:c>
      <x:c r="G24" s="46" t="n">
        <x:f>AVERAGE(G20,G22)*G23*G$7</x:f>
        <x:v>23.975</x:v>
      </x:c>
      <x:c r="H24" s="95" t="n">
        <x:f>AVERAGE(H20,H22)*H23*H$7</x:f>
        <x:v>11.645</x:v>
      </x:c>
      <x:c r="I24" s="95" t="n">
        <x:f>AVERAGE(I20,I22)*I23*I$7</x:f>
        <x:v>0</x:v>
      </x:c>
      <x:c r="J24" s="95" t="n">
        <x:f>AVERAGE(J20,J22)*J23*J$7</x:f>
        <x:v>0</x:v>
      </x:c>
    </x:row>
    <x:row r="25" ht="25" customHeight="1">
      <x:c r="A25" s="1"/>
      <x:c r="B25" s="1"/>
      <x:c r="C25" s="15" t="str">
        <x:v>ZERO-COUPON CONVERTIBLE | $1,150m due 2031</x:v>
      </x:c>
      <x:c r="D25" s="16"/>
      <x:c r="E25" s="16"/>
      <x:c r="F25" s="16"/>
      <x:c r="G25" s="16"/>
      <x:c r="H25" s="94"/>
      <x:c r="I25" s="94"/>
      <x:c r="J25" s="94"/>
    </x:row>
    <x:row r="26" ht="21" customHeight="1">
      <x:c r="A26" s="1"/>
      <x:c r="B26" s="1"/>
      <x:c r="C26" s="1" t="str">
        <x:v>Opening convertible principal</x:v>
      </x:c>
      <x:c r="D26" s="45" t="n">
        <x:f>'Raw Spread'!D95/'Raw Spread'!$D$3</x:f>
        <x:v>1150</x:v>
      </x:c>
      <x:c r="E26" s="46" t="n">
        <x:f>D28</x:f>
        <x:v>1150</x:v>
      </x:c>
      <x:c r="F26" s="46" t="n">
        <x:f>E28</x:f>
        <x:v>1150</x:v>
      </x:c>
      <x:c r="G26" s="46" t="n">
        <x:f>F28</x:f>
        <x:v>1150</x:v>
      </x:c>
      <x:c r="H26" s="95" t="n">
        <x:f>G28</x:f>
        <x:v>1150</x:v>
      </x:c>
      <x:c r="I26" s="95" t="n">
        <x:f>H28</x:f>
        <x:v>1150</x:v>
      </x:c>
      <x:c r="J26" s="95" t="n">
        <x:f>I28</x:f>
        <x:v>0</x:v>
      </x:c>
    </x:row>
    <x:row r="27" ht="21" customHeight="1">
      <x:c r="A27" s="1"/>
      <x:c r="B27" s="1"/>
      <x:c r="C27" s="1" t="str">
        <x:v>Principal repayment</x:v>
      </x:c>
      <x:c r="D27" s="45" t="n">
        <x:f>IF(D$6='Raw Spread'!$G$95,D26,0)</x:f>
        <x:v>0</x:v>
      </x:c>
      <x:c r="E27" s="45" t="n">
        <x:f>IF(E$6='Raw Spread'!$G$95,E26,0)</x:f>
        <x:v>0</x:v>
      </x:c>
      <x:c r="F27" s="45" t="n">
        <x:f>IF(F$6='Raw Spread'!$G$95,F26,0)</x:f>
        <x:v>0</x:v>
      </x:c>
      <x:c r="G27" s="45" t="n">
        <x:f>IF(G$6='Raw Spread'!$G$95,G26,0)</x:f>
        <x:v>0</x:v>
      </x:c>
      <x:c r="H27" s="96" t="n">
        <x:f>IF(H$6='Raw Spread'!$G$95,H26,0)</x:f>
        <x:v>0</x:v>
      </x:c>
      <x:c r="I27" s="96" t="n">
        <x:f>IF(I$6='Raw Spread'!$G$95,I26,0)</x:f>
        <x:v>1150</x:v>
      </x:c>
      <x:c r="J27" s="96" t="n">
        <x:f>IF(J$6='Raw Spread'!$G$95,J26,0)</x:f>
        <x:v>0</x:v>
      </x:c>
    </x:row>
    <x:row r="28" ht="21" customHeight="1">
      <x:c r="A28" s="1"/>
      <x:c r="B28" s="1"/>
      <x:c r="C28" s="52" t="str">
        <x:v>Closing convertible principal</x:v>
      </x:c>
      <x:c r="D28" s="57" t="n">
        <x:f>D26-D27</x:f>
        <x:v>1150</x:v>
      </x:c>
      <x:c r="E28" s="57" t="n">
        <x:f>E26-E27</x:f>
        <x:v>1150</x:v>
      </x:c>
      <x:c r="F28" s="57" t="n">
        <x:f>F26-F27</x:f>
        <x:v>1150</x:v>
      </x:c>
      <x:c r="G28" s="57" t="n">
        <x:f>G26-G27</x:f>
        <x:v>1150</x:v>
      </x:c>
      <x:c r="H28" s="100" t="n">
        <x:f>H26-H27</x:f>
        <x:v>1150</x:v>
      </x:c>
      <x:c r="I28" s="100" t="n">
        <x:f>I26-I27</x:f>
        <x:v>0</x:v>
      </x:c>
      <x:c r="J28" s="100" t="n">
        <x:f>J26-J27</x:f>
        <x:v>0</x:v>
      </x:c>
    </x:row>
    <x:row r="29" ht="21" customHeight="1">
      <x:c r="A29" s="1"/>
      <x:c r="B29" s="1"/>
      <x:c r="C29" s="1" t="str">
        <x:v>Regular cash interest (zero coupon)</x:v>
      </x:c>
      <x:c r="D29" s="45" t="n">
        <x:f>AVERAGE(D26,D28)*'Raw Spread'!$E$95*D$7</x:f>
        <x:v>0</x:v>
      </x:c>
      <x:c r="E29" s="45" t="n">
        <x:f>AVERAGE(E26,E28)*'Raw Spread'!$E$95*E$7</x:f>
        <x:v>0</x:v>
      </x:c>
      <x:c r="F29" s="45" t="n">
        <x:f>AVERAGE(F26,F28)*'Raw Spread'!$E$95*F$7</x:f>
        <x:v>0</x:v>
      </x:c>
      <x:c r="G29" s="45" t="n">
        <x:f>AVERAGE(G26,G28)*'Raw Spread'!$E$95*G$7</x:f>
        <x:v>0</x:v>
      </x:c>
      <x:c r="H29" s="96" t="n">
        <x:f>AVERAGE(H26,H28)*'Raw Spread'!$E$95*H$7</x:f>
        <x:v>0</x:v>
      </x:c>
      <x:c r="I29" s="96" t="n">
        <x:f>AVERAGE(I26,I28)*'Raw Spread'!$E$95*I$7</x:f>
        <x:v>0</x:v>
      </x:c>
      <x:c r="J29" s="96" t="n">
        <x:f>AVERAGE(J26,J28)*'Raw Spread'!$E$95*J$7</x:f>
        <x:v>0</x:v>
      </x:c>
    </x:row>
    <x:row r="30" ht="25" customHeight="1">
      <x:c r="A30" s="1"/>
      <x:c r="B30" s="1"/>
      <x:c r="C30" s="15" t="str">
        <x:v>EXISTING DEBT TOTAL</x:v>
      </x:c>
      <x:c r="D30" s="16"/>
      <x:c r="E30" s="16"/>
      <x:c r="F30" s="16"/>
      <x:c r="G30" s="16"/>
      <x:c r="H30" s="94"/>
      <x:c r="I30" s="94"/>
      <x:c r="J30" s="94"/>
    </x:row>
    <x:row r="31" ht="21" customHeight="1">
      <x:c r="A31" s="1"/>
      <x:c r="B31" s="1"/>
      <x:c r="C31" s="1" t="str">
        <x:v>Total existing opening principal</x:v>
      </x:c>
      <x:c r="D31" s="46" t="n">
        <x:f>SUM(D10,D15,D20,D26)</x:f>
        <x:v>2515.751</x:v>
      </x:c>
      <x:c r="E31" s="46" t="n">
        <x:f>SUM(E10,E15,E20,E26)</x:f>
        <x:v>2436.331</x:v>
      </x:c>
      <x:c r="F31" s="46" t="n">
        <x:f>SUM(F10,F15,F20,F26)</x:f>
        <x:v>2293.6099999999997</x:v>
      </x:c>
      <x:c r="G31" s="46" t="n">
        <x:f>SUM(G10,G15,G20,G26)</x:f>
        <x:v>2157.706</x:v>
      </x:c>
      <x:c r="H31" s="95" t="n">
        <x:f>SUM(H10,H15,H20,H26)</x:f>
        <x:v>2093.333</x:v>
      </x:c>
      <x:c r="I31" s="95" t="n">
        <x:f>SUM(I10,I15,I20,I26)</x:f>
        <x:v>1650</x:v>
      </x:c>
      <x:c r="J31" s="95" t="n">
        <x:f>SUM(J10,J15,J20,J26)</x:f>
        <x:v>500</x:v>
      </x:c>
    </x:row>
    <x:row r="32" ht="21" customHeight="1">
      <x:c r="A32" s="1"/>
      <x:c r="B32" s="1"/>
      <x:c r="C32" s="1" t="str">
        <x:v>Total existing principal repayments</x:v>
      </x:c>
      <x:c r="D32" s="46" t="n">
        <x:f>SUM(D11,D16,D21,D27)</x:f>
        <x:v>79.42</x:v>
      </x:c>
      <x:c r="E32" s="46" t="n">
        <x:f>SUM(E11,E16,E21,E27)</x:f>
        <x:v>142.721</x:v>
      </x:c>
      <x:c r="F32" s="46" t="n">
        <x:f>SUM(F11,F16,F21,F27)</x:f>
        <x:v>135.904</x:v>
      </x:c>
      <x:c r="G32" s="46" t="n">
        <x:f>SUM(G11,G16,G21,G27)</x:f>
        <x:v>64.37299999999999</x:v>
      </x:c>
      <x:c r="H32" s="95" t="n">
        <x:f>SUM(H11,H16,H21,H27)</x:f>
        <x:v>443.33299999999997</x:v>
      </x:c>
      <x:c r="I32" s="95" t="n">
        <x:f>SUM(I11,I16,I21,I27)</x:f>
        <x:v>1150</x:v>
      </x:c>
      <x:c r="J32" s="95" t="n">
        <x:f>SUM(J11,J16,J21,J27)</x:f>
        <x:v>500</x:v>
      </x:c>
    </x:row>
    <x:row r="33" ht="21" customHeight="1">
      <x:c r="A33" s="1"/>
      <x:c r="B33" s="1"/>
      <x:c r="C33" s="52" t="str">
        <x:v>Total existing closing principal</x:v>
      </x:c>
      <x:c r="D33" s="57" t="n">
        <x:f>SUM(D12,D17,D22,D28)</x:f>
        <x:v>2436.331</x:v>
      </x:c>
      <x:c r="E33" s="57" t="n">
        <x:f>SUM(E12,E17,E22,E28)</x:f>
        <x:v>2293.6099999999997</x:v>
      </x:c>
      <x:c r="F33" s="57" t="n">
        <x:f>SUM(F12,F17,F22,F28)</x:f>
        <x:v>2157.706</x:v>
      </x:c>
      <x:c r="G33" s="57" t="n">
        <x:f>SUM(G12,G17,G22,G28)</x:f>
        <x:v>2093.333</x:v>
      </x:c>
      <x:c r="H33" s="100" t="n">
        <x:f>SUM(H12,H17,H22,H28)</x:f>
        <x:v>1650</x:v>
      </x:c>
      <x:c r="I33" s="100" t="n">
        <x:f>SUM(I12,I17,I22,I28)</x:f>
        <x:v>500</x:v>
      </x:c>
      <x:c r="J33" s="100" t="n">
        <x:f>SUM(J12,J17,J22,J28)</x:f>
        <x:v>0</x:v>
      </x:c>
    </x:row>
    <x:row r="34" ht="21" customHeight="1">
      <x:c r="A34" s="1"/>
      <x:c r="B34" s="1"/>
      <x:c r="C34" s="52" t="str">
        <x:v>Total existing coupon interest</x:v>
      </x:c>
      <x:c r="D34" s="57" t="n">
        <x:f>SUM(D13,D18,D24,D29)</x:f>
        <x:v>31.595143329757178</x:v>
      </x:c>
      <x:c r="E34" s="57" t="n">
        <x:f>SUM(E13,E18,E24,E29)</x:f>
        <x:v>60.575707099780644</x:v>
      </x:c>
      <x:c r="F34" s="57" t="n">
        <x:f>SUM(F13,F18,F24,F29)</x:f>
        <x:v>57.057622326655036</x:v>
      </x:c>
      <x:c r="G34" s="57" t="n">
        <x:f>SUM(G13,G18,G24,G29)</x:f>
        <x:v>54.13540829679087</x:v>
      </x:c>
      <x:c r="H34" s="100" t="n">
        <x:f>SUM(H13,H18,H24,H29)</x:f>
        <x:v>41.20936191040212</x:v>
      </x:c>
      <x:c r="I34" s="100" t="n">
        <x:f>SUM(I13,I18,I24,I29)</x:f>
        <x:v>29.375</x:v>
      </x:c>
      <x:c r="J34" s="100" t="n">
        <x:f>SUM(J13,J18,J24,J29)</x:f>
        <x:v>14.6875</x:v>
      </x:c>
    </x:row>
    <x:row r="35" ht="21" customHeight="1">
      <x:c r="A35" s="1"/>
      <x:c r="B35" s="1"/>
      <x:c r="C35" s="1"/>
      <x:c r="D35" s="3"/>
      <x:c r="E35" s="3"/>
      <x:c r="F35" s="3"/>
      <x:c r="G35" s="3"/>
      <x:c r="H35" s="2"/>
      <x:c r="I35" s="2"/>
      <x:c r="J35" s="2"/>
    </x:row>
    <x:row r="36" ht="25" customHeight="1">
      <x:c r="A36" s="1"/>
      <x:c r="B36" s="1"/>
      <x:c r="C36" s="15" t="str">
        <x:v>HYPOTHETICAL INCREMENTAL LOAN | Start 1-Jan-2027</x:v>
      </x:c>
      <x:c r="D36" s="16"/>
      <x:c r="E36" s="16"/>
      <x:c r="F36" s="16"/>
      <x:c r="G36" s="16"/>
      <x:c r="H36" s="94"/>
      <x:c r="I36" s="94"/>
      <x:c r="J36" s="94"/>
    </x:row>
    <x:row r="37" ht="21" customHeight="1">
      <x:c r="A37" s="1"/>
      <x:c r="B37" s="1"/>
      <x:c r="C37" s="1" t="str">
        <x:v>Opening new loan principal</x:v>
      </x:c>
      <x:c r="D37" s="46" t="n">
        <x:f>0</x:f>
        <x:v>0</x:v>
      </x:c>
      <x:c r="E37" s="46" t="n">
        <x:f>D40</x:f>
        <x:v>0</x:v>
      </x:c>
      <x:c r="F37" s="46" t="n">
        <x:f>E40</x:f>
        <x:v>66.66666666666666</x:v>
      </x:c>
      <x:c r="G37" s="46" t="n">
        <x:f>F40</x:f>
        <x:v>33.33333333333332</x:v>
      </x:c>
      <x:c r="H37" s="95" t="n">
        <x:f>G40</x:f>
        <x:v>0</x:v>
      </x:c>
      <x:c r="I37" s="95" t="n">
        <x:f>H40</x:f>
        <x:v>0</x:v>
      </x:c>
      <x:c r="J37" s="95" t="n">
        <x:f>I40</x:f>
        <x:v>0</x:v>
      </x:c>
    </x:row>
    <x:row r="38" ht="21" customHeight="1">
      <x:c r="A38" s="1"/>
      <x:c r="B38" s="1"/>
      <x:c r="C38" s="1" t="str">
        <x:v>New loan disbursement</x:v>
      </x:c>
      <x:c r="D38" s="45" t="n">
        <x:f>IF(D$6=2027,'Assumptions'!$D$60,0)</x:f>
        <x:v>0</x:v>
      </x:c>
      <x:c r="E38" s="45" t="n">
        <x:f>IF(E$6=2027,'Assumptions'!$D$60,0)</x:f>
        <x:v>100</x:v>
      </x:c>
      <x:c r="F38" s="45" t="n">
        <x:f>IF(F$6=2027,'Assumptions'!$D$60,0)</x:f>
        <x:v>0</x:v>
      </x:c>
      <x:c r="G38" s="45" t="n">
        <x:f>IF(G$6=2027,'Assumptions'!$D$60,0)</x:f>
        <x:v>0</x:v>
      </x:c>
      <x:c r="H38" s="96" t="n">
        <x:f>IF(H$6=2027,'Assumptions'!$D$60,0)</x:f>
        <x:v>0</x:v>
      </x:c>
      <x:c r="I38" s="96" t="n">
        <x:f>IF(I$6=2027,'Assumptions'!$D$60,0)</x:f>
        <x:v>0</x:v>
      </x:c>
      <x:c r="J38" s="96" t="n">
        <x:f>IF(J$6=2027,'Assumptions'!$D$60,0)</x:f>
        <x:v>0</x:v>
      </x:c>
    </x:row>
    <x:row r="39" ht="21" customHeight="1">
      <x:c r="A39" s="1"/>
      <x:c r="B39" s="1"/>
      <x:c r="C39" s="1" t="str">
        <x:v>New loan principal repayment</x:v>
      </x:c>
      <x:c r="D39" s="45" t="n">
        <x:f>IF(AND(D$6&gt;=2027,D$6&lt;2027+'Assumptions'!$D$61),MIN(D37+D38,'Assumptions'!$D$60/'Assumptions'!$D$61),0)</x:f>
        <x:v>0</x:v>
      </x:c>
      <x:c r="E39" s="45" t="n">
        <x:f>IF(AND(E$6&gt;=2027,E$6&lt;2027+'Assumptions'!$D$61),MIN(E37+E38,'Assumptions'!$D$60/'Assumptions'!$D$61),0)</x:f>
        <x:v>33.333333333333336</x:v>
      </x:c>
      <x:c r="F39" s="45" t="n">
        <x:f>IF(AND(F$6&gt;=2027,F$6&lt;2027+'Assumptions'!$D$61),MIN(F37+F38,'Assumptions'!$D$60/'Assumptions'!$D$61),0)</x:f>
        <x:v>33.333333333333336</x:v>
      </x:c>
      <x:c r="G39" s="45" t="n">
        <x:f>IF(AND(G$6&gt;=2027,G$6&lt;2027+'Assumptions'!$D$61),MIN(G37+G38,'Assumptions'!$D$60/'Assumptions'!$D$61),0)</x:f>
        <x:v>33.33333333333332</x:v>
      </x:c>
      <x:c r="H39" s="96" t="n">
        <x:f>IF(AND(H$6&gt;=2027,H$6&lt;2027+'Assumptions'!$D$61),MIN(H37+H38,'Assumptions'!$D$60/'Assumptions'!$D$61),0)</x:f>
        <x:v>0</x:v>
      </x:c>
      <x:c r="I39" s="96" t="n">
        <x:f>IF(AND(I$6&gt;=2027,I$6&lt;2027+'Assumptions'!$D$61),MIN(I37+I38,'Assumptions'!$D$60/'Assumptions'!$D$61),0)</x:f>
        <x:v>0</x:v>
      </x:c>
      <x:c r="J39" s="96" t="n">
        <x:f>IF(AND(J$6&gt;=2027,J$6&lt;2027+'Assumptions'!$D$61),MIN(J37+J38,'Assumptions'!$D$60/'Assumptions'!$D$61),0)</x:f>
        <x:v>0</x:v>
      </x:c>
    </x:row>
    <x:row r="40" ht="21" customHeight="1">
      <x:c r="A40" s="1"/>
      <x:c r="B40" s="1"/>
      <x:c r="C40" s="52" t="str">
        <x:v>Closing new loan principal</x:v>
      </x:c>
      <x:c r="D40" s="57" t="n">
        <x:f>SUM(D37:D38)-D39</x:f>
        <x:v>0</x:v>
      </x:c>
      <x:c r="E40" s="57" t="n">
        <x:f>SUM(E37:E38)-E39</x:f>
        <x:v>66.66666666666666</x:v>
      </x:c>
      <x:c r="F40" s="57" t="n">
        <x:f>SUM(F37:F38)-F39</x:f>
        <x:v>33.33333333333332</x:v>
      </x:c>
      <x:c r="G40" s="57" t="n">
        <x:f>SUM(G37:G38)-G39</x:f>
        <x:v>0</x:v>
      </x:c>
      <x:c r="H40" s="100" t="n">
        <x:f>SUM(H37:H38)-H39</x:f>
        <x:v>0</x:v>
      </x:c>
      <x:c r="I40" s="100" t="n">
        <x:f>SUM(I37:I38)-I39</x:f>
        <x:v>0</x:v>
      </x:c>
      <x:c r="J40" s="100" t="n">
        <x:f>SUM(J37:J38)-J39</x:f>
        <x:v>0</x:v>
      </x:c>
    </x:row>
    <x:row r="41" ht="21" customHeight="1">
      <x:c r="A41" s="1"/>
      <x:c r="B41" s="1"/>
      <x:c r="C41" s="62" t="str">
        <x:v>New loan interest rate</x:v>
      </x:c>
      <x:c r="D41" s="68" t="n">
        <x:f>SUM('Assumptions'!$D$62:$D$63)+'Assumptions'!D17</x:f>
        <x:v>0.057300000000000004</x:v>
      </x:c>
      <x:c r="E41" s="68" t="n">
        <x:f>SUM('Assumptions'!$D$62:$D$63)+'Assumptions'!E17</x:f>
        <x:v>0.057300000000000004</x:v>
      </x:c>
      <x:c r="F41" s="68" t="n">
        <x:f>SUM('Assumptions'!$D$62:$D$63)+'Assumptions'!F17</x:f>
        <x:v>0.057300000000000004</x:v>
      </x:c>
      <x:c r="G41" s="68" t="n">
        <x:f>SUM('Assumptions'!$D$62:$D$63)+'Assumptions'!G17</x:f>
        <x:v>0.057300000000000004</x:v>
      </x:c>
      <x:c r="H41" s="102" t="n">
        <x:f>SUM('Assumptions'!$D$62:$D$63)+'Assumptions'!$G$17</x:f>
        <x:v>0.057300000000000004</x:v>
      </x:c>
      <x:c r="I41" s="102" t="n">
        <x:f>SUM('Assumptions'!$D$62:$D$63)+'Assumptions'!$G$17</x:f>
        <x:v>0.057300000000000004</x:v>
      </x:c>
      <x:c r="J41" s="102" t="n">
        <x:f>SUM('Assumptions'!$D$62:$D$63)+'Assumptions'!$G$17</x:f>
        <x:v>0.057300000000000004</x:v>
      </x:c>
    </x:row>
    <x:row r="42" ht="21" customHeight="1">
      <x:c r="A42" s="1"/>
      <x:c r="B42" s="1"/>
      <x:c r="C42" s="1" t="str">
        <x:v>New loan cash interest</x:v>
      </x:c>
      <x:c r="D42" s="46" t="n">
        <x:f>SUM(D37:D38)*D41*D$7</x:f>
        <x:v>0</x:v>
      </x:c>
      <x:c r="E42" s="46" t="n">
        <x:f>SUM(E37:E38)*E41*E$7</x:f>
        <x:v>5.73</x:v>
      </x:c>
      <x:c r="F42" s="46" t="n">
        <x:f>SUM(F37:F38)*F41*F$7</x:f>
        <x:v>3.82</x:v>
      </x:c>
      <x:c r="G42" s="46" t="n">
        <x:f>SUM(G37:G38)*G41*G$7</x:f>
        <x:v>1.9099999999999995</x:v>
      </x:c>
      <x:c r="H42" s="95" t="n">
        <x:f>SUM(H37:H38)*H41*H$7</x:f>
        <x:v>0</x:v>
      </x:c>
      <x:c r="I42" s="95" t="n">
        <x:f>SUM(I37:I38)*I41*I$7</x:f>
        <x:v>0</x:v>
      </x:c>
      <x:c r="J42" s="95" t="n">
        <x:f>SUM(J37:J38)*J41*J$7</x:f>
        <x:v>0</x:v>
      </x:c>
    </x:row>
    <x:row r="43" ht="25" customHeight="1">
      <x:c r="A43" s="1"/>
      <x:c r="B43" s="1"/>
      <x:c r="C43" s="15" t="str">
        <x:v>FINANCE LEASE CASH SERVICE | Estimated</x:v>
      </x:c>
      <x:c r="D43" s="16"/>
      <x:c r="E43" s="16"/>
      <x:c r="F43" s="16"/>
      <x:c r="G43" s="16"/>
      <x:c r="H43" s="94"/>
      <x:c r="I43" s="94"/>
      <x:c r="J43" s="94"/>
    </x:row>
    <x:row r="44" ht="21" customHeight="1">
      <x:c r="A44" s="1"/>
      <x:c r="B44" s="1"/>
      <x:c r="C44" s="1" t="str">
        <x:v>Opening finance lease balance</x:v>
      </x:c>
      <x:c r="D44" s="45" t="n">
        <x:f>SUM('Raw Spread'!H75:H76)/'Raw Spread'!$D$3+'Assumptions'!$D$66*D$7</x:f>
        <x:v>126.599</x:v>
      </x:c>
      <x:c r="E44" s="45" t="n">
        <x:f>D46+'Assumptions'!$D$66*E$7</x:f>
        <x:v>101.245</x:v>
      </x:c>
      <x:c r="F44" s="45" t="n">
        <x:f>E46+'Assumptions'!$D$66*F$7</x:f>
        <x:v>50.537000000000006</x:v>
      </x:c>
      <x:c r="G44" s="45" t="n">
        <x:f>F46+'Assumptions'!$D$66*G$7</x:f>
        <x:v>0</x:v>
      </x:c>
      <x:c r="H44" s="96" t="n">
        <x:f>G46+'Assumptions'!$D$66*H$7</x:f>
        <x:v>0</x:v>
      </x:c>
      <x:c r="I44" s="96" t="n">
        <x:f>H46+'Assumptions'!$D$66*I$7</x:f>
        <x:v>0</x:v>
      </x:c>
      <x:c r="J44" s="96" t="n">
        <x:f>I46+'Assumptions'!$D$66*J$7</x:f>
        <x:v>0</x:v>
      </x:c>
    </x:row>
    <x:row r="45" ht="21" customHeight="1">
      <x:c r="A45" s="1"/>
      <x:c r="B45" s="1"/>
      <x:c r="C45" s="1" t="str">
        <x:v>Finance lease principal repayment</x:v>
      </x:c>
      <x:c r="D45" s="45" t="n">
        <x:f>MIN(D44,'Assumptions'!$D$65*D$7)</x:f>
        <x:v>25.354</x:v>
      </x:c>
      <x:c r="E45" s="45" t="n">
        <x:f>MIN(E44,'Assumptions'!$D$65*E$7)</x:f>
        <x:v>50.708</x:v>
      </x:c>
      <x:c r="F45" s="45" t="n">
        <x:f>MIN(F44,'Assumptions'!$D$65*F$7)</x:f>
        <x:v>50.537000000000006</x:v>
      </x:c>
      <x:c r="G45" s="45" t="n">
        <x:f>MIN(G44,'Assumptions'!$D$65*G$7)</x:f>
        <x:v>0</x:v>
      </x:c>
      <x:c r="H45" s="96" t="n">
        <x:f>MIN(H44,'Assumptions'!$D$65*H$7)</x:f>
        <x:v>0</x:v>
      </x:c>
      <x:c r="I45" s="96" t="n">
        <x:f>MIN(I44,'Assumptions'!$D$65*I$7)</x:f>
        <x:v>0</x:v>
      </x:c>
      <x:c r="J45" s="96" t="n">
        <x:f>MIN(J44,'Assumptions'!$D$65*J$7)</x:f>
        <x:v>0</x:v>
      </x:c>
    </x:row>
    <x:row r="46" ht="21" customHeight="1">
      <x:c r="A46" s="1"/>
      <x:c r="B46" s="1"/>
      <x:c r="C46" s="52" t="str">
        <x:v>Closing finance lease balance</x:v>
      </x:c>
      <x:c r="D46" s="57" t="n">
        <x:f>D44-D45</x:f>
        <x:v>101.245</x:v>
      </x:c>
      <x:c r="E46" s="57" t="n">
        <x:f>E44-E45</x:f>
        <x:v>50.537000000000006</x:v>
      </x:c>
      <x:c r="F46" s="57" t="n">
        <x:f>F44-F45</x:f>
        <x:v>0</x:v>
      </x:c>
      <x:c r="G46" s="57" t="n">
        <x:f>G44-G45</x:f>
        <x:v>0</x:v>
      </x:c>
      <x:c r="H46" s="100" t="n">
        <x:f>H44-H45</x:f>
        <x:v>0</x:v>
      </x:c>
      <x:c r="I46" s="100" t="n">
        <x:f>I44-I45</x:f>
        <x:v>0</x:v>
      </x:c>
      <x:c r="J46" s="100" t="n">
        <x:f>J44-J45</x:f>
        <x:v>0</x:v>
      </x:c>
    </x:row>
    <x:row r="47" ht="21" customHeight="1">
      <x:c r="A47" s="1"/>
      <x:c r="B47" s="1"/>
      <x:c r="C47" s="1" t="str">
        <x:v>Estimated finance lease interest</x:v>
      </x:c>
      <x:c r="D47" s="45" t="n">
        <x:f>AVERAGE(D44,D46)*'Assumptions'!$D$67*D$7</x:f>
        <x:v>2.27844</x:v>
      </x:c>
      <x:c r="E47" s="45" t="n">
        <x:f>AVERAGE(E44,E46)*'Assumptions'!$D$67*E$7</x:f>
        <x:v>3.0356400000000003</x:v>
      </x:c>
      <x:c r="F47" s="45" t="n">
        <x:f>AVERAGE(F44,F46)*'Assumptions'!$D$67*F$7</x:f>
        <x:v>1.0107400000000002</x:v>
      </x:c>
      <x:c r="G47" s="45" t="n">
        <x:f>AVERAGE(G44,G46)*'Assumptions'!$D$67*G$7</x:f>
        <x:v>0</x:v>
      </x:c>
      <x:c r="H47" s="96" t="n">
        <x:f>AVERAGE(H44,H46)*'Assumptions'!$D$67*H$7</x:f>
        <x:v>0</x:v>
      </x:c>
      <x:c r="I47" s="96" t="n">
        <x:f>AVERAGE(I44,I46)*'Assumptions'!$D$67*I$7</x:f>
        <x:v>0</x:v>
      </x:c>
      <x:c r="J47" s="96" t="n">
        <x:f>AVERAGE(J44,J46)*'Assumptions'!$D$67*J$7</x:f>
        <x:v>0</x:v>
      </x:c>
    </x:row>
    <x:row r="48" ht="25" customHeight="1">
      <x:c r="A48" s="1"/>
      <x:c r="B48" s="1"/>
      <x:c r="C48" s="15" t="str">
        <x:v>CONSOLIDATED DEBT SERVICE</x:v>
      </x:c>
      <x:c r="D48" s="16"/>
      <x:c r="E48" s="16"/>
      <x:c r="F48" s="16"/>
      <x:c r="G48" s="16"/>
      <x:c r="H48" s="94"/>
      <x:c r="I48" s="94"/>
      <x:c r="J48" s="94"/>
    </x:row>
    <x:row r="49" ht="21" customHeight="1">
      <x:c r="A49" s="1"/>
      <x:c r="B49" s="1"/>
      <x:c r="C49" s="52" t="str">
        <x:v>Closing principal plus finance leases</x:v>
      </x:c>
      <x:c r="D49" s="57" t="n">
        <x:f>SUM(D33,D40,D46)</x:f>
        <x:v>2537.576</x:v>
      </x:c>
      <x:c r="E49" s="57" t="n">
        <x:f>SUM(E33,E40,E46)</x:f>
        <x:v>2410.813666666666</x:v>
      </x:c>
      <x:c r="F49" s="57" t="n">
        <x:f>SUM(F33,F40,F46)</x:f>
        <x:v>2191.0393333333336</x:v>
      </x:c>
      <x:c r="G49" s="57" t="n">
        <x:f>SUM(G33,G40,G46)</x:f>
        <x:v>2093.333</x:v>
      </x:c>
      <x:c r="H49" s="100" t="n">
        <x:f>SUM(H33,H40,H46)</x:f>
        <x:v>1650</x:v>
      </x:c>
      <x:c r="I49" s="100" t="n">
        <x:f>SUM(I33,I40,I46)</x:f>
        <x:v>500</x:v>
      </x:c>
      <x:c r="J49" s="100" t="n">
        <x:f>SUM(J33,J40,J46)</x:f>
        <x:v>0</x:v>
      </x:c>
    </x:row>
    <x:row r="50" ht="21" customHeight="1">
      <x:c r="A50" s="1"/>
      <x:c r="B50" s="1"/>
      <x:c r="C50" s="52" t="str">
        <x:v>Closing bank / note principal</x:v>
      </x:c>
      <x:c r="D50" s="57" t="n">
        <x:f>SUM(D33,D40)</x:f>
        <x:v>2436.331</x:v>
      </x:c>
      <x:c r="E50" s="57" t="n">
        <x:f>SUM(E33,E40)</x:f>
        <x:v>2360.276666666666</x:v>
      </x:c>
      <x:c r="F50" s="57" t="n">
        <x:f>SUM(F33,F40)</x:f>
        <x:v>2191.0393333333336</x:v>
      </x:c>
      <x:c r="G50" s="57" t="n">
        <x:f>SUM(G33,G40)</x:f>
        <x:v>2093.333</x:v>
      </x:c>
      <x:c r="H50" s="100" t="n">
        <x:f>SUM(H33,H40)</x:f>
        <x:v>1650</x:v>
      </x:c>
      <x:c r="I50" s="100" t="n">
        <x:f>SUM(I33,I40)</x:f>
        <x:v>500</x:v>
      </x:c>
      <x:c r="J50" s="100" t="n">
        <x:f>SUM(J33,J40)</x:f>
        <x:v>0</x:v>
      </x:c>
    </x:row>
    <x:row r="51" ht="21" customHeight="1">
      <x:c r="A51" s="1"/>
      <x:c r="B51" s="1"/>
      <x:c r="C51" s="52" t="str">
        <x:v>Total cash interest</x:v>
      </x:c>
      <x:c r="D51" s="57" t="n">
        <x:f>SUM(D34,D42,D47)</x:f>
        <x:v>33.87358332975718</x:v>
      </x:c>
      <x:c r="E51" s="57" t="n">
        <x:f>SUM(E34,E42,E47)</x:f>
        <x:v>69.34134709978065</x:v>
      </x:c>
      <x:c r="F51" s="57" t="n">
        <x:f>SUM(F34,F42,F47)</x:f>
        <x:v>61.888362326655034</x:v>
      </x:c>
      <x:c r="G51" s="57" t="n">
        <x:f>SUM(G34,G42,G47)</x:f>
        <x:v>56.04540829679087</x:v>
      </x:c>
      <x:c r="H51" s="100" t="n">
        <x:f>SUM(H34,H42,H47)</x:f>
        <x:v>41.20936191040212</x:v>
      </x:c>
      <x:c r="I51" s="100" t="n">
        <x:f>SUM(I34,I42,I47)</x:f>
        <x:v>29.375</x:v>
      </x:c>
      <x:c r="J51" s="100" t="n">
        <x:f>SUM(J34,J42,J47)</x:f>
        <x:v>14.6875</x:v>
      </x:c>
    </x:row>
    <x:row r="52" ht="21" customHeight="1">
      <x:c r="A52" s="1"/>
      <x:c r="B52" s="1"/>
      <x:c r="C52" s="52" t="str">
        <x:v>Total principal repayments incl. leases</x:v>
      </x:c>
      <x:c r="D52" s="57" t="n">
        <x:f>SUM(D32,D39,D45)</x:f>
        <x:v>104.774</x:v>
      </x:c>
      <x:c r="E52" s="57" t="n">
        <x:f>SUM(E32,E39,E45)</x:f>
        <x:v>226.76233333333334</x:v>
      </x:c>
      <x:c r="F52" s="57" t="n">
        <x:f>SUM(F32,F39,F45)</x:f>
        <x:v>219.77433333333335</x:v>
      </x:c>
      <x:c r="G52" s="57" t="n">
        <x:f>SUM(G32,G39,G45)</x:f>
        <x:v>97.7063333333333</x:v>
      </x:c>
      <x:c r="H52" s="100" t="n">
        <x:f>SUM(H32,H39,H45)</x:f>
        <x:v>443.33299999999997</x:v>
      </x:c>
      <x:c r="I52" s="100" t="n">
        <x:f>SUM(I32,I39,I45)</x:f>
        <x:v>1150</x:v>
      </x:c>
      <x:c r="J52" s="100" t="n">
        <x:f>SUM(J32,J39,J45)</x:f>
        <x:v>500</x:v>
      </x:c>
    </x:row>
    <x:row r="53" ht="21" customHeight="1">
      <x:c r="A53" s="1"/>
      <x:c r="B53" s="1"/>
      <x:c r="C53" s="52" t="str">
        <x:v>Total cash debt service</x:v>
      </x:c>
      <x:c r="D53" s="57" t="n">
        <x:f>SUM(D51:D52)</x:f>
        <x:v>138.6475833297572</x:v>
      </x:c>
      <x:c r="E53" s="57" t="n">
        <x:f>SUM(E51:E52)</x:f>
        <x:v>296.103680433114</x:v>
      </x:c>
      <x:c r="F53" s="57" t="n">
        <x:f>SUM(F51:F52)</x:f>
        <x:v>281.6626956599884</x:v>
      </x:c>
      <x:c r="G53" s="57" t="n">
        <x:f>SUM(G51:G52)</x:f>
        <x:v>153.75174163012417</x:v>
      </x:c>
      <x:c r="H53" s="100" t="n">
        <x:f>SUM(H51:H52)</x:f>
        <x:v>484.54236191040206</x:v>
      </x:c>
      <x:c r="I53" s="100" t="n">
        <x:f>SUM(I51:I52)</x:f>
        <x:v>1179.375</x:v>
      </x:c>
      <x:c r="J53" s="100" t="n">
        <x:f>SUM(J51:J52)</x:f>
        <x:v>514.6875</x:v>
      </x:c>
    </x:row>
    <x:row r="54" ht="21" customHeight="1">
      <x:c r="A54" s="1"/>
      <x:c r="B54" s="1"/>
      <x:c r="C54" s="1"/>
      <x:c r="D54" s="3"/>
      <x:c r="E54" s="3"/>
      <x:c r="F54" s="3"/>
      <x:c r="G54" s="3"/>
      <x:c r="H54" s="2"/>
      <x:c r="I54" s="2"/>
      <x:c r="J54" s="2"/>
    </x:row>
    <x:row r="55" ht="36" customHeight="1">
      <x:c r="A55" s="1"/>
      <x:c r="B55" s="1"/>
      <x:c r="C55" s="33" t="str">
        <x:v>2030, 2031 and 2033 are a maturity-only tail (no operating forecast). No scheduled 2032 maturity; it is omitted. Notes repay at contractual maturity; early conversion / fundamental-change cash settlement is not modeled.</x:v>
      </x:c>
      <x:c r="D55" s="34"/>
      <x:c r="E55" s="34"/>
      <x:c r="F55" s="34"/>
      <x:c r="G55" s="34"/>
      <x:c r="H55" s="104"/>
      <x:c r="I55" s="104"/>
      <x:c r="J55" s="104"/>
    </x:row>
    <x:row r="56" ht="21" customHeight="1">
      <x:c r="A56" s="1"/>
      <x:c r="B56" s="1"/>
      <x:c r="C56" s="1"/>
      <x:c r="D56" s="3"/>
      <x:c r="E56" s="3"/>
      <x:c r="F56" s="3"/>
      <x:c r="G56" s="3"/>
      <x:c r="H56" s="2"/>
      <x:c r="I56" s="2"/>
      <x:c r="J56" s="2"/>
    </x:row>
    <x:row r="57" ht="36" customHeight="1">
      <x:c r="A57" s="1"/>
      <x:c r="B57" s="1"/>
      <x:c r="C57" s="33" t="str">
        <x:v>Term A reprices; fixed debt does not. Subsidiary loan interest uses one weighted coupon proxy as loans amortize; it is an approximation. Leases use estimated payments / rate, not a complete contractual lease schedule.</x:v>
      </x:c>
      <x:c r="D57" s="34"/>
      <x:c r="E57" s="34"/>
      <x:c r="F57" s="34"/>
      <x:c r="G57" s="34"/>
      <x:c r="H57" s="104"/>
      <x:c r="I57" s="104"/>
      <x:c r="J57" s="104"/>
    </x:row>
    <x:row r="58" ht="21" customHeight="1">
      <x:c r="A58" s="1"/>
      <x:c r="B58" s="1"/>
      <x:c r="C58" s="1"/>
      <x:c r="D58" s="3"/>
      <x:c r="E58" s="3"/>
      <x:c r="F58" s="3"/>
      <x:c r="G58" s="3"/>
      <x:c r="H58" s="2"/>
      <x:c r="I58" s="2"/>
      <x:c r="J58" s="2"/>
    </x:row>
    <x:row r="59" ht="21" customHeight="1">
      <x:c r="A59" s="1"/>
      <x:c r="B59" s="1"/>
      <x:c r="C59" s="1"/>
      <x:c r="D59" s="3"/>
      <x:c r="E59" s="3"/>
      <x:c r="F59" s="3"/>
      <x:c r="G59" s="3"/>
      <x:c r="H59" s="2"/>
      <x:c r="I59" s="2"/>
      <x:c r="J59" s="2"/>
    </x:row>
    <x:row r="60" ht="21" customHeight="1">
      <x:c r="A60" s="1"/>
      <x:c r="B60" s="1"/>
      <x:c r="C60" s="1" t="str">
        <x:v>Year</x:v>
      </x:c>
      <x:c r="D60" s="3" t="str">
        <x:v>Existing principal due</x:v>
      </x:c>
      <x:c r="E60" s="3"/>
      <x:c r="F60" s="3"/>
      <x:c r="G60" s="3"/>
      <x:c r="H60" s="2"/>
      <x:c r="I60" s="2"/>
      <x:c r="J60" s="2"/>
    </x:row>
    <x:row r="61" ht="21" customHeight="1">
      <x:c r="A61" s="1"/>
      <x:c r="B61" s="1"/>
      <x:c r="C61" s="106" t="n">
        <x:f>D6</x:f>
        <x:v>2026</x:v>
      </x:c>
      <x:c r="D61" s="46" t="n">
        <x:f>D32</x:f>
        <x:v>79.42</x:v>
      </x:c>
      <x:c r="E61" s="3"/>
      <x:c r="F61" s="3"/>
      <x:c r="G61" s="3"/>
      <x:c r="H61" s="2"/>
      <x:c r="I61" s="2"/>
      <x:c r="J61" s="2"/>
    </x:row>
    <x:row r="62" ht="21" customHeight="1">
      <x:c r="A62" s="1"/>
      <x:c r="B62" s="1"/>
      <x:c r="C62" s="106" t="n">
        <x:f>E6</x:f>
        <x:v>2027</x:v>
      </x:c>
      <x:c r="D62" s="46" t="n">
        <x:f>E32</x:f>
        <x:v>142.721</x:v>
      </x:c>
      <x:c r="E62" s="3"/>
      <x:c r="F62" s="3"/>
      <x:c r="G62" s="3"/>
      <x:c r="H62" s="2"/>
      <x:c r="I62" s="2"/>
      <x:c r="J62" s="2"/>
    </x:row>
    <x:row r="63" ht="21" customHeight="1">
      <x:c r="A63" s="1"/>
      <x:c r="B63" s="1"/>
      <x:c r="C63" s="106" t="n">
        <x:f>F6</x:f>
        <x:v>2028</x:v>
      </x:c>
      <x:c r="D63" s="46" t="n">
        <x:f>F32</x:f>
        <x:v>135.904</x:v>
      </x:c>
      <x:c r="E63" s="3"/>
      <x:c r="F63" s="3"/>
      <x:c r="G63" s="3"/>
      <x:c r="H63" s="2"/>
      <x:c r="I63" s="2"/>
      <x:c r="J63" s="2"/>
    </x:row>
    <x:row r="64" ht="21" customHeight="1">
      <x:c r="A64" s="1"/>
      <x:c r="B64" s="1"/>
      <x:c r="C64" s="106" t="n">
        <x:f>G6</x:f>
        <x:v>2029</x:v>
      </x:c>
      <x:c r="D64" s="46" t="n">
        <x:f>G32</x:f>
        <x:v>64.37299999999999</x:v>
      </x:c>
      <x:c r="E64" s="3"/>
      <x:c r="F64" s="3"/>
      <x:c r="G64" s="3"/>
      <x:c r="H64" s="2"/>
      <x:c r="I64" s="2"/>
      <x:c r="J64" s="2"/>
    </x:row>
    <x:row r="65" ht="21" customHeight="1">
      <x:c r="A65" s="1"/>
      <x:c r="B65" s="1"/>
      <x:c r="C65" s="106" t="n">
        <x:f>H6</x:f>
        <x:v>2030</x:v>
      </x:c>
      <x:c r="D65" s="46" t="n">
        <x:f>H32</x:f>
        <x:v>443.33299999999997</x:v>
      </x:c>
      <x:c r="E65" s="3"/>
      <x:c r="F65" s="3"/>
      <x:c r="G65" s="3"/>
      <x:c r="H65" s="2"/>
      <x:c r="I65" s="2"/>
      <x:c r="J65" s="2"/>
    </x:row>
    <x:row r="66" ht="21" customHeight="1">
      <x:c r="A66" s="1"/>
      <x:c r="B66" s="1"/>
      <x:c r="C66" s="106" t="n">
        <x:f>I6</x:f>
        <x:v>2031</x:v>
      </x:c>
      <x:c r="D66" s="46" t="n">
        <x:f>I32</x:f>
        <x:v>1150</x:v>
      </x:c>
      <x:c r="E66" s="3"/>
      <x:c r="F66" s="3"/>
      <x:c r="G66" s="3"/>
      <x:c r="H66" s="2"/>
      <x:c r="I66" s="2"/>
      <x:c r="J66" s="2"/>
    </x:row>
    <x:row r="67" ht="21" customHeight="1">
      <x:c r="A67" s="1"/>
      <x:c r="B67" s="1"/>
      <x:c r="C67" s="106" t="n">
        <x:f>J6</x:f>
        <x:v>2033</x:v>
      </x:c>
      <x:c r="D67" s="46" t="n">
        <x:f>J32</x:f>
        <x:v>500</x:v>
      </x:c>
      <x:c r="E67" s="3"/>
      <x:c r="F67" s="3"/>
      <x:c r="G67" s="3"/>
      <x:c r="H67" s="2"/>
      <x:c r="I67" s="2"/>
      <x:c r="J67" s="2"/>
    </x:row>
    <x:row r="68" ht="21" customHeight="1">
      <x:c r="A68" s="1"/>
      <x:c r="B68" s="1"/>
      <x:c r="C68" s="1"/>
      <x:c r="D68" s="3"/>
      <x:c r="E68" s="3"/>
      <x:c r="F68" s="3"/>
      <x:c r="G68" s="3"/>
      <x:c r="H68" s="2"/>
      <x:c r="I68" s="2"/>
      <x:c r="J68" s="2"/>
    </x:row>
    <x:row r="69" ht="21" customHeight="1">
      <x:c r="A69" s="1"/>
      <x:c r="B69" s="1"/>
      <x:c r="C69" s="1"/>
      <x:c r="D69" s="3"/>
      <x:c r="E69" s="3"/>
      <x:c r="F69" s="3"/>
      <x:c r="G69" s="3"/>
      <x:c r="H69" s="2"/>
      <x:c r="I69" s="2"/>
      <x:c r="J69" s="2"/>
    </x:row>
    <x:row r="70" ht="21" customHeight="1">
      <x:c r="A70" s="1"/>
      <x:c r="B70" s="1"/>
      <x:c r="C70" s="1"/>
      <x:c r="D70" s="3"/>
      <x:c r="E70" s="3"/>
      <x:c r="F70" s="3"/>
      <x:c r="G70" s="3"/>
      <x:c r="H70" s="2"/>
      <x:c r="I70" s="2"/>
      <x:c r="J70" s="2"/>
    </x:row>
    <x:row r="71" ht="21" customHeight="1">
      <x:c r="A71" s="1"/>
      <x:c r="B71" s="1"/>
      <x:c r="C71" s="1"/>
      <x:c r="D71" s="3"/>
      <x:c r="E71" s="3"/>
      <x:c r="F71" s="3"/>
      <x:c r="G71" s="3"/>
      <x:c r="H71" s="2"/>
      <x:c r="I71" s="2"/>
      <x:c r="J71" s="2"/>
    </x:row>
    <x:row r="72" ht="21" customHeight="1">
      <x:c r="A72" s="1"/>
      <x:c r="B72" s="1"/>
      <x:c r="C72" s="1"/>
      <x:c r="D72" s="3"/>
      <x:c r="E72" s="3"/>
      <x:c r="F72" s="3"/>
      <x:c r="G72" s="3"/>
      <x:c r="H72" s="2"/>
      <x:c r="I72" s="2"/>
      <x:c r="J72" s="2"/>
    </x:row>
    <x:row r="73" ht="21" customHeight="1">
      <x:c r="A73" s="1"/>
      <x:c r="B73" s="1"/>
      <x:c r="C73" s="1"/>
      <x:c r="D73" s="3"/>
      <x:c r="E73" s="3"/>
      <x:c r="F73" s="3"/>
      <x:c r="G73" s="3"/>
      <x:c r="H73" s="2"/>
      <x:c r="I73" s="2"/>
      <x:c r="J73" s="2"/>
    </x:row>
    <x:row r="74" ht="21" customHeight="1">
      <x:c r="A74" s="1"/>
      <x:c r="B74" s="1"/>
      <x:c r="C74" s="1"/>
      <x:c r="D74" s="3"/>
      <x:c r="E74" s="3"/>
      <x:c r="F74" s="3"/>
      <x:c r="G74" s="3"/>
      <x:c r="H74" s="2"/>
      <x:c r="I74" s="2"/>
      <x:c r="J74" s="2"/>
    </x:row>
    <x:row r="75" ht="21" customHeight="1">
      <x:c r="A75" s="1"/>
      <x:c r="B75" s="1"/>
      <x:c r="C75" s="1"/>
      <x:c r="D75" s="3"/>
      <x:c r="E75" s="3"/>
      <x:c r="F75" s="3"/>
      <x:c r="G75" s="3"/>
      <x:c r="H75" s="2"/>
      <x:c r="I75" s="2"/>
      <x:c r="J75" s="2"/>
    </x:row>
    <x:row r="76" ht="21" customHeight="1">
      <x:c r="A76" s="1"/>
      <x:c r="B76" s="1"/>
      <x:c r="C76" s="1"/>
      <x:c r="D76" s="3"/>
      <x:c r="E76" s="3"/>
      <x:c r="F76" s="3"/>
      <x:c r="G76" s="3"/>
      <x:c r="H76" s="2"/>
      <x:c r="I76" s="2"/>
      <x:c r="J76" s="2"/>
    </x:row>
    <x:row r="77" ht="21" customHeight="1">
      <x:c r="A77" s="1"/>
      <x:c r="B77" s="1"/>
      <x:c r="C77" s="1"/>
      <x:c r="D77" s="3"/>
      <x:c r="E77" s="3"/>
      <x:c r="F77" s="3"/>
      <x:c r="G77" s="3"/>
      <x:c r="H77" s="2"/>
      <x:c r="I77" s="2"/>
      <x:c r="J77" s="2"/>
    </x:row>
    <x:row r="78" ht="21" customHeight="1">
      <x:c r="A78" s="1"/>
      <x:c r="B78" s="1"/>
      <x:c r="C78" s="1"/>
      <x:c r="D78" s="3"/>
      <x:c r="E78" s="3"/>
      <x:c r="F78" s="3"/>
      <x:c r="G78" s="3"/>
      <x:c r="H78" s="2"/>
      <x:c r="I78" s="2"/>
      <x:c r="J78" s="2"/>
    </x:row>
  </x:sheetData>
  <x:mergeCells>
    <x:mergeCell ref="C1:J2"/>
    <x:mergeCell ref="C3:J3"/>
    <x:mergeCell ref="D4:G4"/>
    <x:mergeCell ref="C9:J9"/>
    <x:mergeCell ref="C14:J14"/>
    <x:mergeCell ref="C19:J19"/>
    <x:mergeCell ref="C25:J25"/>
    <x:mergeCell ref="C30:J30"/>
    <x:mergeCell ref="C36:J36"/>
    <x:mergeCell ref="C43:J43"/>
    <x:mergeCell ref="C48:J48"/>
    <x:mergeCell ref="C55:J55"/>
    <x:mergeCell ref="C57:J57"/>
  </x:mergeCells>
  <x:pageMargins left="0.7" right="0.7" top="0.75" bottom="0.75" header="0.3" footer="0.3"/>
  <x:drawing xmlns:r="http://schemas.openxmlformats.org/officeDocument/2006/relationships" r:id="Rc14130684c204eb2"/>
</x:worksheet>
</file>

<file path=xl/worksheets/sheet5.xml><?xml version="1.0" encoding="utf-8"?>
<x:worksheet xmlns:x="http://schemas.openxmlformats.org/spreadsheetml/2006/main">
  <x:sheetPr>
    <x:tabColor rgb="FF147D9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</x:cols>
  <x:sheetData>
    <x:row r="1" ht="21" customHeight="1">
      <x:c r="A1" s="1"/>
      <x:c r="B1" s="1"/>
      <x:c r="C1" s="5" t="str">
        <x:v>HISTORICAL CREDIT ANALYSIS</x:v>
      </x:c>
      <x:c r="D1" s="5"/>
      <x:c r="E1" s="5"/>
      <x:c r="F1" s="5"/>
      <x:c r="G1" s="5"/>
      <x:c r="H1" s="5"/>
    </x:row>
    <x:row r="2" ht="21" customHeight="1">
      <x:c r="A2" s="1"/>
      <x:c r="B2" s="1"/>
      <x:c r="C2" s="5"/>
      <x:c r="D2" s="5"/>
      <x:c r="E2" s="5"/>
      <x:c r="F2" s="5"/>
      <x:c r="G2" s="5"/>
      <x:c r="H2" s="5"/>
    </x:row>
    <x:row r="3" ht="21" customHeight="1">
      <x:c r="A3" s="1"/>
      <x:c r="B3" s="1"/>
      <x:c r="C3" s="6" t="str">
        <x:v>Amkor Technology | Independent credit study by Eisen Hy | 1-Oct-2026 | USD millions unless stated</x:v>
      </x:c>
      <x:c r="D3" s="6"/>
      <x:c r="E3" s="6"/>
      <x:c r="F3" s="6"/>
      <x:c r="G3" s="6"/>
      <x:c r="H3" s="6"/>
    </x:row>
    <x:row r="4" ht="21" customHeight="1">
      <x:c r="A4" s="1"/>
      <x:c r="B4" s="1"/>
      <x:c r="C4" s="1" t="str">
        <x:v>Selected case</x:v>
      </x:c>
      <x:c r="D4" s="7" t="str">
        <x:f>'Assumptions'!$D$7</x:f>
        <x:v>Base</x:v>
      </x:c>
      <x:c r="E4" s="1"/>
      <x:c r="F4" s="1"/>
      <x:c r="G4" s="1"/>
      <x:c r="H4" s="1"/>
    </x:row>
    <x:row r="5" ht="26" customHeight="1">
      <x:c r="A5" s="1"/>
      <x:c r="B5" s="1"/>
      <x:c r="C5" s="12"/>
      <x:c r="D5" s="13" t="str">
        <x:v>2023A</x:v>
      </x:c>
      <x:c r="E5" s="13" t="str">
        <x:v>2024A</x:v>
      </x:c>
      <x:c r="F5" s="13" t="str">
        <x:v>2025A</x:v>
      </x:c>
      <x:c r="G5" s="13" t="str">
        <x:v>LTM / Jun-26</x:v>
      </x:c>
      <x:c r="H5" s="1"/>
    </x:row>
    <x:row r="6" ht="25" customHeight="1">
      <x:c r="A6" s="1"/>
      <x:c r="B6" s="1"/>
      <x:c r="C6" s="15" t="str">
        <x:v>INCOME STATEMENT &amp; EARNINGS PROXY</x:v>
      </x:c>
      <x:c r="D6" s="16"/>
      <x:c r="E6" s="16"/>
      <x:c r="F6" s="16"/>
      <x:c r="G6" s="16"/>
      <x:c r="H6" s="15"/>
    </x:row>
    <x:row r="7" ht="21" customHeight="1">
      <x:c r="A7" s="1"/>
      <x:c r="B7" s="1"/>
      <x:c r="C7" s="52" t="str">
        <x:v>Revenue</x:v>
      </x:c>
      <x:c r="D7" s="53" t="n">
        <x:f>'Raw Spread'!D7/'Raw Spread'!$D$3</x:f>
        <x:v>6503.065</x:v>
      </x:c>
      <x:c r="E7" s="53" t="n">
        <x:f>'Raw Spread'!E7/'Raw Spread'!$D$3</x:f>
        <x:v>6317.692</x:v>
      </x:c>
      <x:c r="F7" s="53" t="n">
        <x:f>'Raw Spread'!F7/'Raw Spread'!$D$3</x:f>
        <x:v>6707.981</x:v>
      </x:c>
      <x:c r="G7" s="53" t="n">
        <x:f>('Raw Spread'!F7+'Raw Spread'!H7-'Raw Spread'!G7)/'Raw Spread'!$D$3</x:f>
        <x:v>7457.68</x:v>
      </x:c>
      <x:c r="H7" s="1"/>
    </x:row>
    <x:row r="8" ht="21" customHeight="1">
      <x:c r="A8" s="1"/>
      <x:c r="B8" s="1"/>
      <x:c r="C8" s="1" t="str">
        <x:v>Cost of sales</x:v>
      </x:c>
      <x:c r="D8" s="45" t="n">
        <x:f>'Raw Spread'!D8/'Raw Spread'!$D$3</x:f>
        <x:v>5559.912</x:v>
      </x:c>
      <x:c r="E8" s="45" t="n">
        <x:f>'Raw Spread'!E8/'Raw Spread'!$D$3</x:f>
        <x:v>5384.48</x:v>
      </x:c>
      <x:c r="F8" s="45" t="n">
        <x:f>'Raw Spread'!F8/'Raw Spread'!$D$3</x:f>
        <x:v>5769.382</x:v>
      </x:c>
      <x:c r="G8" s="45" t="n">
        <x:f>('Raw Spread'!F8+'Raw Spread'!H8-'Raw Spread'!G8)/'Raw Spread'!$D$3</x:f>
        <x:v>6300.939</x:v>
      </x:c>
      <x:c r="H8" s="1"/>
    </x:row>
    <x:row r="9" ht="21" customHeight="1">
      <x:c r="A9" s="1"/>
      <x:c r="B9" s="1"/>
      <x:c r="C9" s="52" t="str">
        <x:v>Gross profit</x:v>
      </x:c>
      <x:c r="D9" s="57" t="n">
        <x:f>D7-D8</x:f>
        <x:v>943.1529999999993</x:v>
      </x:c>
      <x:c r="E9" s="57" t="n">
        <x:f>E7-E8</x:f>
        <x:v>933.2120000000004</x:v>
      </x:c>
      <x:c r="F9" s="57" t="n">
        <x:f>F7-F8</x:f>
        <x:v>938.5990000000002</x:v>
      </x:c>
      <x:c r="G9" s="57" t="n">
        <x:f>G7-G8</x:f>
        <x:v>1156.741</x:v>
      </x:c>
      <x:c r="H9" s="1"/>
    </x:row>
    <x:row r="10" ht="21" customHeight="1">
      <x:c r="A10" s="1"/>
      <x:c r="B10" s="1"/>
      <x:c r="C10" s="1" t="str">
        <x:v>Selling, general and administrative</x:v>
      </x:c>
      <x:c r="D10" s="45" t="n">
        <x:f>'Raw Spread'!D10/'Raw Spread'!$D$3</x:f>
        <x:v>295.393</x:v>
      </x:c>
      <x:c r="E10" s="45" t="n">
        <x:f>'Raw Spread'!E10/'Raw Spread'!$D$3</x:f>
        <x:v>331.806</x:v>
      </x:c>
      <x:c r="F10" s="45" t="n">
        <x:f>'Raw Spread'!F10/'Raw Spread'!$D$3</x:f>
        <x:v>304.471</x:v>
      </x:c>
      <x:c r="G10" s="45" t="n">
        <x:f>('Raw Spread'!F10+'Raw Spread'!H10-'Raw Spread'!G10)/'Raw Spread'!$D$3</x:f>
        <x:v>352.032</x:v>
      </x:c>
      <x:c r="H10" s="1"/>
    </x:row>
    <x:row r="11" ht="21" customHeight="1">
      <x:c r="A11" s="1"/>
      <x:c r="B11" s="1"/>
      <x:c r="C11" s="1" t="str">
        <x:v>Research and development</x:v>
      </x:c>
      <x:c r="D11" s="45" t="n">
        <x:f>'Raw Spread'!D11/'Raw Spread'!$D$3</x:f>
        <x:v>177.473</x:v>
      </x:c>
      <x:c r="E11" s="45" t="n">
        <x:f>'Raw Spread'!E11/'Raw Spread'!$D$3</x:f>
        <x:v>162.951</x:v>
      </x:c>
      <x:c r="F11" s="45" t="n">
        <x:f>'Raw Spread'!F11/'Raw Spread'!$D$3</x:f>
        <x:v>166.743</x:v>
      </x:c>
      <x:c r="G11" s="45" t="n">
        <x:f>('Raw Spread'!F11+'Raw Spread'!H11-'Raw Spread'!G11)/'Raw Spread'!$D$3</x:f>
        <x:v>160.673</x:v>
      </x:c>
      <x:c r="H11" s="1"/>
    </x:row>
    <x:row r="12" ht="21" customHeight="1">
      <x:c r="A12" s="1"/>
      <x:c r="B12" s="1"/>
      <x:c r="C12" s="1" t="str">
        <x:v>Operating expenses</x:v>
      </x:c>
      <x:c r="D12" s="46" t="n">
        <x:f>SUM(D10:D11)</x:f>
        <x:v>472.866</x:v>
      </x:c>
      <x:c r="E12" s="46" t="n">
        <x:f>SUM(E10:E11)</x:f>
        <x:v>494.75699999999995</x:v>
      </x:c>
      <x:c r="F12" s="46" t="n">
        <x:f>SUM(F10:F11)</x:f>
        <x:v>471.214</x:v>
      </x:c>
      <x:c r="G12" s="46" t="n">
        <x:f>SUM(G10:G11)</x:f>
        <x:v>512.7049999999999</x:v>
      </x:c>
      <x:c r="H12" s="1"/>
    </x:row>
    <x:row r="13" ht="21" customHeight="1">
      <x:c r="A13" s="1"/>
      <x:c r="B13" s="1"/>
      <x:c r="C13" s="52" t="str">
        <x:v>EBIT (reported operating income)</x:v>
      </x:c>
      <x:c r="D13" s="57" t="n">
        <x:f>D9-D12</x:f>
        <x:v>470.28699999999935</x:v>
      </x:c>
      <x:c r="E13" s="57" t="n">
        <x:f>E9-E12</x:f>
        <x:v>438.4550000000005</x:v>
      </x:c>
      <x:c r="F13" s="57" t="n">
        <x:f>F9-F12</x:f>
        <x:v>467.38500000000016</x:v>
      </x:c>
      <x:c r="G13" s="57" t="n">
        <x:f>G9-G12</x:f>
        <x:v>644.0360000000001</x:v>
      </x:c>
      <x:c r="H13" s="1"/>
    </x:row>
    <x:row r="14" ht="21" customHeight="1">
      <x:c r="A14" s="1"/>
      <x:c r="B14" s="1"/>
      <x:c r="C14" s="1" t="str">
        <x:v>GAAP interest expense</x:v>
      </x:c>
      <x:c r="D14" s="45" t="n">
        <x:f>'Raw Spread'!D14/'Raw Spread'!$D$3</x:f>
        <x:v>59</x:v>
      </x:c>
      <x:c r="E14" s="45" t="n">
        <x:f>'Raw Spread'!E14/'Raw Spread'!$D$3</x:f>
        <x:v>64.945</x:v>
      </x:c>
      <x:c r="F14" s="45" t="n">
        <x:f>'Raw Spread'!F14/'Raw Spread'!$D$3</x:f>
        <x:v>75.444</x:v>
      </x:c>
      <x:c r="G14" s="45" t="n">
        <x:f>('Raw Spread'!F14+'Raw Spread'!H14-'Raw Spread'!G14)/'Raw Spread'!$D$3</x:f>
        <x:v>76.506</x:v>
      </x:c>
      <x:c r="H14" s="1"/>
    </x:row>
    <x:row r="15" ht="21" customHeight="1">
      <x:c r="A15" s="1"/>
      <x:c r="B15" s="1"/>
      <x:c r="C15" s="1" t="str">
        <x:v>Other (income) expense</x:v>
      </x:c>
      <x:c r="D15" s="45" t="n">
        <x:f>'Raw Spread'!D15/'Raw Spread'!$D$3</x:f>
        <x:v>-32.554</x:v>
      </x:c>
      <x:c r="E15" s="45" t="n">
        <x:f>'Raw Spread'!E15/'Raw Spread'!$D$3</x:f>
        <x:v>-57.506</x:v>
      </x:c>
      <x:c r="F15" s="45" t="n">
        <x:f>'Raw Spread'!F15/'Raw Spread'!$D$3</x:f>
        <x:v>-52.678</x:v>
      </x:c>
      <x:c r="G15" s="45" t="n">
        <x:f>('Raw Spread'!F15+'Raw Spread'!H15-'Raw Spread'!G15)/'Raw Spread'!$D$3</x:f>
        <x:v>-67.569</x:v>
      </x:c>
      <x:c r="H15" s="1"/>
    </x:row>
    <x:row r="16" ht="21" customHeight="1">
      <x:c r="A16" s="1"/>
      <x:c r="B16" s="1"/>
      <x:c r="C16" s="1" t="str">
        <x:v>Income before taxes</x:v>
      </x:c>
      <x:c r="D16" s="46" t="n">
        <x:f>D13-D14-D15</x:f>
        <x:v>443.8409999999993</x:v>
      </x:c>
      <x:c r="E16" s="46" t="n">
        <x:f>E13-E14-E15</x:f>
        <x:v>431.01600000000053</x:v>
      </x:c>
      <x:c r="F16" s="46" t="n">
        <x:f>F13-F14-F15</x:f>
        <x:v>444.61900000000014</x:v>
      </x:c>
      <x:c r="G16" s="46" t="n">
        <x:f>G13-G14-G15</x:f>
        <x:v>635.099</x:v>
      </x:c>
      <x:c r="H16" s="1"/>
    </x:row>
    <x:row r="17" ht="21" customHeight="1">
      <x:c r="A17" s="1"/>
      <x:c r="B17" s="1"/>
      <x:c r="C17" s="1" t="str">
        <x:v>Income tax expense</x:v>
      </x:c>
      <x:c r="D17" s="45" t="n">
        <x:f>'Raw Spread'!D17/'Raw Spread'!$D$3</x:f>
        <x:v>81.71</x:v>
      </x:c>
      <x:c r="E17" s="45" t="n">
        <x:f>'Raw Spread'!E17/'Raw Spread'!$D$3</x:f>
        <x:v>75.481</x:v>
      </x:c>
      <x:c r="F17" s="45" t="n">
        <x:f>'Raw Spread'!F17/'Raw Spread'!$D$3</x:f>
        <x:v>68.503</x:v>
      </x:c>
      <x:c r="G17" s="45" t="n">
        <x:f>('Raw Spread'!F17+'Raw Spread'!H17-'Raw Spread'!G17)/'Raw Spread'!$D$3</x:f>
        <x:v>77.053</x:v>
      </x:c>
      <x:c r="H17" s="1"/>
    </x:row>
    <x:row r="18" ht="21" customHeight="1">
      <x:c r="A18" s="1"/>
      <x:c r="B18" s="1"/>
      <x:c r="C18" s="1" t="str">
        <x:v>Consolidated net income</x:v>
      </x:c>
      <x:c r="D18" s="46" t="n">
        <x:f>D16-D17</x:f>
        <x:v>362.13099999999935</x:v>
      </x:c>
      <x:c r="E18" s="46" t="n">
        <x:f>E16-E17</x:f>
        <x:v>355.53500000000054</x:v>
      </x:c>
      <x:c r="F18" s="46" t="n">
        <x:f>F16-F17</x:f>
        <x:v>376.11600000000016</x:v>
      </x:c>
      <x:c r="G18" s="46" t="n">
        <x:f>G16-G17</x:f>
        <x:v>558.046</x:v>
      </x:c>
      <x:c r="H18" s="1"/>
    </x:row>
    <x:row r="19" ht="21" customHeight="1">
      <x:c r="A19" s="1"/>
      <x:c r="B19" s="1"/>
      <x:c r="C19" s="1" t="str">
        <x:v>NCI share of net income</x:v>
      </x:c>
      <x:c r="D19" s="45" t="n">
        <x:f>'Raw Spread'!D19/'Raw Spread'!$D$3</x:f>
        <x:v>2.318</x:v>
      </x:c>
      <x:c r="E19" s="45" t="n">
        <x:f>'Raw Spread'!E19/'Raw Spread'!$D$3</x:f>
        <x:v>1.523</x:v>
      </x:c>
      <x:c r="F19" s="45" t="n">
        <x:f>'Raw Spread'!F19/'Raw Spread'!$D$3</x:f>
        <x:v>2.221</x:v>
      </x:c>
      <x:c r="G19" s="45" t="n">
        <x:f>('Raw Spread'!F19+'Raw Spread'!H19-'Raw Spread'!G19)/'Raw Spread'!$D$3</x:f>
        <x:v>2.592</x:v>
      </x:c>
      <x:c r="H19" s="1"/>
    </x:row>
    <x:row r="20" ht="21" customHeight="1">
      <x:c r="A20" s="1"/>
      <x:c r="B20" s="1"/>
      <x:c r="C20" s="52" t="str">
        <x:v>Net income attributable to Amkor</x:v>
      </x:c>
      <x:c r="D20" s="57" t="n">
        <x:f>D18-D19</x:f>
        <x:v>359.81299999999936</x:v>
      </x:c>
      <x:c r="E20" s="57" t="n">
        <x:f>E18-E19</x:f>
        <x:v>354.0120000000005</x:v>
      </x:c>
      <x:c r="F20" s="57" t="n">
        <x:f>F18-F19</x:f>
        <x:v>373.89500000000015</x:v>
      </x:c>
      <x:c r="G20" s="57" t="n">
        <x:f>G18-G19</x:f>
        <x:v>555.4540000000001</x:v>
      </x:c>
      <x:c r="H20" s="1"/>
    </x:row>
    <x:row r="21" ht="21" customHeight="1">
      <x:c r="A21" s="1"/>
      <x:c r="B21" s="1"/>
      <x:c r="C21" s="1" t="str">
        <x:v>Depreciation and amortization</x:v>
      </x:c>
      <x:c r="D21" s="45" t="n">
        <x:f>'Raw Spread'!D54/'Raw Spread'!$D$3</x:f>
        <x:v>631.508</x:v>
      </x:c>
      <x:c r="E21" s="45" t="n">
        <x:f>'Raw Spread'!E54/'Raw Spread'!$D$3</x:f>
        <x:v>594.663</x:v>
      </x:c>
      <x:c r="F21" s="45" t="n">
        <x:f>'Raw Spread'!F54/'Raw Spread'!$D$3</x:f>
        <x:v>642.008</x:v>
      </x:c>
      <x:c r="G21" s="45" t="n">
        <x:f>('Raw Spread'!F54+'Raw Spread'!H54-'Raw Spread'!G54)/'Raw Spread'!$D$3</x:f>
        <x:v>679.898</x:v>
      </x:c>
      <x:c r="H21" s="1"/>
    </x:row>
    <x:row r="22" ht="21" customHeight="1">
      <x:c r="A22" s="1"/>
      <x:c r="B22" s="1"/>
      <x:c r="C22" s="52" t="str">
        <x:v>EBITDA proxy = EBIT + D&amp;A</x:v>
      </x:c>
      <x:c r="D22" s="57" t="n">
        <x:f>D13+D21</x:f>
        <x:v>1101.7949999999994</x:v>
      </x:c>
      <x:c r="E22" s="57" t="n">
        <x:f>E13+E21</x:f>
        <x:v>1033.1180000000004</x:v>
      </x:c>
      <x:c r="F22" s="57" t="n">
        <x:f>F13+F21</x:f>
        <x:v>1109.3930000000003</x:v>
      </x:c>
      <x:c r="G22" s="57" t="n">
        <x:f>G13+G21</x:f>
        <x:v>1323.9340000000002</x:v>
      </x:c>
      <x:c r="H22" s="1"/>
    </x:row>
    <x:row r="23" ht="21" customHeight="1">
      <x:c r="A23" s="1"/>
      <x:c r="B23" s="1"/>
      <x:c r="C23" s="1"/>
      <x:c r="D23" s="3"/>
      <x:c r="E23" s="3"/>
      <x:c r="F23" s="3"/>
      <x:c r="G23" s="3"/>
      <x:c r="H23" s="1"/>
    </x:row>
    <x:row r="24" ht="25" customHeight="1">
      <x:c r="A24" s="1"/>
      <x:c r="B24" s="1"/>
      <x:c r="C24" s="15" t="str">
        <x:v>BALANCE SHEET | LTM column uses 30-Jun-2026 stocks</x:v>
      </x:c>
      <x:c r="D24" s="16"/>
      <x:c r="E24" s="16"/>
      <x:c r="F24" s="16"/>
      <x:c r="G24" s="16"/>
      <x:c r="H24" s="15"/>
    </x:row>
    <x:row r="25" ht="21" customHeight="1">
      <x:c r="A25" s="1"/>
      <x:c r="B25" s="1"/>
      <x:c r="C25" s="1" t="str">
        <x:v>Cash and cash equivalents</x:v>
      </x:c>
      <x:c r="D25" s="45" t="n">
        <x:f>'Raw Spread'!D23/'Raw Spread'!$D$3</x:f>
        <x:v>1119.818</x:v>
      </x:c>
      <x:c r="E25" s="45" t="n">
        <x:f>'Raw Spread'!E23/'Raw Spread'!$D$3</x:f>
        <x:v>1133.553</x:v>
      </x:c>
      <x:c r="F25" s="45" t="n">
        <x:f>'Raw Spread'!F23/'Raw Spread'!$D$3</x:f>
        <x:v>1378.347</x:v>
      </x:c>
      <x:c r="G25" s="45" t="n">
        <x:f>'Raw Spread'!H23/'Raw Spread'!$D$3</x:f>
        <x:v>1551.89</x:v>
      </x:c>
      <x:c r="H25" s="1"/>
    </x:row>
    <x:row r="26" ht="21" customHeight="1">
      <x:c r="A26" s="1"/>
      <x:c r="B26" s="1"/>
      <x:c r="C26" s="1" t="str">
        <x:v>Short-term investments</x:v>
      </x:c>
      <x:c r="D26" s="45" t="n">
        <x:f>'Raw Spread'!D25/'Raw Spread'!$D$3</x:f>
        <x:v>474.869</x:v>
      </x:c>
      <x:c r="E26" s="45" t="n">
        <x:f>'Raw Spread'!E25/'Raw Spread'!$D$3</x:f>
        <x:v>512.984</x:v>
      </x:c>
      <x:c r="F26" s="45" t="n">
        <x:f>'Raw Spread'!F25/'Raw Spread'!$D$3</x:f>
        <x:v>613.038</x:v>
      </x:c>
      <x:c r="G26" s="45" t="n">
        <x:f>'Raw Spread'!H25/'Raw Spread'!$D$3</x:f>
        <x:v>960.272</x:v>
      </x:c>
      <x:c r="H26" s="1"/>
    </x:row>
    <x:row r="27" ht="21" customHeight="1">
      <x:c r="A27" s="1"/>
      <x:c r="B27" s="1"/>
      <x:c r="C27" s="52" t="str">
        <x:v>Liquid assets, excluding restricted cash</x:v>
      </x:c>
      <x:c r="D27" s="57" t="n">
        <x:f>SUM(D25:D26)</x:f>
        <x:v>1594.687</x:v>
      </x:c>
      <x:c r="E27" s="57" t="n">
        <x:f>SUM(E25:E26)</x:f>
        <x:v>1646.5370000000003</x:v>
      </x:c>
      <x:c r="F27" s="57" t="n">
        <x:f>SUM(F25:F26)</x:f>
        <x:v>1991.385</x:v>
      </x:c>
      <x:c r="G27" s="57" t="n">
        <x:f>SUM(G25:G26)</x:f>
        <x:v>2512.1620000000003</x:v>
      </x:c>
      <x:c r="H27" s="1"/>
    </x:row>
    <x:row r="28" ht="21" customHeight="1">
      <x:c r="A28" s="1"/>
      <x:c r="B28" s="1"/>
      <x:c r="C28" s="1" t="str">
        <x:v>Accounts receivable</x:v>
      </x:c>
      <x:c r="D28" s="45" t="n">
        <x:f>'Raw Spread'!D26/'Raw Spread'!$D$3</x:f>
        <x:v>1149.493</x:v>
      </x:c>
      <x:c r="E28" s="45" t="n">
        <x:f>'Raw Spread'!E26/'Raw Spread'!$D$3</x:f>
        <x:v>1055.013</x:v>
      </x:c>
      <x:c r="F28" s="45" t="n">
        <x:f>'Raw Spread'!F26/'Raw Spread'!$D$3</x:f>
        <x:v>1354.825</x:v>
      </x:c>
      <x:c r="G28" s="45" t="n">
        <x:f>'Raw Spread'!H26/'Raw Spread'!$D$3</x:f>
        <x:v>1420.353</x:v>
      </x:c>
      <x:c r="H28" s="1"/>
    </x:row>
    <x:row r="29" ht="21" customHeight="1">
      <x:c r="A29" s="1"/>
      <x:c r="B29" s="1"/>
      <x:c r="C29" s="1" t="str">
        <x:v>Inventory</x:v>
      </x:c>
      <x:c r="D29" s="45" t="n">
        <x:f>'Raw Spread'!D27/'Raw Spread'!$D$3</x:f>
        <x:v>393.128</x:v>
      </x:c>
      <x:c r="E29" s="45" t="n">
        <x:f>'Raw Spread'!E27/'Raw Spread'!$D$3</x:f>
        <x:v>310.91</x:v>
      </x:c>
      <x:c r="F29" s="45" t="n">
        <x:f>'Raw Spread'!F27/'Raw Spread'!$D$3</x:f>
        <x:v>437.797</x:v>
      </x:c>
      <x:c r="G29" s="45" t="n">
        <x:f>'Raw Spread'!H27/'Raw Spread'!$D$3</x:f>
        <x:v>560.681</x:v>
      </x:c>
      <x:c r="H29" s="1"/>
    </x:row>
    <x:row r="30" ht="21" customHeight="1">
      <x:c r="A30" s="1"/>
      <x:c r="B30" s="1"/>
      <x:c r="C30" s="1" t="str">
        <x:v>Other current assets</x:v>
      </x:c>
      <x:c r="D30" s="45" t="n">
        <x:f>'Raw Spread'!D28/'Raw Spread'!$D$3</x:f>
        <x:v>58.502</x:v>
      </x:c>
      <x:c r="E30" s="45" t="n">
        <x:f>'Raw Spread'!E28/'Raw Spread'!$D$3</x:f>
        <x:v>61.012</x:v>
      </x:c>
      <x:c r="F30" s="45" t="n">
        <x:f>'Raw Spread'!F28/'Raw Spread'!$D$3</x:f>
        <x:v>100.754</x:v>
      </x:c>
      <x:c r="G30" s="45" t="n">
        <x:f>'Raw Spread'!H28/'Raw Spread'!$D$3</x:f>
        <x:v>113.853</x:v>
      </x:c>
      <x:c r="H30" s="1"/>
    </x:row>
    <x:row r="31" ht="21" customHeight="1">
      <x:c r="A31" s="1"/>
      <x:c r="B31" s="1"/>
      <x:c r="C31" s="1" t="str">
        <x:v>Current assets</x:v>
      </x:c>
      <x:c r="D31" s="45" t="n">
        <x:f>SUM(D25:D26,D28:D30)+'Raw Spread'!D24/'Raw Spread'!$D$3</x:f>
        <x:v>3195.8099999999995</x:v>
      </x:c>
      <x:c r="E31" s="45" t="n">
        <x:f>SUM(E25:E26,E28:E30)+'Raw Spread'!E24/'Raw Spread'!$D$3</x:f>
        <x:v>3073.472</x:v>
      </x:c>
      <x:c r="F31" s="45" t="n">
        <x:f>SUM(F25:F26,F28:F30)+'Raw Spread'!F24/'Raw Spread'!$D$3</x:f>
        <x:v>3884.761</x:v>
      </x:c>
      <x:c r="G31" s="45" t="n">
        <x:f>SUM(G25:G26,G28:G30)+'Raw Spread'!H24/'Raw Spread'!$D$3</x:f>
        <x:v>4608.629000000001</x:v>
      </x:c>
      <x:c r="H31" s="1"/>
    </x:row>
    <x:row r="32" ht="21" customHeight="1">
      <x:c r="A32" s="1"/>
      <x:c r="B32" s="1"/>
      <x:c r="C32" s="1" t="str">
        <x:v>Net property, plant and equipment</x:v>
      </x:c>
      <x:c r="D32" s="45" t="n">
        <x:f>'Raw Spread'!D30/'Raw Spread'!$D$3</x:f>
        <x:v>3299.445</x:v>
      </x:c>
      <x:c r="E32" s="45" t="n">
        <x:f>'Raw Spread'!E30/'Raw Spread'!$D$3</x:f>
        <x:v>3576.148</x:v>
      </x:c>
      <x:c r="F32" s="45" t="n">
        <x:f>'Raw Spread'!F30/'Raw Spread'!$D$3</x:f>
        <x:v>3870.808</x:v>
      </x:c>
      <x:c r="G32" s="45" t="n">
        <x:f>'Raw Spread'!H30/'Raw Spread'!$D$3</x:f>
        <x:v>4478.951</x:v>
      </x:c>
      <x:c r="H32" s="1"/>
    </x:row>
    <x:row r="33" ht="21" customHeight="1">
      <x:c r="A33" s="1"/>
      <x:c r="B33" s="1"/>
      <x:c r="C33" s="1" t="str">
        <x:v>Operating lease ROU assets</x:v>
      </x:c>
      <x:c r="D33" s="45" t="n">
        <x:f>'Raw Spread'!D31/'Raw Spread'!$D$3</x:f>
        <x:v>117.006</x:v>
      </x:c>
      <x:c r="E33" s="45" t="n">
        <x:f>'Raw Spread'!E31/'Raw Spread'!$D$3</x:f>
        <x:v>109.73</x:v>
      </x:c>
      <x:c r="F33" s="45" t="n">
        <x:f>'Raw Spread'!F31/'Raw Spread'!$D$3</x:f>
        <x:v>93.449</x:v>
      </x:c>
      <x:c r="G33" s="45" t="n">
        <x:f>'Raw Spread'!H31/'Raw Spread'!$D$3</x:f>
        <x:v>84.44</x:v>
      </x:c>
      <x:c r="H33" s="1"/>
    </x:row>
    <x:row r="34" ht="21" customHeight="1">
      <x:c r="A34" s="1"/>
      <x:c r="B34" s="1"/>
      <x:c r="C34" s="1" t="str">
        <x:v>Goodwill</x:v>
      </x:c>
      <x:c r="D34" s="45" t="n">
        <x:f>'Raw Spread'!D32/'Raw Spread'!$D$3</x:f>
        <x:v>20.003</x:v>
      </x:c>
      <x:c r="E34" s="45" t="n">
        <x:f>'Raw Spread'!E32/'Raw Spread'!$D$3</x:f>
        <x:v>17.947</x:v>
      </x:c>
      <x:c r="F34" s="45" t="n">
        <x:f>'Raw Spread'!F32/'Raw Spread'!$D$3</x:f>
        <x:v>18.003</x:v>
      </x:c>
      <x:c r="G34" s="45" t="n">
        <x:f>'Raw Spread'!H32/'Raw Spread'!$D$3</x:f>
        <x:v>17.356</x:v>
      </x:c>
      <x:c r="H34" s="1"/>
    </x:row>
    <x:row r="35" ht="21" customHeight="1">
      <x:c r="A35" s="1"/>
      <x:c r="B35" s="1"/>
      <x:c r="C35" s="1" t="str">
        <x:v>Restricted cash (current + long-term)</x:v>
      </x:c>
      <x:c r="D35" s="45" t="n">
        <x:f>('Raw Spread'!D24+'Raw Spread'!D33)/'Raw Spread'!$D$3</x:f>
        <x:v>0.799</x:v>
      </x:c>
      <x:c r="E35" s="45" t="n">
        <x:f>('Raw Spread'!E24+'Raw Spread'!E33)/'Raw Spread'!$D$3</x:f>
        <x:v>0.759</x:v>
      </x:c>
      <x:c r="F35" s="45" t="n">
        <x:f>('Raw Spread'!F24+'Raw Spread'!F33)/'Raw Spread'!$D$3</x:f>
        <x:v>67.776</x:v>
      </x:c>
      <x:c r="G35" s="45" t="n">
        <x:f>('Raw Spread'!H24+'Raw Spread'!H33)/'Raw Spread'!$D$3</x:f>
        <x:v>188.455</x:v>
      </x:c>
      <x:c r="H35" s="1"/>
    </x:row>
    <x:row r="36" ht="21" customHeight="1">
      <x:c r="A36" s="1"/>
      <x:c r="B36" s="1"/>
      <x:c r="C36" s="1" t="str">
        <x:v>Other assets</x:v>
      </x:c>
      <x:c r="D36" s="45" t="n">
        <x:f>'Raw Spread'!D34/'Raw Spread'!$D$3</x:f>
        <x:v>138.062</x:v>
      </x:c>
      <x:c r="E36" s="45" t="n">
        <x:f>'Raw Spread'!E34/'Raw Spread'!$D$3</x:f>
        <x:v>166.272</x:v>
      </x:c>
      <x:c r="F36" s="45" t="n">
        <x:f>'Raw Spread'!F34/'Raw Spread'!$D$3</x:f>
        <x:v>201.512</x:v>
      </x:c>
      <x:c r="G36" s="45" t="n">
        <x:f>'Raw Spread'!H34/'Raw Spread'!$D$3</x:f>
        <x:v>339.863</x:v>
      </x:c>
      <x:c r="H36" s="1"/>
    </x:row>
    <x:row r="37" ht="21" customHeight="1">
      <x:c r="A37" s="1"/>
      <x:c r="B37" s="1"/>
      <x:c r="C37" s="52" t="str">
        <x:v>Total assets</x:v>
      </x:c>
      <x:c r="D37" s="53" t="n">
        <x:f>SUM(D31:D34,D36)+'Raw Spread'!D33/'Raw Spread'!$D$3</x:f>
        <x:v>6771.124999999999</x:v>
      </x:c>
      <x:c r="E37" s="53" t="n">
        <x:f>SUM(E31:E34,E36)+'Raw Spread'!E33/'Raw Spread'!$D$3</x:f>
        <x:v>6944.328</x:v>
      </x:c>
      <x:c r="F37" s="53" t="n">
        <x:f>SUM(F31:F34,F36)+'Raw Spread'!F33/'Raw Spread'!$D$3</x:f>
        <x:v>8136.308999999998</x:v>
      </x:c>
      <x:c r="G37" s="53" t="n">
        <x:f>SUM(G31:G34,G36)+'Raw Spread'!H33/'Raw Spread'!$D$3</x:f>
        <x:v>9716.114000000001</x:v>
      </x:c>
      <x:c r="H37" s="1"/>
    </x:row>
    <x:row r="38" ht="21" customHeight="1">
      <x:c r="A38" s="1"/>
      <x:c r="B38" s="1"/>
      <x:c r="C38" s="1" t="str">
        <x:v>Current debt — carrying value</x:v>
      </x:c>
      <x:c r="D38" s="45" t="n">
        <x:f>'Raw Spread'!D36/'Raw Spread'!$D$3</x:f>
        <x:v>131.624</x:v>
      </x:c>
      <x:c r="E38" s="45" t="n">
        <x:f>'Raw Spread'!E36/'Raw Spread'!$D$3</x:f>
        <x:v>236.029</x:v>
      </x:c>
      <x:c r="F38" s="45" t="n">
        <x:f>'Raw Spread'!F36/'Raw Spread'!$D$3</x:f>
        <x:v>162.43</x:v>
      </x:c>
      <x:c r="G38" s="45" t="n">
        <x:f>'Raw Spread'!H36/'Raw Spread'!$D$3</x:f>
        <x:v>150.781</x:v>
      </x:c>
      <x:c r="H38" s="1"/>
    </x:row>
    <x:row r="39" ht="21" customHeight="1">
      <x:c r="A39" s="1"/>
      <x:c r="B39" s="1"/>
      <x:c r="C39" s="1" t="str">
        <x:v>Long-term debt — carrying value</x:v>
      </x:c>
      <x:c r="D39" s="45" t="n">
        <x:f>'Raw Spread'!D42/'Raw Spread'!$D$3</x:f>
        <x:v>1071.832</x:v>
      </x:c>
      <x:c r="E39" s="45" t="n">
        <x:f>'Raw Spread'!E42/'Raw Spread'!$D$3</x:f>
        <x:v>923.431</x:v>
      </x:c>
      <x:c r="F39" s="45" t="n">
        <x:f>'Raw Spread'!F42/'Raw Spread'!$D$3</x:f>
        <x:v>1282.816</x:v>
      </x:c>
      <x:c r="G39" s="45" t="n">
        <x:f>'Raw Spread'!H42/'Raw Spread'!$D$3</x:f>
        <x:v>2334.95</x:v>
      </x:c>
      <x:c r="H39" s="1"/>
    </x:row>
    <x:row r="40" ht="21" customHeight="1">
      <x:c r="A40" s="1"/>
      <x:c r="B40" s="1"/>
      <x:c r="C40" s="52" t="str">
        <x:v>Total debt — carrying value</x:v>
      </x:c>
      <x:c r="D40" s="57" t="n">
        <x:f>SUM(D38:D39)</x:f>
        <x:v>1203.4560000000001</x:v>
      </x:c>
      <x:c r="E40" s="57" t="n">
        <x:f>SUM(E38:E39)</x:f>
        <x:v>1159.46</x:v>
      </x:c>
      <x:c r="F40" s="57" t="n">
        <x:f>SUM(F38:F39)</x:f>
        <x:v>1445.246</x:v>
      </x:c>
      <x:c r="G40" s="57" t="n">
        <x:f>SUM(G38:G39)</x:f>
        <x:v>2485.7309999999998</x:v>
      </x:c>
      <x:c r="H40" s="1"/>
    </x:row>
    <x:row r="41" ht="21" customHeight="1">
      <x:c r="A41" s="1"/>
      <x:c r="B41" s="1"/>
      <x:c r="C41" s="52" t="str">
        <x:v>Gross debt principal</x:v>
      </x:c>
      <x:c r="D41" s="53" t="n">
        <x:f>'Raw Spread'!D73/'Raw Spread'!$D$3</x:f>
        <x:v>1209.785</x:v>
      </x:c>
      <x:c r="E41" s="53" t="n">
        <x:f>'Raw Spread'!E73/'Raw Spread'!$D$3</x:f>
        <x:v>1164.462</x:v>
      </x:c>
      <x:c r="F41" s="53" t="n">
        <x:f>'Raw Spread'!F73/'Raw Spread'!$D$3</x:f>
        <x:v>1456.171</x:v>
      </x:c>
      <x:c r="G41" s="53" t="n">
        <x:f>'Raw Spread'!H73/'Raw Spread'!$D$3</x:f>
        <x:v>2515.751</x:v>
      </x:c>
      <x:c r="H41" s="1"/>
    </x:row>
    <x:row r="42" ht="21" customHeight="1">
      <x:c r="A42" s="1"/>
      <x:c r="B42" s="1"/>
      <x:c r="C42" s="1" t="str">
        <x:v>Trade accounts payable</x:v>
      </x:c>
      <x:c r="D42" s="45" t="n">
        <x:f>'Raw Spread'!D37/'Raw Spread'!$D$3</x:f>
        <x:v>754.453</x:v>
      </x:c>
      <x:c r="E42" s="45" t="n">
        <x:f>'Raw Spread'!E37/'Raw Spread'!$D$3</x:f>
        <x:v>712.887</x:v>
      </x:c>
      <x:c r="F42" s="45" t="n">
        <x:f>'Raw Spread'!F37/'Raw Spread'!$D$3</x:f>
        <x:v>912.766</x:v>
      </x:c>
      <x:c r="G42" s="45" t="n">
        <x:f>'Raw Spread'!H37/'Raw Spread'!$D$3</x:f>
        <x:v>880.686</x:v>
      </x:c>
      <x:c r="H42" s="1"/>
    </x:row>
    <x:row r="43" ht="21" customHeight="1">
      <x:c r="A43" s="1"/>
      <x:c r="B43" s="1"/>
      <x:c r="C43" s="1" t="str">
        <x:v>Capital expenditure payables</x:v>
      </x:c>
      <x:c r="D43" s="45" t="n">
        <x:f>'Raw Spread'!D38/'Raw Spread'!$D$3</x:f>
        <x:v>106.368</x:v>
      </x:c>
      <x:c r="E43" s="45" t="n">
        <x:f>'Raw Spread'!E38/'Raw Spread'!$D$3</x:f>
        <x:v>123.195</x:v>
      </x:c>
      <x:c r="F43" s="45" t="n">
        <x:f>'Raw Spread'!F38/'Raw Spread'!$D$3</x:f>
        <x:v>243.543</x:v>
      </x:c>
      <x:c r="G43" s="45" t="n">
        <x:f>'Raw Spread'!H38/'Raw Spread'!$D$3</x:f>
        <x:v>621.326</x:v>
      </x:c>
      <x:c r="H43" s="1"/>
    </x:row>
    <x:row r="44" ht="21" customHeight="1">
      <x:c r="A44" s="1"/>
      <x:c r="B44" s="1"/>
      <x:c r="C44" s="1" t="str">
        <x:v>Current operating lease liability</x:v>
      </x:c>
      <x:c r="D44" s="45" t="n">
        <x:f>'Raw Spread'!D39/'Raw Spread'!$D$3</x:f>
        <x:v>33.616</x:v>
      </x:c>
      <x:c r="E44" s="45" t="n">
        <x:f>'Raw Spread'!E39/'Raw Spread'!$D$3</x:f>
        <x:v>26.827</x:v>
      </x:c>
      <x:c r="F44" s="45" t="n">
        <x:f>'Raw Spread'!F39/'Raw Spread'!$D$3</x:f>
        <x:v>23.14</x:v>
      </x:c>
      <x:c r="G44" s="45" t="n">
        <x:f>'Raw Spread'!H39/'Raw Spread'!$D$3</x:f>
        <x:v>22.766</x:v>
      </x:c>
      <x:c r="H44" s="1"/>
    </x:row>
    <x:row r="45" ht="21" customHeight="1">
      <x:c r="A45" s="1"/>
      <x:c r="B45" s="1"/>
      <x:c r="C45" s="1" t="str">
        <x:v>Accrued expenses</x:v>
      </x:c>
      <x:c r="D45" s="45" t="n">
        <x:f>'Raw Spread'!D40/'Raw Spread'!$D$3</x:f>
        <x:v>358.414</x:v>
      </x:c>
      <x:c r="E45" s="45" t="n">
        <x:f>'Raw Spread'!E40/'Raw Spread'!$D$3</x:f>
        <x:v>356.337</x:v>
      </x:c>
      <x:c r="F45" s="45" t="n">
        <x:f>'Raw Spread'!F40/'Raw Spread'!$D$3</x:f>
        <x:v>370.093</x:v>
      </x:c>
      <x:c r="G45" s="45" t="n">
        <x:f>'Raw Spread'!H40/'Raw Spread'!$D$3</x:f>
        <x:v>447.291</x:v>
      </x:c>
      <x:c r="H45" s="1"/>
    </x:row>
    <x:row r="46" ht="21" customHeight="1">
      <x:c r="A46" s="1"/>
      <x:c r="B46" s="1"/>
      <x:c r="C46" s="52" t="str">
        <x:v>Current liabilities</x:v>
      </x:c>
      <x:c r="D46" s="57" t="n">
        <x:f>SUM(D38,D42:D45)</x:f>
        <x:v>1384.475</x:v>
      </x:c>
      <x:c r="E46" s="57" t="n">
        <x:f>SUM(E38,E42:E45)</x:f>
        <x:v>1455.2749999999999</x:v>
      </x:c>
      <x:c r="F46" s="57" t="n">
        <x:f>SUM(F38,F42:F45)</x:f>
        <x:v>1711.9720000000002</x:v>
      </x:c>
      <x:c r="G46" s="57" t="n">
        <x:f>SUM(G38,G42:G45)</x:f>
        <x:v>2122.8500000000004</x:v>
      </x:c>
      <x:c r="H46" s="1"/>
    </x:row>
    <x:row r="47" ht="21" customHeight="1">
      <x:c r="A47" s="1"/>
      <x:c r="B47" s="1"/>
      <x:c r="C47" s="1" t="str">
        <x:v>Pension and severance</x:v>
      </x:c>
      <x:c r="D47" s="45" t="n">
        <x:f>'Raw Spread'!D43/'Raw Spread'!$D$3</x:f>
        <x:v>87.133</x:v>
      </x:c>
      <x:c r="E47" s="45" t="n">
        <x:f>'Raw Spread'!E43/'Raw Spread'!$D$3</x:f>
        <x:v>70.594</x:v>
      </x:c>
      <x:c r="F47" s="45" t="n">
        <x:f>'Raw Spread'!F43/'Raw Spread'!$D$3</x:f>
        <x:v>69.218</x:v>
      </x:c>
      <x:c r="G47" s="45" t="n">
        <x:f>'Raw Spread'!H43/'Raw Spread'!$D$3</x:f>
        <x:v>68.127</x:v>
      </x:c>
      <x:c r="H47" s="1"/>
    </x:row>
    <x:row r="48" ht="21" customHeight="1">
      <x:c r="A48" s="1"/>
      <x:c r="B48" s="1"/>
      <x:c r="C48" s="1" t="str">
        <x:v>Long-term operating leases</x:v>
      </x:c>
      <x:c r="D48" s="45" t="n">
        <x:f>'Raw Spread'!D44/'Raw Spread'!$D$3</x:f>
        <x:v>56.837</x:v>
      </x:c>
      <x:c r="E48" s="45" t="n">
        <x:f>'Raw Spread'!E44/'Raw Spread'!$D$3</x:f>
        <x:v>57.983</x:v>
      </x:c>
      <x:c r="F48" s="45" t="n">
        <x:f>'Raw Spread'!F44/'Raw Spread'!$D$3</x:f>
        <x:v>48.549</x:v>
      </x:c>
      <x:c r="G48" s="45" t="n">
        <x:f>'Raw Spread'!H44/'Raw Spread'!$D$3</x:f>
        <x:v>38.943</x:v>
      </x:c>
      <x:c r="H48" s="1"/>
    </x:row>
    <x:row r="49" ht="21" customHeight="1">
      <x:c r="A49" s="1"/>
      <x:c r="B49" s="1"/>
      <x:c r="C49" s="1" t="str">
        <x:v>Other non-current liabilities</x:v>
      </x:c>
      <x:c r="D49" s="45" t="n">
        <x:f>'Raw Spread'!D45/'Raw Spread'!$D$3</x:f>
        <x:v>175.813</x:v>
      </x:c>
      <x:c r="E49" s="45" t="n">
        <x:f>'Raw Spread'!E45/'Raw Spread'!$D$3</x:f>
        <x:v>253.88</x:v>
      </x:c>
      <x:c r="F49" s="45" t="n">
        <x:f>'Raw Spread'!F45/'Raw Spread'!$D$3</x:f>
        <x:v>517.467</x:v>
      </x:c>
      <x:c r="G49" s="45" t="n">
        <x:f>'Raw Spread'!H45/'Raw Spread'!$D$3</x:f>
        <x:v>464.416</x:v>
      </x:c>
      <x:c r="H49" s="1"/>
    </x:row>
    <x:row r="50" ht="21" customHeight="1">
      <x:c r="A50" s="1"/>
      <x:c r="B50" s="1"/>
      <x:c r="C50" s="52" t="str">
        <x:v>Total liabilities</x:v>
      </x:c>
      <x:c r="D50" s="57" t="n">
        <x:f>SUM(D39,D46:D49)</x:f>
        <x:v>2776.09</x:v>
      </x:c>
      <x:c r="E50" s="57" t="n">
        <x:f>SUM(E39,E46:E49)</x:f>
        <x:v>2761.163</x:v>
      </x:c>
      <x:c r="F50" s="57" t="n">
        <x:f>SUM(F39,F46:F49)</x:f>
        <x:v>3630.022</x:v>
      </x:c>
      <x:c r="G50" s="57" t="n">
        <x:f>SUM(G39,G46:G49)</x:f>
        <x:v>5029.286</x:v>
      </x:c>
      <x:c r="H50" s="1"/>
    </x:row>
    <x:row r="51" ht="21" customHeight="1">
      <x:c r="A51" s="1"/>
      <x:c r="B51" s="1"/>
      <x:c r="C51" s="1" t="str">
        <x:v>Amkor stockholders’ equity</x:v>
      </x:c>
      <x:c r="D51" s="45" t="n">
        <x:f>'Raw Spread'!D47/'Raw Spread'!$D$3</x:f>
        <x:v>3962.308</x:v>
      </x:c>
      <x:c r="E51" s="45" t="n">
        <x:f>'Raw Spread'!E47/'Raw Spread'!$D$3</x:f>
        <x:v>4149.545</x:v>
      </x:c>
      <x:c r="F51" s="45" t="n">
        <x:f>'Raw Spread'!F47/'Raw Spread'!$D$3</x:f>
        <x:v>4471.106</x:v>
      </x:c>
      <x:c r="G51" s="45" t="n">
        <x:f>'Raw Spread'!H47/'Raw Spread'!$D$3</x:f>
        <x:v>4650.412</x:v>
      </x:c>
      <x:c r="H51" s="1"/>
    </x:row>
    <x:row r="52" ht="21" customHeight="1">
      <x:c r="A52" s="1"/>
      <x:c r="B52" s="1"/>
      <x:c r="C52" s="1" t="str">
        <x:v>Noncontrolling interests in equity</x:v>
      </x:c>
      <x:c r="D52" s="45" t="n">
        <x:f>'Raw Spread'!D48/'Raw Spread'!$D$3</x:f>
        <x:v>32.727</x:v>
      </x:c>
      <x:c r="E52" s="45" t="n">
        <x:f>'Raw Spread'!E48/'Raw Spread'!$D$3</x:f>
        <x:v>33.62</x:v>
      </x:c>
      <x:c r="F52" s="45" t="n">
        <x:f>'Raw Spread'!F48/'Raw Spread'!$D$3</x:f>
        <x:v>35.181</x:v>
      </x:c>
      <x:c r="G52" s="45" t="n">
        <x:f>'Raw Spread'!H48/'Raw Spread'!$D$3</x:f>
        <x:v>36.416</x:v>
      </x:c>
      <x:c r="H52" s="1"/>
    </x:row>
    <x:row r="53" ht="21" customHeight="1">
      <x:c r="A53" s="1"/>
      <x:c r="B53" s="1"/>
      <x:c r="C53" s="52" t="str">
        <x:v>Total equity</x:v>
      </x:c>
      <x:c r="D53" s="57" t="n">
        <x:f>SUM(D51:D52)</x:f>
        <x:v>3995.035</x:v>
      </x:c>
      <x:c r="E53" s="57" t="n">
        <x:f>SUM(E51:E52)</x:f>
        <x:v>4183.165</x:v>
      </x:c>
      <x:c r="F53" s="57" t="n">
        <x:f>SUM(F51:F52)</x:f>
        <x:v>4506.286999999999</x:v>
      </x:c>
      <x:c r="G53" s="57" t="n">
        <x:f>SUM(G51:G52)</x:f>
        <x:v>4686.828</x:v>
      </x:c>
      <x:c r="H53" s="1"/>
    </x:row>
    <x:row r="54" ht="21" customHeight="1">
      <x:c r="A54" s="1"/>
      <x:c r="B54" s="1"/>
      <x:c r="C54" s="52" t="str">
        <x:v>Total liabilities and equity</x:v>
      </x:c>
      <x:c r="D54" s="57" t="n">
        <x:f>D50+D53</x:f>
        <x:v>6771.125</x:v>
      </x:c>
      <x:c r="E54" s="57" t="n">
        <x:f>E50+E53</x:f>
        <x:v>6944.3279999999995</x:v>
      </x:c>
      <x:c r="F54" s="57" t="n">
        <x:f>F50+F53</x:f>
        <x:v>8136.308999999999</x:v>
      </x:c>
      <x:c r="G54" s="57" t="n">
        <x:f>G50+G53</x:f>
        <x:v>9716.114000000001</x:v>
      </x:c>
      <x:c r="H54" s="1"/>
    </x:row>
    <x:row r="55" ht="21" customHeight="1">
      <x:c r="A55" s="1"/>
      <x:c r="B55" s="1"/>
      <x:c r="C55" s="1"/>
      <x:c r="D55" s="3"/>
      <x:c r="E55" s="3"/>
      <x:c r="F55" s="3"/>
      <x:c r="G55" s="3"/>
      <x:c r="H55" s="1"/>
    </x:row>
    <x:row r="56" ht="25" customHeight="1">
      <x:c r="A56" s="1"/>
      <x:c r="B56" s="1"/>
      <x:c r="C56" s="15" t="str">
        <x:v>CONDENSED CASH FLOW</x:v>
      </x:c>
      <x:c r="D56" s="16"/>
      <x:c r="E56" s="16"/>
      <x:c r="F56" s="16"/>
      <x:c r="G56" s="16"/>
      <x:c r="H56" s="15"/>
    </x:row>
    <x:row r="57" ht="21" customHeight="1">
      <x:c r="A57" s="1"/>
      <x:c r="B57" s="1"/>
      <x:c r="C57" s="1" t="str">
        <x:v>Consolidated net income</x:v>
      </x:c>
      <x:c r="D57" s="45" t="n">
        <x:f>'Raw Spread'!D53/'Raw Spread'!$D$3</x:f>
        <x:v>362.131</x:v>
      </x:c>
      <x:c r="E57" s="45" t="n">
        <x:f>'Raw Spread'!E53/'Raw Spread'!$D$3</x:f>
        <x:v>355.535</x:v>
      </x:c>
      <x:c r="F57" s="45" t="n">
        <x:f>'Raw Spread'!F53/'Raw Spread'!$D$3</x:f>
        <x:v>376.116</x:v>
      </x:c>
      <x:c r="G57" s="45" t="n">
        <x:f>('Raw Spread'!F53+'Raw Spread'!H53-'Raw Spread'!G53)/'Raw Spread'!$D$3</x:f>
        <x:v>558.046</x:v>
      </x:c>
      <x:c r="H57" s="1"/>
    </x:row>
    <x:row r="58" ht="21" customHeight="1">
      <x:c r="A58" s="1"/>
      <x:c r="B58" s="1"/>
      <x:c r="C58" s="1" t="str">
        <x:v>Depreciation and amortization</x:v>
      </x:c>
      <x:c r="D58" s="45" t="n">
        <x:f>'Raw Spread'!D54/'Raw Spread'!$D$3</x:f>
        <x:v>631.508</x:v>
      </x:c>
      <x:c r="E58" s="45" t="n">
        <x:f>'Raw Spread'!E54/'Raw Spread'!$D$3</x:f>
        <x:v>594.663</x:v>
      </x:c>
      <x:c r="F58" s="45" t="n">
        <x:f>'Raw Spread'!F54/'Raw Spread'!$D$3</x:f>
        <x:v>642.008</x:v>
      </x:c>
      <x:c r="G58" s="45" t="n">
        <x:f>('Raw Spread'!F54+'Raw Spread'!H54-'Raw Spread'!G54)/'Raw Spread'!$D$3</x:f>
        <x:v>679.898</x:v>
      </x:c>
      <x:c r="H58" s="1"/>
    </x:row>
    <x:row r="59" ht="21" customHeight="1">
      <x:c r="A59" s="1"/>
      <x:c r="B59" s="1"/>
      <x:c r="C59" s="1" t="str">
        <x:v>Other operating adjustments (residual)</x:v>
      </x:c>
      <x:c r="D59" s="46" t="n">
        <x:f>D60-SUM(D57:D58)</x:f>
        <x:v>276.381</x:v>
      </x:c>
      <x:c r="E59" s="46" t="n">
        <x:f>E60-SUM(E57:E58)</x:f>
        <x:v>138.66999999999985</x:v>
      </x:c>
      <x:c r="F59" s="46" t="n">
        <x:f>F60-SUM(F57:F58)</x:f>
        <x:v>77.48199999999997</x:v>
      </x:c>
      <x:c r="G59" s="46" t="n">
        <x:f>G60-SUM(G57:G58)</x:f>
        <x:v>-43.37699999999995</x:v>
      </x:c>
      <x:c r="H59" s="1"/>
    </x:row>
    <x:row r="60" ht="21" customHeight="1">
      <x:c r="A60" s="1"/>
      <x:c r="B60" s="1"/>
      <x:c r="C60" s="52" t="str">
        <x:v>Reported operating cash flow</x:v>
      </x:c>
      <x:c r="D60" s="53" t="n">
        <x:f>'Raw Spread'!D55/'Raw Spread'!$D$3</x:f>
        <x:v>1270.02</x:v>
      </x:c>
      <x:c r="E60" s="53" t="n">
        <x:f>'Raw Spread'!E55/'Raw Spread'!$D$3</x:f>
        <x:v>1088.868</x:v>
      </x:c>
      <x:c r="F60" s="53" t="n">
        <x:f>'Raw Spread'!F55/'Raw Spread'!$D$3</x:f>
        <x:v>1095.606</x:v>
      </x:c>
      <x:c r="G60" s="53" t="n">
        <x:f>('Raw Spread'!F55+'Raw Spread'!H55-'Raw Spread'!G55)/'Raw Spread'!$D$3</x:f>
        <x:v>1194.567</x:v>
      </x:c>
      <x:c r="H60" s="1"/>
    </x:row>
    <x:row r="61" ht="21" customHeight="1">
      <x:c r="A61" s="1"/>
      <x:c r="B61" s="1"/>
      <x:c r="C61" s="1" t="str">
        <x:v>Cash capital expenditures (outflow)</x:v>
      </x:c>
      <x:c r="D61" s="45" t="n">
        <x:f>'Raw Spread'!D56/'Raw Spread'!$D$3</x:f>
        <x:v>749.467</x:v>
      </x:c>
      <x:c r="E61" s="45" t="n">
        <x:f>'Raw Spread'!E56/'Raw Spread'!$D$3</x:f>
        <x:v>743.796</x:v>
      </x:c>
      <x:c r="F61" s="45" t="n">
        <x:f>'Raw Spread'!F56/'Raw Spread'!$D$3</x:f>
        <x:v>904.614</x:v>
      </x:c>
      <x:c r="G61" s="45" t="n">
        <x:f>('Raw Spread'!F56+'Raw Spread'!H56-'Raw Spread'!G56)/'Raw Spread'!$D$3</x:f>
        <x:v>1366.953</x:v>
      </x:c>
      <x:c r="H61" s="1"/>
    </x:row>
    <x:row r="62" ht="21" customHeight="1">
      <x:c r="A62" s="1"/>
      <x:c r="B62" s="1"/>
      <x:c r="C62" s="52" t="str">
        <x:v>Simple FCF = reported CFO − cash capex</x:v>
      </x:c>
      <x:c r="D62" s="57" t="n">
        <x:f>D60-D61</x:f>
        <x:v>520.553</x:v>
      </x:c>
      <x:c r="E62" s="57" t="n">
        <x:f>E60-E61</x:f>
        <x:v>345.0719999999999</x:v>
      </x:c>
      <x:c r="F62" s="57" t="n">
        <x:f>F60-F61</x:f>
        <x:v>190.99199999999996</x:v>
      </x:c>
      <x:c r="G62" s="57" t="n">
        <x:f>G60-G61</x:f>
        <x:v>-172.38599999999997</x:v>
      </x:c>
      <x:c r="H62" s="1"/>
    </x:row>
    <x:row r="63" ht="21" customHeight="1">
      <x:c r="A63" s="1"/>
      <x:c r="B63" s="1"/>
      <x:c r="C63" s="1" t="str">
        <x:v>Other investing cash flows (residual)</x:v>
      </x:c>
      <x:c r="D63" s="46" t="n">
        <x:f>D64+D61</x:f>
        <x:v>-202.44299999999998</x:v>
      </x:c>
      <x:c r="E63" s="46" t="n">
        <x:f>E64+E61</x:f>
        <x:v>-56.527999999999906</x:v>
      </x:c>
      <x:c r="F63" s="46" t="n">
        <x:f>F64+F61</x:f>
        <x:v>19.57000000000005</x:v>
      </x:c>
      <x:c r="G63" s="46" t="n">
        <x:f>G64+G61</x:f>
        <x:v>-320.00400000000013</x:v>
      </x:c>
      <x:c r="H63" s="1"/>
    </x:row>
    <x:row r="64" ht="21" customHeight="1">
      <x:c r="A64" s="1"/>
      <x:c r="B64" s="1"/>
      <x:c r="C64" s="1" t="str">
        <x:v>Reported investing cash flow</x:v>
      </x:c>
      <x:c r="D64" s="45" t="n">
        <x:f>'Raw Spread'!D57/'Raw Spread'!$D$3</x:f>
        <x:v>-951.91</x:v>
      </x:c>
      <x:c r="E64" s="45" t="n">
        <x:f>'Raw Spread'!E57/'Raw Spread'!$D$3</x:f>
        <x:v>-800.324</x:v>
      </x:c>
      <x:c r="F64" s="45" t="n">
        <x:f>'Raw Spread'!F57/'Raw Spread'!$D$3</x:f>
        <x:v>-885.044</x:v>
      </x:c>
      <x:c r="G64" s="45" t="n">
        <x:f>('Raw Spread'!F57+'Raw Spread'!H57-'Raw Spread'!G57)/'Raw Spread'!$D$3</x:f>
        <x:v>-1686.957</x:v>
      </x:c>
      <x:c r="H64" s="1"/>
    </x:row>
    <x:row r="65" ht="21" customHeight="1">
      <x:c r="A65" s="1"/>
      <x:c r="B65" s="1"/>
      <x:c r="C65" s="1" t="str">
        <x:v>Reported financing cash flow</x:v>
      </x:c>
      <x:c r="D65" s="45" t="n">
        <x:f>'Raw Spread'!D58/'Raw Spread'!$D$3</x:f>
        <x:v>-149.207</x:v>
      </x:c>
      <x:c r="E65" s="45" t="n">
        <x:f>'Raw Spread'!E58/'Raw Spread'!$D$3</x:f>
        <x:v>-260.432</x:v>
      </x:c>
      <x:c r="F65" s="45" t="n">
        <x:f>'Raw Spread'!F58/'Raw Spread'!$D$3</x:f>
        <x:v>98.7</x:v>
      </x:c>
      <x:c r="G65" s="45" t="n">
        <x:f>('Raw Spread'!F58+'Raw Spread'!H58-'Raw Spread'!G58)/'Raw Spread'!$D$3</x:f>
        <x:v>712.673</x:v>
      </x:c>
      <x:c r="H65" s="1"/>
    </x:row>
    <x:row r="66" ht="21" customHeight="1">
      <x:c r="A66" s="1"/>
      <x:c r="B66" s="1"/>
      <x:c r="C66" s="1" t="str">
        <x:v>FX effect on cash</x:v>
      </x:c>
      <x:c r="D66" s="45" t="n">
        <x:f>'Raw Spread'!D59/'Raw Spread'!$D$3</x:f>
        <x:v>-10.692</x:v>
      </x:c>
      <x:c r="E66" s="45" t="n">
        <x:f>'Raw Spread'!E59/'Raw Spread'!$D$3</x:f>
        <x:v>-14.417</x:v>
      </x:c>
      <x:c r="F66" s="45" t="n">
        <x:f>'Raw Spread'!F59/'Raw Spread'!$D$3</x:f>
        <x:v>2.549</x:v>
      </x:c>
      <x:c r="G66" s="45" t="n">
        <x:f>('Raw Spread'!F59+'Raw Spread'!H59-'Raw Spread'!G59)/'Raw Spread'!$D$3</x:f>
        <x:v>-8.077</x:v>
      </x:c>
      <x:c r="H66" s="1"/>
    </x:row>
    <x:row r="67" ht="21" customHeight="1">
      <x:c r="A67" s="1"/>
      <x:c r="B67" s="1"/>
      <x:c r="C67" s="52" t="str">
        <x:v>Change in cash incl. restricted</x:v>
      </x:c>
      <x:c r="D67" s="57" t="n">
        <x:f>SUM(D60,D64:D66)</x:f>
        <x:v>158.211</x:v>
      </x:c>
      <x:c r="E67" s="57" t="n">
        <x:f>SUM(E60,E64:E66)</x:f>
        <x:v>13.695000000000164</x:v>
      </x:c>
      <x:c r="F67" s="57" t="n">
        <x:f>SUM(F60,F64:F66)</x:f>
        <x:v>311.81100000000004</x:v>
      </x:c>
      <x:c r="G67" s="57" t="n">
        <x:f>SUM(G60,G64:G66)</x:f>
        <x:v>212.2059999999999</x:v>
      </x:c>
      <x:c r="H67" s="1"/>
    </x:row>
    <x:row r="68" ht="21" customHeight="1">
      <x:c r="A68" s="1"/>
      <x:c r="B68" s="1"/>
      <x:c r="C68" s="1" t="str">
        <x:v>Opening cash incl. restricted</x:v>
      </x:c>
      <x:c r="D68" s="45" t="n">
        <x:f>'Raw Spread'!D61/'Raw Spread'!$D$3</x:f>
        <x:v>962.406</x:v>
      </x:c>
      <x:c r="E68" s="45" t="n">
        <x:f>'Raw Spread'!E61/'Raw Spread'!$D$3</x:f>
        <x:v>1120.617</x:v>
      </x:c>
      <x:c r="F68" s="45" t="n">
        <x:f>'Raw Spread'!F61/'Raw Spread'!$D$3</x:f>
        <x:v>1134.312</x:v>
      </x:c>
      <x:c r="G68" s="45" t="n">
        <x:f>'Raw Spread'!G62/'Raw Spread'!$D$3</x:f>
        <x:v>1528.139</x:v>
      </x:c>
      <x:c r="H68" s="1"/>
    </x:row>
    <x:row r="69" ht="21" customHeight="1">
      <x:c r="A69" s="1"/>
      <x:c r="B69" s="1"/>
      <x:c r="C69" s="52" t="str">
        <x:v>Closing cash incl. restricted</x:v>
      </x:c>
      <x:c r="D69" s="53" t="n">
        <x:f>'Raw Spread'!D62/'Raw Spread'!$D$3</x:f>
        <x:v>1120.617</x:v>
      </x:c>
      <x:c r="E69" s="53" t="n">
        <x:f>'Raw Spread'!E62/'Raw Spread'!$D$3</x:f>
        <x:v>1134.312</x:v>
      </x:c>
      <x:c r="F69" s="53" t="n">
        <x:f>'Raw Spread'!F62/'Raw Spread'!$D$3</x:f>
        <x:v>1446.123</x:v>
      </x:c>
      <x:c r="G69" s="53" t="n">
        <x:f>'Raw Spread'!H62/'Raw Spread'!$D$3</x:f>
        <x:v>1740.345</x:v>
      </x:c>
      <x:c r="H69" s="1"/>
    </x:row>
    <x:row r="70" ht="21" customHeight="1">
      <x:c r="A70" s="1"/>
      <x:c r="B70" s="1"/>
      <x:c r="C70" s="1" t="str">
        <x:v>Cash paid for interest</x:v>
      </x:c>
      <x:c r="D70" s="45" t="n">
        <x:f>'Raw Spread'!D63/'Raw Spread'!$D$3</x:f>
        <x:v>54.306</x:v>
      </x:c>
      <x:c r="E70" s="45" t="n">
        <x:f>'Raw Spread'!E63/'Raw Spread'!$D$3</x:f>
        <x:v>60.263</x:v>
      </x:c>
      <x:c r="F70" s="45" t="n">
        <x:f>'Raw Spread'!F63/'Raw Spread'!$D$3</x:f>
        <x:v>73.598</x:v>
      </x:c>
      <x:c r="G70" s="3" t="str">
        <x:v>n.a.</x:v>
      </x:c>
      <x:c r="H70" s="1"/>
    </x:row>
    <x:row r="71" ht="21" customHeight="1">
      <x:c r="A71" s="1"/>
      <x:c r="B71" s="1"/>
      <x:c r="C71" s="1" t="str">
        <x:v>Long-term debt repayments</x:v>
      </x:c>
      <x:c r="D71" s="45" t="n">
        <x:f>'Raw Spread'!D64/'Raw Spread'!$D$3</x:f>
        <x:v>175.427</x:v>
      </x:c>
      <x:c r="E71" s="45" t="n">
        <x:f>'Raw Spread'!E64/'Raw Spread'!$D$3</x:f>
        <x:v>177.214</x:v>
      </x:c>
      <x:c r="F71" s="45" t="n">
        <x:f>'Raw Spread'!F64/'Raw Spread'!$D$3</x:f>
        <x:v>809.531</x:v>
      </x:c>
      <x:c r="G71" s="45" t="n">
        <x:f>('Raw Spread'!F64+'Raw Spread'!H64-'Raw Spread'!G64)/'Raw Spread'!$D$3</x:f>
        <x:v>777.633</x:v>
      </x:c>
      <x:c r="H71" s="1"/>
    </x:row>
    <x:row r="72" ht="21" customHeight="1">
      <x:c r="A72" s="1"/>
      <x:c r="B72" s="1"/>
      <x:c r="C72" s="1" t="str">
        <x:v>Short-term debt repayments</x:v>
      </x:c>
      <x:c r="D72" s="45" t="n">
        <x:f>'Raw Spread'!D65/'Raw Spread'!$D$3</x:f>
        <x:v>19.448</x:v>
      </x:c>
      <x:c r="E72" s="45" t="n">
        <x:f>'Raw Spread'!E65/'Raw Spread'!$D$3</x:f>
        <x:v>9.731</x:v>
      </x:c>
      <x:c r="F72" s="45" t="n">
        <x:f>'Raw Spread'!F65/'Raw Spread'!$D$3</x:f>
        <x:v>0</x:v>
      </x:c>
      <x:c r="G72" s="45" t="n">
        <x:f>('Raw Spread'!F65+'Raw Spread'!H65-'Raw Spread'!G65)/'Raw Spread'!$D$3</x:f>
        <x:v>0</x:v>
      </x:c>
      <x:c r="H72" s="1"/>
    </x:row>
    <x:row r="73" ht="21" customHeight="1">
      <x:c r="A73" s="1"/>
      <x:c r="B73" s="1"/>
      <x:c r="C73" s="1" t="str">
        <x:v>Revolver repayments</x:v>
      </x:c>
      <x:c r="D73" s="45" t="n">
        <x:f>'Raw Spread'!D66/'Raw Spread'!$D$3</x:f>
        <x:v>370</x:v>
      </x:c>
      <x:c r="E73" s="45" t="n">
        <x:f>'Raw Spread'!E66/'Raw Spread'!$D$3</x:f>
        <x:v>0</x:v>
      </x:c>
      <x:c r="F73" s="45" t="n">
        <x:f>'Raw Spread'!F66/'Raw Spread'!$D$3</x:f>
        <x:v>0</x:v>
      </x:c>
      <x:c r="G73" s="45" t="n">
        <x:f>('Raw Spread'!F66+'Raw Spread'!H66-'Raw Spread'!G66)/'Raw Spread'!$D$3</x:f>
        <x:v>0</x:v>
      </x:c>
      <x:c r="H73" s="1"/>
    </x:row>
    <x:row r="74" ht="21" customHeight="1">
      <x:c r="A74" s="1"/>
      <x:c r="B74" s="1"/>
      <x:c r="C74" s="1" t="str">
        <x:v>Finance lease principal repayments</x:v>
      </x:c>
      <x:c r="D74" s="45" t="n">
        <x:f>'Raw Spread'!D67/'Raw Spread'!$D$3</x:f>
        <x:v>66.398</x:v>
      </x:c>
      <x:c r="E74" s="45" t="n">
        <x:f>'Raw Spread'!E67/'Raw Spread'!$D$3</x:f>
        <x:v>72.255</x:v>
      </x:c>
      <x:c r="F74" s="45" t="n">
        <x:f>'Raw Spread'!F67/'Raw Spread'!$D$3</x:f>
        <x:v>89.942</x:v>
      </x:c>
      <x:c r="G74" s="45" t="n">
        <x:f>('Raw Spread'!F67+'Raw Spread'!H67-'Raw Spread'!G67)/'Raw Spread'!$D$3</x:f>
        <x:v>84.669</x:v>
      </x:c>
      <x:c r="H74" s="1"/>
    </x:row>
    <x:row r="75" ht="21" customHeight="1">
      <x:c r="A75" s="1"/>
      <x:c r="B75" s="1"/>
      <x:c r="C75" s="1" t="str">
        <x:v>Cash dividends</x:v>
      </x:c>
      <x:c r="D75" s="45" t="n">
        <x:f>'Raw Spread'!D68/'Raw Spread'!$D$3</x:f>
        <x:v>74.686</x:v>
      </x:c>
      <x:c r="E75" s="45" t="n">
        <x:f>'Raw Spread'!E68/'Raw Spread'!$D$3</x:f>
        <x:v>178.605</x:v>
      </x:c>
      <x:c r="F75" s="45" t="n">
        <x:f>'Raw Spread'!F68/'Raw Spread'!$D$3</x:f>
        <x:v>81.946</x:v>
      </x:c>
      <x:c r="G75" s="45" t="n">
        <x:f>('Raw Spread'!F68+'Raw Spread'!H68-'Raw Spread'!G68)/'Raw Spread'!$D$3</x:f>
        <x:v>82.489</x:v>
      </x:c>
      <x:c r="H75" s="1"/>
    </x:row>
    <x:row r="76" ht="21" customHeight="1">
      <x:c r="A76" s="1"/>
      <x:c r="B76" s="1"/>
      <x:c r="C76" s="1"/>
      <x:c r="D76" s="3"/>
      <x:c r="E76" s="3"/>
      <x:c r="F76" s="3"/>
      <x:c r="G76" s="3"/>
      <x:c r="H76" s="1"/>
    </x:row>
    <x:row r="77" ht="25" customHeight="1">
      <x:c r="A77" s="1"/>
      <x:c r="B77" s="1"/>
      <x:c r="C77" s="15" t="str">
        <x:v>CREDIT RATIOS &amp; HISTORICAL CALIBRATION</x:v>
      </x:c>
      <x:c r="D77" s="16"/>
      <x:c r="E77" s="16"/>
      <x:c r="F77" s="16"/>
      <x:c r="G77" s="16"/>
      <x:c r="H77" s="15"/>
    </x:row>
    <x:row r="78" ht="21" customHeight="1">
      <x:c r="A78" s="1"/>
      <x:c r="B78" s="1"/>
      <x:c r="C78" s="62" t="str">
        <x:v>Revenue growth (latest: H1 YoY)</x:v>
      </x:c>
      <x:c r="D78" s="66" t="str">
        <x:v>n.a.</x:v>
      </x:c>
      <x:c r="E78" s="67" t="n">
        <x:f>E7/D7-1</x:f>
        <x:v>-0.028505481645962227</x:v>
      </x:c>
      <x:c r="F78" s="67" t="n">
        <x:f>F7/E7-1</x:f>
        <x:v>0.06177714899681708</x:v>
      </x:c>
      <x:c r="G78" s="68" t="n">
        <x:f>'Raw Spread'!H7/'Raw Spread'!G7-1</x:f>
        <x:v>0.26463386266059574</x:v>
      </x:c>
      <x:c r="H78" s="1"/>
    </x:row>
    <x:row r="79" ht="21" customHeight="1">
      <x:c r="A79" s="1"/>
      <x:c r="B79" s="1"/>
      <x:c r="C79" s="62" t="str">
        <x:v>EBIT margin</x:v>
      </x:c>
      <x:c r="D79" s="67" t="n">
        <x:f>D13/D7</x:f>
        <x:v>0.07231774555536495</x:v>
      </x:c>
      <x:c r="E79" s="67" t="n">
        <x:f>E13/E7</x:f>
        <x:v>0.06940113573121331</x:v>
      </x:c>
      <x:c r="F79" s="67" t="n">
        <x:f>F13/F7</x:f>
        <x:v>0.06967595763911677</x:v>
      </x:c>
      <x:c r="G79" s="67" t="n">
        <x:f>G13/G7</x:f>
        <x:v>0.08635876036515377</x:v>
      </x:c>
      <x:c r="H79" s="1"/>
    </x:row>
    <x:row r="80" ht="21" customHeight="1">
      <x:c r="A80" s="1"/>
      <x:c r="B80" s="1"/>
      <x:c r="C80" s="62" t="str">
        <x:v>EBITDA proxy margin</x:v>
      </x:c>
      <x:c r="D80" s="67" t="n">
        <x:f>D22/D7</x:f>
        <x:v>0.16942703171504506</x:v>
      </x:c>
      <x:c r="E80" s="67" t="n">
        <x:f>E22/E7</x:f>
        <x:v>0.1635277566554369</x:v>
      </x:c>
      <x:c r="F80" s="67" t="n">
        <x:f>F22/F7</x:f>
        <x:v>0.1653840402946878</x:v>
      </x:c>
      <x:c r="G80" s="67" t="n">
        <x:f>G22/G7</x:f>
        <x:v>0.17752625481382953</x:v>
      </x:c>
      <x:c r="H80" s="1"/>
    </x:row>
    <x:row r="81" ht="21" customHeight="1">
      <x:c r="A81" s="1"/>
      <x:c r="B81" s="1"/>
      <x:c r="C81" s="62" t="str">
        <x:v>Gross debt / EBITDA proxy</x:v>
      </x:c>
      <x:c r="D81" s="69" t="n">
        <x:f>D41/D22</x:f>
        <x:v>1.0980127882228552</x:v>
      </x:c>
      <x:c r="E81" s="69" t="n">
        <x:f>E41/E22</x:f>
        <x:v>1.1271335897738686</x:v>
      </x:c>
      <x:c r="F81" s="69" t="n">
        <x:f>F41/F22</x:f>
        <x:v>1.3125835479401797</x:v>
      </x:c>
      <x:c r="G81" s="69" t="n">
        <x:f>G41/G22</x:f>
        <x:v>1.9002087717363554</x:v>
      </x:c>
      <x:c r="H81" s="1"/>
    </x:row>
    <x:row r="82" ht="21" customHeight="1">
      <x:c r="A82" s="1"/>
      <x:c r="B82" s="1"/>
      <x:c r="C82" s="52" t="str">
        <x:v>Net debt = principal − liquid assets</x:v>
      </x:c>
      <x:c r="D82" s="57" t="n">
        <x:f>D41-D27</x:f>
        <x:v>-384.9019999999998</x:v>
      </x:c>
      <x:c r="E82" s="57" t="n">
        <x:f>E41-E27</x:f>
        <x:v>-482.0750000000003</x:v>
      </x:c>
      <x:c r="F82" s="57" t="n">
        <x:f>F41-F27</x:f>
        <x:v>-535.2139999999999</x:v>
      </x:c>
      <x:c r="G82" s="57" t="n">
        <x:f>G41-G27</x:f>
        <x:v>3.588999999999942</x:v>
      </x:c>
      <x:c r="H82" s="1"/>
    </x:row>
    <x:row r="83" ht="21" customHeight="1">
      <x:c r="A83" s="1"/>
      <x:c r="B83" s="1"/>
      <x:c r="C83" s="62" t="str">
        <x:v>Net debt / EBITDA proxy</x:v>
      </x:c>
      <x:c r="D83" s="69" t="n">
        <x:f>D82/D22</x:f>
        <x:v>-0.34934084834293133</x:v>
      </x:c>
      <x:c r="E83" s="69" t="n">
        <x:f>E82/E22</x:f>
        <x:v>-0.46662143143377627</x:v>
      </x:c>
      <x:c r="F83" s="69" t="n">
        <x:f>F82/F22</x:f>
        <x:v>-0.48243859479913775</x:v>
      </x:c>
      <x:c r="G83" s="69" t="n">
        <x:f>G82/G22</x:f>
        <x:v>0.002710860209043609</x:v>
      </x:c>
      <x:c r="H83" s="1"/>
    </x:row>
    <x:row r="84" ht="21" customHeight="1">
      <x:c r="A84" s="1"/>
      <x:c r="B84" s="1"/>
      <x:c r="C84" s="62" t="str">
        <x:v>EBIT / GAAP interest expense</x:v>
      </x:c>
      <x:c r="D84" s="69" t="n">
        <x:f>D13/D14</x:f>
        <x:v>7.970966101694905</x:v>
      </x:c>
      <x:c r="E84" s="69" t="n">
        <x:f>E13/E14</x:f>
        <x:v>6.7511740703672425</x:v>
      </x:c>
      <x:c r="F84" s="69" t="n">
        <x:f>F13/F14</x:f>
        <x:v>6.195124860823924</x:v>
      </x:c>
      <x:c r="G84" s="69" t="n">
        <x:f>G13/G14</x:f>
        <x:v>8.418110997830237</x:v>
      </x:c>
      <x:c r="H84" s="1"/>
    </x:row>
    <x:row r="85" ht="21" customHeight="1">
      <x:c r="A85" s="1"/>
      <x:c r="B85" s="1"/>
      <x:c r="C85" s="62" t="str">
        <x:v>EBITDA / GAAP interest expense</x:v>
      </x:c>
      <x:c r="D85" s="69" t="n">
        <x:f>D22/D14</x:f>
        <x:v>18.67449152542372</x:v>
      </x:c>
      <x:c r="E85" s="69" t="n">
        <x:f>E22/E14</x:f>
        <x:v>15.907583339749026</x:v>
      </x:c>
      <x:c r="F85" s="69" t="n">
        <x:f>F22/F14</x:f>
        <x:v>14.704853931392824</x:v>
      </x:c>
      <x:c r="G85" s="69" t="n">
        <x:f>G22/G14</x:f>
        <x:v>17.3049695448723</x:v>
      </x:c>
      <x:c r="H85" s="1"/>
    </x:row>
    <x:row r="86" ht="21" customHeight="1">
      <x:c r="A86" s="1"/>
      <x:c r="B86" s="1"/>
      <x:c r="C86" s="62" t="str">
        <x:v>Current ratio</x:v>
      </x:c>
      <x:c r="D86" s="69" t="n">
        <x:f>D31/D46</x:f>
        <x:v>2.3083190379024536</x:v>
      </x:c>
      <x:c r="E86" s="69" t="n">
        <x:f>E31/E46</x:f>
        <x:v>2.1119527237120135</x:v>
      </x:c>
      <x:c r="F86" s="69" t="n">
        <x:f>F31/F46</x:f>
        <x:v>2.2691732107768114</x:v>
      </x:c>
      <x:c r="G86" s="69" t="n">
        <x:f>G31/G46</x:f>
        <x:v>2.1709630920696235</x:v>
      </x:c>
      <x:c r="H86" s="1"/>
    </x:row>
    <x:row r="87" ht="21" customHeight="1">
      <x:c r="A87" s="1"/>
      <x:c r="B87" s="1"/>
      <x:c r="C87" s="62" t="str">
        <x:v>Gross debt / total assets</x:v>
      </x:c>
      <x:c r="D87" s="67" t="n">
        <x:f>D41/D37</x:f>
        <x:v>0.1786682419834223</x:v>
      </x:c>
      <x:c r="E87" s="67" t="n">
        <x:f>E41/E37</x:f>
        <x:v>0.16768533974777688</x:v>
      </x:c>
      <x:c r="F87" s="67" t="n">
        <x:f>F41/F37</x:f>
        <x:v>0.1789719392417373</x:v>
      </x:c>
      <x:c r="G87" s="67" t="n">
        <x:f>G41/G37</x:f>
        <x:v>0.25892563631921156</x:v>
      </x:c>
      <x:c r="H87" s="1"/>
    </x:row>
    <x:row r="88" ht="21" customHeight="1">
      <x:c r="A88" s="1"/>
      <x:c r="B88" s="1"/>
      <x:c r="C88" s="62" t="str">
        <x:v>DSO — ending balance / annual sales</x:v>
      </x:c>
      <x:c r="D88" s="71" t="n">
        <x:f>D28/D7*365</x:f>
        <x:v>64.5180303441531</x:v>
      </x:c>
      <x:c r="E88" s="71" t="n">
        <x:f>E28/E7*365</x:f>
        <x:v>60.952598670527145</x:v>
      </x:c>
      <x:c r="F88" s="71" t="n">
        <x:f>F28/F7*365</x:f>
        <x:v>73.71981599232318</x:v>
      </x:c>
      <x:c r="G88" s="71" t="n">
        <x:f>G28/G7*365</x:f>
        <x:v>69.516102192639</x:v>
      </x:c>
      <x:c r="H88" s="1"/>
    </x:row>
    <x:row r="89" ht="21" customHeight="1">
      <x:c r="A89" s="1"/>
      <x:c r="B89" s="1"/>
      <x:c r="C89" s="62" t="str">
        <x:v>DIO — ending inventory / annual COGS</x:v>
      </x:c>
      <x:c r="D89" s="71" t="n">
        <x:f>D29/D8*365</x:f>
        <x:v>25.808271785596606</x:v>
      </x:c>
      <x:c r="E89" s="71" t="n">
        <x:f>E29/E8*365</x:f>
        <x:v>21.075786334056403</x:v>
      </x:c>
      <x:c r="F89" s="71" t="n">
        <x:f>F29/F8*365</x:f>
        <x:v>27.697230829922518</x:v>
      </x:c>
      <x:c r="G89" s="71" t="n">
        <x:f>G29/G8*365</x:f>
        <x:v>32.47905828004366</x:v>
      </x:c>
      <x:c r="H89" s="1"/>
    </x:row>
    <x:row r="90" ht="21" customHeight="1">
      <x:c r="A90" s="1"/>
      <x:c r="B90" s="1"/>
      <x:c r="C90" s="62" t="str">
        <x:v>DPO — ending trade AP / annual COGS</x:v>
      </x:c>
      <x:c r="D90" s="71" t="n">
        <x:f>D42/D8*365</x:f>
        <x:v>49.528723656057856</x:v>
      </x:c>
      <x:c r="E90" s="71" t="n">
        <x:f>E42/E8*365</x:f>
        <x:v>48.32476952277657</x:v>
      </x:c>
      <x:c r="F90" s="71" t="n">
        <x:f>F42/F8*365</x:f>
        <x:v>57.74614854762607</x:v>
      </x:c>
      <x:c r="G90" s="71" t="n">
        <x:f>G42/G8*365</x:f>
        <x:v>51.01626757535662</x:v>
      </x:c>
      <x:c r="H90" s="1"/>
    </x:row>
    <x:row r="91" ht="21" customHeight="1">
      <x:c r="A91" s="1"/>
      <x:c r="B91" s="1"/>
      <x:c r="C91" s="52" t="str">
        <x:v>Operating NWC = AR + inventory − AP</x:v>
      </x:c>
      <x:c r="D91" s="57" t="n">
        <x:f>SUM(D28:D29)-D42</x:f>
        <x:v>788.1679999999999</x:v>
      </x:c>
      <x:c r="E91" s="57" t="n">
        <x:f>SUM(E28:E29)-E42</x:f>
        <x:v>653.0360000000001</x:v>
      </x:c>
      <x:c r="F91" s="57" t="n">
        <x:f>SUM(F28:F29)-F42</x:f>
        <x:v>879.8560000000001</x:v>
      </x:c>
      <x:c r="G91" s="57" t="n">
        <x:f>SUM(G28:G29)-G42</x:f>
        <x:v>1100.348</x:v>
      </x:c>
      <x:c r="H91" s="1"/>
    </x:row>
    <x:row r="92" ht="21" customHeight="1">
      <x:c r="A92" s="1"/>
      <x:c r="B92" s="1"/>
      <x:c r="C92" s="62" t="str">
        <x:v>Simple FCF / revenue</x:v>
      </x:c>
      <x:c r="D92" s="67" t="n">
        <x:f>D62/D7</x:f>
        <x:v>0.08004733152751818</x:v>
      </x:c>
      <x:c r="E92" s="67" t="n">
        <x:f>E62/E7</x:f>
        <x:v>0.05461994665140369</x:v>
      </x:c>
      <x:c r="F92" s="67" t="n">
        <x:f>F62/F7</x:f>
        <x:v>0.028472352560330743</x:v>
      </x:c>
      <x:c r="G92" s="67" t="n">
        <x:f>G62/G7</x:f>
        <x:v>-0.02311523154653994</x:v>
      </x:c>
      <x:c r="H92" s="1"/>
    </x:row>
    <x:row r="93" ht="21" customHeight="1">
      <x:c r="A93" s="1"/>
      <x:c r="B93" s="1"/>
      <x:c r="C93" s="62" t="str">
        <x:v>Cash capex / revenue</x:v>
      </x:c>
      <x:c r="D93" s="67" t="n">
        <x:f>D61/D7</x:f>
        <x:v>0.11524827139202823</x:v>
      </x:c>
      <x:c r="E93" s="67" t="n">
        <x:f>E61/E7</x:f>
        <x:v>0.11773223512637211</x:v>
      </x:c>
      <x:c r="F93" s="67" t="n">
        <x:f>F61/F7</x:f>
        <x:v>0.13485637481680404</x:v>
      </x:c>
      <x:c r="G93" s="67" t="n">
        <x:f>G61/G7</x:f>
        <x:v>0.18329467072869846</x:v>
      </x:c>
      <x:c r="H93" s="1"/>
    </x:row>
    <x:row r="94" ht="21" customHeight="1">
      <x:c r="A94" s="1"/>
      <x:c r="B94" s="1"/>
      <x:c r="C94" s="62" t="str">
        <x:v>Current debt / liquid assets</x:v>
      </x:c>
      <x:c r="D94" s="67" t="n">
        <x:f>D38/D27</x:f>
        <x:v>0.08253908133696455</x:v>
      </x:c>
      <x:c r="E94" s="67" t="n">
        <x:f>E38/E27</x:f>
        <x:v>0.14334873738033216</x:v>
      </x:c>
      <x:c r="F94" s="67" t="n">
        <x:f>F38/F27</x:f>
        <x:v>0.08156634703987427</x:v>
      </x:c>
      <x:c r="G94" s="67" t="n">
        <x:f>G38/G27</x:f>
        <x:v>0.060020412696314966</x:v>
      </x:c>
      <x:c r="H94" s="1"/>
    </x:row>
    <x:row r="95" ht="21" customHeight="1">
      <x:c r="A95" s="1"/>
      <x:c r="B95" s="1"/>
      <x:c r="C95" s="52" t="str">
        <x:v>Gross principal + finance leases</x:v>
      </x:c>
      <x:c r="D95" s="61" t="str">
        <x:v>n.a.</x:v>
      </x:c>
      <x:c r="E95" s="53" t="n">
        <x:f>E41+('Raw Spread'!E75+'Raw Spread'!E76)/'Raw Spread'!$D$3</x:f>
        <x:v>1342.775</x:v>
      </x:c>
      <x:c r="F95" s="53" t="n">
        <x:f>F41+('Raw Spread'!F75+'Raw Spread'!F76)/'Raw Spread'!$D$3</x:f>
        <x:v>1605.217</x:v>
      </x:c>
      <x:c r="G95" s="53" t="n">
        <x:f>G41+('Raw Spread'!H75+'Raw Spread'!H76)/'Raw Spread'!$D$3</x:f>
        <x:v>2642.3500000000004</x:v>
      </x:c>
      <x:c r="H95" s="1"/>
    </x:row>
    <x:row r="96" ht="21" customHeight="1">
      <x:c r="A96" s="1"/>
      <x:c r="B96" s="1"/>
      <x:c r="C96" s="1"/>
      <x:c r="D96" s="3"/>
      <x:c r="E96" s="3"/>
      <x:c r="F96" s="3"/>
      <x:c r="G96" s="3"/>
      <x:c r="H96" s="1"/>
    </x:row>
    <x:row r="97" ht="34" customHeight="1">
      <x:c r="A97" s="1"/>
      <x:c r="B97" s="1"/>
      <x:c r="C97" s="33" t="str">
        <x:v>EBITDA proxy is unadjusted EBIT plus cash-flow D&amp;A; it is not company-adjusted EBITDA or a legal covenant definition. H1 balance sheets are not annualized.</x:v>
      </x:c>
      <x:c r="D97" s="34"/>
      <x:c r="E97" s="34"/>
      <x:c r="F97" s="34"/>
      <x:c r="G97" s="34"/>
      <x:c r="H97" s="33"/>
    </x:row>
    <x:row r="98" ht="21" customHeight="1">
      <x:c r="A98" s="1"/>
      <x:c r="B98" s="1"/>
      <x:c r="C98" s="1"/>
      <x:c r="D98" s="3"/>
      <x:c r="E98" s="3"/>
      <x:c r="F98" s="3"/>
      <x:c r="G98" s="3"/>
      <x:c r="H98" s="1"/>
    </x:row>
    <x:row r="99" ht="36" customHeight="1">
      <x:c r="A99" s="1"/>
      <x:c r="B99" s="1"/>
      <x:c r="C99" s="33" t="str">
        <x:v>LTM flows = 2025 + H1:26 − H1:25. Latest growth is H1 year-over-year growth, not LTM growth. LTM cash roll-forward uses reported June 2025 / June 2026 cash incl. restricted. Interim cash interest paid is unavailable.</x:v>
      </x:c>
      <x:c r="D99" s="34"/>
      <x:c r="E99" s="34"/>
      <x:c r="F99" s="34"/>
      <x:c r="G99" s="34"/>
      <x:c r="H99" s="33"/>
    </x:row>
    <x:row r="100" ht="21" customHeight="1">
      <x:c r="A100" s="1"/>
      <x:c r="B100" s="1"/>
      <x:c r="C100" s="1"/>
      <x:c r="D100" s="3"/>
      <x:c r="E100" s="3"/>
      <x:c r="F100" s="3"/>
      <x:c r="G100" s="3"/>
      <x:c r="H100" s="1"/>
    </x:row>
    <x:row r="101" ht="36" customHeight="1">
      <x:c r="A101" s="1"/>
      <x:c r="B101" s="1"/>
      <x:c r="C101" s="33" t="str">
        <x:v>Simple FCF excludes PP&amp;E sale / grant proceeds; it differs from Amkor’s own non-GAAP FCF. Total debt uses principal for leverage, not debt net of issuance costs. Lease-inclusive debt is shown separately.</x:v>
      </x:c>
      <x:c r="D101" s="34"/>
      <x:c r="E101" s="34"/>
      <x:c r="F101" s="34"/>
      <x:c r="G101" s="34"/>
      <x:c r="H101" s="33"/>
    </x:row>
    <x:row r="102" ht="21" customHeight="1">
      <x:c r="A102" s="1"/>
      <x:c r="B102" s="1"/>
      <x:c r="C102" s="1"/>
      <x:c r="D102" s="3"/>
      <x:c r="E102" s="3"/>
      <x:c r="F102" s="3"/>
      <x:c r="G102" s="3"/>
      <x:c r="H102" s="1"/>
    </x:row>
    <x:row r="103" ht="21" customHeight="1">
      <x:c r="A103" s="1"/>
      <x:c r="B103" s="1"/>
      <x:c r="C103" s="1"/>
      <x:c r="D103" s="3"/>
      <x:c r="E103" s="3"/>
      <x:c r="F103" s="3"/>
      <x:c r="G103" s="3"/>
      <x:c r="H103" s="1"/>
    </x:row>
  </x:sheetData>
  <x:mergeCells>
    <x:mergeCell ref="C1:H2"/>
    <x:mergeCell ref="C3:H3"/>
    <x:mergeCell ref="D4:G4"/>
    <x:mergeCell ref="C6:H6"/>
    <x:mergeCell ref="C24:H24"/>
    <x:mergeCell ref="C56:H56"/>
    <x:mergeCell ref="C77:H77"/>
    <x:mergeCell ref="C97:H97"/>
    <x:mergeCell ref="C99:H99"/>
    <x:mergeCell ref="C101:H10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47D9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5" hidden="0" customWidth="1"/>
  </x:cols>
  <x:sheetData>
    <x:row r="1" ht="21" customHeight="1">
      <x:c r="A1" s="1"/>
      <x:c r="B1" s="1"/>
      <x:c r="C1" s="5" t="str">
        <x:v>REPORTED FINANCIAL SPREAD</x:v>
      </x:c>
      <x:c r="D1" s="5"/>
      <x:c r="E1" s="5"/>
      <x:c r="F1" s="5"/>
      <x:c r="G1" s="5"/>
      <x:c r="H1" s="5"/>
      <x:c r="I1" s="5"/>
      <x:c r="J1" s="5"/>
    </x:row>
    <x:row r="2" ht="21" customHeight="1">
      <x:c r="A2" s="1"/>
      <x:c r="B2" s="1"/>
      <x:c r="C2" s="5"/>
      <x:c r="D2" s="5"/>
      <x:c r="E2" s="5"/>
      <x:c r="F2" s="5"/>
      <x:c r="G2" s="5"/>
      <x:c r="H2" s="5"/>
      <x:c r="I2" s="5"/>
      <x:c r="J2" s="5"/>
    </x:row>
    <x:row r="3" ht="21" customHeight="1">
      <x:c r="A3" s="1"/>
      <x:c r="B3" s="1"/>
      <x:c r="C3" s="6" t="str">
        <x:v>USD thousands → USD millions divisor</x:v>
      </x:c>
      <x:c r="D3" s="10" t="n">
        <x:v>1000</x:v>
      </x:c>
      <x:c r="E3" s="6" t="str">
        <x:v>Source inputs are blue. Blank = not extracted / not needed, not zero.</x:v>
      </x:c>
      <x:c r="F3" s="6"/>
      <x:c r="G3" s="6"/>
      <x:c r="H3" s="6"/>
      <x:c r="I3" s="6"/>
      <x:c r="J3" s="6"/>
    </x:row>
    <x:row r="4" ht="21" customHeight="1">
      <x:c r="A4" s="1"/>
      <x:c r="B4" s="1"/>
      <x:c r="C4" s="1" t="str">
        <x:v>Selected case</x:v>
      </x:c>
      <x:c r="D4" s="7" t="str">
        <x:f>'Assumptions'!$D$7</x:f>
        <x:v>Base</x:v>
      </x:c>
      <x:c r="E4" s="1"/>
      <x:c r="F4" s="1"/>
      <x:c r="G4" s="1"/>
      <x:c r="H4" s="1"/>
      <x:c r="I4" s="1"/>
      <x:c r="J4" s="1"/>
    </x:row>
    <x:row r="5" ht="26" customHeight="1">
      <x:c r="A5" s="1"/>
      <x:c r="B5" s="1"/>
      <x:c r="C5" s="12"/>
      <x:c r="D5" s="13" t="str">
        <x:v>2023A</x:v>
      </x:c>
      <x:c r="E5" s="13" t="str">
        <x:v>2024A</x:v>
      </x:c>
      <x:c r="F5" s="13" t="str">
        <x:v>2025A</x:v>
      </x:c>
      <x:c r="G5" s="13" t="str">
        <x:v>H1:25A</x:v>
      </x:c>
      <x:c r="H5" s="13" t="str">
        <x:v>H1:26A</x:v>
      </x:c>
      <x:c r="I5" s="1"/>
      <x:c r="J5" s="1" t="str">
        <x:v>Source / printed page (see registry below)</x:v>
      </x:c>
    </x:row>
    <x:row r="6" ht="25" customHeight="1">
      <x:c r="A6" s="1"/>
      <x:c r="B6" s="1"/>
      <x:c r="C6" s="15" t="str">
        <x:v>INCOME STATEMENT</x:v>
      </x:c>
      <x:c r="D6" s="16"/>
      <x:c r="E6" s="16"/>
      <x:c r="F6" s="16"/>
      <x:c r="G6" s="16"/>
      <x:c r="H6" s="15"/>
      <x:c r="I6" s="1"/>
      <x:c r="J6" s="1"/>
    </x:row>
    <x:row r="7" ht="21" customHeight="1">
      <x:c r="A7" s="1"/>
      <x:c r="B7" s="1"/>
      <x:c r="C7" s="1" t="str">
        <x:v>Net sales</x:v>
      </x:c>
      <x:c r="D7" s="19" t="n">
        <x:v>6503065</x:v>
      </x:c>
      <x:c r="E7" s="19" t="n">
        <x:v>6317692</x:v>
      </x:c>
      <x:c r="F7" s="19" t="n">
        <x:v>6707981</x:v>
      </x:c>
      <x:c r="G7" s="19" t="n">
        <x:v>2832967</x:v>
      </x:c>
      <x:c r="H7" s="20" t="n">
        <x:v>3582666</x:v>
      </x:c>
      <x:c r="I7" s="1"/>
      <x:c r="J7" s="6" t="str">
        <x:v>S1 p53; interim S3 p3</x:v>
      </x:c>
    </x:row>
    <x:row r="8" ht="21" customHeight="1">
      <x:c r="A8" s="1"/>
      <x:c r="B8" s="1"/>
      <x:c r="C8" s="1" t="str">
        <x:v>Cost of sales</x:v>
      </x:c>
      <x:c r="D8" s="19" t="n">
        <x:v>5559912</x:v>
      </x:c>
      <x:c r="E8" s="19" t="n">
        <x:v>5384480</x:v>
      </x:c>
      <x:c r="F8" s="19" t="n">
        <x:v>5769382</x:v>
      </x:c>
      <x:c r="G8" s="19" t="n">
        <x:v>2493487</x:v>
      </x:c>
      <x:c r="H8" s="20" t="n">
        <x:v>3025044</x:v>
      </x:c>
      <x:c r="I8" s="1"/>
      <x:c r="J8" s="6" t="str">
        <x:v>S1 p53; interim S3 p3</x:v>
      </x:c>
    </x:row>
    <x:row r="9" ht="21" customHeight="1">
      <x:c r="A9" s="1"/>
      <x:c r="B9" s="1"/>
      <x:c r="C9" s="1" t="str">
        <x:v>Gross profit</x:v>
      </x:c>
      <x:c r="D9" s="19" t="n">
        <x:v>943153</x:v>
      </x:c>
      <x:c r="E9" s="19" t="n">
        <x:v>933212</x:v>
      </x:c>
      <x:c r="F9" s="19" t="n">
        <x:v>938599</x:v>
      </x:c>
      <x:c r="G9" s="19" t="n">
        <x:v>339480</x:v>
      </x:c>
      <x:c r="H9" s="20" t="n">
        <x:v>557622</x:v>
      </x:c>
      <x:c r="I9" s="1"/>
      <x:c r="J9" s="6" t="str">
        <x:v>S1 p53; interim S3 p3</x:v>
      </x:c>
    </x:row>
    <x:row r="10" ht="21" customHeight="1">
      <x:c r="A10" s="1"/>
      <x:c r="B10" s="1"/>
      <x:c r="C10" s="1" t="str">
        <x:v>Selling, general and administrative</x:v>
      </x:c>
      <x:c r="D10" s="19" t="n">
        <x:v>295393</x:v>
      </x:c>
      <x:c r="E10" s="19" t="n">
        <x:v>331806</x:v>
      </x:c>
      <x:c r="F10" s="19" t="n">
        <x:v>304471</x:v>
      </x:c>
      <x:c r="G10" s="19" t="n">
        <x:v>128330</x:v>
      </x:c>
      <x:c r="H10" s="20" t="n">
        <x:v>175891</x:v>
      </x:c>
      <x:c r="I10" s="1"/>
      <x:c r="J10" s="6" t="str">
        <x:v>S1 p53; interim S3 p3</x:v>
      </x:c>
    </x:row>
    <x:row r="11" ht="21" customHeight="1">
      <x:c r="A11" s="1"/>
      <x:c r="B11" s="1"/>
      <x:c r="C11" s="1" t="str">
        <x:v>Research and development</x:v>
      </x:c>
      <x:c r="D11" s="19" t="n">
        <x:v>177473</x:v>
      </x:c>
      <x:c r="E11" s="19" t="n">
        <x:v>162951</x:v>
      </x:c>
      <x:c r="F11" s="19" t="n">
        <x:v>166743</x:v>
      </x:c>
      <x:c r="G11" s="19" t="n">
        <x:v>87660</x:v>
      </x:c>
      <x:c r="H11" s="20" t="n">
        <x:v>81590</x:v>
      </x:c>
      <x:c r="I11" s="1"/>
      <x:c r="J11" s="6" t="str">
        <x:v>S1 p53; interim S3 p3</x:v>
      </x:c>
    </x:row>
    <x:row r="12" ht="21" customHeight="1">
      <x:c r="A12" s="1"/>
      <x:c r="B12" s="1"/>
      <x:c r="C12" s="1" t="str">
        <x:v>Total operating expenses</x:v>
      </x:c>
      <x:c r="D12" s="19" t="n">
        <x:v>472866</x:v>
      </x:c>
      <x:c r="E12" s="19" t="n">
        <x:v>494757</x:v>
      </x:c>
      <x:c r="F12" s="19" t="n">
        <x:v>471214</x:v>
      </x:c>
      <x:c r="G12" s="19" t="n">
        <x:v>215990</x:v>
      </x:c>
      <x:c r="H12" s="20" t="n">
        <x:v>257481</x:v>
      </x:c>
      <x:c r="I12" s="1"/>
      <x:c r="J12" s="6" t="str">
        <x:v>S1 p53; interim S3 p3</x:v>
      </x:c>
    </x:row>
    <x:row r="13" ht="21" customHeight="1">
      <x:c r="A13" s="1"/>
      <x:c r="B13" s="1"/>
      <x:c r="C13" s="1" t="str">
        <x:v>Operating income</x:v>
      </x:c>
      <x:c r="D13" s="19" t="n">
        <x:v>470287</x:v>
      </x:c>
      <x:c r="E13" s="19" t="n">
        <x:v>438455</x:v>
      </x:c>
      <x:c r="F13" s="19" t="n">
        <x:v>467385</x:v>
      </x:c>
      <x:c r="G13" s="19" t="n">
        <x:v>123490</x:v>
      </x:c>
      <x:c r="H13" s="20" t="n">
        <x:v>300141</x:v>
      </x:c>
      <x:c r="I13" s="1"/>
      <x:c r="J13" s="6" t="str">
        <x:v>S1 p53; interim S3 p3</x:v>
      </x:c>
    </x:row>
    <x:row r="14" ht="21" customHeight="1">
      <x:c r="A14" s="1"/>
      <x:c r="B14" s="1"/>
      <x:c r="C14" s="1" t="str">
        <x:v>Interest expense</x:v>
      </x:c>
      <x:c r="D14" s="19" t="n">
        <x:v>59000</x:v>
      </x:c>
      <x:c r="E14" s="19" t="n">
        <x:v>64945</x:v>
      </x:c>
      <x:c r="F14" s="19" t="n">
        <x:v>75444</x:v>
      </x:c>
      <x:c r="G14" s="19" t="n">
        <x:v>33619</x:v>
      </x:c>
      <x:c r="H14" s="20" t="n">
        <x:v>34681</x:v>
      </x:c>
      <x:c r="I14" s="1"/>
      <x:c r="J14" s="6" t="str">
        <x:v>S1 p53; interim S3 p3</x:v>
      </x:c>
    </x:row>
    <x:row r="15" ht="21" customHeight="1">
      <x:c r="A15" s="1"/>
      <x:c r="B15" s="1"/>
      <x:c r="C15" s="1" t="str">
        <x:v>Other (income) expense, net</x:v>
      </x:c>
      <x:c r="D15" s="19" t="n">
        <x:v>-32554</x:v>
      </x:c>
      <x:c r="E15" s="19" t="n">
        <x:v>-57506</x:v>
      </x:c>
      <x:c r="F15" s="19" t="n">
        <x:v>-52678</x:v>
      </x:c>
      <x:c r="G15" s="19" t="n">
        <x:v>-19132</x:v>
      </x:c>
      <x:c r="H15" s="20" t="n">
        <x:v>-34023</x:v>
      </x:c>
      <x:c r="I15" s="1"/>
      <x:c r="J15" s="6" t="str">
        <x:v>S1 p53; interim S3 p3</x:v>
      </x:c>
    </x:row>
    <x:row r="16" ht="21" customHeight="1">
      <x:c r="A16" s="1"/>
      <x:c r="B16" s="1"/>
      <x:c r="C16" s="1" t="str">
        <x:v>Income before taxes</x:v>
      </x:c>
      <x:c r="D16" s="19" t="n">
        <x:v>443841</x:v>
      </x:c>
      <x:c r="E16" s="19" t="n">
        <x:v>431016</x:v>
      </x:c>
      <x:c r="F16" s="19" t="n">
        <x:v>444619</x:v>
      </x:c>
      <x:c r="G16" s="19" t="n">
        <x:v>109003</x:v>
      </x:c>
      <x:c r="H16" s="20" t="n">
        <x:v>299483</x:v>
      </x:c>
      <x:c r="I16" s="1"/>
      <x:c r="J16" s="6" t="str">
        <x:v>S1 p53; interim S3 p3</x:v>
      </x:c>
    </x:row>
    <x:row r="17" ht="21" customHeight="1">
      <x:c r="A17" s="1"/>
      <x:c r="B17" s="1"/>
      <x:c r="C17" s="1" t="str">
        <x:v>Income tax expense</x:v>
      </x:c>
      <x:c r="D17" s="19" t="n">
        <x:v>81710</x:v>
      </x:c>
      <x:c r="E17" s="19" t="n">
        <x:v>75481</x:v>
      </x:c>
      <x:c r="F17" s="19" t="n">
        <x:v>68503</x:v>
      </x:c>
      <x:c r="G17" s="19" t="n">
        <x:v>32098</x:v>
      </x:c>
      <x:c r="H17" s="20" t="n">
        <x:v>40648</x:v>
      </x:c>
      <x:c r="I17" s="1"/>
      <x:c r="J17" s="6" t="str">
        <x:v>S1 p53; interim S3 p3</x:v>
      </x:c>
    </x:row>
    <x:row r="18" ht="21" customHeight="1">
      <x:c r="A18" s="1"/>
      <x:c r="B18" s="1"/>
      <x:c r="C18" s="1" t="str">
        <x:v>Consolidated net income</x:v>
      </x:c>
      <x:c r="D18" s="19" t="n">
        <x:v>362131</x:v>
      </x:c>
      <x:c r="E18" s="19" t="n">
        <x:v>355535</x:v>
      </x:c>
      <x:c r="F18" s="19" t="n">
        <x:v>376116</x:v>
      </x:c>
      <x:c r="G18" s="19" t="n">
        <x:v>76905</x:v>
      </x:c>
      <x:c r="H18" s="20" t="n">
        <x:v>258835</x:v>
      </x:c>
      <x:c r="I18" s="1"/>
      <x:c r="J18" s="6" t="str">
        <x:v>S1 p53; interim S3 p3</x:v>
      </x:c>
    </x:row>
    <x:row r="19" ht="21" customHeight="1">
      <x:c r="A19" s="1"/>
      <x:c r="B19" s="1"/>
      <x:c r="C19" s="1" t="str">
        <x:v>Net income attributable to NCI</x:v>
      </x:c>
      <x:c r="D19" s="19" t="n">
        <x:v>2318</x:v>
      </x:c>
      <x:c r="E19" s="19" t="n">
        <x:v>1523</x:v>
      </x:c>
      <x:c r="F19" s="19" t="n">
        <x:v>2221</x:v>
      </x:c>
      <x:c r="G19" s="19" t="n">
        <x:v>1360</x:v>
      </x:c>
      <x:c r="H19" s="20" t="n">
        <x:v>1731</x:v>
      </x:c>
      <x:c r="I19" s="1"/>
      <x:c r="J19" s="6" t="str">
        <x:v>S1 p53; interim S3 p3</x:v>
      </x:c>
    </x:row>
    <x:row r="20" ht="21" customHeight="1">
      <x:c r="A20" s="1"/>
      <x:c r="B20" s="1"/>
      <x:c r="C20" s="1" t="str">
        <x:v>Net income attributable to Amkor</x:v>
      </x:c>
      <x:c r="D20" s="19" t="n">
        <x:v>359813</x:v>
      </x:c>
      <x:c r="E20" s="19" t="n">
        <x:v>354012</x:v>
      </x:c>
      <x:c r="F20" s="19" t="n">
        <x:v>373895</x:v>
      </x:c>
      <x:c r="G20" s="19" t="n">
        <x:v>75545</x:v>
      </x:c>
      <x:c r="H20" s="20" t="n">
        <x:v>257104</x:v>
      </x:c>
      <x:c r="I20" s="1"/>
      <x:c r="J20" s="6" t="str">
        <x:v>S1 p53; interim S3 p3</x:v>
      </x:c>
    </x:row>
    <x:row r="21" ht="21" customHeight="1">
      <x:c r="A21" s="1"/>
      <x:c r="B21" s="1"/>
      <x:c r="C21" s="1"/>
      <x:c r="D21" s="3"/>
      <x:c r="E21" s="3"/>
      <x:c r="F21" s="3"/>
      <x:c r="G21" s="3"/>
      <x:c r="H21" s="1"/>
      <x:c r="I21" s="1"/>
      <x:c r="J21" s="1"/>
    </x:row>
    <x:row r="22" ht="25" customHeight="1">
      <x:c r="A22" s="1"/>
      <x:c r="B22" s="1"/>
      <x:c r="C22" s="15" t="str">
        <x:v>BALANCE SHEET | H1:26A = 30-Jun-2026; H1:25 not required</x:v>
      </x:c>
      <x:c r="D22" s="16"/>
      <x:c r="E22" s="16"/>
      <x:c r="F22" s="16"/>
      <x:c r="G22" s="16"/>
      <x:c r="H22" s="15"/>
      <x:c r="I22" s="1"/>
      <x:c r="J22" s="1"/>
    </x:row>
    <x:row r="23" ht="21" customHeight="1">
      <x:c r="A23" s="1"/>
      <x:c r="B23" s="1"/>
      <x:c r="C23" s="1" t="str">
        <x:v>Cash and cash equivalents</x:v>
      </x:c>
      <x:c r="D23" s="19" t="n">
        <x:v>1119818</x:v>
      </x:c>
      <x:c r="E23" s="19" t="n">
        <x:v>1133553</x:v>
      </x:c>
      <x:c r="F23" s="19" t="n">
        <x:v>1378347</x:v>
      </x:c>
      <x:c r="G23" s="19"/>
      <x:c r="H23" s="20" t="n">
        <x:v>1551890</x:v>
      </x:c>
      <x:c r="I23" s="1"/>
      <x:c r="J23" s="6" t="str">
        <x:v>S1 p55; 2023 S2 p55; interim S3 p5</x:v>
      </x:c>
    </x:row>
    <x:row r="24" ht="21" customHeight="1">
      <x:c r="A24" s="1"/>
      <x:c r="B24" s="1"/>
      <x:c r="C24" s="1" t="str">
        <x:v>Restricted cash — current</x:v>
      </x:c>
      <x:c r="D24" s="19" t="n">
        <x:v>0</x:v>
      </x:c>
      <x:c r="E24" s="19" t="n">
        <x:v>0</x:v>
      </x:c>
      <x:c r="F24" s="19" t="n">
        <x:v>0</x:v>
      </x:c>
      <x:c r="G24" s="19"/>
      <x:c r="H24" s="20" t="n">
        <x:v>1580</x:v>
      </x:c>
      <x:c r="I24" s="1"/>
      <x:c r="J24" s="6" t="str">
        <x:v>S1 p55; 2023 S2 p55; interim S3 p5</x:v>
      </x:c>
    </x:row>
    <x:row r="25" ht="21" customHeight="1">
      <x:c r="A25" s="1"/>
      <x:c r="B25" s="1"/>
      <x:c r="C25" s="1" t="str">
        <x:v>Short-term investments</x:v>
      </x:c>
      <x:c r="D25" s="19" t="n">
        <x:v>474869</x:v>
      </x:c>
      <x:c r="E25" s="19" t="n">
        <x:v>512984</x:v>
      </x:c>
      <x:c r="F25" s="19" t="n">
        <x:v>613038</x:v>
      </x:c>
      <x:c r="G25" s="19"/>
      <x:c r="H25" s="20" t="n">
        <x:v>960272</x:v>
      </x:c>
      <x:c r="I25" s="1"/>
      <x:c r="J25" s="6" t="str">
        <x:v>S1 p55; 2023 S2 p55; interim S3 p5</x:v>
      </x:c>
    </x:row>
    <x:row r="26" ht="21" customHeight="1">
      <x:c r="A26" s="1"/>
      <x:c r="B26" s="1"/>
      <x:c r="C26" s="1" t="str">
        <x:v>Accounts receivable</x:v>
      </x:c>
      <x:c r="D26" s="19" t="n">
        <x:v>1149493</x:v>
      </x:c>
      <x:c r="E26" s="19" t="n">
        <x:v>1055013</x:v>
      </x:c>
      <x:c r="F26" s="19" t="n">
        <x:v>1354825</x:v>
      </x:c>
      <x:c r="G26" s="19"/>
      <x:c r="H26" s="20" t="n">
        <x:v>1420353</x:v>
      </x:c>
      <x:c r="I26" s="1"/>
      <x:c r="J26" s="6" t="str">
        <x:v>S1 p55; 2023 S2 p55; interim S3 p5</x:v>
      </x:c>
    </x:row>
    <x:row r="27" ht="21" customHeight="1">
      <x:c r="A27" s="1"/>
      <x:c r="B27" s="1"/>
      <x:c r="C27" s="1" t="str">
        <x:v>Inventories</x:v>
      </x:c>
      <x:c r="D27" s="19" t="n">
        <x:v>393128</x:v>
      </x:c>
      <x:c r="E27" s="19" t="n">
        <x:v>310910</x:v>
      </x:c>
      <x:c r="F27" s="19" t="n">
        <x:v>437797</x:v>
      </x:c>
      <x:c r="G27" s="19"/>
      <x:c r="H27" s="20" t="n">
        <x:v>560681</x:v>
      </x:c>
      <x:c r="I27" s="1"/>
      <x:c r="J27" s="6" t="str">
        <x:v>S1 p55; 2023 S2 p55; interim S3 p5</x:v>
      </x:c>
    </x:row>
    <x:row r="28" ht="21" customHeight="1">
      <x:c r="A28" s="1"/>
      <x:c r="B28" s="1"/>
      <x:c r="C28" s="1" t="str">
        <x:v>Other current assets</x:v>
      </x:c>
      <x:c r="D28" s="19" t="n">
        <x:v>58502</x:v>
      </x:c>
      <x:c r="E28" s="19" t="n">
        <x:v>61012</x:v>
      </x:c>
      <x:c r="F28" s="19" t="n">
        <x:v>100754</x:v>
      </x:c>
      <x:c r="G28" s="19"/>
      <x:c r="H28" s="20" t="n">
        <x:v>113853</x:v>
      </x:c>
      <x:c r="I28" s="1"/>
      <x:c r="J28" s="6" t="str">
        <x:v>S1 p55; 2023 S2 p55; interim S3 p5</x:v>
      </x:c>
    </x:row>
    <x:row r="29" ht="21" customHeight="1">
      <x:c r="A29" s="1"/>
      <x:c r="B29" s="1"/>
      <x:c r="C29" s="1" t="str">
        <x:v>Total current assets</x:v>
      </x:c>
      <x:c r="D29" s="19" t="n">
        <x:v>3195810</x:v>
      </x:c>
      <x:c r="E29" s="19" t="n">
        <x:v>3073472</x:v>
      </x:c>
      <x:c r="F29" s="19" t="n">
        <x:v>3884761</x:v>
      </x:c>
      <x:c r="G29" s="19"/>
      <x:c r="H29" s="20" t="n">
        <x:v>4608629</x:v>
      </x:c>
      <x:c r="I29" s="1"/>
      <x:c r="J29" s="6" t="str">
        <x:v>S1 p55; 2023 S2 p55; interim S3 p5</x:v>
      </x:c>
    </x:row>
    <x:row r="30" ht="21" customHeight="1">
      <x:c r="A30" s="1"/>
      <x:c r="B30" s="1"/>
      <x:c r="C30" s="1" t="str">
        <x:v>Property, plant and equipment, net</x:v>
      </x:c>
      <x:c r="D30" s="19" t="n">
        <x:v>3299445</x:v>
      </x:c>
      <x:c r="E30" s="19" t="n">
        <x:v>3576148</x:v>
      </x:c>
      <x:c r="F30" s="19" t="n">
        <x:v>3870808</x:v>
      </x:c>
      <x:c r="G30" s="19"/>
      <x:c r="H30" s="20" t="n">
        <x:v>4478951</x:v>
      </x:c>
      <x:c r="I30" s="1"/>
      <x:c r="J30" s="6" t="str">
        <x:v>S1 p55; 2023 S2 p55; interim S3 p5</x:v>
      </x:c>
    </x:row>
    <x:row r="31" ht="21" customHeight="1">
      <x:c r="A31" s="1"/>
      <x:c r="B31" s="1"/>
      <x:c r="C31" s="1" t="str">
        <x:v>Operating lease ROU assets</x:v>
      </x:c>
      <x:c r="D31" s="19" t="n">
        <x:v>117006</x:v>
      </x:c>
      <x:c r="E31" s="19" t="n">
        <x:v>109730</x:v>
      </x:c>
      <x:c r="F31" s="19" t="n">
        <x:v>93449</x:v>
      </x:c>
      <x:c r="G31" s="19"/>
      <x:c r="H31" s="20" t="n">
        <x:v>84440</x:v>
      </x:c>
      <x:c r="I31" s="1"/>
      <x:c r="J31" s="6" t="str">
        <x:v>S1 p55; 2023 S2 p55; interim S3 p5</x:v>
      </x:c>
    </x:row>
    <x:row r="32" ht="21" customHeight="1">
      <x:c r="A32" s="1"/>
      <x:c r="B32" s="1"/>
      <x:c r="C32" s="1" t="str">
        <x:v>Goodwill</x:v>
      </x:c>
      <x:c r="D32" s="19" t="n">
        <x:v>20003</x:v>
      </x:c>
      <x:c r="E32" s="19" t="n">
        <x:v>17947</x:v>
      </x:c>
      <x:c r="F32" s="19" t="n">
        <x:v>18003</x:v>
      </x:c>
      <x:c r="G32" s="19"/>
      <x:c r="H32" s="20" t="n">
        <x:v>17356</x:v>
      </x:c>
      <x:c r="I32" s="1"/>
      <x:c r="J32" s="6" t="str">
        <x:v>S1 p55; 2023 S2 p55; interim S3 p5</x:v>
      </x:c>
    </x:row>
    <x:row r="33" ht="21" customHeight="1">
      <x:c r="A33" s="1"/>
      <x:c r="B33" s="1"/>
      <x:c r="C33" s="1" t="str">
        <x:v>Restricted cash — non-current</x:v>
      </x:c>
      <x:c r="D33" s="19" t="n">
        <x:v>799</x:v>
      </x:c>
      <x:c r="E33" s="19" t="n">
        <x:v>759</x:v>
      </x:c>
      <x:c r="F33" s="19" t="n">
        <x:v>67776</x:v>
      </x:c>
      <x:c r="G33" s="19"/>
      <x:c r="H33" s="20" t="n">
        <x:v>186875</x:v>
      </x:c>
      <x:c r="I33" s="1"/>
      <x:c r="J33" s="6" t="str">
        <x:v>S1 p55; 2023 S2 p55; interim S3 p5</x:v>
      </x:c>
    </x:row>
    <x:row r="34" ht="21" customHeight="1">
      <x:c r="A34" s="1"/>
      <x:c r="B34" s="1"/>
      <x:c r="C34" s="1" t="str">
        <x:v>Other assets</x:v>
      </x:c>
      <x:c r="D34" s="19" t="n">
        <x:v>138062</x:v>
      </x:c>
      <x:c r="E34" s="19" t="n">
        <x:v>166272</x:v>
      </x:c>
      <x:c r="F34" s="19" t="n">
        <x:v>201512</x:v>
      </x:c>
      <x:c r="G34" s="19"/>
      <x:c r="H34" s="20" t="n">
        <x:v>339863</x:v>
      </x:c>
      <x:c r="I34" s="1"/>
      <x:c r="J34" s="6" t="str">
        <x:v>S1 p55; 2023 S2 p55; interim S3 p5</x:v>
      </x:c>
    </x:row>
    <x:row r="35" ht="21" customHeight="1">
      <x:c r="A35" s="1"/>
      <x:c r="B35" s="1"/>
      <x:c r="C35" s="1" t="str">
        <x:v>Total assets</x:v>
      </x:c>
      <x:c r="D35" s="19" t="n">
        <x:v>6771125</x:v>
      </x:c>
      <x:c r="E35" s="19" t="n">
        <x:v>6944328</x:v>
      </x:c>
      <x:c r="F35" s="19" t="n">
        <x:v>8136309</x:v>
      </x:c>
      <x:c r="G35" s="19"/>
      <x:c r="H35" s="20" t="n">
        <x:v>9716114</x:v>
      </x:c>
      <x:c r="I35" s="1"/>
      <x:c r="J35" s="6" t="str">
        <x:v>S1 p55; 2023 S2 p55; interim S3 p5</x:v>
      </x:c>
    </x:row>
    <x:row r="36" ht="21" customHeight="1">
      <x:c r="A36" s="1"/>
      <x:c r="B36" s="1"/>
      <x:c r="C36" s="1" t="str">
        <x:v>Current debt</x:v>
      </x:c>
      <x:c r="D36" s="19" t="n">
        <x:v>131624</x:v>
      </x:c>
      <x:c r="E36" s="19" t="n">
        <x:v>236029</x:v>
      </x:c>
      <x:c r="F36" s="19" t="n">
        <x:v>162430</x:v>
      </x:c>
      <x:c r="G36" s="19"/>
      <x:c r="H36" s="20" t="n">
        <x:v>150781</x:v>
      </x:c>
      <x:c r="I36" s="1"/>
      <x:c r="J36" s="6" t="str">
        <x:v>S1 p55; 2023 S2 p55; interim S3 p5</x:v>
      </x:c>
    </x:row>
    <x:row r="37" ht="21" customHeight="1">
      <x:c r="A37" s="1"/>
      <x:c r="B37" s="1"/>
      <x:c r="C37" s="1" t="str">
        <x:v>Trade accounts payable</x:v>
      </x:c>
      <x:c r="D37" s="19" t="n">
        <x:v>754453</x:v>
      </x:c>
      <x:c r="E37" s="19" t="n">
        <x:v>712887</x:v>
      </x:c>
      <x:c r="F37" s="19" t="n">
        <x:v>912766</x:v>
      </x:c>
      <x:c r="G37" s="19"/>
      <x:c r="H37" s="20" t="n">
        <x:v>880686</x:v>
      </x:c>
      <x:c r="I37" s="1"/>
      <x:c r="J37" s="6" t="str">
        <x:v>S1 p55; 2023 S2 p55; interim S3 p5</x:v>
      </x:c>
    </x:row>
    <x:row r="38" ht="21" customHeight="1">
      <x:c r="A38" s="1"/>
      <x:c r="B38" s="1"/>
      <x:c r="C38" s="1" t="str">
        <x:v>Capital expenditures payable</x:v>
      </x:c>
      <x:c r="D38" s="19" t="n">
        <x:v>106368</x:v>
      </x:c>
      <x:c r="E38" s="19" t="n">
        <x:v>123195</x:v>
      </x:c>
      <x:c r="F38" s="19" t="n">
        <x:v>243543</x:v>
      </x:c>
      <x:c r="G38" s="19"/>
      <x:c r="H38" s="20" t="n">
        <x:v>621326</x:v>
      </x:c>
      <x:c r="I38" s="1"/>
      <x:c r="J38" s="6" t="str">
        <x:v>S1 p55; 2023 S2 p55; interim S3 p5</x:v>
      </x:c>
    </x:row>
    <x:row r="39" ht="21" customHeight="1">
      <x:c r="A39" s="1"/>
      <x:c r="B39" s="1"/>
      <x:c r="C39" s="1" t="str">
        <x:v>Current operating lease liability</x:v>
      </x:c>
      <x:c r="D39" s="19" t="n">
        <x:v>33616</x:v>
      </x:c>
      <x:c r="E39" s="19" t="n">
        <x:v>26827</x:v>
      </x:c>
      <x:c r="F39" s="19" t="n">
        <x:v>23140</x:v>
      </x:c>
      <x:c r="G39" s="19"/>
      <x:c r="H39" s="20" t="n">
        <x:v>22766</x:v>
      </x:c>
      <x:c r="I39" s="1"/>
      <x:c r="J39" s="6" t="str">
        <x:v>S1 p55; 2023 S2 p55; interim S3 p5</x:v>
      </x:c>
    </x:row>
    <x:row r="40" ht="21" customHeight="1">
      <x:c r="A40" s="1"/>
      <x:c r="B40" s="1"/>
      <x:c r="C40" s="1" t="str">
        <x:v>Accrued expenses</x:v>
      </x:c>
      <x:c r="D40" s="19" t="n">
        <x:v>358414</x:v>
      </x:c>
      <x:c r="E40" s="19" t="n">
        <x:v>356337</x:v>
      </x:c>
      <x:c r="F40" s="19" t="n">
        <x:v>370093</x:v>
      </x:c>
      <x:c r="G40" s="19"/>
      <x:c r="H40" s="20" t="n">
        <x:v>447291</x:v>
      </x:c>
      <x:c r="I40" s="1"/>
      <x:c r="J40" s="6" t="str">
        <x:v>S1 p55; 2023 S2 p55; interim S3 p5</x:v>
      </x:c>
    </x:row>
    <x:row r="41" ht="21" customHeight="1">
      <x:c r="A41" s="1"/>
      <x:c r="B41" s="1"/>
      <x:c r="C41" s="1" t="str">
        <x:v>Total current liabilities</x:v>
      </x:c>
      <x:c r="D41" s="19" t="n">
        <x:v>1384475</x:v>
      </x:c>
      <x:c r="E41" s="19" t="n">
        <x:v>1455275</x:v>
      </x:c>
      <x:c r="F41" s="19" t="n">
        <x:v>1711972</x:v>
      </x:c>
      <x:c r="G41" s="19"/>
      <x:c r="H41" s="20" t="n">
        <x:v>2122850</x:v>
      </x:c>
      <x:c r="I41" s="1"/>
      <x:c r="J41" s="6" t="str">
        <x:v>S1 p55; 2023 S2 p55; interim S3 p5</x:v>
      </x:c>
    </x:row>
    <x:row r="42" ht="21" customHeight="1">
      <x:c r="A42" s="1"/>
      <x:c r="B42" s="1"/>
      <x:c r="C42" s="1" t="str">
        <x:v>Long-term debt</x:v>
      </x:c>
      <x:c r="D42" s="19" t="n">
        <x:v>1071832</x:v>
      </x:c>
      <x:c r="E42" s="19" t="n">
        <x:v>923431</x:v>
      </x:c>
      <x:c r="F42" s="19" t="n">
        <x:v>1282816</x:v>
      </x:c>
      <x:c r="G42" s="19"/>
      <x:c r="H42" s="20" t="n">
        <x:v>2334950</x:v>
      </x:c>
      <x:c r="I42" s="1"/>
      <x:c r="J42" s="6" t="str">
        <x:v>S1 p55; 2023 S2 p55; interim S3 p5</x:v>
      </x:c>
    </x:row>
    <x:row r="43" ht="21" customHeight="1">
      <x:c r="A43" s="1"/>
      <x:c r="B43" s="1"/>
      <x:c r="C43" s="1" t="str">
        <x:v>Pension and severance obligations</x:v>
      </x:c>
      <x:c r="D43" s="19" t="n">
        <x:v>87133</x:v>
      </x:c>
      <x:c r="E43" s="19" t="n">
        <x:v>70594</x:v>
      </x:c>
      <x:c r="F43" s="19" t="n">
        <x:v>69218</x:v>
      </x:c>
      <x:c r="G43" s="19"/>
      <x:c r="H43" s="20" t="n">
        <x:v>68127</x:v>
      </x:c>
      <x:c r="I43" s="1"/>
      <x:c r="J43" s="6" t="str">
        <x:v>S1 p55; 2023 S2 p55; interim S3 p5</x:v>
      </x:c>
    </x:row>
    <x:row r="44" ht="21" customHeight="1">
      <x:c r="A44" s="1"/>
      <x:c r="B44" s="1"/>
      <x:c r="C44" s="1" t="str">
        <x:v>Long-term operating lease liabilities</x:v>
      </x:c>
      <x:c r="D44" s="19" t="n">
        <x:v>56837</x:v>
      </x:c>
      <x:c r="E44" s="19" t="n">
        <x:v>57983</x:v>
      </x:c>
      <x:c r="F44" s="19" t="n">
        <x:v>48549</x:v>
      </x:c>
      <x:c r="G44" s="19"/>
      <x:c r="H44" s="20" t="n">
        <x:v>38943</x:v>
      </x:c>
      <x:c r="I44" s="1"/>
      <x:c r="J44" s="6" t="str">
        <x:v>S1 p55; 2023 S2 p55; interim S3 p5</x:v>
      </x:c>
    </x:row>
    <x:row r="45" ht="21" customHeight="1">
      <x:c r="A45" s="1"/>
      <x:c r="B45" s="1"/>
      <x:c r="C45" s="1" t="str">
        <x:v>Other non-current liabilities</x:v>
      </x:c>
      <x:c r="D45" s="19" t="n">
        <x:v>175813</x:v>
      </x:c>
      <x:c r="E45" s="19" t="n">
        <x:v>253880</x:v>
      </x:c>
      <x:c r="F45" s="19" t="n">
        <x:v>517467</x:v>
      </x:c>
      <x:c r="G45" s="19"/>
      <x:c r="H45" s="20" t="n">
        <x:v>464416</x:v>
      </x:c>
      <x:c r="I45" s="1"/>
      <x:c r="J45" s="6" t="str">
        <x:v>S1 p55; 2023 S2 p55; interim S3 p5</x:v>
      </x:c>
    </x:row>
    <x:row r="46" ht="21" customHeight="1">
      <x:c r="A46" s="1"/>
      <x:c r="B46" s="1"/>
      <x:c r="C46" s="1" t="str">
        <x:v>Total liabilities</x:v>
      </x:c>
      <x:c r="D46" s="19" t="n">
        <x:v>2776090</x:v>
      </x:c>
      <x:c r="E46" s="19" t="n">
        <x:v>2761163</x:v>
      </x:c>
      <x:c r="F46" s="19" t="n">
        <x:v>3630022</x:v>
      </x:c>
      <x:c r="G46" s="19"/>
      <x:c r="H46" s="20" t="n">
        <x:v>5029286</x:v>
      </x:c>
      <x:c r="I46" s="1"/>
      <x:c r="J46" s="6" t="str">
        <x:v>S1 p55; 2023 S2 p55; interim S3 p5</x:v>
      </x:c>
    </x:row>
    <x:row r="47" ht="21" customHeight="1">
      <x:c r="A47" s="1"/>
      <x:c r="B47" s="1"/>
      <x:c r="C47" s="1" t="str">
        <x:v>Amkor stockholders’ equity</x:v>
      </x:c>
      <x:c r="D47" s="19" t="n">
        <x:v>3962308</x:v>
      </x:c>
      <x:c r="E47" s="19" t="n">
        <x:v>4149545</x:v>
      </x:c>
      <x:c r="F47" s="19" t="n">
        <x:v>4471106</x:v>
      </x:c>
      <x:c r="G47" s="19"/>
      <x:c r="H47" s="20" t="n">
        <x:v>4650412</x:v>
      </x:c>
      <x:c r="I47" s="1"/>
      <x:c r="J47" s="6" t="str">
        <x:v>S1 p55; 2023 S2 p55; interim S3 p5</x:v>
      </x:c>
    </x:row>
    <x:row r="48" ht="21" customHeight="1">
      <x:c r="A48" s="1"/>
      <x:c r="B48" s="1"/>
      <x:c r="C48" s="1" t="str">
        <x:v>Noncontrolling interests in equity</x:v>
      </x:c>
      <x:c r="D48" s="19" t="n">
        <x:v>32727</x:v>
      </x:c>
      <x:c r="E48" s="19" t="n">
        <x:v>33620</x:v>
      </x:c>
      <x:c r="F48" s="19" t="n">
        <x:v>35181</x:v>
      </x:c>
      <x:c r="G48" s="19"/>
      <x:c r="H48" s="20" t="n">
        <x:v>36416</x:v>
      </x:c>
      <x:c r="I48" s="1"/>
      <x:c r="J48" s="6" t="str">
        <x:v>S1 p55; 2023 S2 p55; interim S3 p5</x:v>
      </x:c>
    </x:row>
    <x:row r="49" ht="21" customHeight="1">
      <x:c r="A49" s="1"/>
      <x:c r="B49" s="1"/>
      <x:c r="C49" s="1" t="str">
        <x:v>Total equity</x:v>
      </x:c>
      <x:c r="D49" s="19" t="n">
        <x:v>3995035</x:v>
      </x:c>
      <x:c r="E49" s="19" t="n">
        <x:v>4183165</x:v>
      </x:c>
      <x:c r="F49" s="19" t="n">
        <x:v>4506287</x:v>
      </x:c>
      <x:c r="G49" s="19"/>
      <x:c r="H49" s="20" t="n">
        <x:v>4686828</x:v>
      </x:c>
      <x:c r="I49" s="1"/>
      <x:c r="J49" s="6" t="str">
        <x:v>S1 p55; 2023 S2 p55; interim S3 p5</x:v>
      </x:c>
    </x:row>
    <x:row r="50" ht="21" customHeight="1">
      <x:c r="A50" s="1"/>
      <x:c r="B50" s="1"/>
      <x:c r="C50" s="1" t="str">
        <x:v>Total liabilities and equity</x:v>
      </x:c>
      <x:c r="D50" s="19" t="n">
        <x:v>6771125</x:v>
      </x:c>
      <x:c r="E50" s="19" t="n">
        <x:v>6944328</x:v>
      </x:c>
      <x:c r="F50" s="19" t="n">
        <x:v>8136309</x:v>
      </x:c>
      <x:c r="G50" s="19"/>
      <x:c r="H50" s="20" t="n">
        <x:v>9716114</x:v>
      </x:c>
      <x:c r="I50" s="1"/>
      <x:c r="J50" s="6" t="str">
        <x:v>S1 p55; 2023 S2 p55; interim S3 p5</x:v>
      </x:c>
    </x:row>
    <x:row r="51" ht="21" customHeight="1">
      <x:c r="A51" s="1"/>
      <x:c r="B51" s="1"/>
      <x:c r="C51" s="1"/>
      <x:c r="D51" s="3"/>
      <x:c r="E51" s="3"/>
      <x:c r="F51" s="3"/>
      <x:c r="G51" s="3"/>
      <x:c r="H51" s="1"/>
      <x:c r="I51" s="1"/>
      <x:c r="J51" s="1"/>
    </x:row>
    <x:row r="52" ht="25" customHeight="1">
      <x:c r="A52" s="1"/>
      <x:c r="B52" s="1"/>
      <x:c r="C52" s="15" t="str">
        <x:v>CASH FLOWS | Reported totals and selected detail</x:v>
      </x:c>
      <x:c r="D52" s="16"/>
      <x:c r="E52" s="16"/>
      <x:c r="F52" s="16"/>
      <x:c r="G52" s="16"/>
      <x:c r="H52" s="15"/>
      <x:c r="I52" s="1"/>
      <x:c r="J52" s="1"/>
    </x:row>
    <x:row r="53" ht="21" customHeight="1">
      <x:c r="A53" s="1"/>
      <x:c r="B53" s="1"/>
      <x:c r="C53" s="1" t="str">
        <x:v>Consolidated net income — CF</x:v>
      </x:c>
      <x:c r="D53" s="19" t="n">
        <x:v>362131</x:v>
      </x:c>
      <x:c r="E53" s="19" t="n">
        <x:v>355535</x:v>
      </x:c>
      <x:c r="F53" s="19" t="n">
        <x:v>376116</x:v>
      </x:c>
      <x:c r="G53" s="19" t="n">
        <x:v>76905</x:v>
      </x:c>
      <x:c r="H53" s="20" t="n">
        <x:v>258835</x:v>
      </x:c>
      <x:c r="I53" s="1"/>
      <x:c r="J53" s="6" t="str">
        <x:v>S1 pp57–58; interim S3 p8</x:v>
      </x:c>
    </x:row>
    <x:row r="54" ht="21" customHeight="1">
      <x:c r="A54" s="1"/>
      <x:c r="B54" s="1"/>
      <x:c r="C54" s="1" t="str">
        <x:v>Depreciation and amortization</x:v>
      </x:c>
      <x:c r="D54" s="19" t="n">
        <x:v>631508</x:v>
      </x:c>
      <x:c r="E54" s="19" t="n">
        <x:v>594663</x:v>
      </x:c>
      <x:c r="F54" s="19" t="n">
        <x:v>642008</x:v>
      </x:c>
      <x:c r="G54" s="19" t="n">
        <x:v>312663</x:v>
      </x:c>
      <x:c r="H54" s="20" t="n">
        <x:v>350553</x:v>
      </x:c>
      <x:c r="I54" s="1"/>
      <x:c r="J54" s="6" t="str">
        <x:v>S1 pp57–58; interim S3 p8</x:v>
      </x:c>
    </x:row>
    <x:row r="55" ht="21" customHeight="1">
      <x:c r="A55" s="1"/>
      <x:c r="B55" s="1"/>
      <x:c r="C55" s="1" t="str">
        <x:v>Net cash provided by operations</x:v>
      </x:c>
      <x:c r="D55" s="19" t="n">
        <x:v>1270020</x:v>
      </x:c>
      <x:c r="E55" s="19" t="n">
        <x:v>1088868</x:v>
      </x:c>
      <x:c r="F55" s="19" t="n">
        <x:v>1095606</x:v>
      </x:c>
      <x:c r="G55" s="19" t="n">
        <x:v>282612</x:v>
      </x:c>
      <x:c r="H55" s="20" t="n">
        <x:v>381573</x:v>
      </x:c>
      <x:c r="I55" s="1"/>
      <x:c r="J55" s="6" t="str">
        <x:v>S1 pp57–58; interim S3 p8</x:v>
      </x:c>
    </x:row>
    <x:row r="56" ht="21" customHeight="1">
      <x:c r="A56" s="1"/>
      <x:c r="B56" s="1"/>
      <x:c r="C56" s="1" t="str">
        <x:v>Payments for PP&amp;E (positive outflow)</x:v>
      </x:c>
      <x:c r="D56" s="19" t="n">
        <x:v>749467</x:v>
      </x:c>
      <x:c r="E56" s="19" t="n">
        <x:v>743796</x:v>
      </x:c>
      <x:c r="F56" s="19" t="n">
        <x:v>904614</x:v>
      </x:c>
      <x:c r="G56" s="19" t="n">
        <x:v>226086</x:v>
      </x:c>
      <x:c r="H56" s="20" t="n">
        <x:v>688425</x:v>
      </x:c>
      <x:c r="I56" s="1"/>
      <x:c r="J56" s="6" t="str">
        <x:v>S1 pp57–58; interim S3 p8</x:v>
      </x:c>
    </x:row>
    <x:row r="57" ht="21" customHeight="1">
      <x:c r="A57" s="1"/>
      <x:c r="B57" s="1"/>
      <x:c r="C57" s="1" t="str">
        <x:v>Net cash used in investing</x:v>
      </x:c>
      <x:c r="D57" s="19" t="n">
        <x:v>-951910</x:v>
      </x:c>
      <x:c r="E57" s="19" t="n">
        <x:v>-800324</x:v>
      </x:c>
      <x:c r="F57" s="19" t="n">
        <x:v>-885044</x:v>
      </x:c>
      <x:c r="G57" s="19" t="n">
        <x:v>-205797</x:v>
      </x:c>
      <x:c r="H57" s="20" t="n">
        <x:v>-1007710</x:v>
      </x:c>
      <x:c r="I57" s="1"/>
      <x:c r="J57" s="6" t="str">
        <x:v>S1 pp57–58; interim S3 p8</x:v>
      </x:c>
    </x:row>
    <x:row r="58" ht="21" customHeight="1">
      <x:c r="A58" s="1"/>
      <x:c r="B58" s="1"/>
      <x:c r="C58" s="1" t="str">
        <x:v>Net cash from / (used in) financing</x:v>
      </x:c>
      <x:c r="D58" s="19" t="n">
        <x:v>-149207</x:v>
      </x:c>
      <x:c r="E58" s="19" t="n">
        <x:v>-260432</x:v>
      </x:c>
      <x:c r="F58" s="19" t="n">
        <x:v>98700</x:v>
      </x:c>
      <x:c r="G58" s="19" t="n">
        <x:v>308220</x:v>
      </x:c>
      <x:c r="H58" s="20" t="n">
        <x:v>922193</x:v>
      </x:c>
      <x:c r="I58" s="1"/>
      <x:c r="J58" s="6" t="str">
        <x:v>S1 pp57–58; interim S3 p8</x:v>
      </x:c>
    </x:row>
    <x:row r="59" ht="21" customHeight="1">
      <x:c r="A59" s="1"/>
      <x:c r="B59" s="1"/>
      <x:c r="C59" s="1" t="str">
        <x:v>FX effect on cash</x:v>
      </x:c>
      <x:c r="D59" s="19" t="n">
        <x:v>-10692</x:v>
      </x:c>
      <x:c r="E59" s="19" t="n">
        <x:v>-14417</x:v>
      </x:c>
      <x:c r="F59" s="19" t="n">
        <x:v>2549</x:v>
      </x:c>
      <x:c r="G59" s="19" t="n">
        <x:v>8792</x:v>
      </x:c>
      <x:c r="H59" s="20" t="n">
        <x:v>-1834</x:v>
      </x:c>
      <x:c r="I59" s="1"/>
      <x:c r="J59" s="6" t="str">
        <x:v>S1 pp57–58; interim S3 p8</x:v>
      </x:c>
    </x:row>
    <x:row r="60" ht="21" customHeight="1">
      <x:c r="A60" s="1"/>
      <x:c r="B60" s="1"/>
      <x:c r="C60" s="1" t="str">
        <x:v>Change in cash including restricted</x:v>
      </x:c>
      <x:c r="D60" s="19" t="n">
        <x:v>158211</x:v>
      </x:c>
      <x:c r="E60" s="19" t="n">
        <x:v>13695</x:v>
      </x:c>
      <x:c r="F60" s="19" t="n">
        <x:v>311811</x:v>
      </x:c>
      <x:c r="G60" s="19" t="n">
        <x:v>393827</x:v>
      </x:c>
      <x:c r="H60" s="20" t="n">
        <x:v>294222</x:v>
      </x:c>
      <x:c r="I60" s="1"/>
      <x:c r="J60" s="6" t="str">
        <x:v>S1 pp57–58; interim S3 p8</x:v>
      </x:c>
    </x:row>
    <x:row r="61" ht="21" customHeight="1">
      <x:c r="A61" s="1"/>
      <x:c r="B61" s="1"/>
      <x:c r="C61" s="1" t="str">
        <x:v>Opening cash including restricted</x:v>
      </x:c>
      <x:c r="D61" s="19" t="n">
        <x:v>962406</x:v>
      </x:c>
      <x:c r="E61" s="19" t="n">
        <x:v>1120617</x:v>
      </x:c>
      <x:c r="F61" s="19" t="n">
        <x:v>1134312</x:v>
      </x:c>
      <x:c r="G61" s="19" t="n">
        <x:v>1134312</x:v>
      </x:c>
      <x:c r="H61" s="20" t="n">
        <x:v>1446123</x:v>
      </x:c>
      <x:c r="I61" s="1"/>
      <x:c r="J61" s="6" t="str">
        <x:v>S1 pp57–58; interim S3 p8</x:v>
      </x:c>
    </x:row>
    <x:row r="62" ht="21" customHeight="1">
      <x:c r="A62" s="1"/>
      <x:c r="B62" s="1"/>
      <x:c r="C62" s="1" t="str">
        <x:v>Closing cash including restricted</x:v>
      </x:c>
      <x:c r="D62" s="19" t="n">
        <x:v>1120617</x:v>
      </x:c>
      <x:c r="E62" s="19" t="n">
        <x:v>1134312</x:v>
      </x:c>
      <x:c r="F62" s="19" t="n">
        <x:v>1446123</x:v>
      </x:c>
      <x:c r="G62" s="19" t="n">
        <x:v>1528139</x:v>
      </x:c>
      <x:c r="H62" s="20" t="n">
        <x:v>1740345</x:v>
      </x:c>
      <x:c r="I62" s="1"/>
      <x:c r="J62" s="6" t="str">
        <x:v>S1 pp57–58; interim S3 p8</x:v>
      </x:c>
    </x:row>
    <x:row r="63" ht="21" customHeight="1">
      <x:c r="A63" s="1"/>
      <x:c r="B63" s="1"/>
      <x:c r="C63" s="1" t="str">
        <x:v>Cash paid for interest</x:v>
      </x:c>
      <x:c r="D63" s="19" t="n">
        <x:v>54306</x:v>
      </x:c>
      <x:c r="E63" s="19" t="n">
        <x:v>60263</x:v>
      </x:c>
      <x:c r="F63" s="19" t="n">
        <x:v>73598</x:v>
      </x:c>
      <x:c r="G63" s="19"/>
      <x:c r="H63" s="20"/>
      <x:c r="I63" s="1"/>
      <x:c r="J63" s="6" t="str">
        <x:v>S1 pp57–58; interim S3 p8</x:v>
      </x:c>
    </x:row>
    <x:row r="64" ht="21" customHeight="1">
      <x:c r="A64" s="1"/>
      <x:c r="B64" s="1"/>
      <x:c r="C64" s="1" t="str">
        <x:v>Long-term debt repayments</x:v>
      </x:c>
      <x:c r="D64" s="19" t="n">
        <x:v>175427</x:v>
      </x:c>
      <x:c r="E64" s="19" t="n">
        <x:v>177214</x:v>
      </x:c>
      <x:c r="F64" s="19" t="n">
        <x:v>809531</x:v>
      </x:c>
      <x:c r="G64" s="19" t="n">
        <x:v>112163</x:v>
      </x:c>
      <x:c r="H64" s="20" t="n">
        <x:v>80265</x:v>
      </x:c>
      <x:c r="I64" s="1"/>
      <x:c r="J64" s="6" t="str">
        <x:v>S1 pp57–58; interim S3 p8</x:v>
      </x:c>
    </x:row>
    <x:row r="65" ht="21" customHeight="1">
      <x:c r="A65" s="1"/>
      <x:c r="B65" s="1"/>
      <x:c r="C65" s="1" t="str">
        <x:v>Short-term debt repayments</x:v>
      </x:c>
      <x:c r="D65" s="19" t="n">
        <x:v>19448</x:v>
      </x:c>
      <x:c r="E65" s="19" t="n">
        <x:v>9731</x:v>
      </x:c>
      <x:c r="F65" s="19" t="n">
        <x:v>0</x:v>
      </x:c>
      <x:c r="G65" s="19" t="n">
        <x:v>0</x:v>
      </x:c>
      <x:c r="H65" s="20" t="n">
        <x:v>0</x:v>
      </x:c>
      <x:c r="I65" s="1"/>
      <x:c r="J65" s="6" t="str">
        <x:v>S1 pp57–58; interim S3 p8</x:v>
      </x:c>
    </x:row>
    <x:row r="66" ht="21" customHeight="1">
      <x:c r="A66" s="1"/>
      <x:c r="B66" s="1"/>
      <x:c r="C66" s="1" t="str">
        <x:v>Revolver repayments</x:v>
      </x:c>
      <x:c r="D66" s="19" t="n">
        <x:v>370000</x:v>
      </x:c>
      <x:c r="E66" s="19" t="n">
        <x:v>0</x:v>
      </x:c>
      <x:c r="F66" s="19" t="n">
        <x:v>0</x:v>
      </x:c>
      <x:c r="G66" s="19" t="n">
        <x:v>0</x:v>
      </x:c>
      <x:c r="H66" s="20" t="n">
        <x:v>0</x:v>
      </x:c>
      <x:c r="I66" s="1"/>
      <x:c r="J66" s="6" t="str">
        <x:v>S1 pp57–58; interim S3 p8</x:v>
      </x:c>
    </x:row>
    <x:row r="67" ht="21" customHeight="1">
      <x:c r="A67" s="1"/>
      <x:c r="B67" s="1"/>
      <x:c r="C67" s="1" t="str">
        <x:v>Finance lease principal payments</x:v>
      </x:c>
      <x:c r="D67" s="19" t="n">
        <x:v>66398</x:v>
      </x:c>
      <x:c r="E67" s="19" t="n">
        <x:v>72255</x:v>
      </x:c>
      <x:c r="F67" s="19" t="n">
        <x:v>89942</x:v>
      </x:c>
      <x:c r="G67" s="19" t="n">
        <x:v>30627</x:v>
      </x:c>
      <x:c r="H67" s="20" t="n">
        <x:v>25354</x:v>
      </x:c>
      <x:c r="I67" s="1"/>
      <x:c r="J67" s="6" t="str">
        <x:v>S1 pp57–58; interim S3 p8</x:v>
      </x:c>
    </x:row>
    <x:row r="68" ht="21" customHeight="1">
      <x:c r="A68" s="1"/>
      <x:c r="B68" s="1"/>
      <x:c r="C68" s="1" t="str">
        <x:v>Cash dividends</x:v>
      </x:c>
      <x:c r="D68" s="19" t="n">
        <x:v>74686</x:v>
      </x:c>
      <x:c r="E68" s="19" t="n">
        <x:v>178605</x:v>
      </x:c>
      <x:c r="F68" s="19" t="n">
        <x:v>81946</x:v>
      </x:c>
      <x:c r="G68" s="19" t="n">
        <x:v>40860</x:v>
      </x:c>
      <x:c r="H68" s="20" t="n">
        <x:v>41403</x:v>
      </x:c>
      <x:c r="I68" s="1"/>
      <x:c r="J68" s="6" t="str">
        <x:v>S1 pp57–58; interim S3 p8</x:v>
      </x:c>
    </x:row>
    <x:row r="69" ht="21" customHeight="1">
      <x:c r="A69" s="1"/>
      <x:c r="B69" s="1"/>
      <x:c r="C69" s="1" t="str">
        <x:v>Share-based compensation</x:v>
      </x:c>
      <x:c r="D69" s="19" t="n">
        <x:v>8277</x:v>
      </x:c>
      <x:c r="E69" s="19" t="n">
        <x:v>18371</x:v>
      </x:c>
      <x:c r="F69" s="19" t="n">
        <x:v>20099</x:v>
      </x:c>
      <x:c r="G69" s="19"/>
      <x:c r="H69" s="20"/>
      <x:c r="I69" s="1"/>
      <x:c r="J69" s="6" t="str">
        <x:v>S1 pp57–58; interim S3 p8</x:v>
      </x:c>
    </x:row>
    <x:row r="70" ht="21" customHeight="1">
      <x:c r="A70" s="1"/>
      <x:c r="B70" s="1"/>
      <x:c r="C70" s="1" t="str">
        <x:v>Proceeds from PP&amp;E sales</x:v>
      </x:c>
      <x:c r="D70" s="19" t="n">
        <x:v>8444</x:v>
      </x:c>
      <x:c r="E70" s="19" t="n">
        <x:v>3981</x:v>
      </x:c>
      <x:c r="F70" s="19" t="n">
        <x:v>110279</x:v>
      </x:c>
      <x:c r="G70" s="19" t="n">
        <x:v>4762</x:v>
      </x:c>
      <x:c r="H70" s="20" t="n">
        <x:v>35913</x:v>
      </x:c>
      <x:c r="I70" s="1"/>
      <x:c r="J70" s="6" t="str">
        <x:v>S1 pp57–58; interim S3 p8</x:v>
      </x:c>
    </x:row>
    <x:row r="71" ht="21" customHeight="1">
      <x:c r="A71" s="1"/>
      <x:c r="B71" s="1"/>
      <x:c r="C71" s="1"/>
      <x:c r="D71" s="3"/>
      <x:c r="E71" s="3"/>
      <x:c r="F71" s="3"/>
      <x:c r="G71" s="3"/>
      <x:c r="H71" s="1"/>
      <x:c r="I71" s="1"/>
      <x:c r="J71" s="1"/>
    </x:row>
    <x:row r="72" ht="25" customHeight="1">
      <x:c r="A72" s="1"/>
      <x:c r="B72" s="1"/>
      <x:c r="C72" s="15" t="str">
        <x:v>DEBT &amp; DISCLOSED FINANCING INPUTS</x:v>
      </x:c>
      <x:c r="D72" s="16"/>
      <x:c r="E72" s="16"/>
      <x:c r="F72" s="16"/>
      <x:c r="G72" s="16"/>
      <x:c r="H72" s="15"/>
      <x:c r="I72" s="1"/>
      <x:c r="J72" s="1"/>
    </x:row>
    <x:row r="73" ht="21" customHeight="1">
      <x:c r="A73" s="1"/>
      <x:c r="B73" s="1"/>
      <x:c r="C73" s="1" t="str">
        <x:v>Gross debt principal</x:v>
      </x:c>
      <x:c r="D73" s="19" t="n">
        <x:v>1209785</x:v>
      </x:c>
      <x:c r="E73" s="19" t="n">
        <x:v>1164462</x:v>
      </x:c>
      <x:c r="F73" s="19" t="n">
        <x:v>1456171</x:v>
      </x:c>
      <x:c r="G73" s="19"/>
      <x:c r="H73" s="20" t="n">
        <x:v>2515751</x:v>
      </x:c>
      <x:c r="I73" s="1"/>
      <x:c r="J73" s="6" t="str">
        <x:v>S1 debt p82; S2 p79; S3 debt pp18,20</x:v>
      </x:c>
    </x:row>
    <x:row r="74" ht="21" customHeight="1">
      <x:c r="A74" s="1"/>
      <x:c r="B74" s="1"/>
      <x:c r="C74" s="1" t="str">
        <x:v>Unamortized debt costs / discount</x:v>
      </x:c>
      <x:c r="D74" s="19" t="n">
        <x:v>6329</x:v>
      </x:c>
      <x:c r="E74" s="19" t="n">
        <x:v>5002</x:v>
      </x:c>
      <x:c r="F74" s="19" t="n">
        <x:v>10925</x:v>
      </x:c>
      <x:c r="G74" s="19"/>
      <x:c r="H74" s="20" t="n">
        <x:v>30020</x:v>
      </x:c>
      <x:c r="I74" s="1"/>
      <x:c r="J74" s="6" t="str">
        <x:v>S1 debt p82; S2 p79; S3 debt pp18,20</x:v>
      </x:c>
    </x:row>
    <x:row r="75" ht="21" customHeight="1">
      <x:c r="A75" s="1"/>
      <x:c r="B75" s="1"/>
      <x:c r="C75" s="1" t="str">
        <x:v>Long-term finance lease liabilities</x:v>
      </x:c>
      <x:c r="D75" s="19"/>
      <x:c r="E75" s="19" t="n">
        <x:v>122700</x:v>
      </x:c>
      <x:c r="F75" s="19" t="n">
        <x:v>105000</x:v>
      </x:c>
      <x:c r="G75" s="19"/>
      <x:c r="H75" s="20" t="n">
        <x:v>87500</x:v>
      </x:c>
      <x:c r="I75" s="1"/>
      <x:c r="J75" s="6" t="str">
        <x:v>S1 p63 (rounded millions); S3 p9</x:v>
      </x:c>
    </x:row>
    <x:row r="76" ht="21" customHeight="1">
      <x:c r="A76" s="1"/>
      <x:c r="B76" s="1"/>
      <x:c r="C76" s="1" t="str">
        <x:v>Current finance lease liabilities</x:v>
      </x:c>
      <x:c r="D76" s="19" t="n">
        <x:v>57761</x:v>
      </x:c>
      <x:c r="E76" s="19" t="n">
        <x:v>55613</x:v>
      </x:c>
      <x:c r="F76" s="19" t="n">
        <x:v>44046</x:v>
      </x:c>
      <x:c r="G76" s="19"/>
      <x:c r="H76" s="20" t="n">
        <x:v>39099</x:v>
      </x:c>
      <x:c r="I76" s="1"/>
      <x:c r="J76" s="6" t="str">
        <x:v>S1 p81; S2 p78; S3 p18</x:v>
      </x:c>
    </x:row>
    <x:row r="77" ht="21" customHeight="1">
      <x:c r="A77" s="1"/>
      <x:c r="B77" s="1"/>
      <x:c r="C77" s="1" t="str">
        <x:v>FY2026 capex guidance — low</x:v>
      </x:c>
      <x:c r="D77" s="19"/>
      <x:c r="E77" s="19"/>
      <x:c r="F77" s="19"/>
      <x:c r="G77" s="19"/>
      <x:c r="H77" s="20" t="n">
        <x:v>2500000</x:v>
      </x:c>
      <x:c r="I77" s="1"/>
      <x:c r="J77" s="6" t="str">
        <x:v>S3 p31 | guidance, not guaranteed spending</x:v>
      </x:c>
    </x:row>
    <x:row r="78" ht="21" customHeight="1">
      <x:c r="A78" s="1"/>
      <x:c r="B78" s="1"/>
      <x:c r="C78" s="1" t="str">
        <x:v>FY2026 capex guidance — high</x:v>
      </x:c>
      <x:c r="D78" s="19"/>
      <x:c r="E78" s="19"/>
      <x:c r="F78" s="19"/>
      <x:c r="G78" s="19"/>
      <x:c r="H78" s="20" t="n">
        <x:v>3000000</x:v>
      </x:c>
      <x:c r="I78" s="1"/>
      <x:c r="J78" s="6" t="str">
        <x:v>S3 p31 | guidance, not guaranteed spending</x:v>
      </x:c>
    </x:row>
    <x:row r="79" ht="21" customHeight="1">
      <x:c r="A79" s="1"/>
      <x:c r="B79" s="1"/>
      <x:c r="C79" s="1" t="str">
        <x:v>July 2026 customer advance received</x:v>
      </x:c>
      <x:c r="D79" s="19"/>
      <x:c r="E79" s="19"/>
      <x:c r="F79" s="19"/>
      <x:c r="G79" s="19"/>
      <x:c r="H79" s="20" t="n">
        <x:v>100000</x:v>
      </x:c>
      <x:c r="I79" s="1"/>
      <x:c r="J79" s="6" t="str">
        <x:v>S3 p9 | received July 2026</x:v>
      </x:c>
    </x:row>
    <x:row r="80" ht="21" customHeight="1">
      <x:c r="A80" s="1"/>
      <x:c r="B80" s="1"/>
      <x:c r="C80" s="1" t="str">
        <x:v>Customer advance expected in 2027</x:v>
      </x:c>
      <x:c r="D80" s="19"/>
      <x:c r="E80" s="19"/>
      <x:c r="F80" s="19"/>
      <x:c r="G80" s="19"/>
      <x:c r="H80" s="20" t="n">
        <x:v>1500000</x:v>
      </x:c>
      <x:c r="I80" s="1"/>
      <x:c r="J80" s="6" t="str">
        <x:v>S3 p30 | agreement July 2026; expected, not received</x:v>
      </x:c>
    </x:row>
    <x:row r="81" ht="21" customHeight="1">
      <x:c r="A81" s="1"/>
      <x:c r="B81" s="1"/>
      <x:c r="C81" s="1" t="str">
        <x:v>Contract liabilities at June 2026</x:v>
      </x:c>
      <x:c r="D81" s="19"/>
      <x:c r="E81" s="19"/>
      <x:c r="F81" s="19"/>
      <x:c r="G81" s="19"/>
      <x:c r="H81" s="20" t="n">
        <x:v>393000</x:v>
      </x:c>
      <x:c r="I81" s="1"/>
      <x:c r="J81" s="6" t="str">
        <x:v>S3 p9 | contract liability, rounded millions</x:v>
      </x:c>
    </x:row>
    <x:row r="82" ht="21" customHeight="1">
      <x:c r="A82" s="1"/>
      <x:c r="B82" s="1"/>
      <x:c r="C82" s="1" t="str">
        <x:v>US revolver available at June 2026</x:v>
      </x:c>
      <x:c r="D82" s="19"/>
      <x:c r="E82" s="19"/>
      <x:c r="F82" s="19"/>
      <x:c r="G82" s="19"/>
      <x:c r="H82" s="20" t="n">
        <x:v>1000000</x:v>
      </x:c>
      <x:c r="I82" s="1"/>
      <x:c r="J82" s="6" t="str">
        <x:v>S3 p20 | subject to facility conditions</x:v>
      </x:c>
    </x:row>
    <x:row r="83" ht="21" customHeight="1">
      <x:c r="A83" s="1"/>
      <x:c r="B83" s="1"/>
      <x:c r="C83" s="1"/>
      <x:c r="D83" s="3"/>
      <x:c r="E83" s="3"/>
      <x:c r="F83" s="3"/>
      <x:c r="G83" s="3"/>
      <x:c r="H83" s="1"/>
      <x:c r="I83" s="1"/>
      <x:c r="J83" s="1"/>
    </x:row>
    <x:row r="84" ht="21" customHeight="1">
      <x:c r="A84" s="1"/>
      <x:c r="B84" s="1"/>
      <x:c r="C84" s="1"/>
      <x:c r="D84" s="3"/>
      <x:c r="E84" s="3"/>
      <x:c r="F84" s="3"/>
      <x:c r="G84" s="3"/>
      <x:c r="H84" s="1"/>
      <x:c r="I84" s="1"/>
      <x:c r="J84" s="1"/>
    </x:row>
    <x:row r="85" ht="25" customHeight="1">
      <x:c r="A85" s="1"/>
      <x:c r="B85" s="1"/>
      <x:c r="C85" s="15" t="str">
        <x:v>CONTRACTUAL MATURITIES | Gross principal, not carrying value</x:v>
      </x:c>
      <x:c r="D85" s="16"/>
      <x:c r="E85" s="16"/>
      <x:c r="F85" s="16"/>
      <x:c r="G85" s="16"/>
      <x:c r="H85" s="15"/>
      <x:c r="I85" s="15"/>
      <x:c r="J85" s="15"/>
    </x:row>
    <x:row r="86" ht="34" customHeight="1">
      <x:c r="A86" s="1"/>
      <x:c r="B86" s="1"/>
      <x:c r="C86" s="1"/>
      <x:c r="D86" s="27" t="str">
        <x:v>2026 remaining</x:v>
      </x:c>
      <x:c r="E86" s="27" t="str">
        <x:v>2027</x:v>
      </x:c>
      <x:c r="F86" s="27" t="str">
        <x:v>2028</x:v>
      </x:c>
      <x:c r="G86" s="27" t="str">
        <x:v>2029</x:v>
      </x:c>
      <x:c r="H86" s="27" t="str">
        <x:v>2030</x:v>
      </x:c>
      <x:c r="I86" s="27" t="str">
        <x:v>2031+</x:v>
      </x:c>
      <x:c r="J86" s="27" t="str">
        <x:v>Total</x:v>
      </x:c>
    </x:row>
    <x:row r="87" ht="21" customHeight="1">
      <x:c r="A87" s="1"/>
      <x:c r="B87" s="1"/>
      <x:c r="C87" s="1" t="str">
        <x:v>Fixed-rate principal due</x:v>
      </x:c>
      <x:c r="D87" s="30" t="n">
        <x:v>73170</x:v>
      </x:c>
      <x:c r="E87" s="30" t="n">
        <x:v>130221</x:v>
      </x:c>
      <x:c r="F87" s="30" t="n">
        <x:v>110904</x:v>
      </x:c>
      <x:c r="G87" s="30" t="n">
        <x:v>39373</x:v>
      </x:c>
      <x:c r="H87" s="31" t="n">
        <x:v>18333</x:v>
      </x:c>
      <x:c r="I87" s="31" t="n">
        <x:v>1650000</x:v>
      </x:c>
      <x:c r="J87" s="31" t="n">
        <x:v>2022001</x:v>
      </x:c>
    </x:row>
    <x:row r="88" ht="21" customHeight="1">
      <x:c r="A88" s="1"/>
      <x:c r="B88" s="1"/>
      <x:c r="C88" s="1" t="str">
        <x:v>Floating-rate principal due</x:v>
      </x:c>
      <x:c r="D88" s="30" t="n">
        <x:v>6250</x:v>
      </x:c>
      <x:c r="E88" s="30" t="n">
        <x:v>12500</x:v>
      </x:c>
      <x:c r="F88" s="30" t="n">
        <x:v>25000</x:v>
      </x:c>
      <x:c r="G88" s="30" t="n">
        <x:v>25000</x:v>
      </x:c>
      <x:c r="H88" s="31" t="n">
        <x:v>425000</x:v>
      </x:c>
      <x:c r="I88" s="31" t="n">
        <x:v>0</x:v>
      </x:c>
      <x:c r="J88" s="31" t="n">
        <x:v>493750</x:v>
      </x:c>
    </x:row>
    <x:row r="89" ht="21" customHeight="1">
      <x:c r="A89" s="1"/>
      <x:c r="B89" s="1"/>
      <x:c r="C89" s="1" t="str">
        <x:v>Total principal due</x:v>
      </x:c>
      <x:c r="D89" s="30" t="n">
        <x:v>79420</x:v>
      </x:c>
      <x:c r="E89" s="30" t="n">
        <x:v>142721</x:v>
      </x:c>
      <x:c r="F89" s="30" t="n">
        <x:v>135904</x:v>
      </x:c>
      <x:c r="G89" s="30" t="n">
        <x:v>64373</x:v>
      </x:c>
      <x:c r="H89" s="31" t="n">
        <x:v>443333</x:v>
      </x:c>
      <x:c r="I89" s="31" t="n">
        <x:v>1650000</x:v>
      </x:c>
      <x:c r="J89" s="31" t="n">
        <x:v>2515751</x:v>
      </x:c>
    </x:row>
    <x:row r="90" ht="31" customHeight="1">
      <x:c r="A90" s="1"/>
      <x:c r="B90" s="1"/>
      <x:c r="C90" s="33" t="str">
        <x:v>Source S3 p34. Thereafter = $1,150m convertible due July 2031 and $500m notes due October 2033.</x:v>
      </x:c>
      <x:c r="D90" s="34"/>
      <x:c r="E90" s="34"/>
      <x:c r="F90" s="34"/>
      <x:c r="G90" s="34"/>
      <x:c r="H90" s="33"/>
      <x:c r="I90" s="33"/>
      <x:c r="J90" s="33"/>
    </x:row>
    <x:row r="91" ht="21" customHeight="1">
      <x:c r="A91" s="1"/>
      <x:c r="B91" s="1"/>
      <x:c r="C91" s="1"/>
      <x:c r="D91" s="3"/>
      <x:c r="E91" s="3"/>
      <x:c r="F91" s="3"/>
      <x:c r="G91" s="3"/>
      <x:c r="H91" s="1"/>
      <x:c r="I91" s="1"/>
      <x:c r="J91" s="1"/>
    </x:row>
    <x:row r="92" ht="25" customHeight="1">
      <x:c r="A92" s="1"/>
      <x:c r="B92" s="1"/>
      <x:c r="C92" s="15" t="str">
        <x:v>EXISTING DEBT INSTRUMENTS | 30-Jun-2026</x:v>
      </x:c>
      <x:c r="D92" s="16"/>
      <x:c r="E92" s="16"/>
      <x:c r="F92" s="16"/>
      <x:c r="G92" s="16"/>
      <x:c r="H92" s="15"/>
      <x:c r="I92" s="1"/>
      <x:c r="J92" s="1"/>
    </x:row>
    <x:row r="93" ht="34" customHeight="1">
      <x:c r="A93" s="1"/>
      <x:c r="B93" s="1"/>
      <x:c r="C93" s="24" t="str">
        <x:v>Instrument</x:v>
      </x:c>
      <x:c r="D93" s="23" t="str">
        <x:v>Principal ($000)</x:v>
      </x:c>
      <x:c r="E93" s="23" t="str">
        <x:v>Cash coupon</x:v>
      </x:c>
      <x:c r="F93" s="23" t="str">
        <x:v>Rate type</x:v>
      </x:c>
      <x:c r="G93" s="23" t="str">
        <x:v>Maturity</x:v>
      </x:c>
      <x:c r="H93" s="24" t="str">
        <x:v>Source</x:v>
      </x:c>
      <x:c r="I93" s="1"/>
      <x:c r="J93" s="1"/>
    </x:row>
    <x:row r="94" ht="21" customHeight="1">
      <x:c r="A94" s="1"/>
      <x:c r="B94" s="1"/>
      <x:c r="C94" s="1" t="str">
        <x:v>Senior notes</x:v>
      </x:c>
      <x:c r="D94" s="30" t="n">
        <x:v>500000</x:v>
      </x:c>
      <x:c r="E94" s="36" t="n">
        <x:v>0.05875</x:v>
      </x:c>
      <x:c r="F94" s="3" t="str">
        <x:v>Fixed</x:v>
      </x:c>
      <x:c r="G94" s="38" t="n">
        <x:v>2033</x:v>
      </x:c>
      <x:c r="H94" s="39" t="str">
        <x:v>S3 p18</x:v>
      </x:c>
      <x:c r="I94" s="1"/>
      <x:c r="J94" s="1"/>
    </x:row>
    <x:row r="95" ht="21" customHeight="1">
      <x:c r="A95" s="1"/>
      <x:c r="B95" s="1"/>
      <x:c r="C95" s="1" t="str">
        <x:v>Convertible senior notes</x:v>
      </x:c>
      <x:c r="D95" s="30" t="n">
        <x:v>1150000</x:v>
      </x:c>
      <x:c r="E95" s="36" t="n">
        <x:v>0</x:v>
      </x:c>
      <x:c r="F95" s="3" t="str">
        <x:v>Fixed</x:v>
      </x:c>
      <x:c r="G95" s="38" t="n">
        <x:v>2031</x:v>
      </x:c>
      <x:c r="H95" s="39" t="str">
        <x:v>S3 pp18–19; principal remains debt</x:v>
      </x:c>
      <x:c r="I95" s="1"/>
      <x:c r="J95" s="1"/>
    </x:row>
    <x:row r="96" ht="21" customHeight="1">
      <x:c r="A96" s="1"/>
      <x:c r="B96" s="1"/>
      <x:c r="C96" s="1" t="str">
        <x:v>Term A</x:v>
      </x:c>
      <x:c r="D96" s="30" t="n">
        <x:v>493750</x:v>
      </x:c>
      <x:c r="E96" s="36" t="n">
        <x:v>0.0548</x:v>
      </x:c>
      <x:c r="F96" s="3" t="str">
        <x:v>Floating</x:v>
      </x:c>
      <x:c r="G96" s="38" t="n">
        <x:v>2030</x:v>
      </x:c>
      <x:c r="H96" s="39" t="str">
        <x:v>S3 p18; benchmark + 1.75%</x:v>
      </x:c>
      <x:c r="I96" s="1"/>
      <x:c r="J96" s="1"/>
    </x:row>
    <x:row r="97" ht="21" customHeight="1">
      <x:c r="A97" s="1"/>
      <x:c r="B97" s="1"/>
      <x:c r="C97" s="1" t="str">
        <x:v>Korea term loan</x:v>
      </x:c>
      <x:c r="D97" s="30" t="n">
        <x:v>125000</x:v>
      </x:c>
      <x:c r="E97" s="36" t="n">
        <x:v>0.0212</x:v>
      </x:c>
      <x:c r="F97" s="3" t="str">
        <x:v>Fixed</x:v>
      </x:c>
      <x:c r="G97" s="38" t="n">
        <x:v>2028</x:v>
      </x:c>
      <x:c r="H97" s="39" t="str">
        <x:v>S3 p18</x:v>
      </x:c>
      <x:c r="I97" s="1"/>
      <x:c r="J97" s="1"/>
    </x:row>
    <x:row r="98" ht="21" customHeight="1">
      <x:c r="A98" s="1"/>
      <x:c r="B98" s="1"/>
      <x:c r="C98" s="1" t="str">
        <x:v>Japan term loan 2026</x:v>
      </x:c>
      <x:c r="D98" s="30" t="n">
        <x:v>8059</x:v>
      </x:c>
      <x:c r="E98" s="36" t="n">
        <x:v>0.0123</x:v>
      </x:c>
      <x:c r="F98" s="3" t="str">
        <x:v>Fixed</x:v>
      </x:c>
      <x:c r="G98" s="38" t="n">
        <x:v>2026</x:v>
      </x:c>
      <x:c r="H98" s="39" t="str">
        <x:v>S3 p18</x:v>
      </x:c>
      <x:c r="I98" s="1"/>
      <x:c r="J98" s="1"/>
    </x:row>
    <x:row r="99" ht="21" customHeight="1">
      <x:c r="A99" s="1"/>
      <x:c r="B99" s="1"/>
      <x:c r="C99" s="1" t="str">
        <x:v>Japan term loan 2027</x:v>
      </x:c>
      <x:c r="D99" s="30" t="n">
        <x:v>28976</x:v>
      </x:c>
      <x:c r="E99" s="36" t="n">
        <x:v>0.0159</x:v>
      </x:c>
      <x:c r="F99" s="3" t="str">
        <x:v>Fixed</x:v>
      </x:c>
      <x:c r="G99" s="38" t="n">
        <x:v>2027</x:v>
      </x:c>
      <x:c r="H99" s="39" t="str">
        <x:v>S3 p18</x:v>
      </x:c>
      <x:c r="I99" s="1"/>
      <x:c r="J99" s="1"/>
    </x:row>
    <x:row r="100" ht="21" customHeight="1">
      <x:c r="A100" s="1"/>
      <x:c r="B100" s="1"/>
      <x:c r="C100" s="1" t="str">
        <x:v>Japan term loan 2028</x:v>
      </x:c>
      <x:c r="D100" s="30" t="n">
        <x:v>53830</x:v>
      </x:c>
      <x:c r="E100" s="36" t="n">
        <x:v>0.018</x:v>
      </x:c>
      <x:c r="F100" s="3" t="str">
        <x:v>Fixed</x:v>
      </x:c>
      <x:c r="G100" s="38" t="n">
        <x:v>2028</x:v>
      </x:c>
      <x:c r="H100" s="39" t="str">
        <x:v>S3 p18</x:v>
      </x:c>
      <x:c r="I100" s="1"/>
      <x:c r="J100" s="1"/>
    </x:row>
    <x:row r="101" ht="21" customHeight="1">
      <x:c r="A101" s="1"/>
      <x:c r="B101" s="1"/>
      <x:c r="C101" s="1"/>
      <x:c r="D101" s="30"/>
      <x:c r="E101" s="36"/>
      <x:c r="F101" s="3"/>
      <x:c r="G101" s="38"/>
      <x:c r="H101" s="39"/>
      <x:c r="I101" s="1"/>
      <x:c r="J101" s="1"/>
    </x:row>
    <x:row r="102" ht="21" customHeight="1">
      <x:c r="A102" s="1"/>
      <x:c r="B102" s="1"/>
      <x:c r="C102" s="1" t="str">
        <x:v>Japan term loan 2029</x:v>
      </x:c>
      <x:c r="D102" s="30" t="n">
        <x:v>73639</x:v>
      </x:c>
      <x:c r="E102" s="36" t="n">
        <x:v>0.0205</x:v>
      </x:c>
      <x:c r="F102" s="3" t="str">
        <x:v>Fixed</x:v>
      </x:c>
      <x:c r="G102" s="38" t="n">
        <x:v>2029</x:v>
      </x:c>
      <x:c r="H102" s="39" t="str">
        <x:v>S3 p18</x:v>
      </x:c>
      <x:c r="I102" s="1"/>
      <x:c r="J102" s="1"/>
    </x:row>
    <x:row r="103" ht="21" customHeight="1">
      <x:c r="A103" s="1"/>
      <x:c r="B103" s="1"/>
      <x:c r="C103" s="1" t="str">
        <x:v>Japan term loan 2030</x:v>
      </x:c>
      <x:c r="D103" s="30" t="n">
        <x:v>82497</x:v>
      </x:c>
      <x:c r="E103" s="36" t="n">
        <x:v>0.0242</x:v>
      </x:c>
      <x:c r="F103" s="3" t="str">
        <x:v>Fixed</x:v>
      </x:c>
      <x:c r="G103" s="38" t="n">
        <x:v>2030</x:v>
      </x:c>
      <x:c r="H103" s="39" t="str">
        <x:v>S3 p18</x:v>
      </x:c>
      <x:c r="I103" s="1"/>
      <x:c r="J103" s="1"/>
    </x:row>
    <x:row r="104" ht="21" customHeight="1">
      <x:c r="A104" s="1"/>
      <x:c r="B104" s="1"/>
      <x:c r="C104" s="1" t="str">
        <x:v>Term A contractual floating spread</x:v>
      </x:c>
      <x:c r="D104" s="3"/>
      <x:c r="E104" s="42" t="n">
        <x:v>0.0175</x:v>
      </x:c>
      <x:c r="F104" s="3"/>
      <x:c r="G104" s="3"/>
      <x:c r="H104" s="39" t="str">
        <x:v>S3 p18; benchmark + 1.75%</x:v>
      </x:c>
      <x:c r="I104" s="1"/>
      <x:c r="J104" s="1"/>
    </x:row>
    <x:row r="105" ht="21" customHeight="1">
      <x:c r="A105" s="1"/>
      <x:c r="B105" s="1"/>
      <x:c r="C105" s="1"/>
      <x:c r="D105" s="3"/>
      <x:c r="E105" s="3"/>
      <x:c r="F105" s="3"/>
      <x:c r="G105" s="3"/>
      <x:c r="H105" s="1"/>
      <x:c r="I105" s="1"/>
      <x:c r="J105" s="1"/>
    </x:row>
    <x:row r="106" ht="25" customHeight="1">
      <x:c r="A106" s="1"/>
      <x:c r="B106" s="1"/>
      <x:c r="C106" s="15" t="str">
        <x:v>SOURCE REGISTRY &amp; MODEL LIMITS</x:v>
      </x:c>
      <x:c r="D106" s="16"/>
      <x:c r="E106" s="16"/>
      <x:c r="F106" s="16"/>
      <x:c r="G106" s="16"/>
      <x:c r="H106" s="15"/>
      <x:c r="I106" s="15"/>
      <x:c r="J106" s="15"/>
    </x:row>
    <x:row r="107" ht="21" customHeight="1">
      <x:c r="A107" s="1"/>
      <x:c r="B107" s="1"/>
      <x:c r="C107" s="1"/>
      <x:c r="D107" s="3"/>
      <x:c r="E107" s="3"/>
      <x:c r="F107" s="3"/>
      <x:c r="G107" s="3"/>
      <x:c r="H107" s="1"/>
      <x:c r="I107" s="1"/>
      <x:c r="J107" s="1"/>
    </x:row>
    <x:row r="108" ht="21" customHeight="1">
      <x:c r="A108" s="1"/>
      <x:c r="B108" s="1"/>
      <x:c r="C108" s="1" t="str">
        <x:v>S1 | Amkor 2025 Form 10-K (filed 20-Feb-2026)</x:v>
      </x:c>
      <x:c r="D108" s="3"/>
      <x:c r="E108" s="3"/>
      <x:c r="F108" s="3"/>
      <x:c r="G108" s="3"/>
      <x:c r="H108" s="1"/>
      <x:c r="I108" s="1"/>
      <x:c r="J108" s="1"/>
    </x:row>
    <x:row r="109" ht="25" customHeight="1">
      <x:c r="A109" s="1"/>
      <x:c r="B109" s="1"/>
      <x:c r="C109" s="43" t="str">
        <x:v>https://www.sec.gov/Archives/edgar/data/1047127/000104712726000014/amkr-20251231.htm</x:v>
      </x:c>
      <x:c r="D109" s="44"/>
      <x:c r="E109" s="44"/>
      <x:c r="F109" s="44"/>
      <x:c r="G109" s="44"/>
      <x:c r="H109" s="43"/>
      <x:c r="I109" s="43"/>
      <x:c r="J109" s="43"/>
    </x:row>
    <x:row r="110" ht="21" customHeight="1">
      <x:c r="A110" s="1"/>
      <x:c r="B110" s="1"/>
      <x:c r="C110" s="1"/>
      <x:c r="D110" s="3"/>
      <x:c r="E110" s="3"/>
      <x:c r="F110" s="3"/>
      <x:c r="G110" s="3"/>
      <x:c r="H110" s="1"/>
      <x:c r="I110" s="1"/>
      <x:c r="J110" s="1"/>
    </x:row>
    <x:row r="111" ht="21" customHeight="1">
      <x:c r="A111" s="1"/>
      <x:c r="B111" s="1"/>
      <x:c r="C111" s="1" t="str">
        <x:v>S2 | Amkor 2024 Form 10-K (filed 21-Feb-2025)</x:v>
      </x:c>
      <x:c r="D111" s="3"/>
      <x:c r="E111" s="3"/>
      <x:c r="F111" s="3"/>
      <x:c r="G111" s="3"/>
      <x:c r="H111" s="1"/>
      <x:c r="I111" s="1"/>
      <x:c r="J111" s="1"/>
    </x:row>
    <x:row r="112" ht="25" customHeight="1">
      <x:c r="A112" s="1"/>
      <x:c r="B112" s="1"/>
      <x:c r="C112" s="43" t="str">
        <x:v>https://www.sec.gov/Archives/edgar/data/1047127/000104712725000030/amkr-20241231.htm</x:v>
      </x:c>
      <x:c r="D112" s="44"/>
      <x:c r="E112" s="44"/>
      <x:c r="F112" s="44"/>
      <x:c r="G112" s="44"/>
      <x:c r="H112" s="43"/>
      <x:c r="I112" s="43"/>
      <x:c r="J112" s="43"/>
    </x:row>
    <x:row r="113" ht="21" customHeight="1">
      <x:c r="A113" s="1"/>
      <x:c r="B113" s="1"/>
      <x:c r="C113" s="1"/>
      <x:c r="D113" s="3"/>
      <x:c r="E113" s="3"/>
      <x:c r="F113" s="3"/>
      <x:c r="G113" s="3"/>
      <x:c r="H113" s="1"/>
      <x:c r="I113" s="1"/>
      <x:c r="J113" s="1"/>
    </x:row>
    <x:row r="114" ht="21" customHeight="1">
      <x:c r="A114" s="1"/>
      <x:c r="B114" s="1"/>
      <x:c r="C114" s="1" t="str">
        <x:v>S3 | Amkor Q2 2026 Form 10-Q (filed 28-Jul-2026)</x:v>
      </x:c>
      <x:c r="D114" s="3"/>
      <x:c r="E114" s="3"/>
      <x:c r="F114" s="3"/>
      <x:c r="G114" s="3"/>
      <x:c r="H114" s="1"/>
      <x:c r="I114" s="1"/>
      <x:c r="J114" s="1"/>
    </x:row>
    <x:row r="115" ht="25" customHeight="1">
      <x:c r="A115" s="1"/>
      <x:c r="B115" s="1"/>
      <x:c r="C115" s="43" t="str">
        <x:v>https://www.sec.gov/Archives/edgar/data/1047127/000104712726000046/amkr-20260630.htm</x:v>
      </x:c>
      <x:c r="D115" s="44"/>
      <x:c r="E115" s="44"/>
      <x:c r="F115" s="44"/>
      <x:c r="G115" s="44"/>
      <x:c r="H115" s="43"/>
      <x:c r="I115" s="43"/>
      <x:c r="J115" s="43"/>
    </x:row>
    <x:row r="116" ht="21" customHeight="1">
      <x:c r="A116" s="1"/>
      <x:c r="B116" s="1"/>
      <x:c r="C116" s="1"/>
      <x:c r="D116" s="3"/>
      <x:c r="E116" s="3"/>
      <x:c r="F116" s="3"/>
      <x:c r="G116" s="3"/>
      <x:c r="H116" s="1"/>
      <x:c r="I116" s="1"/>
      <x:c r="J116" s="1"/>
    </x:row>
    <x:row r="117" ht="21" customHeight="1">
      <x:c r="A117" s="1"/>
      <x:c r="B117" s="1"/>
      <x:c r="C117" s="1" t="str">
        <x:v>S4 | Amkor press releases, 8-Sep-2026 Arizona update</x:v>
      </x:c>
      <x:c r="D117" s="3"/>
      <x:c r="E117" s="3"/>
      <x:c r="F117" s="3"/>
      <x:c r="G117" s="3"/>
      <x:c r="H117" s="1"/>
      <x:c r="I117" s="1"/>
      <x:c r="J117" s="1"/>
    </x:row>
    <x:row r="118" ht="25" customHeight="1">
      <x:c r="A118" s="1"/>
      <x:c r="B118" s="1"/>
      <x:c r="C118" s="43" t="str">
        <x:v>https://ir.amkor.com/press-releases</x:v>
      </x:c>
      <x:c r="D118" s="44"/>
      <x:c r="E118" s="44"/>
      <x:c r="F118" s="44"/>
      <x:c r="G118" s="44"/>
      <x:c r="H118" s="43"/>
      <x:c r="I118" s="43"/>
      <x:c r="J118" s="43"/>
    </x:row>
    <x:row r="119" ht="21" customHeight="1">
      <x:c r="A119" s="1"/>
      <x:c r="B119" s="1"/>
      <x:c r="C119" s="1"/>
      <x:c r="D119" s="3"/>
      <x:c r="E119" s="3"/>
      <x:c r="F119" s="3"/>
      <x:c r="G119" s="3"/>
      <x:c r="H119" s="1"/>
      <x:c r="I119" s="1"/>
      <x:c r="J119" s="1"/>
    </x:row>
    <x:row r="120" ht="21" customHeight="1">
      <x:c r="A120" s="1"/>
      <x:c r="B120" s="1"/>
      <x:c r="C120" s="1"/>
      <x:c r="D120" s="3"/>
      <x:c r="E120" s="3"/>
      <x:c r="F120" s="3"/>
      <x:c r="G120" s="3"/>
      <x:c r="H120" s="1"/>
      <x:c r="I120" s="1"/>
      <x:c r="J120" s="1"/>
    </x:row>
    <x:row r="121" ht="32" customHeight="1">
      <x:c r="A121" s="1"/>
      <x:c r="B121" s="1"/>
      <x:c r="C121" s="33" t="str">
        <x:v>Annual inputs use the latest comparative statements. PDF copies are in the project sources folder; page references are printed pages, not PDF indices.</x:v>
      </x:c>
      <x:c r="D121" s="34"/>
      <x:c r="E121" s="34"/>
      <x:c r="F121" s="34"/>
      <x:c r="G121" s="34"/>
      <x:c r="H121" s="33"/>
      <x:c r="I121" s="33"/>
      <x:c r="J121" s="33"/>
    </x:row>
    <x:row r="122" ht="21" customHeight="1">
      <x:c r="A122" s="1"/>
      <x:c r="B122" s="1"/>
      <x:c r="C122" s="1"/>
      <x:c r="D122" s="3"/>
      <x:c r="E122" s="3"/>
      <x:c r="F122" s="3"/>
      <x:c r="G122" s="3"/>
      <x:c r="H122" s="1"/>
      <x:c r="I122" s="1"/>
      <x:c r="J122" s="1"/>
    </x:row>
    <x:row r="123" ht="38" customHeight="1">
      <x:c r="A123" s="1"/>
      <x:c r="B123" s="1"/>
      <x:c r="C123" s="33" t="str">
        <x:v>Condensed cash-flow presentation: other operating adjustments are calculated as a residual on Financials. Interim cash interest paid is unavailable, so LTM cash-interest-based DSCR is not invented.</x:v>
      </x:c>
      <x:c r="D123" s="34"/>
      <x:c r="E123" s="34"/>
      <x:c r="F123" s="34"/>
      <x:c r="G123" s="34"/>
      <x:c r="H123" s="33"/>
      <x:c r="I123" s="33"/>
      <x:c r="J123" s="33"/>
    </x:row>
    <x:row r="124" ht="21" customHeight="1">
      <x:c r="A124" s="1"/>
      <x:c r="B124" s="1"/>
      <x:c r="C124" s="1"/>
      <x:c r="D124" s="3"/>
      <x:c r="E124" s="3"/>
      <x:c r="F124" s="3"/>
      <x:c r="G124" s="3"/>
      <x:c r="H124" s="1"/>
      <x:c r="I124" s="1"/>
      <x:c r="J124" s="1"/>
    </x:row>
    <x:row r="125" ht="36" customHeight="1">
      <x:c r="A125" s="1"/>
      <x:c r="B125" s="1"/>
      <x:c r="C125" s="33" t="str">
        <x:v>AI status: these are a manually verified benchmark, not Claude/API-extracted results. Python/AI extraction, citation matching and accuracy evaluation are the next project phase.</x:v>
      </x:c>
      <x:c r="D125" s="34"/>
      <x:c r="E125" s="34"/>
      <x:c r="F125" s="34"/>
      <x:c r="G125" s="34"/>
      <x:c r="H125" s="33"/>
      <x:c r="I125" s="33"/>
      <x:c r="J125" s="33"/>
    </x:row>
    <x:row r="126" ht="21" customHeight="1">
      <x:c r="A126" s="1"/>
      <x:c r="B126" s="1"/>
      <x:c r="C126" s="1"/>
      <x:c r="D126" s="3"/>
      <x:c r="E126" s="3"/>
      <x:c r="F126" s="3"/>
      <x:c r="G126" s="3"/>
      <x:c r="H126" s="1"/>
      <x:c r="I126" s="1"/>
      <x:c r="J126" s="1"/>
    </x:row>
    <x:row r="127" ht="38" customHeight="1">
      <x:c r="A127" s="1"/>
      <x:c r="B127" s="1"/>
      <x:c r="C127" s="33" t="str">
        <x:v>September 2026: Arizona campus investment headline expanded to $12bn (S4). This is a multi-year project figure, not a disclosed annual cash-spend schedule; 2027–2029 capex is analyst-assumed.</x:v>
      </x:c>
      <x:c r="D127" s="34"/>
      <x:c r="E127" s="34"/>
      <x:c r="F127" s="34"/>
      <x:c r="G127" s="34"/>
      <x:c r="H127" s="33"/>
      <x:c r="I127" s="33"/>
      <x:c r="J127" s="33"/>
    </x:row>
    <x:row r="128" ht="21" customHeight="1">
      <x:c r="A128" s="1"/>
      <x:c r="B128" s="1"/>
      <x:c r="C128" s="1"/>
      <x:c r="D128" s="3"/>
      <x:c r="E128" s="3"/>
      <x:c r="F128" s="3"/>
      <x:c r="G128" s="3"/>
      <x:c r="H128" s="1"/>
      <x:c r="I128" s="1"/>
      <x:c r="J128" s="1"/>
    </x:row>
    <x:row r="129" ht="40" customHeight="1">
      <x:c r="A129" s="1"/>
      <x:c r="B129" s="1"/>
      <x:c r="C129" s="33" t="str">
        <x:v>Excluded from default funding: conditional CHIPS incentives, investment tax credits, uncommitted accordion, unused subsidiary lines, prospective equity issuance and undrawn revolver. No automatic cash or debt plug.</x:v>
      </x:c>
      <x:c r="D129" s="34"/>
      <x:c r="E129" s="34"/>
      <x:c r="F129" s="34"/>
      <x:c r="G129" s="34"/>
      <x:c r="H129" s="33"/>
      <x:c r="I129" s="33"/>
      <x:c r="J129" s="33"/>
    </x:row>
    <x:row r="130" ht="21" customHeight="1">
      <x:c r="A130" s="1"/>
      <x:c r="B130" s="1"/>
      <x:c r="C130" s="1"/>
      <x:c r="D130" s="3"/>
      <x:c r="E130" s="3"/>
      <x:c r="F130" s="3"/>
      <x:c r="G130" s="3"/>
      <x:c r="H130" s="1"/>
      <x:c r="I130" s="1"/>
      <x:c r="J130" s="1"/>
    </x:row>
    <x:row r="131" ht="34" customHeight="1">
      <x:c r="A131" s="1"/>
      <x:c r="B131" s="1"/>
      <x:c r="C131" s="33" t="str">
        <x:v>Dollar cash-flow ratios and EBITDA are analyst proxies, not legal covenant calculations. Consolidated liquidity is not necessarily unrestricted parent-level cash; restricted cash is excluded.</x:v>
      </x:c>
      <x:c r="D131" s="34"/>
      <x:c r="E131" s="34"/>
      <x:c r="F131" s="34"/>
      <x:c r="G131" s="34"/>
      <x:c r="H131" s="33"/>
      <x:c r="I131" s="33"/>
      <x:c r="J131" s="33"/>
    </x:row>
    <x:row r="132" ht="21" customHeight="1">
      <x:c r="A132" s="1"/>
      <x:c r="B132" s="1"/>
      <x:c r="C132" s="1"/>
      <x:c r="D132" s="3"/>
      <x:c r="E132" s="3"/>
      <x:c r="F132" s="3"/>
      <x:c r="G132" s="3"/>
      <x:c r="H132" s="1"/>
      <x:c r="I132" s="1"/>
      <x:c r="J132" s="1"/>
    </x:row>
    <x:row r="133" ht="34" customHeight="1">
      <x:c r="A133" s="1"/>
      <x:c r="B133" s="1"/>
      <x:c r="C133" s="33" t="str">
        <x:v>This is not a forecast of default probability. Currency translation, lease additions, tax credits, stock dilution, investment returns, and early convertible settlement require further due diligence.</x:v>
      </x:c>
      <x:c r="D133" s="34"/>
      <x:c r="E133" s="34"/>
      <x:c r="F133" s="34"/>
      <x:c r="G133" s="34"/>
      <x:c r="H133" s="33"/>
      <x:c r="I133" s="33"/>
      <x:c r="J133" s="33"/>
    </x:row>
    <x:row r="134" ht="21" customHeight="1">
      <x:c r="A134" s="1"/>
      <x:c r="B134" s="1"/>
      <x:c r="C134" s="1"/>
      <x:c r="D134" s="3"/>
      <x:c r="E134" s="3"/>
      <x:c r="F134" s="3"/>
      <x:c r="G134" s="3"/>
      <x:c r="H134" s="1"/>
      <x:c r="I134" s="1"/>
      <x:c r="J134" s="1"/>
    </x:row>
    <x:row r="135" ht="21" customHeight="1">
      <x:c r="A135" s="1"/>
      <x:c r="B135" s="1"/>
      <x:c r="C135" s="1"/>
      <x:c r="D135" s="3"/>
      <x:c r="E135" s="3"/>
      <x:c r="F135" s="3"/>
      <x:c r="G135" s="3"/>
      <x:c r="H135" s="1"/>
      <x:c r="I135" s="1"/>
      <x:c r="J135" s="1"/>
    </x:row>
    <x:row r="136" ht="21" customHeight="1">
      <x:c r="A136" s="1"/>
      <x:c r="B136" s="1"/>
      <x:c r="C136" s="1"/>
      <x:c r="D136" s="3"/>
      <x:c r="E136" s="3"/>
      <x:c r="F136" s="3"/>
      <x:c r="G136" s="3"/>
      <x:c r="H136" s="1"/>
      <x:c r="I136" s="1"/>
      <x:c r="J136" s="1"/>
    </x:row>
    <x:row r="137" ht="21" customHeight="1">
      <x:c r="A137" s="1"/>
      <x:c r="B137" s="1"/>
      <x:c r="C137" s="1"/>
      <x:c r="D137" s="3"/>
      <x:c r="E137" s="3"/>
      <x:c r="F137" s="3"/>
      <x:c r="G137" s="3"/>
      <x:c r="H137" s="1"/>
      <x:c r="I137" s="1"/>
      <x:c r="J137" s="1"/>
    </x:row>
  </x:sheetData>
  <x:mergeCells>
    <x:mergeCell ref="C1:J2"/>
    <x:mergeCell ref="D4:G4"/>
    <x:mergeCell ref="E3:J3"/>
    <x:mergeCell ref="C6:H6"/>
    <x:mergeCell ref="C22:H22"/>
    <x:mergeCell ref="C52:H52"/>
    <x:mergeCell ref="C72:H72"/>
    <x:mergeCell ref="C85:J85"/>
    <x:mergeCell ref="C90:J90"/>
    <x:mergeCell ref="C92:H92"/>
    <x:mergeCell ref="C106:J106"/>
    <x:mergeCell ref="C109:J109"/>
    <x:mergeCell ref="C112:J112"/>
    <x:mergeCell ref="C115:J115"/>
    <x:mergeCell ref="C118:J118"/>
    <x:mergeCell ref="C121:J121"/>
    <x:mergeCell ref="C123:J123"/>
    <x:mergeCell ref="C125:J125"/>
    <x:mergeCell ref="C127:J127"/>
    <x:mergeCell ref="C129:J129"/>
    <x:mergeCell ref="C131:J131"/>
    <x:mergeCell ref="C133:J13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47D9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</x:cols>
  <x:sheetData>
    <x:row r="1" ht="21" customHeight="1">
      <x:c r="A1" s="1"/>
      <x:c r="B1" s="1"/>
      <x:c r="C1" s="5" t="str">
        <x:v>SOURCE &amp; MODEL RECONCILIATIONS</x:v>
      </x:c>
      <x:c r="D1" s="5"/>
      <x:c r="E1" s="5"/>
      <x:c r="F1" s="5"/>
      <x:c r="G1" s="5"/>
      <x:c r="H1" s="5"/>
    </x:row>
    <x:row r="2" ht="21" customHeight="1">
      <x:c r="A2" s="1"/>
      <x:c r="B2" s="1"/>
      <x:c r="C2" s="5"/>
      <x:c r="D2" s="5"/>
      <x:c r="E2" s="5"/>
      <x:c r="F2" s="5"/>
      <x:c r="G2" s="5"/>
      <x:c r="H2" s="5"/>
    </x:row>
    <x:row r="3" ht="21" customHeight="1">
      <x:c r="A3" s="1"/>
      <x:c r="B3" s="1"/>
      <x:c r="C3" s="6" t="str">
        <x:v>Amkor Technology | Independent credit study by Eisen Hy | 1-Oct-2026 | USD millions unless stated</x:v>
      </x:c>
      <x:c r="D3" s="6"/>
      <x:c r="E3" s="6"/>
      <x:c r="F3" s="6"/>
      <x:c r="G3" s="6"/>
      <x:c r="H3" s="6"/>
    </x:row>
    <x:row r="4" ht="21" customHeight="1">
      <x:c r="A4" s="1"/>
      <x:c r="B4" s="1"/>
      <x:c r="C4" s="1" t="str">
        <x:v>Selected case</x:v>
      </x:c>
      <x:c r="D4" s="7" t="str">
        <x:f>'Assumptions'!$D$7</x:f>
        <x:v>Base</x:v>
      </x:c>
      <x:c r="E4" s="1"/>
      <x:c r="F4" s="1"/>
      <x:c r="G4" s="1"/>
      <x:c r="H4" s="1"/>
    </x:row>
    <x:row r="5" ht="26" customHeight="1">
      <x:c r="A5" s="1"/>
      <x:c r="B5" s="1"/>
      <x:c r="C5" s="12"/>
      <x:c r="D5" s="13" t="str">
        <x:v>2023A</x:v>
      </x:c>
      <x:c r="E5" s="13" t="str">
        <x:v>2024A</x:v>
      </x:c>
      <x:c r="F5" s="13" t="str">
        <x:v>2025A</x:v>
      </x:c>
      <x:c r="G5" s="13" t="str">
        <x:v>Jun-26 / LTM</x:v>
      </x:c>
      <x:c r="H5" s="1"/>
    </x:row>
    <x:row r="6" ht="25" customHeight="1">
      <x:c r="A6" s="1"/>
      <x:c r="B6" s="1"/>
      <x:c r="C6" s="15" t="str">
        <x:v>HISTORICAL SOURCE TIE-OUTS | USD millions; tolerance 0.01</x:v>
      </x:c>
      <x:c r="D6" s="16"/>
      <x:c r="E6" s="16"/>
      <x:c r="F6" s="16"/>
      <x:c r="G6" s="16"/>
      <x:c r="H6" s="15"/>
    </x:row>
    <x:row r="7" ht="21" customHeight="1">
      <x:c r="A7" s="1"/>
      <x:c r="B7" s="1"/>
      <x:c r="C7" s="1" t="str">
        <x:v>Gross profit vs source</x:v>
      </x:c>
      <x:c r="D7" s="125" t="n">
        <x:f>'Financials'!D9-'Raw Spread'!D9/'Raw Spread'!$D$3</x:f>
        <x:v>-6.821210263296962e-13</x:v>
      </x:c>
      <x:c r="E7" s="125" t="n">
        <x:f>'Financials'!E9-'Raw Spread'!E9/'Raw Spread'!$D$3</x:f>
        <x:v>4.547473508864641e-13</x:v>
      </x:c>
      <x:c r="F7" s="125" t="n">
        <x:f>'Financials'!F9-'Raw Spread'!F9/'Raw Spread'!$D$3</x:f>
        <x:v>1.1368683772161603e-13</x:v>
      </x:c>
      <x:c r="G7" s="125" t="n">
        <x:f>'Financials'!G9-('Raw Spread'!F9+'Raw Spread'!H9-'Raw Spread'!G9)/'Raw Spread'!$D$3</x:f>
        <x:v>0</x:v>
      </x:c>
      <x:c r="H7" s="1"/>
    </x:row>
    <x:row r="8" ht="21" customHeight="1">
      <x:c r="A8" s="1"/>
      <x:c r="B8" s="1"/>
      <x:c r="C8" s="1" t="str">
        <x:v>Operating income vs source</x:v>
      </x:c>
      <x:c r="D8" s="125" t="n">
        <x:f>'Financials'!D13-'Raw Spread'!D13/'Raw Spread'!$D$3</x:f>
        <x:v>-6.252776074688882e-13</x:v>
      </x:c>
      <x:c r="E8" s="125" t="n">
        <x:f>'Financials'!E13-'Raw Spread'!E13/'Raw Spread'!$D$3</x:f>
        <x:v>5.115907697472721e-13</x:v>
      </x:c>
      <x:c r="F8" s="125" t="n">
        <x:f>'Financials'!F13-'Raw Spread'!F13/'Raw Spread'!$D$3</x:f>
        <x:v>1.7053025658242404e-13</x:v>
      </x:c>
      <x:c r="G8" s="125" t="n">
        <x:f>'Financials'!G13-('Raw Spread'!F13+'Raw Spread'!H13-'Raw Spread'!G13)/'Raw Spread'!$D$3</x:f>
        <x:v>1.1368683772161603e-13</x:v>
      </x:c>
      <x:c r="H8" s="1"/>
    </x:row>
    <x:row r="9" ht="21" customHeight="1">
      <x:c r="A9" s="1"/>
      <x:c r="B9" s="1"/>
      <x:c r="C9" s="1" t="str">
        <x:v>Pre-tax income vs source</x:v>
      </x:c>
      <x:c r="D9" s="125" t="n">
        <x:f>'Financials'!D16-'Raw Spread'!D16/'Raw Spread'!$D$3</x:f>
        <x:v>-6.821210263296962e-13</x:v>
      </x:c>
      <x:c r="E9" s="125" t="n">
        <x:f>'Financials'!E16-'Raw Spread'!E16/'Raw Spread'!$D$3</x:f>
        <x:v>5.115907697472721e-13</x:v>
      </x:c>
      <x:c r="F9" s="125" t="n">
        <x:f>'Financials'!F16-'Raw Spread'!F16/'Raw Spread'!$D$3</x:f>
        <x:v>1.1368683772161603e-13</x:v>
      </x:c>
      <x:c r="G9" s="125" t="n">
        <x:f>'Financials'!G16-('Raw Spread'!F16+'Raw Spread'!H16-'Raw Spread'!G16)/'Raw Spread'!$D$3</x:f>
        <x:v>0</x:v>
      </x:c>
      <x:c r="H9" s="1"/>
    </x:row>
    <x:row r="10" ht="21" customHeight="1">
      <x:c r="A10" s="1"/>
      <x:c r="B10" s="1"/>
      <x:c r="C10" s="1" t="str">
        <x:v>Consolidated net income vs source</x:v>
      </x:c>
      <x:c r="D10" s="125" t="n">
        <x:f>'Financials'!D18-'Raw Spread'!D18/'Raw Spread'!$D$3</x:f>
        <x:v>-6.252776074688882e-13</x:v>
      </x:c>
      <x:c r="E10" s="125" t="n">
        <x:f>'Financials'!E18-'Raw Spread'!E18/'Raw Spread'!$D$3</x:f>
        <x:v>5.115907697472721e-13</x:v>
      </x:c>
      <x:c r="F10" s="125" t="n">
        <x:f>'Financials'!F18-'Raw Spread'!F18/'Raw Spread'!$D$3</x:f>
        <x:v>1.7053025658242404e-13</x:v>
      </x:c>
      <x:c r="G10" s="125" t="n">
        <x:f>'Financials'!G18-('Raw Spread'!F18+'Raw Spread'!H18-'Raw Spread'!G18)/'Raw Spread'!$D$3</x:f>
        <x:v>0</x:v>
      </x:c>
      <x:c r="H10" s="1"/>
    </x:row>
    <x:row r="11" ht="21" customHeight="1">
      <x:c r="A11" s="1"/>
      <x:c r="B11" s="1"/>
      <x:c r="C11" s="1" t="str">
        <x:v>Amkor net income vs source</x:v>
      </x:c>
      <x:c r="D11" s="125" t="n">
        <x:f>'Financials'!D20-'Raw Spread'!D20/'Raw Spread'!$D$3</x:f>
        <x:v>-6.252776074688882e-13</x:v>
      </x:c>
      <x:c r="E11" s="125" t="n">
        <x:f>'Financials'!E20-'Raw Spread'!E20/'Raw Spread'!$D$3</x:f>
        <x:v>5.115907697472721e-13</x:v>
      </x:c>
      <x:c r="F11" s="125" t="n">
        <x:f>'Financials'!F20-'Raw Spread'!F20/'Raw Spread'!$D$3</x:f>
        <x:v>1.7053025658242404e-13</x:v>
      </x:c>
      <x:c r="G11" s="125" t="n">
        <x:f>'Financials'!G20-('Raw Spread'!F20+'Raw Spread'!H20-'Raw Spread'!G20)/'Raw Spread'!$D$3</x:f>
        <x:v>1.1368683772161603e-13</x:v>
      </x:c>
      <x:c r="H11" s="1"/>
    </x:row>
    <x:row r="12" ht="21" customHeight="1">
      <x:c r="A12" s="1"/>
      <x:c r="B12" s="1"/>
      <x:c r="C12" s="1" t="str">
        <x:v>Current assets vs source</x:v>
      </x:c>
      <x:c r="D12" s="125" t="n">
        <x:f>'Financials'!D31-'Raw Spread'!D29/'Raw Spread'!$D$3</x:f>
        <x:v>-4.547473508864641e-13</x:v>
      </x:c>
      <x:c r="E12" s="125" t="n">
        <x:f>'Financials'!E31-'Raw Spread'!E29/'Raw Spread'!$D$3</x:f>
        <x:v>0</x:v>
      </x:c>
      <x:c r="F12" s="125" t="n">
        <x:f>'Financials'!F31-'Raw Spread'!F29/'Raw Spread'!$D$3</x:f>
        <x:v>0</x:v>
      </x:c>
      <x:c r="G12" s="125" t="n">
        <x:f>'Financials'!G31-'Raw Spread'!H29/'Raw Spread'!$D$3</x:f>
        <x:v>9.094947017729282e-13</x:v>
      </x:c>
      <x:c r="H12" s="1"/>
    </x:row>
    <x:row r="13" ht="21" customHeight="1">
      <x:c r="A13" s="1"/>
      <x:c r="B13" s="1"/>
      <x:c r="C13" s="1" t="str">
        <x:v>Total assets vs source</x:v>
      </x:c>
      <x:c r="D13" s="125" t="n">
        <x:f>'Financials'!D37-'Raw Spread'!D35/'Raw Spread'!$D$3</x:f>
        <x:v>-9.094947017729282e-13</x:v>
      </x:c>
      <x:c r="E13" s="125" t="n">
        <x:f>'Financials'!E37-'Raw Spread'!E35/'Raw Spread'!$D$3</x:f>
        <x:v>0</x:v>
      </x:c>
      <x:c r="F13" s="125" t="n">
        <x:f>'Financials'!F37-'Raw Spread'!F35/'Raw Spread'!$D$3</x:f>
        <x:v>-1.8189894035458565e-12</x:v>
      </x:c>
      <x:c r="G13" s="125" t="n">
        <x:f>'Financials'!G37-'Raw Spread'!H35/'Raw Spread'!$D$3</x:f>
        <x:v>1.8189894035458565e-12</x:v>
      </x:c>
      <x:c r="H13" s="1"/>
    </x:row>
    <x:row r="14" ht="21" customHeight="1">
      <x:c r="A14" s="1"/>
      <x:c r="B14" s="1"/>
      <x:c r="C14" s="1" t="str">
        <x:v>Current liabilities vs source</x:v>
      </x:c>
      <x:c r="D14" s="125" t="n">
        <x:f>'Financials'!D46-'Raw Spread'!D41/'Raw Spread'!$D$3</x:f>
        <x:v>0</x:v>
      </x:c>
      <x:c r="E14" s="125" t="n">
        <x:f>'Financials'!E46-'Raw Spread'!E41/'Raw Spread'!$D$3</x:f>
        <x:v>-2.2737367544323206e-13</x:v>
      </x:c>
      <x:c r="F14" s="125" t="n">
        <x:f>'Financials'!F46-'Raw Spread'!F41/'Raw Spread'!$D$3</x:f>
        <x:v>2.2737367544323206e-13</x:v>
      </x:c>
      <x:c r="G14" s="125" t="n">
        <x:f>'Financials'!G46-'Raw Spread'!H41/'Raw Spread'!$D$3</x:f>
        <x:v>4.547473508864641e-13</x:v>
      </x:c>
      <x:c r="H14" s="1"/>
    </x:row>
    <x:row r="15" ht="21" customHeight="1">
      <x:c r="A15" s="1"/>
      <x:c r="B15" s="1"/>
      <x:c r="C15" s="1" t="str">
        <x:v>Total liabilities vs source</x:v>
      </x:c>
      <x:c r="D15" s="125" t="n">
        <x:f>'Financials'!D50-'Raw Spread'!D46/'Raw Spread'!$D$3</x:f>
        <x:v>0</x:v>
      </x:c>
      <x:c r="E15" s="125" t="n">
        <x:f>'Financials'!E50-'Raw Spread'!E46/'Raw Spread'!$D$3</x:f>
        <x:v>0</x:v>
      </x:c>
      <x:c r="F15" s="125" t="n">
        <x:f>'Financials'!F50-'Raw Spread'!F46/'Raw Spread'!$D$3</x:f>
        <x:v>0</x:v>
      </x:c>
      <x:c r="G15" s="125" t="n">
        <x:f>'Financials'!G50-'Raw Spread'!H46/'Raw Spread'!$D$3</x:f>
        <x:v>0</x:v>
      </x:c>
      <x:c r="H15" s="1"/>
    </x:row>
    <x:row r="16" ht="21" customHeight="1">
      <x:c r="A16" s="1"/>
      <x:c r="B16" s="1"/>
      <x:c r="C16" s="1" t="str">
        <x:v>Total equity vs source</x:v>
      </x:c>
      <x:c r="D16" s="125" t="n">
        <x:f>'Financials'!D53-'Raw Spread'!D49/'Raw Spread'!$D$3</x:f>
        <x:v>0</x:v>
      </x:c>
      <x:c r="E16" s="125" t="n">
        <x:f>'Financials'!E53-'Raw Spread'!E49/'Raw Spread'!$D$3</x:f>
        <x:v>0</x:v>
      </x:c>
      <x:c r="F16" s="125" t="n">
        <x:f>'Financials'!F53-'Raw Spread'!F49/'Raw Spread'!$D$3</x:f>
        <x:v>-9.094947017729282e-13</x:v>
      </x:c>
      <x:c r="G16" s="125" t="n">
        <x:f>'Financials'!G53-'Raw Spread'!H49/'Raw Spread'!$D$3</x:f>
        <x:v>0</x:v>
      </x:c>
      <x:c r="H16" s="1"/>
    </x:row>
    <x:row r="17" ht="21" customHeight="1">
      <x:c r="A17" s="1"/>
      <x:c r="B17" s="1"/>
      <x:c r="C17" s="1" t="str">
        <x:v>Assets minus liabilities and equity</x:v>
      </x:c>
      <x:c r="D17" s="125" t="n">
        <x:f>'Financials'!D37-'Financials'!D54</x:f>
        <x:v>-9.094947017729282e-13</x:v>
      </x:c>
      <x:c r="E17" s="125" t="n">
        <x:f>'Financials'!E37-'Financials'!E54</x:f>
        <x:v>9.094947017729282e-13</x:v>
      </x:c>
      <x:c r="F17" s="125" t="n">
        <x:f>'Financials'!F37-'Financials'!F54</x:f>
        <x:v>-9.094947017729282e-13</x:v>
      </x:c>
      <x:c r="G17" s="125" t="n">
        <x:f>'Financials'!G37-'Financials'!G54</x:f>
        <x:v>0</x:v>
      </x:c>
      <x:c r="H17" s="1"/>
    </x:row>
    <x:row r="18" ht="21" customHeight="1">
      <x:c r="A18" s="1"/>
      <x:c r="B18" s="1"/>
      <x:c r="C18" s="1" t="str">
        <x:v>Cash flow totals vs source change</x:v>
      </x:c>
      <x:c r="D18" s="125" t="n">
        <x:f>'Financials'!D67-'Raw Spread'!D60/'Raw Spread'!$D$3</x:f>
        <x:v>0</x:v>
      </x:c>
      <x:c r="E18" s="125" t="n">
        <x:f>'Financials'!E67-'Raw Spread'!E60/'Raw Spread'!$D$3</x:f>
        <x:v>1.6342482922482304e-13</x:v>
      </x:c>
      <x:c r="F18" s="125" t="n">
        <x:f>'Financials'!F67-'Raw Spread'!F60/'Raw Spread'!$D$3</x:f>
        <x:v>5.684341886080802e-14</x:v>
      </x:c>
      <x:c r="G18" s="125" t="n">
        <x:f>'Financials'!G67-('Raw Spread'!F60+'Raw Spread'!H60-'Raw Spread'!G60)/'Raw Spread'!$D$3</x:f>
        <x:v>-8.526512829121202e-14</x:v>
      </x:c>
      <x:c r="H18" s="1"/>
    </x:row>
    <x:row r="19" ht="21" customHeight="1">
      <x:c r="A19" s="1"/>
      <x:c r="B19" s="1"/>
      <x:c r="C19" s="1" t="str">
        <x:v>Cash roll-forward vs closing source</x:v>
      </x:c>
      <x:c r="D19" s="125" t="n">
        <x:f>'Financials'!D68+'Financials'!D67-'Raw Spread'!D62/'Raw Spread'!$D$3</x:f>
        <x:v>0</x:v>
      </x:c>
      <x:c r="E19" s="125" t="n">
        <x:f>'Financials'!E68+'Financials'!E67-'Raw Spread'!E62/'Raw Spread'!$D$3</x:f>
        <x:v>2.2737367544323206e-13</x:v>
      </x:c>
      <x:c r="F19" s="125" t="n">
        <x:f>'Financials'!F68+'Financials'!F67-'Raw Spread'!F62/'Raw Spread'!$D$3</x:f>
        <x:v>0</x:v>
      </x:c>
      <x:c r="G19" s="125" t="n">
        <x:f>'Financials'!G68+'Financials'!G67-'Raw Spread'!H62/'Raw Spread'!$D$3</x:f>
        <x:v>-2.2737367544323206e-13</x:v>
      </x:c>
      <x:c r="H19" s="1"/>
    </x:row>
    <x:row r="20" ht="21" customHeight="1">
      <x:c r="A20" s="1"/>
      <x:c r="B20" s="1"/>
      <x:c r="C20" s="1" t="str">
        <x:v>Debt carrying vs principal less costs</x:v>
      </x:c>
      <x:c r="D20" s="125" t="n">
        <x:f>'Financials'!D40-('Raw Spread'!D73-'Raw Spread'!D74)/'Raw Spread'!$D$3</x:f>
        <x:v>2.2737367544323206e-13</x:v>
      </x:c>
      <x:c r="E20" s="125" t="n">
        <x:f>'Financials'!E40-('Raw Spread'!E73-'Raw Spread'!E74)/'Raw Spread'!$D$3</x:f>
        <x:v>0</x:v>
      </x:c>
      <x:c r="F20" s="125" t="n">
        <x:f>'Financials'!F40-('Raw Spread'!F73-'Raw Spread'!F74)/'Raw Spread'!$D$3</x:f>
        <x:v>0</x:v>
      </x:c>
      <x:c r="G20" s="125" t="n">
        <x:f>'Financials'!G40-('Raw Spread'!H73-'Raw Spread'!H74)/'Raw Spread'!$D$3</x:f>
        <x:v>-4.547473508864641e-13</x:v>
      </x:c>
      <x:c r="H20" s="1"/>
    </x:row>
    <x:row r="21" ht="21" customHeight="1">
      <x:c r="A21" s="1"/>
      <x:c r="B21" s="1"/>
      <x:c r="C21" s="1" t="str">
        <x:v>Annual cash incl. restricted vs BS</x:v>
      </x:c>
      <x:c r="D21" s="125" t="n">
        <x:f>'Financials'!D69-('Financials'!D25+'Financials'!D35)</x:f>
        <x:v>0</x:v>
      </x:c>
      <x:c r="E21" s="125" t="n">
        <x:f>'Financials'!E69-('Financials'!E25+'Financials'!E35)</x:f>
        <x:v>-2.2737367544323206e-13</x:v>
      </x:c>
      <x:c r="F21" s="125" t="n">
        <x:f>'Financials'!F69-('Financials'!F25+'Financials'!F35)</x:f>
        <x:v>0</x:v>
      </x:c>
      <x:c r="G21" s="125" t="n">
        <x:f>'Raw Spread'!H62/'Raw Spread'!$D$3-('Financials'!G25+'Financials'!G35)</x:f>
        <x:v>0</x:v>
      </x:c>
      <x:c r="H21" s="1"/>
    </x:row>
    <x:row r="22" ht="21" customHeight="1">
      <x:c r="A22" s="1"/>
      <x:c r="B22" s="1"/>
      <x:c r="C22" s="1"/>
      <x:c r="D22" s="125"/>
      <x:c r="E22" s="125"/>
      <x:c r="F22" s="125"/>
      <x:c r="G22" s="125"/>
      <x:c r="H22" s="1"/>
    </x:row>
    <x:row r="23" ht="25" customHeight="1">
      <x:c r="A23" s="1"/>
      <x:c r="B23" s="1"/>
      <x:c r="C23" s="15" t="str">
        <x:v>SOURCE MATURITY &amp; INSTRUMENT CHECKS</x:v>
      </x:c>
      <x:c r="D23" s="128"/>
      <x:c r="E23" s="128"/>
      <x:c r="F23" s="128"/>
      <x:c r="G23" s="128"/>
      <x:c r="H23" s="15"/>
    </x:row>
    <x:row r="24" ht="21" customHeight="1">
      <x:c r="A24" s="1"/>
      <x:c r="B24" s="1"/>
      <x:c r="C24" s="1" t="str">
        <x:v>Maturity buckets vs source principal</x:v>
      </x:c>
      <x:c r="D24" s="125" t="n">
        <x:f>(SUM('Raw Spread'!D89:I89)-'Raw Spread'!H73)/'Raw Spread'!$D$3</x:f>
        <x:v>0</x:v>
      </x:c>
      <x:c r="E24" s="125"/>
      <x:c r="F24" s="125"/>
      <x:c r="G24" s="125"/>
      <x:c r="H24" s="1"/>
    </x:row>
    <x:row r="25" ht="21" customHeight="1">
      <x:c r="A25" s="1"/>
      <x:c r="B25" s="1"/>
      <x:c r="C25" s="1" t="str">
        <x:v>Individual instruments vs gross principal</x:v>
      </x:c>
      <x:c r="D25" s="125" t="n">
        <x:f>(SUM('Raw Spread'!D94:D100,'Raw Spread'!D102:D103)-'Raw Spread'!H73)/'Raw Spread'!$D$3</x:f>
        <x:v>0</x:v>
      </x:c>
      <x:c r="E25" s="125"/>
      <x:c r="F25" s="125"/>
      <x:c r="G25" s="125"/>
      <x:c r="H25" s="1"/>
    </x:row>
    <x:row r="26" ht="21" customHeight="1">
      <x:c r="A26" s="1"/>
      <x:c r="B26" s="1"/>
      <x:c r="C26" s="1" t="str">
        <x:v>Fixed + floating maturity totals</x:v>
      </x:c>
      <x:c r="D26" s="125" t="n">
        <x:f>(SUM('Raw Spread'!J87:J88)-'Raw Spread'!J89)/'Raw Spread'!$D$3</x:f>
        <x:v>0</x:v>
      </x:c>
      <x:c r="E26" s="125"/>
      <x:c r="F26" s="125"/>
      <x:c r="G26" s="125"/>
      <x:c r="H26" s="1"/>
    </x:row>
    <x:row r="27" ht="21" customHeight="1">
      <x:c r="A27" s="1"/>
      <x:c r="B27" s="1"/>
      <x:c r="C27" s="1"/>
      <x:c r="D27" s="125"/>
      <x:c r="E27" s="125"/>
      <x:c r="F27" s="125"/>
      <x:c r="G27" s="125"/>
      <x:c r="H27" s="1"/>
    </x:row>
    <x:row r="28" ht="25" customHeight="1">
      <x:c r="A28" s="1"/>
      <x:c r="B28" s="1"/>
      <x:c r="C28" s="15" t="str">
        <x:v>FORECAST RECONCILIATIONS | 2026 H2 / 2027 / 2028 / 2029</x:v>
      </x:c>
      <x:c r="D28" s="128"/>
      <x:c r="E28" s="128"/>
      <x:c r="F28" s="128"/>
      <x:c r="G28" s="128"/>
      <x:c r="H28" s="15"/>
    </x:row>
    <x:row r="29" ht="21" customHeight="1">
      <x:c r="A29" s="1"/>
      <x:c r="B29" s="1"/>
      <x:c r="C29" s="1" t="str">
        <x:v>Debt principal roll-forward</x:v>
      </x:c>
      <x:c r="D29" s="125" t="n">
        <x:f>'Debt Schedule'!D31+'Debt Schedule'!D37+'Debt Schedule'!D38-'Debt Schedule'!D32-'Debt Schedule'!D39-'Debt Schedule'!D50</x:f>
        <x:v>0</x:v>
      </x:c>
      <x:c r="E29" s="125" t="n">
        <x:f>'Debt Schedule'!E31+'Debt Schedule'!E37+'Debt Schedule'!E38-'Debt Schedule'!E32-'Debt Schedule'!E39-'Debt Schedule'!E50</x:f>
        <x:v>4.547473508864641e-13</x:v>
      </x:c>
      <x:c r="F29" s="125" t="n">
        <x:f>'Debt Schedule'!F31+'Debt Schedule'!F37+'Debt Schedule'!F38-'Debt Schedule'!F32-'Debt Schedule'!F39-'Debt Schedule'!F50</x:f>
        <x:v>-9.094947017729282e-13</x:v>
      </x:c>
      <x:c r="G29" s="125" t="n">
        <x:f>'Debt Schedule'!G31+'Debt Schedule'!G37+'Debt Schedule'!G38-'Debt Schedule'!G32-'Debt Schedule'!G39-'Debt Schedule'!G50</x:f>
        <x:v>0</x:v>
      </x:c>
      <x:c r="H29" s="1"/>
    </x:row>
    <x:row r="30" ht="21" customHeight="1">
      <x:c r="A30" s="1"/>
      <x:c r="B30" s="1"/>
      <x:c r="C30" s="1" t="str">
        <x:v>Lease balance roll-forward</x:v>
      </x:c>
      <x:c r="D30" s="125" t="n">
        <x:f>'Debt Schedule'!D44-'Debt Schedule'!D45-'Debt Schedule'!D46</x:f>
        <x:v>0</x:v>
      </x:c>
      <x:c r="E30" s="125" t="n">
        <x:f>'Debt Schedule'!E44-'Debt Schedule'!E45-'Debt Schedule'!E46</x:f>
        <x:v>0</x:v>
      </x:c>
      <x:c r="F30" s="125" t="n">
        <x:f>'Debt Schedule'!F44-'Debt Schedule'!F45-'Debt Schedule'!F46</x:f>
        <x:v>0</x:v>
      </x:c>
      <x:c r="G30" s="125" t="n">
        <x:f>'Debt Schedule'!G44-'Debt Schedule'!G45-'Debt Schedule'!G46</x:f>
        <x:v>0</x:v>
      </x:c>
      <x:c r="H30" s="1"/>
    </x:row>
    <x:row r="31" ht="21" customHeight="1">
      <x:c r="A31" s="1"/>
      <x:c r="B31" s="1"/>
      <x:c r="C31" s="1" t="str">
        <x:v>Advance liability roll-forward</x:v>
      </x:c>
      <x:c r="D31" s="125" t="n">
        <x:f>'Forecast'!D36+'Forecast'!D37-'Forecast'!D38-'Forecast'!D39</x:f>
        <x:v>0</x:v>
      </x:c>
      <x:c r="E31" s="125" t="n">
        <x:f>'Forecast'!E36+'Forecast'!E37-'Forecast'!E38-'Forecast'!E39</x:f>
        <x:v>0</x:v>
      </x:c>
      <x:c r="F31" s="125" t="n">
        <x:f>'Forecast'!F36+'Forecast'!F37-'Forecast'!F38-'Forecast'!F39</x:f>
        <x:v>0</x:v>
      </x:c>
      <x:c r="G31" s="125" t="n">
        <x:f>'Forecast'!G36+'Forecast'!G37-'Forecast'!G38-'Forecast'!G39</x:f>
        <x:v>0</x:v>
      </x:c>
      <x:c r="H31" s="1"/>
    </x:row>
    <x:row r="32" ht="21" customHeight="1">
      <x:c r="A32" s="1"/>
      <x:c r="B32" s="1"/>
      <x:c r="C32" s="1" t="str">
        <x:v>Liquid assets roll-forward</x:v>
      </x:c>
      <x:c r="D32" s="125" t="n">
        <x:f>'Forecast'!D58+'Forecast'!D57-'Forecast'!D59</x:f>
        <x:v>0</x:v>
      </x:c>
      <x:c r="E32" s="125" t="n">
        <x:f>'Forecast'!E58+'Forecast'!E57-'Forecast'!E59</x:f>
        <x:v>0</x:v>
      </x:c>
      <x:c r="F32" s="125" t="n">
        <x:f>'Forecast'!F58+'Forecast'!F57-'Forecast'!F59</x:f>
        <x:v>0</x:v>
      </x:c>
      <x:c r="G32" s="125" t="n">
        <x:f>'Forecast'!G58+'Forecast'!G57-'Forecast'!G59</x:f>
        <x:v>0</x:v>
      </x:c>
      <x:c r="H32" s="1"/>
    </x:row>
    <x:row r="33" ht="21" customHeight="1">
      <x:c r="A33" s="1"/>
      <x:c r="B33" s="1"/>
      <x:c r="C33" s="1" t="str">
        <x:v>Debt service components</x:v>
      </x:c>
      <x:c r="D33" s="125" t="n">
        <x:f>SUM('Debt Schedule'!D51:D52)-'Debt Schedule'!D53</x:f>
        <x:v>0</x:v>
      </x:c>
      <x:c r="E33" s="125" t="n">
        <x:f>SUM('Debt Schedule'!E51:E52)-'Debt Schedule'!E53</x:f>
        <x:v>0</x:v>
      </x:c>
      <x:c r="F33" s="125" t="n">
        <x:f>SUM('Debt Schedule'!F51:F52)-'Debt Schedule'!F53</x:f>
        <x:v>0</x:v>
      </x:c>
      <x:c r="G33" s="125" t="n">
        <x:f>SUM('Debt Schedule'!G51:G52)-'Debt Schedule'!G53</x:f>
        <x:v>0</x:v>
      </x:c>
      <x:c r="H33" s="1"/>
    </x:row>
    <x:row r="34" ht="21" customHeight="1">
      <x:c r="A34" s="1"/>
      <x:c r="B34" s="1"/>
      <x:c r="C34" s="1" t="str">
        <x:v>2026 cash capex vs guidance midpoint</x:v>
      </x:c>
      <x:c r="D34" s="125" t="n">
        <x:f>'Forecast'!D49+'Raw Spread'!H56/'Raw Spread'!$D$3-AVERAGE('Raw Spread'!H77:H78)/'Raw Spread'!$D$3</x:f>
        <x:v>0</x:v>
      </x:c>
      <x:c r="E34" s="125"/>
      <x:c r="F34" s="125"/>
      <x:c r="G34" s="125"/>
      <x:c r="H34" s="1"/>
    </x:row>
    <x:row r="35" ht="21" customHeight="1">
      <x:c r="A35" s="1"/>
      <x:c r="B35" s="1"/>
      <x:c r="C35" s="1" t="str">
        <x:v>2026 annual earnings bridge</x:v>
      </x:c>
      <x:c r="D35" s="125" t="n">
        <x:f>'Forecast'!D66-'Forecast'!D16-('Raw Spread'!H13+'Raw Spread'!H54)/'Raw Spread'!$D$3</x:f>
        <x:v>0</x:v>
      </x:c>
      <x:c r="E35" s="125"/>
      <x:c r="F35" s="125"/>
      <x:c r="G35" s="125"/>
      <x:c r="H35" s="1"/>
    </x:row>
    <x:row r="36" ht="21" customHeight="1">
      <x:c r="A36" s="1"/>
      <x:c r="B36" s="1"/>
      <x:c r="C36" s="1"/>
      <x:c r="D36" s="3"/>
      <x:c r="E36" s="3"/>
      <x:c r="F36" s="3"/>
      <x:c r="G36" s="3"/>
      <x:c r="H36" s="1"/>
    </x:row>
    <x:row r="37" ht="25" customHeight="1">
      <x:c r="A37" s="1"/>
      <x:c r="B37" s="1"/>
      <x:c r="C37" s="15" t="str">
        <x:v>INPUT COMPLETENESS &amp; TERMINAL STATUS</x:v>
      </x:c>
      <x:c r="D37" s="16"/>
      <x:c r="E37" s="16"/>
      <x:c r="F37" s="16"/>
      <x:c r="G37" s="16"/>
      <x:c r="H37" s="15"/>
    </x:row>
    <x:row r="38" ht="21" customHeight="1">
      <x:c r="A38" s="1"/>
      <x:c r="B38" s="1"/>
      <x:c r="C38" s="1" t="str">
        <x:v>Required historical numeric inputs present</x:v>
      </x:c>
      <x:c r="D38" s="129" t="str">
        <x:f>IF(AND(COUNT('Raw Spread'!D7:H20)=70,COUNT('Raw Spread'!D23:F50)=84,COUNT('Raw Spread'!H23:H50)=28,COUNT('Raw Spread'!D53:H62)=50),"PASS","MISSING INPUT")</x:f>
        <x:v>PASS</x:v>
      </x:c>
      <x:c r="E38" s="3"/>
      <x:c r="F38" s="3"/>
      <x:c r="G38" s="3"/>
      <x:c r="H38" s="1"/>
    </x:row>
    <x:row r="39" ht="21" customHeight="1">
      <x:c r="A39" s="1"/>
      <x:c r="B39" s="1"/>
      <x:c r="C39" s="1" t="str">
        <x:v>Active case drivers complete</x:v>
      </x:c>
      <x:c r="D39" s="129" t="str">
        <x:f>IF(COUNT('Assumptions'!D10:G10,'Assumptions'!D17:G17,'Assumptions'!D24:G24,'Assumptions'!D31:G31,'Assumptions'!D38:G38)=20,"PASS","MISSING INPUT")</x:f>
        <x:v>PASS</x:v>
      </x:c>
      <x:c r="E39" s="3"/>
      <x:c r="F39" s="3"/>
      <x:c r="G39" s="3"/>
      <x:c r="H39" s="1"/>
    </x:row>
    <x:row r="40" ht="21" customHeight="1">
      <x:c r="A40" s="1"/>
      <x:c r="B40" s="1"/>
      <x:c r="C40" s="1" t="str">
        <x:v>New loan repaid by 2029</x:v>
      </x:c>
      <x:c r="D40" s="129" t="str">
        <x:f>IF(ABS('Debt Schedule'!G40)&lt;0.01,"PASS","CHECK")</x:f>
        <x:v>PASS</x:v>
      </x:c>
      <x:c r="E40" s="3"/>
      <x:c r="F40" s="3"/>
      <x:c r="G40" s="3"/>
      <x:c r="H40" s="1"/>
    </x:row>
    <x:row r="41" ht="21" customHeight="1">
      <x:c r="A41" s="1"/>
      <x:c r="B41" s="1"/>
      <x:c r="C41" s="1" t="str">
        <x:v>AI extraction evaluated</x:v>
      </x:c>
      <x:c r="D41" s="3" t="str">
        <x:v>NOT RUN</x:v>
      </x:c>
      <x:c r="E41" s="3"/>
      <x:c r="F41" s="3"/>
      <x:c r="G41" s="3"/>
      <x:c r="H41" s="1"/>
    </x:row>
    <x:row r="42" ht="21" customHeight="1">
      <x:c r="A42" s="1"/>
      <x:c r="B42" s="1"/>
      <x:c r="C42" s="1" t="str">
        <x:v>Numerical reconciliations</x:v>
      </x:c>
      <x:c r="D42" s="130" t="str">
        <x:f>IF(AND(MAX(D7:G21,D24:D26,D29:G35)&lt;0.01,MIN(D7:G21,D24:D26,D29:G35)&gt;-0.01),"PASS","CHECK")</x:f>
        <x:v>PASS</x:v>
      </x:c>
      <x:c r="E42" s="3"/>
      <x:c r="F42" s="3"/>
      <x:c r="G42" s="3"/>
      <x:c r="H42" s="1"/>
    </x:row>
    <x:row r="43" ht="21" customHeight="1">
      <x:c r="A43" s="1"/>
      <x:c r="B43" s="1"/>
      <x:c r="C43" s="1"/>
      <x:c r="D43" s="3"/>
      <x:c r="E43" s="3"/>
      <x:c r="F43" s="3"/>
      <x:c r="G43" s="3"/>
      <x:c r="H43" s="1"/>
    </x:row>
    <x:row r="44" ht="21" customHeight="1">
      <x:c r="A44" s="1"/>
      <x:c r="B44" s="1"/>
      <x:c r="C44" s="1"/>
      <x:c r="D44" s="3"/>
      <x:c r="E44" s="3"/>
      <x:c r="F44" s="3"/>
      <x:c r="G44" s="3"/>
      <x:c r="H44" s="1"/>
    </x:row>
    <x:row r="45" ht="38" customHeight="1">
      <x:c r="A45" s="1"/>
      <x:c r="B45" s="1"/>
      <x:c r="C45" s="33" t="str">
        <x:v>Passing reconciliations test internal arithmetic and reported statement controls, not audit assurance. They do not establish contractual covenant compliance, executable lending authority, AI accuracy or forecasting performance.</x:v>
      </x:c>
      <x:c r="D45" s="34"/>
      <x:c r="E45" s="34"/>
      <x:c r="F45" s="34"/>
      <x:c r="G45" s="34"/>
      <x:c r="H45" s="33"/>
    </x:row>
    <x:row r="46" ht="21" customHeight="1">
      <x:c r="A46" s="1"/>
      <x:c r="B46" s="1"/>
      <x:c r="C46" s="1"/>
      <x:c r="D46" s="3"/>
      <x:c r="E46" s="3"/>
      <x:c r="F46" s="3"/>
      <x:c r="G46" s="3"/>
      <x:c r="H46" s="1"/>
    </x:row>
    <x:row r="47" ht="36" customHeight="1">
      <x:c r="A47" s="1"/>
      <x:c r="B47" s="1"/>
      <x:c r="C47" s="33" t="str">
        <x:v>Engine verification: all five scenarios recalculated; reported actuals remained unchanged. Input boundaries tested in the builder and restored before export. Native Excel behavior must be checked when first opened.</x:v>
      </x:c>
      <x:c r="D47" s="34"/>
      <x:c r="E47" s="34"/>
      <x:c r="F47" s="34"/>
      <x:c r="G47" s="34"/>
      <x:c r="H47" s="33"/>
    </x:row>
    <x:row r="48" ht="21" customHeight="1">
      <x:c r="A48" s="1"/>
      <x:c r="B48" s="1"/>
      <x:c r="C48" s="1"/>
      <x:c r="D48" s="3"/>
      <x:c r="E48" s="3"/>
      <x:c r="F48" s="3"/>
      <x:c r="G48" s="3"/>
      <x:c r="H48" s="1"/>
    </x:row>
    <x:row r="49" ht="36" customHeight="1">
      <x:c r="A49" s="1"/>
      <x:c r="B49" s="1"/>
      <x:c r="C49" s="33" t="str">
        <x:v>LTM opening cash incl. restricted is 30-Jun-2025 cash from the interim comparative cash-flow statement. LTM closing cash is the 30-Jun-2026 total; it independently ties to cash plus both restricted-cash classifications.</x:v>
      </x:c>
      <x:c r="D49" s="34"/>
      <x:c r="E49" s="34"/>
      <x:c r="F49" s="34"/>
      <x:c r="G49" s="34"/>
      <x:c r="H49" s="33"/>
    </x:row>
    <x:row r="50" ht="21" customHeight="1">
      <x:c r="A50" s="1"/>
      <x:c r="B50" s="1"/>
      <x:c r="C50" s="1"/>
      <x:c r="D50" s="3"/>
      <x:c r="E50" s="3"/>
      <x:c r="F50" s="3"/>
      <x:c r="G50" s="3"/>
      <x:c r="H50" s="1"/>
    </x:row>
    <x:row r="51" ht="21" customHeight="1">
      <x:c r="A51" s="1"/>
      <x:c r="B51" s="1"/>
      <x:c r="C51" s="1"/>
      <x:c r="D51" s="3"/>
      <x:c r="E51" s="3"/>
      <x:c r="F51" s="3"/>
      <x:c r="G51" s="3"/>
      <x:c r="H51" s="1"/>
    </x:row>
    <x:row r="52" ht="21" customHeight="1">
      <x:c r="A52" s="1"/>
      <x:c r="B52" s="1"/>
      <x:c r="C52" s="1"/>
      <x:c r="D52" s="3"/>
      <x:c r="E52" s="3"/>
      <x:c r="F52" s="3"/>
      <x:c r="G52" s="3"/>
      <x:c r="H52" s="1"/>
    </x:row>
    <x:row r="53" ht="21" customHeight="1">
      <x:c r="A53" s="1"/>
      <x:c r="B53" s="1"/>
      <x:c r="C53" s="1"/>
      <x:c r="D53" s="3"/>
      <x:c r="E53" s="3"/>
      <x:c r="F53" s="3"/>
      <x:c r="G53" s="3"/>
      <x:c r="H53" s="1"/>
    </x:row>
    <x:row r="54" ht="21" customHeight="1">
      <x:c r="A54" s="1"/>
      <x:c r="B54" s="1"/>
      <x:c r="C54" s="1"/>
      <x:c r="D54" s="3"/>
      <x:c r="E54" s="3"/>
      <x:c r="F54" s="3"/>
      <x:c r="G54" s="3"/>
      <x:c r="H54" s="1"/>
    </x:row>
  </x:sheetData>
  <x:mergeCells>
    <x:mergeCell ref="C1:H2"/>
    <x:mergeCell ref="C3:H3"/>
    <x:mergeCell ref="D4:G4"/>
    <x:mergeCell ref="C6:H6"/>
    <x:mergeCell ref="C23:H23"/>
    <x:mergeCell ref="C28:H28"/>
    <x:mergeCell ref="C37:H37"/>
    <x:mergeCell ref="D38:G38"/>
    <x:mergeCell ref="D39:G39"/>
    <x:mergeCell ref="D40:G40"/>
    <x:mergeCell ref="D42:G42"/>
    <x:mergeCell ref="C45:H45"/>
    <x:mergeCell ref="C47:H47"/>
    <x:mergeCell ref="C49:H49"/>
  </x:mergeCells>
  <x:conditionalFormatting sqref="D7:G21">
    <x:cfRule type="cellIs" dxfId="5" priority="1" operator="greaterThan">
      <x:formula>0.01</x:formula>
    </x:cfRule>
    <x:cfRule type="cellIs" dxfId="6" priority="2" operator="lessThan">
      <x:formula>-0.01</x:formula>
    </x:cfRule>
  </x:conditionalFormatting>
  <x:conditionalFormatting sqref="D24:D26">
    <x:cfRule type="cellIs" dxfId="7" priority="3" operator="greaterThan">
      <x:formula>0.01</x:formula>
    </x:cfRule>
    <x:cfRule type="cellIs" dxfId="8" priority="4" operator="lessThan">
      <x:formula>-0.01</x:formula>
    </x:cfRule>
  </x:conditionalFormatting>
  <x:conditionalFormatting sqref="D29:G35">
    <x:cfRule type="cellIs" dxfId="9" priority="5" operator="greaterThan">
      <x:formula>0.01</x:formula>
    </x:cfRule>
    <x:cfRule type="cellIs" dxfId="10" priority="6" operator="lessThan">
      <x:formula>-0.01</x:formula>
    </x:cfRule>
  </x:conditionalFormatting>
  <x:conditionalFormatting sqref="D38:D38">
    <x:cfRule type="containsText" dxfId="11" priority="7" operator="containsText" text="PASS"/>
  </x:conditionalFormatting>
  <x:conditionalFormatting sqref="D39:D39">
    <x:cfRule type="containsText" dxfId="12" priority="8" operator="containsText" text="PASS"/>
  </x:conditionalFormatting>
  <x:conditionalFormatting sqref="D40:D40">
    <x:cfRule type="containsText" dxfId="13" priority="9" operator="containsText" text="PASS"/>
  </x:conditionalFormatting>
  <x:conditionalFormatting sqref="D42:D42">
    <x:cfRule type="containsText" dxfId="14" priority="10" operator="containsText" text="PASS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34F78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5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29" customHeight="1">
      <x:c r="C2" s="134" t="str">
        <x:v>AMKOR CREDIT BREAK-EVEN</x:v>
      </x:c>
      <x:c r="D2" s="134"/>
      <x:c r="E2" s="134"/>
      <x:c r="F2" s="134"/>
      <x:c r="G2" s="134"/>
    </x:row>
    <x:row r="3" ht="23" customHeight="1">
      <x:c r="C3" s="135" t="str">
        <x:v>USD millions. Period-end liquidity test.</x:v>
      </x:c>
      <x:c r="D3" s="135"/>
      <x:c r="E3" s="135"/>
      <x:c r="F3" s="135"/>
      <x:c r="G3" s="135"/>
    </x:row>
    <x:row r="4" ht="23" customHeight="1">
      <x:c r="C4" s="132" t="str">
        <x:v>Case selected:</x:v>
      </x:c>
      <x:c r="D4" s="140" t="str">
        <x:f>'Assumptions'!D7</x:f>
        <x:v>Base</x:v>
      </x:c>
      <x:c r="E4" s="141"/>
      <x:c r="F4" s="142"/>
      <x:c r="G4" s="132"/>
    </x:row>
    <x:row r="5" ht="23" customHeight="1">
      <x:c r="C5" s="143" t="str">
        <x:v>Change the case using Assumptions!D7. Both alternatives below update automatically.</x:v>
      </x:c>
      <x:c r="D5" s="143"/>
      <x:c r="E5" s="143"/>
      <x:c r="F5" s="143"/>
      <x:c r="G5" s="143"/>
    </x:row>
    <x:row r="6" ht="23" customHeight="1">
      <x:c r="C6" s="132"/>
      <x:c r="D6" s="132"/>
      <x:c r="E6" s="132"/>
      <x:c r="F6" s="132"/>
      <x:c r="G6" s="132"/>
    </x:row>
    <x:row r="7" ht="27" customHeight="1">
      <x:c r="C7" s="146" t="str">
        <x:v>Liquidity and spending</x:v>
      </x:c>
      <x:c r="D7" s="146" t="str">
        <x:v>2026 H2E</x:v>
      </x:c>
      <x:c r="E7" s="146" t="str">
        <x:v>2027E</x:v>
      </x:c>
      <x:c r="F7" s="146" t="str">
        <x:v>2028E</x:v>
      </x:c>
      <x:c r="G7" s="146" t="str">
        <x:v>2029E</x:v>
      </x:c>
    </x:row>
    <x:row r="8" ht="23" customHeight="1">
      <x:c r="C8" s="132" t="str">
        <x:v>Modeled closing liquidity before remedies</x:v>
      </x:c>
      <x:c r="D8" s="149" t="n">
        <x:f>'Forecast'!D59</x:f>
        <x:v>931.6386302362209</x:v>
      </x:c>
      <x:c r="E8" s="149" t="n">
        <x:f>'Forecast'!E59</x:f>
        <x:v>688.3566673074747</x:v>
      </x:c>
      <x:c r="F8" s="149" t="n">
        <x:f>'Forecast'!F59</x:f>
        <x:v>-1544.5139335999293</x:v>
      </x:c>
      <x:c r="G8" s="149" t="n">
        <x:f>'Forecast'!G59</x:f>
        <x:v>-2515.4906200948335</x:v>
      </x:c>
    </x:row>
    <x:row r="9" ht="23" customHeight="1">
      <x:c r="C9" s="132" t="str">
        <x:v>Minimum liquidity reserve</x:v>
      </x:c>
      <x:c r="D9" s="149" t="n">
        <x:f>'Forecast'!D60</x:f>
        <x:v>500</x:v>
      </x:c>
      <x:c r="E9" s="149" t="n">
        <x:f>'Forecast'!E60</x:f>
        <x:v>500</x:v>
      </x:c>
      <x:c r="F9" s="149" t="n">
        <x:f>'Forecast'!F60</x:f>
        <x:v>500</x:v>
      </x:c>
      <x:c r="G9" s="149" t="n">
        <x:f>'Forecast'!G60</x:f>
        <x:v>500</x:v>
      </x:c>
    </x:row>
    <x:row r="10" ht="23" customHeight="1">
      <x:c r="C10" s="158" t="str">
        <x:v>Liquidity headroom / (shortfall)</x:v>
      </x:c>
      <x:c r="D10" s="159" t="n">
        <x:f>D8-D9</x:f>
        <x:v>431.63863023622093</x:v>
      </x:c>
      <x:c r="E10" s="159" t="n">
        <x:f>E8-E9</x:f>
        <x:v>188.3566673074747</x:v>
      </x:c>
      <x:c r="F10" s="159" t="n">
        <x:f>F8-F9</x:f>
        <x:v>-2044.5139335999293</x:v>
      </x:c>
      <x:c r="G10" s="159" t="n">
        <x:f>G8-G9</x:f>
        <x:v>-3015.4906200948335</x:v>
      </x:c>
    </x:row>
    <x:row r="11" ht="23" customHeight="1">
      <x:c r="C11" s="132" t="str">
        <x:v>Planned cash capital expenditures</x:v>
      </x:c>
      <x:c r="D11" s="149" t="n">
        <x:f>'Forecast'!D49</x:f>
        <x:v>2061.575</x:v>
      </x:c>
      <x:c r="E11" s="149" t="n">
        <x:f>'Forecast'!E49</x:f>
        <x:v>3000</x:v>
      </x:c>
      <x:c r="F11" s="149" t="n">
        <x:f>'Forecast'!F49</x:f>
        <x:v>2500</x:v>
      </x:c>
      <x:c r="G11" s="149" t="n">
        <x:f>'Forecast'!G49</x:f>
        <x:v>1500</x:v>
      </x:c>
    </x:row>
    <x:row r="12" ht="23" customHeight="1">
      <x:c r="C12" s="132" t="str">
        <x:v>Protected maintenance capex estimate</x:v>
      </x:c>
      <x:c r="D12" s="149" t="n">
        <x:f>D11*'Assumptions'!$D$57</x:f>
        <x:v>618.4725</x:v>
      </x:c>
      <x:c r="E12" s="149" t="n">
        <x:f>E11*'Assumptions'!$D$57</x:f>
        <x:v>900</x:v>
      </x:c>
      <x:c r="F12" s="149" t="n">
        <x:f>F11*'Assumptions'!$D$57</x:f>
        <x:v>750</x:v>
      </x:c>
      <x:c r="G12" s="149" t="n">
        <x:f>G11*'Assumptions'!$D$57</x:f>
        <x:v>450</x:v>
      </x:c>
    </x:row>
    <x:row r="13" ht="23" customHeight="1">
      <x:c r="C13" s="132" t="str">
        <x:v>Discretionary capex available to defer</x:v>
      </x:c>
      <x:c r="D13" s="149" t="n">
        <x:f>MAX(0,D11-D12)</x:f>
        <x:v>1443.1025</x:v>
      </x:c>
      <x:c r="E13" s="149" t="n">
        <x:f>MAX(0,E11-E12)</x:f>
        <x:v>2100</x:v>
      </x:c>
      <x:c r="F13" s="149" t="n">
        <x:f>MAX(0,F11-F12)</x:f>
        <x:v>1750</x:v>
      </x:c>
      <x:c r="G13" s="149" t="n">
        <x:f>MAX(0,G11-G12)</x:f>
        <x:v>1050</x:v>
      </x:c>
    </x:row>
    <x:row r="14" ht="23" customHeight="1">
      <x:c r="C14" s="132" t="str">
        <x:v>Cumulative planned cash capex</x:v>
      </x:c>
      <x:c r="D14" s="149" t="n">
        <x:f>SUM($D11:D11)</x:f>
        <x:v>2061.575</x:v>
      </x:c>
      <x:c r="E14" s="149" t="n">
        <x:f>SUM($D11:E11)</x:f>
        <x:v>5061.575</x:v>
      </x:c>
      <x:c r="F14" s="149" t="n">
        <x:f>SUM($D11:F11)</x:f>
        <x:v>7561.575</x:v>
      </x:c>
      <x:c r="G14" s="149" t="n">
        <x:f>SUM($D11:G11)</x:f>
        <x:v>9061.575</x:v>
      </x:c>
    </x:row>
    <x:row r="15" ht="28" customHeight="1">
      <x:c r="C15" s="148" t="str">
        <x:v>ALTERNATIVE A: FUND PLANNED CAPEX</x:v>
      </x:c>
      <x:c r="D15" s="150"/>
      <x:c r="E15" s="150"/>
      <x:c r="F15" s="150"/>
      <x:c r="G15" s="150"/>
    </x:row>
    <x:row r="16" ht="23" customHeight="1">
      <x:c r="C16" s="158" t="str">
        <x:v>Cumulative funding committed by period-end</x:v>
      </x:c>
      <x:c r="D16" s="159" t="n">
        <x:f>MAX(0,D9-D8)</x:f>
        <x:v>0</x:v>
      </x:c>
      <x:c r="E16" s="159" t="n">
        <x:f>MAX(D16,E9-E8)</x:f>
        <x:v>0</x:v>
      </x:c>
      <x:c r="F16" s="159" t="n">
        <x:f>MAX(E16,F9-F8)</x:f>
        <x:v>2044.5139335999293</x:v>
      </x:c>
      <x:c r="G16" s="159" t="n">
        <x:f>MAX(F16,G9-G8)</x:f>
        <x:v>3015.4906200948335</x:v>
      </x:c>
    </x:row>
    <x:row r="17" ht="23" customHeight="1">
      <x:c r="C17" s="158" t="str">
        <x:v>Additional funding first needed this period</x:v>
      </x:c>
      <x:c r="D17" s="159" t="n">
        <x:f>D16</x:f>
        <x:v>0</x:v>
      </x:c>
      <x:c r="E17" s="159" t="n">
        <x:f>E16-D16</x:f>
        <x:v>0</x:v>
      </x:c>
      <x:c r="F17" s="159" t="n">
        <x:f>F16-E16</x:f>
        <x:v>2044.5139335999293</x:v>
      </x:c>
      <x:c r="G17" s="159" t="n">
        <x:f>G16-F16</x:f>
        <x:v>970.9766864949042</x:v>
      </x:c>
    </x:row>
    <x:row r="18" ht="23" customHeight="1">
      <x:c r="C18" s="158" t="str">
        <x:v>Closing liquidity with funding</x:v>
      </x:c>
      <x:c r="D18" s="159" t="n">
        <x:f>D8+D16</x:f>
        <x:v>931.6386302362209</x:v>
      </x:c>
      <x:c r="E18" s="159" t="n">
        <x:f>E8+E16</x:f>
        <x:v>688.3566673074747</x:v>
      </x:c>
      <x:c r="F18" s="159" t="n">
        <x:f>F8+F16</x:f>
        <x:v>500</x:v>
      </x:c>
      <x:c r="G18" s="159" t="n">
        <x:f>G8+G16</x:f>
        <x:v>500</x:v>
      </x:c>
    </x:row>
    <x:row r="19" ht="23" customHeight="1">
      <x:c r="C19" s="132"/>
      <x:c r="D19" s="149"/>
      <x:c r="E19" s="149"/>
      <x:c r="F19" s="149"/>
      <x:c r="G19" s="149"/>
    </x:row>
    <x:row r="20" ht="28" customHeight="1">
      <x:c r="C20" s="148" t="str">
        <x:v>ALTERNATIVE B: DEFER DISCRETIONARY CAPEX FIRST</x:v>
      </x:c>
      <x:c r="D20" s="150"/>
      <x:c r="E20" s="150"/>
      <x:c r="F20" s="150"/>
      <x:c r="G20" s="150"/>
    </x:row>
    <x:row r="21" ht="23" customHeight="1">
      <x:c r="C21" s="162" t="str">
        <x:v>Minimum uniform capex cut needed across horizon</x:v>
      </x:c>
      <x:c r="D21" s="163" t="n">
        <x:f>IF(COUNT(D29:G29)=4,MAX(D29:G29),"n.a.")</x:f>
        <x:v>0.3327777588437808</x:v>
      </x:c>
      <x:c r="E21" s="163"/>
      <x:c r="F21" s="163"/>
      <x:c r="G21" s="163"/>
    </x:row>
    <x:row r="22" ht="23" customHeight="1">
      <x:c r="C22" s="132" t="str">
        <x:v>Capex cash savings this period (maintenance protected)</x:v>
      </x:c>
      <x:c r="D22" s="149" t="n">
        <x:f>MIN(D13,D11*$D$21)</x:f>
        <x:v>686.0463081883673</x:v>
      </x:c>
      <x:c r="E22" s="149" t="n">
        <x:f>MIN(E13,E11*$D$21)</x:f>
        <x:v>998.3332765313424</x:v>
      </x:c>
      <x:c r="F22" s="149" t="n">
        <x:f>MIN(F13,F11*$D$21)</x:f>
        <x:v>831.944397109452</x:v>
      </x:c>
      <x:c r="G22" s="149" t="n">
        <x:f>MIN(G13,G11*$D$21)</x:f>
        <x:v>499.1666382656712</x:v>
      </x:c>
    </x:row>
    <x:row r="23" ht="23" customHeight="1">
      <x:c r="C23" s="132" t="str">
        <x:v>Cumulative capex cash savings</x:v>
      </x:c>
      <x:c r="D23" s="149" t="n">
        <x:f>D22</x:f>
        <x:v>686.0463081883673</x:v>
      </x:c>
      <x:c r="E23" s="149" t="n">
        <x:f>SUM(D23,E22)</x:f>
        <x:v>1684.3795847197098</x:v>
      </x:c>
      <x:c r="F23" s="149" t="n">
        <x:f>SUM(E23,F22)</x:f>
        <x:v>2516.3239818291618</x:v>
      </x:c>
      <x:c r="G23" s="149" t="n">
        <x:f>SUM(F23,G22)</x:f>
        <x:v>3015.490620094833</x:v>
      </x:c>
    </x:row>
    <x:row r="24" ht="23" customHeight="1">
      <x:c r="C24" s="158" t="str">
        <x:v>Remaining period cash capex</x:v>
      </x:c>
      <x:c r="D24" s="159" t="n">
        <x:f>D11-D22</x:f>
        <x:v>1375.5286918116326</x:v>
      </x:c>
      <x:c r="E24" s="159" t="n">
        <x:f>E11-E22</x:f>
        <x:v>2001.6667234686574</x:v>
      </x:c>
      <x:c r="F24" s="159" t="n">
        <x:f>F11-F22</x:f>
        <x:v>1668.055602890548</x:v>
      </x:c>
      <x:c r="G24" s="159" t="n">
        <x:f>G11-G22</x:f>
        <x:v>1000.8333617343287</x:v>
      </x:c>
    </x:row>
    <x:row r="25" ht="23" customHeight="1">
      <x:c r="C25" s="132" t="str">
        <x:v>Closing liquidity after capex savings only</x:v>
      </x:c>
      <x:c r="D25" s="149" t="n">
        <x:f>SUM(D8,D23)</x:f>
        <x:v>1617.6849384245884</x:v>
      </x:c>
      <x:c r="E25" s="149" t="n">
        <x:f>SUM(E8,E23)</x:f>
        <x:v>2372.7362520271845</x:v>
      </x:c>
      <x:c r="F25" s="149" t="n">
        <x:f>SUM(F8,F23)</x:f>
        <x:v>971.8100482292325</x:v>
      </x:c>
      <x:c r="G25" s="149" t="n">
        <x:f>SUM(G8,G23)</x:f>
        <x:v>499.99999999999955</x:v>
      </x:c>
    </x:row>
    <x:row r="26" ht="23" customHeight="1">
      <x:c r="C26" s="158" t="str">
        <x:v>Cumulative residual funding required</x:v>
      </x:c>
      <x:c r="D26" s="159" t="n">
        <x:f>MAX(0,ROUND(D9-D25,6))</x:f>
        <x:v>0</x:v>
      </x:c>
      <x:c r="E26" s="159" t="n">
        <x:f>MAX(D26,ROUND(E9-E25,6))</x:f>
        <x:v>0</x:v>
      </x:c>
      <x:c r="F26" s="159" t="n">
        <x:f>MAX(E26,ROUND(F9-F25,6))</x:f>
        <x:v>0</x:v>
      </x:c>
      <x:c r="G26" s="159" t="n">
        <x:f>MAX(F26,ROUND(G9-G25,6))</x:f>
        <x:v>0</x:v>
      </x:c>
    </x:row>
    <x:row r="27" ht="23" customHeight="1">
      <x:c r="C27" s="158" t="str">
        <x:v>Additional residual funding this period</x:v>
      </x:c>
      <x:c r="D27" s="159" t="n">
        <x:f>D26</x:f>
        <x:v>0</x:v>
      </x:c>
      <x:c r="E27" s="159" t="n">
        <x:f>E26-D26</x:f>
        <x:v>0</x:v>
      </x:c>
      <x:c r="F27" s="159" t="n">
        <x:f>F26-E26</x:f>
        <x:v>0</x:v>
      </x:c>
      <x:c r="G27" s="159" t="n">
        <x:f>G26-F26</x:f>
        <x:v>0</x:v>
      </x:c>
    </x:row>
    <x:row r="28" ht="23" customHeight="1">
      <x:c r="C28" s="158" t="str">
        <x:v>Closing liquidity with cuts and residual funding</x:v>
      </x:c>
      <x:c r="D28" s="159" t="n">
        <x:f>SUM(D25,D26)</x:f>
        <x:v>1617.6849384245884</x:v>
      </x:c>
      <x:c r="E28" s="159" t="n">
        <x:f>SUM(E25,E26)</x:f>
        <x:v>2372.7362520271845</x:v>
      </x:c>
      <x:c r="F28" s="159" t="n">
        <x:f>SUM(F25,F26)</x:f>
        <x:v>971.8100482292325</x:v>
      </x:c>
      <x:c r="G28" s="159" t="n">
        <x:f>SUM(G25,G26)</x:f>
        <x:v>500</x:v>
      </x:c>
    </x:row>
    <x:row r="29" ht="23" customHeight="1">
      <x:c r="C29" s="153" t="str">
        <x:v>Required uniform cut at each liquidity deadline</x:v>
      </x:c>
      <x:c r="D29" s="155" t="n">
        <x:f>IF(D14=0,IF(D10&gt;=0,0,"n.a."),MAX(0,-D10/D14))</x:f>
        <x:v>0</x:v>
      </x:c>
      <x:c r="E29" s="155" t="n">
        <x:f>IF(E14=0,IF(E10&gt;=0,0,"n.a."),MAX(0,-E10/E14))</x:f>
        <x:v>0</x:v>
      </x:c>
      <x:c r="F29" s="155" t="n">
        <x:f>IF(F14=0,IF(F10&gt;=0,0,"n.a."),MAX(0,-F10/F14))</x:f>
        <x:v>0.27038202141748635</x:v>
      </x:c>
      <x:c r="G29" s="155" t="n">
        <x:f>IF(G14=0,IF(G10&gt;=0,0,"n.a."),MAX(0,-G10/G14))</x:f>
        <x:v>0.3327777588437808</x:v>
      </x:c>
    </x:row>
    <x:row r="30" ht="23" customHeight="1">
      <x:c r="C30" s="166" t="str">
        <x:v>HOW TO READ THE TABLE</x:v>
      </x:c>
      <x:c r="D30" s="166"/>
      <x:c r="E30" s="166"/>
      <x:c r="F30" s="166"/>
      <x:c r="G30" s="166"/>
    </x:row>
    <x:row r="31" ht="34" customHeight="1">
      <x:c r="C31" s="165" t="str">
        <x:v>Alternatives A and B are separate routes. Do not add their funding totals together. Funding amounts are cumulative, not annual sums.</x:v>
      </x:c>
      <x:c r="D31" s="165"/>
      <x:c r="E31" s="165"/>
      <x:c r="F31" s="165"/>
      <x:c r="G31" s="165"/>
    </x:row>
    <x:row r="32" ht="34" customHeight="1">
      <x:c r="C32" s="165" t="str">
        <x:v>Funding is additional to advances, grants/equity and the $100m loan already in Forecast. No extra debt interest, fees or repayments are assumed.</x:v>
      </x:c>
      <x:c r="D32" s="165"/>
      <x:c r="E32" s="165"/>
      <x:c r="F32" s="165"/>
      <x:c r="G32" s="165"/>
    </x:row>
    <x:row r="33" ht="34" customHeight="1">
      <x:c r="C33" s="165" t="str">
        <x:v>Divide each deadline shortfall by capex accumulated to that deadline. The largest ratio is the uniform break-even cut, capped at discretionary spending.</x:v>
      </x:c>
      <x:c r="D33" s="165"/>
      <x:c r="E33" s="165"/>
      <x:c r="F33" s="165"/>
      <x:c r="G33" s="165"/>
    </x:row>
    <x:row r="34" ht="34" customHeight="1">
      <x:c r="C34" s="165" t="str">
        <x:v>Maintenance capex stays at its original estimate. Cuts exceeding discretionary spending leave residual funding. Earlier cuts are assumed to remain available as cash.</x:v>
      </x:c>
      <x:c r="D34" s="165"/>
      <x:c r="E34" s="165"/>
      <x:c r="F34" s="165"/>
      <x:c r="G34" s="165"/>
    </x:row>
    <x:row r="35" ht="34" customHeight="1">
      <x:c r="C35" s="165" t="str">
        <x:v>Savings hold revenue, EBITDA, taxes, working capital, advances/credits and debt service unchanged. This is liquidity arithmetic, not an operating reforecast.</x:v>
      </x:c>
      <x:c r="D35" s="165"/>
      <x:c r="E35" s="165"/>
      <x:c r="F35" s="165"/>
      <x:c r="G35" s="165"/>
    </x:row>
    <x:row r="36" ht="34" customHeight="1">
      <x:c r="C36" s="165" t="str">
        <x:v>Funding/savings must occur before each period-end. Annual/half-year balances do not test daily liquidity. H2 2026 is a full modeled half-year, partly elapsed.</x:v>
      </x:c>
      <x:c r="D36" s="165"/>
      <x:c r="E36" s="165"/>
      <x:c r="F36" s="165"/>
      <x:c r="G36" s="165"/>
    </x:row>
    <x:row r="37" ht="34" customHeight="1">
      <x:c r="C37" s="165" t="str">
        <x:v>Actual capex deferral may require contract/customer consent, reduce advance funding or impair future capacity. Validate timing and consequences before using it.</x:v>
      </x:c>
      <x:c r="D37" s="165"/>
      <x:c r="E37" s="165"/>
      <x:c r="F37" s="165"/>
      <x:c r="G37" s="165"/>
    </x:row>
    <x:row r="38" ht="34" customHeight="1">
      <x:c r="C38" s="165" t="str">
        <x:v>The reserve is an illustrative analyst screen, not an OCBC covenant. Meeting it alone does not establish loan approval or debt-funded repayment capacity.</x:v>
      </x:c>
      <x:c r="D38" s="165"/>
      <x:c r="E38" s="165"/>
      <x:c r="F38" s="165"/>
      <x:c r="G38" s="165"/>
    </x:row>
    <x:row r="39" ht="23" customHeight="1">
      <x:c r="C39" s="132"/>
      <x:c r="D39" s="132"/>
      <x:c r="E39" s="132"/>
      <x:c r="F39" s="132"/>
      <x:c r="G39" s="132"/>
    </x:row>
    <x:row r="40" ht="23" customHeight="1">
      <x:c r="C40" s="132"/>
      <x:c r="D40" s="132"/>
      <x:c r="E40" s="132"/>
      <x:c r="F40" s="132"/>
      <x:c r="G40" s="132"/>
    </x:row>
  </x:sheetData>
  <x:mergeCells>
    <x:mergeCell ref="C2:G2"/>
    <x:mergeCell ref="D4:F4"/>
    <x:mergeCell ref="C5:G5"/>
    <x:mergeCell ref="C15:G15"/>
    <x:mergeCell ref="C20:G20"/>
    <x:mergeCell ref="D21:G21"/>
    <x:mergeCell ref="C30:G30"/>
    <x:mergeCell ref="C31:G31"/>
    <x:mergeCell ref="C32:G32"/>
    <x:mergeCell ref="C33:G33"/>
    <x:mergeCell ref="C34:G34"/>
    <x:mergeCell ref="C35:G35"/>
    <x:mergeCell ref="C36:G36"/>
    <x:mergeCell ref="C37:G37"/>
    <x:mergeCell ref="C38:G38"/>
  </x:mergeCells>
  <x:conditionalFormatting sqref="D10:G10">
    <x:cfRule type="expression" dxfId="15" priority="1">
      <x:formula>D10&lt;-0.000001</x:formula>
    </x:cfRule>
  </x:conditionalFormatting>
  <x:conditionalFormatting sqref="D25:G25">
    <x:cfRule type="expression" dxfId="16" priority="2">
      <x:formula>D25&lt;D9-0.000001</x:formula>
    </x:cfRule>
  </x:conditionalFormatting>
  <x:pageMargins left="0.7" right="0.7" top="0.75" bottom="0.75" header="0.3" footer="0.3"/>
</x:worksheet>
</file>