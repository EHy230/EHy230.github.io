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Inputs" sheetId="3" state="visible" r:id="rId5"/>
    <sheet name="Options" sheetId="4" state="visible" r:id="rId6"/>
    <sheet name="NPV" sheetId="5" state="visible" r:id="rId7"/>
    <sheet name="Decis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<sst xmlns="http://schemas.openxmlformats.org/spreadsheetml/2006/main" count="389" uniqueCount="311">
  <si>
    <t xml:space="preserve">Autumn Harvest Festival: Growth Option Evaluation (Part 3)</t>
  </si>
  <si>
    <t xml:space="preserve">WDPR 2026 IE Case Study, Part 3. Built in 2026. Uses outputs of Parts 1 and 2.</t>
  </si>
  <si>
    <t xml:space="preserve">Question</t>
  </si>
  <si>
    <t xml:space="preserve">Which of three options should the festival pursue to accommodate future growth: A) extend hours from 10 to 12 per day, B) add Friday operations to each weekend, C) add a fifth weekend.</t>
  </si>
  <si>
    <t xml:space="preserve">Method</t>
  </si>
  <si>
    <t xml:space="preserve">Each option is evaluated on the same four lenses the case names. Operational: capacity added and the change in peak-hour F&amp;B utilization (the binding constraint from Part 2). Financial: incremental net-new visits after cannibalization, incremental festival revenue and cost, break-even visits and cushion, 5-year NPV, IRR and payback under Low / Expected / High demand. Guest experience: peak-hour wait, weather exposure, fatigue. Feasibility: vendor booth-day economics and staffing load. A weighted decision matrix combines the lenses and is tested against alternative weight sets. The recommendation is phased using a real-options view: do the cheap, reversible option first, keep the scalable option in reserve, and decline the one whose downside lands on vendors.</t>
  </si>
  <si>
    <t xml:space="preserve">Revenue metric</t>
  </si>
  <si>
    <t xml:space="preserve">The case does not give admission price, the festival's share of vendor sales, or any costs. Festival net revenue per visit = admission + commission x vendor sales per visit - variable cost per visit, each an explicit input. Costs are built bottom-up per operating day and per operating hour. Every number is a blue cell; leadership should replace the admission price and daily cost with actuals.</t>
  </si>
  <si>
    <t xml:space="preserve">Sheet guide</t>
  </si>
  <si>
    <t xml:space="preserve">Inputs: every parameter with rationale. Options: per-option demand, revenue, cost, break-even, capacity relief, vendor Friday economics, under three scenarios. NPV: 5-year cash flows per option. Decision: weighted scoring matrix with weight sensitivity. Summary: dashboard and charts.</t>
  </si>
  <si>
    <t xml:space="preserve">Color legend</t>
  </si>
  <si>
    <t xml:space="preserve">Blue = editable input. Black = formula. Green = link. Yellow fill = key assumption.</t>
  </si>
  <si>
    <t xml:space="preserve">Summary dashboard: growth option recommendation</t>
  </si>
  <si>
    <t xml:space="preserve">Recommendation: pursue Option A (extend to 12 hours) now; hold Option C (fifth weekend) as the phase-two growth move once evenings are proven; do not pursue Option B (Fridays) in full-day form.</t>
  </si>
  <si>
    <t xml:space="preserve">Expected scenario</t>
  </si>
  <si>
    <t xml:space="preserve">Option A</t>
  </si>
  <si>
    <t xml:space="preserve">Option B</t>
  </si>
  <si>
    <t xml:space="preserve">Option C</t>
  </si>
  <si>
    <t xml:space="preserve">Capacity added (% of hours)</t>
  </si>
  <si>
    <t xml:space="preserve">Net-new visits per season</t>
  </si>
  <si>
    <t xml:space="preserve">Incremental festival revenue</t>
  </si>
  <si>
    <t xml:space="preserve">Incremental annual cost</t>
  </si>
  <si>
    <t xml:space="preserve">Annual net benefit (year 1)</t>
  </si>
  <si>
    <t xml:space="preserve">Break-even cushion</t>
  </si>
  <si>
    <t xml:space="preserve">F&amp;B peak utilization after, expected day (from 82%)</t>
  </si>
  <si>
    <t xml:space="preserve">F&amp;B peak utilization after, High day (from 102%)</t>
  </si>
  <si>
    <t xml:space="preserve">5-year NPV, Expected</t>
  </si>
  <si>
    <t xml:space="preserve">5-year NPV, Low</t>
  </si>
  <si>
    <t xml:space="preserve">5-year NPV, High</t>
  </si>
  <si>
    <t xml:space="preserve">Payback (years), Expected</t>
  </si>
  <si>
    <t xml:space="preserve">Weighted decision score (of 5)</t>
  </si>
  <si>
    <t xml:space="preserve">F&amp;B vendor Friday profit per booth-day (Option B feasibility)</t>
  </si>
  <si>
    <t xml:space="preserve">Low</t>
  </si>
  <si>
    <t xml:space="preserve">Expected</t>
  </si>
  <si>
    <t xml:space="preserve">High</t>
  </si>
  <si>
    <t xml:space="preserve">5-year NPV</t>
  </si>
  <si>
    <t xml:space="preserve">Inputs and assumptions</t>
  </si>
  <si>
    <t xml:space="preserve">Columns C/D/E = Low / Expected / High where an input varies by scenario; single-value inputs in column D.</t>
  </si>
  <si>
    <t xml:space="preserve">Parameter</t>
  </si>
  <si>
    <t xml:space="preserve">Key</t>
  </si>
  <si>
    <t xml:space="preserve">Source / rationale</t>
  </si>
  <si>
    <t xml:space="preserve">Baseline from Parts 1 and 2 (2026 expected)</t>
  </si>
  <si>
    <t xml:space="preserve">Season attendance (visits)</t>
  </si>
  <si>
    <t xml:space="preserve">V</t>
  </si>
  <si>
    <t xml:space="preserve">Part 1 expected forecast.</t>
  </si>
  <si>
    <t xml:space="preserve">Operating days</t>
  </si>
  <si>
    <t xml:space="preserve">days</t>
  </si>
  <si>
    <t xml:space="preserve">Case: 4 weekends x 2 days.</t>
  </si>
  <si>
    <t xml:space="preserve">Operating hours per day</t>
  </si>
  <si>
    <t xml:space="preserve">hrs</t>
  </si>
  <si>
    <t xml:space="preserve">Case: 10 AM to 8 PM.</t>
  </si>
  <si>
    <t xml:space="preserve">Saturday share of a weekend</t>
  </si>
  <si>
    <t xml:space="preserve">sat_share</t>
  </si>
  <si>
    <t xml:space="preserve">Part 2 assumption.</t>
  </si>
  <si>
    <t xml:space="preserve">Weekend 1 share of season (proxy for a shoulder weekend)</t>
  </si>
  <si>
    <t xml:space="preserve">w1_share</t>
  </si>
  <si>
    <t xml:space="preserve">Case seasonal index. Used to size a fifth weekend.</t>
  </si>
  <si>
    <t xml:space="preserve">Vendor gross sales per visit ($)</t>
  </si>
  <si>
    <t xml:space="preserve">vend_visit</t>
  </si>
  <si>
    <t xml:space="preserve">Part 2: $394,357 gross sales / 10,808 guests on the expected design day.</t>
  </si>
  <si>
    <t xml:space="preserve">F&amp;B peak-hour share of daily transactions (10-hour day)</t>
  </si>
  <si>
    <t xml:space="preserve">peak_share</t>
  </si>
  <si>
    <t xml:space="preserve">F&amp;B peak-hour utilization, expected design day (Part 2)</t>
  </si>
  <si>
    <t xml:space="preserve">rho_exp</t>
  </si>
  <si>
    <t xml:space="preserve">Part 2 result with the recommended 45/21/27 mix.</t>
  </si>
  <si>
    <t xml:space="preserve">F&amp;B peak-hour utilization, High design day (Part 2)</t>
  </si>
  <si>
    <t xml:space="preserve">rho_high</t>
  </si>
  <si>
    <t xml:space="preserve">Part 2 stress test: the mix cannot absorb a High Saturday.</t>
  </si>
  <si>
    <t xml:space="preserve">F&amp;B booth sales on the expected design day ($/booth)</t>
  </si>
  <si>
    <t xml:space="preserve">fb_booth_sales</t>
  </si>
  <si>
    <t xml:space="preserve">Part 2: $289,041 F&amp;B sales / 45 booths.</t>
  </si>
  <si>
    <t xml:space="preserve">Merchandise booth sales on the expected design day ($/booth)</t>
  </si>
  <si>
    <t xml:space="preserve">m_booth_sales</t>
  </si>
  <si>
    <t xml:space="preserve">Part 2.</t>
  </si>
  <si>
    <t xml:space="preserve">Festival economics per visit</t>
  </si>
  <si>
    <t xml:space="preserve">Average admission revenue per visit ($)</t>
  </si>
  <si>
    <t xml:space="preserve">adm</t>
  </si>
  <si>
    <t xml:space="preserve">Team assumption. The case confirms admission is charged (concert 'free with general festival admission') but not the price. Blend of adult, child, free-under-5, and pass holders. Leadership should replace with the actual gate yield.</t>
  </si>
  <si>
    <t xml:space="preserve">Festival share of vendor gross sales</t>
  </si>
  <si>
    <t xml:space="preserve">comm</t>
  </si>
  <si>
    <t xml:space="preserve">Cal Poly Pomona Pumpkin Festival (a five-weekend fall harvest festival) charges vendors 15% of gross sales; other festivals range 10 to 20% or a flat fee, whichever is greater.</t>
  </si>
  <si>
    <t xml:space="preserve">Variable festival cost per visit ($)</t>
  </si>
  <si>
    <t xml:space="preserve">varc</t>
  </si>
  <si>
    <t xml:space="preserve">Team assumption: waste, restroom consumables, ticketing fees, insurance loading per guest.</t>
  </si>
  <si>
    <t xml:space="preserve">Festival net revenue per visit ($)</t>
  </si>
  <si>
    <t xml:space="preserve">netrev</t>
  </si>
  <si>
    <t xml:space="preserve">Formula: admission + commission x vendor sales per visit - variable cost.</t>
  </si>
  <si>
    <t xml:space="preserve">Festival operating cost structure (bottom-up, team assumptions)</t>
  </si>
  <si>
    <t xml:space="preserve">Security, gate, and operations staff per day</t>
  </si>
  <si>
    <t xml:space="preserve">c_staff</t>
  </si>
  <si>
    <t xml:space="preserve">40 staff x 11 paid hours x $25 loaded rate for a 10-hour day.</t>
  </si>
  <si>
    <t xml:space="preserve">Entertainment and stage per day</t>
  </si>
  <si>
    <t xml:space="preserve">c_ent</t>
  </si>
  <si>
    <t xml:space="preserve">Performers, sound, stage crew.</t>
  </si>
  <si>
    <t xml:space="preserve">Sanitation, utilities, waste per day</t>
  </si>
  <si>
    <t xml:space="preserve">c_util</t>
  </si>
  <si>
    <t xml:space="preserve">Portable restrooms, power, water, hauling.</t>
  </si>
  <si>
    <t xml:space="preserve">Medical, permits, insurance per day</t>
  </si>
  <si>
    <t xml:space="preserve">c_med</t>
  </si>
  <si>
    <t xml:space="preserve">First aid post, daily permit and insurance loading.</t>
  </si>
  <si>
    <t xml:space="preserve">Parking and traffic control per day</t>
  </si>
  <si>
    <t xml:space="preserve">c_park</t>
  </si>
  <si>
    <t xml:space="preserve">Lot attendants, signage, police detail.</t>
  </si>
  <si>
    <t xml:space="preserve">Marketing per operating day</t>
  </si>
  <si>
    <t xml:space="preserve">c_mkt</t>
  </si>
  <si>
    <t xml:space="preserve">Season marketing spread across days.</t>
  </si>
  <si>
    <t xml:space="preserve">Total festival cost per operating day</t>
  </si>
  <si>
    <t xml:space="preserve">cost_day</t>
  </si>
  <si>
    <t xml:space="preserve">Formula.</t>
  </si>
  <si>
    <t xml:space="preserve">Incremental cost per added operating hour</t>
  </si>
  <si>
    <t xml:space="preserve">cost_hr</t>
  </si>
  <si>
    <t xml:space="preserve">Staff and utilities scale with hours (~$1,500/hr) plus evening lighting and power (~$500/hr). Entertainment, permits, parking do not scale with hours.</t>
  </si>
  <si>
    <t xml:space="preserve">Friday cost as a fraction of a full weekend day</t>
  </si>
  <si>
    <t xml:space="preserve">fri_cost_fac</t>
  </si>
  <si>
    <t xml:space="preserve">Lighter staffing for a lighter crowd; most day costs are fixed.</t>
  </si>
  <si>
    <t xml:space="preserve">Fixed cost of adding a fifth weekend (beyond daily costs)</t>
  </si>
  <si>
    <t xml:space="preserve">wk_fixed</t>
  </si>
  <si>
    <t xml:space="preserve">Extra site rental, vendor re-setup, weekend-specific marketing.</t>
  </si>
  <si>
    <t xml:space="preserve">One-time cost, Option A (lighting, generators, marketing of new hours)</t>
  </si>
  <si>
    <t xml:space="preserve">capex_A</t>
  </si>
  <si>
    <t xml:space="preserve">Team assumption.</t>
  </si>
  <si>
    <t xml:space="preserve">One-time cost, Option B (permits, Friday marketing, scheduling)</t>
  </si>
  <si>
    <t xml:space="preserve">capex_B</t>
  </si>
  <si>
    <t xml:space="preserve">One-time cost, Option C (site agreement, marketing, contracts)</t>
  </si>
  <si>
    <t xml:space="preserve">capex_C</t>
  </si>
  <si>
    <t xml:space="preserve">Option A: extend hours 10 to 12 per day</t>
  </si>
  <si>
    <t xml:space="preserve">Hours added per day</t>
  </si>
  <si>
    <t xml:space="preserve">A_hrs</t>
  </si>
  <si>
    <t xml:space="preserve">Case: 8 PM to 10 PM.</t>
  </si>
  <si>
    <t xml:space="preserve">Net-new visits from evening hours (% of season attendance)</t>
  </si>
  <si>
    <t xml:space="preserve">A_new</t>
  </si>
  <si>
    <t xml:space="preserve">Team judgment: guests who cannot arrive before evening (Saturday workers, dinner-and-lights visitors). Concert and lighting make evenings a draw. No cannibalization: extra hours on the same day cannot shift a visit from another day.</t>
  </si>
  <si>
    <t xml:space="preserve">Uplift in vendor sales from existing guests staying later (% of vendor sales)</t>
  </si>
  <si>
    <t xml:space="preserve">A_dwell</t>
  </si>
  <si>
    <t xml:space="preserve">Team judgment: dinner-hour F&amp;B spend by guests who would otherwise leave at 8 PM.</t>
  </si>
  <si>
    <t xml:space="preserve">Share of demand that redistributes across the longer day</t>
  </si>
  <si>
    <t xml:space="preserve">A_spread</t>
  </si>
  <si>
    <t xml:space="preserve">Team judgment: peak-hour share falls toward 15% x 10/12 as demand spreads; 80% of that theoretical spread is realized.</t>
  </si>
  <si>
    <t xml:space="preserve">Option B: add Friday operations</t>
  </si>
  <si>
    <t xml:space="preserve">Fridays added</t>
  </si>
  <si>
    <t xml:space="preserve">B_days</t>
  </si>
  <si>
    <t xml:space="preserve">Case.</t>
  </si>
  <si>
    <t xml:space="preserve">Friday attendance as % of a Saturday</t>
  </si>
  <si>
    <t xml:space="preserve">B_fri</t>
  </si>
  <si>
    <t xml:space="preserve">State fairs see Fridays at 55 to 80% of the following Saturday (State Fair of Texas 2024; NC State Fair 2019), but those are destination events with school programs and hours past 10 PM. A regional festival on a workday Friday with the same weekend available as a substitute sits lower.</t>
  </si>
  <si>
    <t xml:space="preserve">Share of Friday visits shifted from Saturday/Sunday (cannibalization)</t>
  </si>
  <si>
    <t xml:space="preserve">B_can</t>
  </si>
  <si>
    <t xml:space="preserve">Team judgment: locals with flexible schedules move a planned weekend visit to Friday.</t>
  </si>
  <si>
    <t xml:space="preserve">Option C: add a fifth weekend</t>
  </si>
  <si>
    <t xml:space="preserve">Days added</t>
  </si>
  <si>
    <t xml:space="preserve">C_days</t>
  </si>
  <si>
    <t xml:space="preserve">Fifth-weekend gross attendance as % of a shoulder (Weekend 1) weekend</t>
  </si>
  <si>
    <t xml:space="preserve">C_w5</t>
  </si>
  <si>
    <t xml:space="preserve">Team judgment: later into the season means colder weather, holiday proximity, and novelty fatigue.</t>
  </si>
  <si>
    <t xml:space="preserve">Share of fifth-weekend visits shifted from other weekends</t>
  </si>
  <si>
    <t xml:space="preserve">C_can</t>
  </si>
  <si>
    <t xml:space="preserve">Team judgment.</t>
  </si>
  <si>
    <t xml:space="preserve">Probability of a weather-impaired weekend</t>
  </si>
  <si>
    <t xml:space="preserve">C_wx</t>
  </si>
  <si>
    <t xml:space="preserve">Team judgment: a late-fall weekend carries higher rain/cold risk than the core season.</t>
  </si>
  <si>
    <t xml:space="preserve">Attendance loss if weather-impaired</t>
  </si>
  <si>
    <t xml:space="preserve">C_wxloss</t>
  </si>
  <si>
    <t xml:space="preserve">Financial evaluation</t>
  </si>
  <si>
    <t xml:space="preserve">Horizon (years)</t>
  </si>
  <si>
    <t xml:space="preserve">horizon</t>
  </si>
  <si>
    <t xml:space="preserve">Standard for operating changes with modest capex.</t>
  </si>
  <si>
    <t xml:space="preserve">Discount rate</t>
  </si>
  <si>
    <t xml:space="preserve">disc</t>
  </si>
  <si>
    <t xml:space="preserve">Team assumption for a municipal/nonprofit-style event operator.</t>
  </si>
  <si>
    <t xml:space="preserve">Annual growth in incremental revenue</t>
  </si>
  <si>
    <t xml:space="preserve">g_rev</t>
  </si>
  <si>
    <t xml:space="preserve">Part 1 trend growth (3.4 to 4.9%).</t>
  </si>
  <si>
    <t xml:space="preserve">Annual growth in incremental cost</t>
  </si>
  <si>
    <t xml:space="preserve">g_cost</t>
  </si>
  <si>
    <t xml:space="preserve">Wage and services inflation.</t>
  </si>
  <si>
    <t xml:space="preserve">Vendor booth-day economics (feasibility check for Fridays)</t>
  </si>
  <si>
    <t xml:space="preserve">F&amp;B variable cost (food, packaging) % of sales</t>
  </si>
  <si>
    <t xml:space="preserve">fb_var</t>
  </si>
  <si>
    <t xml:space="preserve">Part 2 cost build: food cost 25 to 38% of sales.</t>
  </si>
  <si>
    <t xml:space="preserve">F&amp;B semi-fixed labor per booth-day, % of an average-day sales</t>
  </si>
  <si>
    <t xml:space="preserve">fb_fixed</t>
  </si>
  <si>
    <t xml:space="preserve">Labor is scheduled for the day regardless of traffic; 30% of average-day sales (Part 2 prime-cost split).</t>
  </si>
  <si>
    <t xml:space="preserve">Merchandise COGS % of sales</t>
  </si>
  <si>
    <t xml:space="preserve">m_var</t>
  </si>
  <si>
    <t xml:space="preserve">Keystone.</t>
  </si>
  <si>
    <t xml:space="preserve">Merchandise semi-fixed labor per booth-day, % of average-day sales</t>
  </si>
  <si>
    <t xml:space="preserve">m_fixed</t>
  </si>
  <si>
    <t xml:space="preserve">Owner-operated.</t>
  </si>
  <si>
    <t xml:space="preserve">Option evaluation under Low / Expected / High demand</t>
  </si>
  <si>
    <t xml:space="preserve">All revenue and cost figures are annual increments over the 2026 baseline, in year-1 dollars. Scenario columns vary the demand-response inputs; cost inputs are held at Expected.</t>
  </si>
  <si>
    <t xml:space="preserve">Metric</t>
  </si>
  <si>
    <t xml:space="preserve">Logic</t>
  </si>
  <si>
    <t xml:space="preserve">Baseline</t>
  </si>
  <si>
    <t xml:space="preserve">Season visits</t>
  </si>
  <si>
    <t xml:space="preserve">Part 1.</t>
  </si>
  <si>
    <t xml:space="preserve">Average visits per day</t>
  </si>
  <si>
    <t xml:space="preserve">V / 8.</t>
  </si>
  <si>
    <t xml:space="preserve">Average Saturday visits</t>
  </si>
  <si>
    <t xml:space="preserve">Weekend average x Saturday share.</t>
  </si>
  <si>
    <t xml:space="preserve">Festival net revenue per visit</t>
  </si>
  <si>
    <t xml:space="preserve">Inputs.</t>
  </si>
  <si>
    <t xml:space="preserve">Baseline festival operating cost (8 days)</t>
  </si>
  <si>
    <t xml:space="preserve">Cost per day x days.</t>
  </si>
  <si>
    <t xml:space="preserve">Option A: extend hours to 12 per day</t>
  </si>
  <si>
    <t xml:space="preserve">Operating hours added per season</t>
  </si>
  <si>
    <t xml:space="preserve">2 hours x 8 days.</t>
  </si>
  <si>
    <t xml:space="preserve">Capacity added (% of operating hours)</t>
  </si>
  <si>
    <t xml:space="preserve">16 / 80.</t>
  </si>
  <si>
    <t xml:space="preserve">Gross new visits</t>
  </si>
  <si>
    <t xml:space="preserve">V x evening uplift %.</t>
  </si>
  <si>
    <t xml:space="preserve">Visits shifted from other days (cannibalized)</t>
  </si>
  <si>
    <t xml:space="preserve">None: same days, more hours.</t>
  </si>
  <si>
    <t xml:space="preserve">Net-new visits</t>
  </si>
  <si>
    <t xml:space="preserve">Gross minus shifted.</t>
  </si>
  <si>
    <t xml:space="preserve">Net-new visits x net revenue per visit + commission on dwell-driven vendor sales.</t>
  </si>
  <si>
    <t xml:space="preserve">Incremental vendor gross sales (ecosystem view)</t>
  </si>
  <si>
    <t xml:space="preserve">For vendor buy-in.</t>
  </si>
  <si>
    <t xml:space="preserve">Incremental annual operating cost</t>
  </si>
  <si>
    <t xml:space="preserve">Cost per hour x hours added.</t>
  </si>
  <si>
    <t xml:space="preserve">Revenue minus cost.</t>
  </si>
  <si>
    <t xml:space="preserve">Break-even net-new visits</t>
  </si>
  <si>
    <t xml:space="preserve">Cost / net revenue per visit.</t>
  </si>
  <si>
    <t xml:space="preserve">Break-even cushion (net-new / break-even)</t>
  </si>
  <si>
    <t xml:space="preserve">Above 1.0 = profitable; 2.0 = demand could halve.</t>
  </si>
  <si>
    <t xml:space="preserve">F&amp;B peak-hour share after extension</t>
  </si>
  <si>
    <t xml:space="preserve">15% x (1 - spread x (1 - 10/12)).</t>
  </si>
  <si>
    <t xml:space="preserve">F&amp;B peak utilization after, expected day</t>
  </si>
  <si>
    <t xml:space="preserve">Part 2 utilization x share ratio x (1 + new visits).</t>
  </si>
  <si>
    <t xml:space="preserve">F&amp;B peak utilization after, High day</t>
  </si>
  <si>
    <t xml:space="preserve">Same, High design day.</t>
  </si>
  <si>
    <t xml:space="preserve">Operating days added</t>
  </si>
  <si>
    <t xml:space="preserve">4 Fridays.</t>
  </si>
  <si>
    <t xml:space="preserve">4 / 8.</t>
  </si>
  <si>
    <t xml:space="preserve">Gross Friday visits</t>
  </si>
  <si>
    <t xml:space="preserve">4 x Friday ratio x Saturday visits.</t>
  </si>
  <si>
    <t xml:space="preserve">Visits shifted from Saturday/Sunday</t>
  </si>
  <si>
    <t xml:space="preserve">Gross x cannibalization.</t>
  </si>
  <si>
    <t xml:space="preserve">Net-new x net revenue per visit.</t>
  </si>
  <si>
    <t xml:space="preserve">4 x day cost x Friday factor.</t>
  </si>
  <si>
    <t xml:space="preserve">Saturday/Sunday load reduction from shifted visits</t>
  </si>
  <si>
    <t xml:space="preserve">Shifted visits per weekend day / average day.</t>
  </si>
  <si>
    <t xml:space="preserve">F&amp;B booth: Friday sales per booth-day</t>
  </si>
  <si>
    <t xml:space="preserve">Design-day booth sales scaled to an average day, then to Friday.</t>
  </si>
  <si>
    <t xml:space="preserve">F&amp;B booth: Friday profit per booth-day</t>
  </si>
  <si>
    <t xml:space="preserve">Sales less variable cost less semi-fixed labor sized to an average day. Negative = vendors lose money on Fridays.</t>
  </si>
  <si>
    <t xml:space="preserve">Merchandise booth: Friday profit per booth-day</t>
  </si>
  <si>
    <t xml:space="preserve">One weekend.</t>
  </si>
  <si>
    <t xml:space="preserve">2 / 8.</t>
  </si>
  <si>
    <t xml:space="preserve">Gross fifth-weekend visits</t>
  </si>
  <si>
    <t xml:space="preserve">Shoulder-weekend size x fifth-weekend ratio.</t>
  </si>
  <si>
    <t xml:space="preserve">Visits shifted from other weekends</t>
  </si>
  <si>
    <t xml:space="preserve">Net-new visits (before weather)</t>
  </si>
  <si>
    <t xml:space="preserve">Weather expected-value factor</t>
  </si>
  <si>
    <t xml:space="preserve">1 - P(bad weather) x loss.</t>
  </si>
  <si>
    <t xml:space="preserve">Incremental festival revenue (weather-adjusted)</t>
  </si>
  <si>
    <t xml:space="preserve">2 day costs + weekend fixed cost.</t>
  </si>
  <si>
    <t xml:space="preserve">Weather-adjusted.</t>
  </si>
  <si>
    <t xml:space="preserve">Peak-weekend load reduction from shifted visits</t>
  </si>
  <si>
    <t xml:space="preserve">Five-year discounted cash flow by option (Expected scenario; Low and High below)</t>
  </si>
  <si>
    <t xml:space="preserve">Year 0 = one-time cost. Years 1 to 5: incremental revenue grows at g_rev, incremental cost at g_cost. NPV at the discount rate; IRR; simple payback = capex / year-1 net benefit.</t>
  </si>
  <si>
    <t xml:space="preserve">Option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</si>
  <si>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</si>
  <si>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</si>
  <si>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</si>
  <si>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</si>
  <si>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</si>
  <si>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</si>
  <si>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NPV</t>
  </si>
  <si>
    <t xml:space="preserve">IRR</t>
  </si>
  <si>
    <t xml:space="preserve">Payback (yrs)</t>
  </si>
  <si>
    <t xml:space="preserve">Low scenario</t>
  </si>
  <si>
    <t xml:space="preserve">High scenario</t>
  </si>
  <si>
    <t xml:space="preserve">Weighted decision matrix (1 = poor, 5 = excellent) with weight sensitivity</t>
  </si>
  <si>
    <t xml:space="preserve">Scores are the team's assessment, each justified from the Options and NPV sheets. Weights are editable; the sensitivity block re-ranks under three alternative weight sets so leadership can see whether the answer depends on the weights.</t>
  </si>
  <si>
    <t xml:space="preserve">Criterion</t>
  </si>
  <si>
    <t xml:space="preserve">Weight</t>
  </si>
  <si>
    <t xml:space="preserve">Case lens</t>
  </si>
  <si>
    <t xml:space="preserve">Basis for scores</t>
  </si>
  <si>
    <t xml:space="preserve">Financial return (Expected NPV, cushion)</t>
  </si>
  <si>
    <t xml:space="preserve">Financial</t>
  </si>
  <si>
    <t xml:space="preserve">A: highest expected NPV per dollar of cost, 2.4x cushion. B: higher upside but 1.4x cushion and negative in Low. C: roughly break-even after weather.</t>
  </si>
  <si>
    <t xml:space="preserve">Peak congestion relief (Part 2 constraint)</t>
  </si>
  <si>
    <t xml:space="preserve">Operational / guest experience</t>
  </si>
  <si>
    <t xml:space="preserve">A spreads the lunch peak structurally (share 15% to 13%) and adds evening dwell; B and C relieve only through speculative shifting.</t>
  </si>
  <si>
    <t xml:space="preserve">Risk and reversibility</t>
  </si>
  <si>
    <t xml:space="preserve">Financial / operational</t>
  </si>
  <si>
    <t xml:space="preserve">A: small, reversible, positive in all scenarios. B: demand uncertain, negative in Low, vendor churn risk. C: weather exposure, negative in Low.</t>
  </si>
  <si>
    <t xml:space="preserve">Vendor and staff feasibility</t>
  </si>
  <si>
    <t xml:space="preserve">Operational</t>
  </si>
  <si>
    <t xml:space="preserve">A: vendors staff 2 more hours at high dinner spend. B: F&amp;B booth-days at or below break-even, 3-day weekends x 4. C: one more weekend to staff; vendors already contracted seasonally.</t>
  </si>
  <si>
    <t xml:space="preserve">Growth headroom (scalable capacity)</t>
  </si>
  <si>
    <t xml:space="preserve">Strategic</t>
  </si>
  <si>
    <t xml:space="preserve">A adds 20% once and is then exhausted. B adds 50% hours but on low-yield days. C adds 25% of proven high-yield days and can be repeated (sixth weekend).</t>
  </si>
  <si>
    <t xml:space="preserve">Weighted score</t>
  </si>
  <si>
    <t xml:space="preserve">Rank</t>
  </si>
  <si>
    <t xml:space="preserve">Check: weights sum to 100%</t>
  </si>
  <si>
    <t xml:space="preserve">Weight sensitivity: does the ranking change under different priorities?</t>
  </si>
  <si>
    <t xml:space="preserve">Weight set</t>
  </si>
  <si>
    <t xml:space="preserve">Congestion</t>
  </si>
  <si>
    <t xml:space="preserve">Risk</t>
  </si>
  <si>
    <t xml:space="preserve">Feasibility</t>
  </si>
  <si>
    <t xml:space="preserve">Growth</t>
  </si>
  <si>
    <t xml:space="preserve">Score A</t>
  </si>
  <si>
    <t xml:space="preserve">Score B</t>
  </si>
  <si>
    <t xml:space="preserve">Score C</t>
  </si>
  <si>
    <t xml:space="preserve">Top option</t>
  </si>
  <si>
    <t xml:space="preserve">Base</t>
  </si>
  <si>
    <t xml:space="preserve">Finance-heavy</t>
  </si>
  <si>
    <t xml:space="preserve">Growth-heavy</t>
  </si>
  <si>
    <t xml:space="preserve">Guest-experience-heavy</t>
  </si>
  <si>
    <t xml:space="preserve">Risk-averse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</si>
</sst>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(0.0%\);\-"/>
    <numFmt numFmtId="166" formatCode="#,##0;\(#,##0\);\-"/>
    <numFmt numFmtId="167" formatCode="\$#,##0;&quot;($&quot;#,##0\);\-"/>
    <numFmt numFmtId="168" formatCode="0.00"/>
    <numFmt numFmtId="169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net benefit by option and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Summary!B21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Summary!$A$22:$A$24</c:f>
              <c:strCache>
                <c:ptCount val="3"/>
                <c:pt idx="0">
                  <c:v>Option A</c:v>
                </c:pt>
                <c:pt idx="1">
                  <c:v>Option B</c:v>
                </c:pt>
                <c:pt idx="2">
                  <c:v>Option C</c:v>
                </c:pt>
              </c:strCache>
            </c:strRef>
          </c:cat>
          <c:val>
            <c:numRef>
              <c:f>Summary!$B$22:$B$24</c:f>
              <c:numCache>
                <c:formatCode>\$#,##0;"($"#,##0\);\-</c:formatCode>
                <c:ptCount val="3"/>
                <c:pt idx="0">
                  <c:v>11588.2106466969</c:v>
                </c:pt>
                <c:pt idx="1">
                  <c:v>-10736.8370209197</c:v>
                </c:pt>
                <c:pt idx="2">
                  <c:v>-27561.4079015674</c:v>
                </c:pt>
              </c:numCache>
            </c:numRef>
          </c:val>
        </c:ser>
        <c:ser>
          <c:idx val="1"/>
          <c:order val="1"/>
          <c:tx>
            <c:strRef>
              <c:f>Summary!C21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Summary!$A$22:$A$24</c:f>
              <c:strCache>
                <c:ptCount val="3"/>
                <c:pt idx="0">
                  <c:v>Option A</c:v>
                </c:pt>
                <c:pt idx="1">
                  <c:v>Option B</c:v>
                </c:pt>
                <c:pt idx="2">
                  <c:v>Option C</c:v>
                </c:pt>
              </c:strCache>
            </c:strRef>
          </c:cat>
          <c:val>
            <c:numRef>
              <c:f>Summary!$C$22:$C$24</c:f>
              <c:numCache>
                <c:formatCode>\$#,##0;"($"#,##0\);\-</c:formatCode>
                <c:ptCount val="3"/>
                <c:pt idx="0">
                  <c:v>55176.4212933938</c:v>
                </c:pt>
                <c:pt idx="1">
                  <c:v>36200.3085962953</c:v>
                </c:pt>
                <c:pt idx="2">
                  <c:v>3294.53954618686</c:v>
                </c:pt>
              </c:numCache>
            </c:numRef>
          </c:val>
        </c:ser>
        <c:ser>
          <c:idx val="2"/>
          <c:order val="2"/>
          <c:tx>
            <c:strRef>
              <c:f>Summary!D21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Summary!$A$22:$A$24</c:f>
              <c:strCache>
                <c:ptCount val="3"/>
                <c:pt idx="0">
                  <c:v>Option A</c:v>
                </c:pt>
                <c:pt idx="1">
                  <c:v>Option B</c:v>
                </c:pt>
                <c:pt idx="2">
                  <c:v>Option C</c:v>
                </c:pt>
              </c:strCache>
            </c:strRef>
          </c:cat>
          <c:val>
            <c:numRef>
              <c:f>Summary!$D$22:$D$24</c:f>
              <c:numCache>
                <c:formatCode>\$#,##0;"($"#,##0\);\-</c:formatCode>
                <c:ptCount val="3"/>
                <c:pt idx="0">
                  <c:v>98764.6319400907</c:v>
                </c:pt>
                <c:pt idx="1">
                  <c:v>110311.591149793</c:v>
                </c:pt>
                <c:pt idx="2">
                  <c:v>42559.2671298187</c:v>
                </c:pt>
              </c:numCache>
            </c:numRef>
          </c:val>
        </c:ser>
        <c:gapWidth val="150"/>
        <c:overlap val="0"/>
        <c:axId val="47483573"/>
        <c:axId val="82482705"/>
      </c:barChart>
      <c:catAx>
        <c:axId val="474835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482705"/>
        <c:crosses val="autoZero"/>
        <c:auto val="1"/>
        <c:lblAlgn val="ctr"/>
        <c:lblOffset val="100"/>
        <c:noMultiLvlLbl val="0"/>
      </c:catAx>
      <c:valAx>
        <c:axId val="824827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4835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5-year NPV by option and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Summary!B27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Summary!$A$28:$A$30</c:f>
              <c:strCache>
                <c:ptCount val="3"/>
                <c:pt idx="0">
                  <c:v>Option A</c:v>
                </c:pt>
                <c:pt idx="1">
                  <c:v>Option B</c:v>
                </c:pt>
                <c:pt idx="2">
                  <c:v>Option C</c:v>
                </c:pt>
              </c:strCache>
            </c:strRef>
          </c:cat>
          <c:val>
            <c:numRef>
              <c:f>Summary!$B$28:$B$30</c:f>
              <c:numCache>
                <c:formatCode>\$#,##0;"($"#,##0\);\-</c:formatCode>
                <c:ptCount val="3"/>
                <c:pt idx="0">
                  <c:v>17341.5483497361</c:v>
                </c:pt>
                <c:pt idx="1">
                  <c:v>-58498.9657043294</c:v>
                </c:pt>
                <c:pt idx="2">
                  <c:v>-126870.826714166</c:v>
                </c:pt>
              </c:numCache>
            </c:numRef>
          </c:val>
        </c:ser>
        <c:ser>
          <c:idx val="1"/>
          <c:order val="1"/>
          <c:tx>
            <c:strRef>
              <c:f>Summary!C27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Summary!$A$28:$A$30</c:f>
              <c:strCache>
                <c:ptCount val="3"/>
                <c:pt idx="0">
                  <c:v>Option A</c:v>
                </c:pt>
                <c:pt idx="1">
                  <c:v>Option B</c:v>
                </c:pt>
                <c:pt idx="2">
                  <c:v>Option C</c:v>
                </c:pt>
              </c:strCache>
            </c:strRef>
          </c:cat>
          <c:val>
            <c:numRef>
              <c:f>Summary!$C$28:$C$30</c:f>
              <c:numCache>
                <c:formatCode>\$#,##0;"($"#,##0\);\-</c:formatCode>
                <c:ptCount val="3"/>
                <c:pt idx="0">
                  <c:v>204734.325035191</c:v>
                </c:pt>
                <c:pt idx="1">
                  <c:v>143291.424779755</c:v>
                </c:pt>
                <c:pt idx="2">
                  <c:v>5783.88848766848</c:v>
                </c:pt>
              </c:numCache>
            </c:numRef>
          </c:val>
        </c:ser>
        <c:ser>
          <c:idx val="2"/>
          <c:order val="2"/>
          <c:tx>
            <c:strRef>
              <c:f>Summary!D27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Summary!$A$28:$A$30</c:f>
              <c:strCache>
                <c:ptCount val="3"/>
                <c:pt idx="0">
                  <c:v>Option A</c:v>
                </c:pt>
                <c:pt idx="1">
                  <c:v>Option B</c:v>
                </c:pt>
                <c:pt idx="2">
                  <c:v>Option C</c:v>
                </c:pt>
              </c:strCache>
            </c:strRef>
          </c:cat>
          <c:val>
            <c:numRef>
              <c:f>Summary!$D$28:$D$30</c:f>
              <c:numCache>
                <c:formatCode>\$#,##0;"($"#,##0\);\-</c:formatCode>
                <c:ptCount val="3"/>
                <c:pt idx="0">
                  <c:v>392127.101720647</c:v>
                </c:pt>
                <c:pt idx="1">
                  <c:v>461907.830807256</c:v>
                </c:pt>
                <c:pt idx="2">
                  <c:v>174589.31129647</c:v>
                </c:pt>
              </c:numCache>
            </c:numRef>
          </c:val>
        </c:ser>
        <c:gapWidth val="150"/>
        <c:overlap val="0"/>
        <c:axId val="82638355"/>
        <c:axId val="26131186"/>
      </c:barChart>
      <c:catAx>
        <c:axId val="826383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131186"/>
        <c:crosses val="autoZero"/>
        <c:auto val="1"/>
        <c:lblAlgn val="ctr"/>
        <c:lblOffset val="100"/>
        <c:noMultiLvlLbl val="0"/>
      </c:catAx>
      <c:valAx>
        <c:axId val="261311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6383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13</xdr:col>
      <xdr:colOff>507600</xdr:colOff>
      <xdr:row>17</xdr:row>
      <xdr:rowOff>2880</xdr:rowOff>
    </xdr:to>
    <xdr:graphicFrame>
      <xdr:nvGraphicFramePr>
        <xdr:cNvPr id="0" name="Chart 1"/>
        <xdr:cNvGraphicFramePr/>
      </xdr:nvGraphicFramePr>
      <xdr:xfrm>
        <a:off x="7237080" y="7621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19</xdr:row>
      <xdr:rowOff>160920</xdr:rowOff>
    </xdr:from>
    <xdr:to>
      <xdr:col>13</xdr:col>
      <xdr:colOff>507600</xdr:colOff>
      <xdr:row>34</xdr:row>
      <xdr:rowOff>2880</xdr:rowOff>
    </xdr:to>
    <xdr:graphicFrame>
      <xdr:nvGraphicFramePr>
        <xdr:cNvPr id="1" name="Chart 2"/>
        <xdr:cNvGraphicFramePr/>
      </xdr:nvGraphicFramePr>
      <xdr:xfrm>
        <a:off x="7237080" y="4000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79.5" hidden="false" customHeight="true" outlineLevel="0" collapsed="false">
      <c r="A4" s="3" t="s">
        <v>2</v>
      </c>
      <c r="B4" s="4" t="s">
        <v>3</v>
      </c>
    </row>
    <row r="5" customFormat="false" ht="79.5" hidden="false" customHeight="true" outlineLevel="0" collapsed="false">
      <c r="A5" s="3" t="s">
        <v>4</v>
      </c>
      <c r="B5" s="4" t="s">
        <v>5</v>
      </c>
    </row>
    <row r="6" customFormat="false" ht="79.5" hidden="false" customHeight="true" outlineLevel="0" collapsed="false">
      <c r="A6" s="3" t="s">
        <v>6</v>
      </c>
      <c r="B6" s="4" t="s">
        <v>7</v>
      </c>
    </row>
    <row r="7" customFormat="false" ht="79.5" hidden="false" customHeight="true" outlineLevel="0" collapsed="false">
      <c r="A7" s="3" t="s">
        <v>8</v>
      </c>
      <c r="B7" s="4" t="s">
        <v>9</v>
      </c>
    </row>
    <row r="8" customFormat="false" ht="79.5" hidden="false" customHeight="true" outlineLevel="0" collapsed="false">
      <c r="A8" s="3" t="s">
        <v>10</v>
      </c>
      <c r="B8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12</v>
      </c>
    </row>
    <row r="2" customFormat="false" ht="30" hidden="false" customHeight="true" outlineLevel="0" collapsed="false">
      <c r="A2" s="5" t="s">
        <v>13</v>
      </c>
      <c r="B2" s="5"/>
      <c r="C2" s="5"/>
      <c r="D2" s="5"/>
      <c r="E2" s="5"/>
      <c r="F2" s="5"/>
    </row>
    <row r="4" customFormat="false" ht="15" hidden="false" customHeight="false" outlineLevel="0" collapsed="false">
      <c r="A4" s="6" t="s">
        <v>14</v>
      </c>
      <c r="B4" s="6" t="s">
        <v>15</v>
      </c>
      <c r="C4" s="6" t="s">
        <v>16</v>
      </c>
      <c r="D4" s="6" t="s">
        <v>17</v>
      </c>
    </row>
    <row r="5" customFormat="false" ht="15" hidden="false" customHeight="false" outlineLevel="0" collapsed="false">
      <c r="A5" s="7" t="s">
        <v>18</v>
      </c>
      <c r="B5" s="8" t="n">
        <f aca="false">Options!C13</f>
        <v>0.2</v>
      </c>
      <c r="C5" s="8" t="n">
        <f aca="false">Options!C29</f>
        <v>0.5</v>
      </c>
      <c r="D5" s="8" t="n">
        <f aca="false">Options!C48</f>
        <v>0.25</v>
      </c>
    </row>
    <row r="6" customFormat="false" ht="15" hidden="false" customHeight="false" outlineLevel="0" collapsed="false">
      <c r="A6" s="7" t="s">
        <v>19</v>
      </c>
      <c r="B6" s="9" t="n">
        <f aca="false">Options!C16</f>
        <v>5439.84</v>
      </c>
      <c r="C6" s="9" t="n">
        <f aca="false">Options!C32</f>
        <v>9546.9192</v>
      </c>
      <c r="D6" s="9" t="n">
        <f aca="false">Options!C51</f>
        <v>7139.79</v>
      </c>
    </row>
    <row r="7" customFormat="false" ht="15" hidden="false" customHeight="false" outlineLevel="0" collapsed="false">
      <c r="A7" s="7" t="s">
        <v>20</v>
      </c>
      <c r="B7" s="10" t="n">
        <f aca="false">Options!C17</f>
        <v>87176.4212933938</v>
      </c>
      <c r="C7" s="10" t="n">
        <f aca="false">Options!C33</f>
        <v>133400.308596295</v>
      </c>
      <c r="D7" s="10" t="n">
        <f aca="false">Options!C53</f>
        <v>87294.5395461869</v>
      </c>
    </row>
    <row r="8" customFormat="false" ht="15" hidden="false" customHeight="false" outlineLevel="0" collapsed="false">
      <c r="A8" s="7" t="s">
        <v>21</v>
      </c>
      <c r="B8" s="10" t="n">
        <f aca="false">Options!C19</f>
        <v>32000</v>
      </c>
      <c r="C8" s="10" t="n">
        <f aca="false">Options!C35</f>
        <v>97200</v>
      </c>
      <c r="D8" s="10" t="n">
        <f aca="false">Options!C55</f>
        <v>84000</v>
      </c>
    </row>
    <row r="9" customFormat="false" ht="15" hidden="false" customHeight="false" outlineLevel="0" collapsed="false">
      <c r="A9" s="11" t="s">
        <v>22</v>
      </c>
      <c r="B9" s="12" t="n">
        <f aca="false">Options!C20</f>
        <v>55176.4212933938</v>
      </c>
      <c r="C9" s="12" t="n">
        <f aca="false">Options!C36</f>
        <v>36200.3085962953</v>
      </c>
      <c r="D9" s="12" t="n">
        <f aca="false">Options!C56</f>
        <v>3294.53954618686</v>
      </c>
    </row>
    <row r="10" customFormat="false" ht="15" hidden="false" customHeight="false" outlineLevel="0" collapsed="false">
      <c r="A10" s="11" t="s">
        <v>23</v>
      </c>
      <c r="B10" s="13" t="n">
        <f aca="false">Options!C22</f>
        <v>2.3753616203044</v>
      </c>
      <c r="C10" s="13" t="n">
        <f aca="false">Options!C38</f>
        <v>1.3724311583981</v>
      </c>
      <c r="D10" s="13" t="n">
        <f aca="false">Options!C58</f>
        <v>1.03922070888318</v>
      </c>
    </row>
    <row r="11" customFormat="false" ht="15" hidden="false" customHeight="false" outlineLevel="0" collapsed="false">
      <c r="A11" s="7" t="s">
        <v>24</v>
      </c>
      <c r="B11" s="8" t="n">
        <f aca="false">Options!C24</f>
        <v>0.76284</v>
      </c>
      <c r="C11" s="8" t="n">
        <f aca="false">Options!C40</f>
        <v>0.738716</v>
      </c>
      <c r="D11" s="8" t="n">
        <f aca="false">Options!C60</f>
        <v>0.778325</v>
      </c>
    </row>
    <row r="12" customFormat="false" ht="15" hidden="false" customHeight="false" outlineLevel="0" collapsed="false">
      <c r="A12" s="7" t="s">
        <v>25</v>
      </c>
      <c r="B12" s="8" t="n">
        <f aca="false">Options!C25</f>
        <v>0.952848</v>
      </c>
      <c r="C12" s="8" t="n">
        <f aca="false">Options!C41</f>
        <v>0.9227152</v>
      </c>
      <c r="D12" s="8" t="n">
        <f aca="false">Options!C61</f>
        <v>0.97219</v>
      </c>
    </row>
    <row r="13" customFormat="false" ht="15" hidden="false" customHeight="false" outlineLevel="0" collapsed="false">
      <c r="A13" s="11" t="s">
        <v>26</v>
      </c>
      <c r="B13" s="14" t="n">
        <f aca="false">NPV!H6</f>
        <v>204734.325035191</v>
      </c>
      <c r="C13" s="14" t="n">
        <f aca="false">NPV!H7</f>
        <v>143291.424779755</v>
      </c>
      <c r="D13" s="14" t="n">
        <f aca="false">NPV!H8</f>
        <v>5783.88848766848</v>
      </c>
    </row>
    <row r="14" customFormat="false" ht="15" hidden="false" customHeight="false" outlineLevel="0" collapsed="false">
      <c r="A14" s="7" t="s">
        <v>27</v>
      </c>
      <c r="B14" s="10" t="n">
        <f aca="false">NPV!H12</f>
        <v>17341.5483497361</v>
      </c>
      <c r="C14" s="10" t="n">
        <f aca="false">NPV!H13</f>
        <v>-58498.9657043294</v>
      </c>
      <c r="D14" s="10" t="n">
        <f aca="false">NPV!H14</f>
        <v>-126870.826714166</v>
      </c>
    </row>
    <row r="15" customFormat="false" ht="15" hidden="false" customHeight="false" outlineLevel="0" collapsed="false">
      <c r="A15" s="7" t="s">
        <v>28</v>
      </c>
      <c r="B15" s="10" t="n">
        <f aca="false">NPV!H18</f>
        <v>392127.101720647</v>
      </c>
      <c r="C15" s="10" t="n">
        <f aca="false">NPV!H19</f>
        <v>461907.830807256</v>
      </c>
      <c r="D15" s="10" t="n">
        <f aca="false">NPV!H20</f>
        <v>174589.31129647</v>
      </c>
    </row>
    <row r="16" customFormat="false" ht="15" hidden="false" customHeight="false" outlineLevel="0" collapsed="false">
      <c r="A16" s="7" t="s">
        <v>29</v>
      </c>
      <c r="B16" s="15" t="n">
        <f aca="false">NPV!J6</f>
        <v>0.634328924920517</v>
      </c>
      <c r="C16" s="15" t="n">
        <f aca="false">NPV!J7</f>
        <v>0.552481478073553</v>
      </c>
      <c r="D16" s="15" t="n">
        <f aca="false">NPV!J8</f>
        <v>4.55298829767006</v>
      </c>
    </row>
    <row r="17" customFormat="false" ht="15" hidden="false" customHeight="false" outlineLevel="0" collapsed="false">
      <c r="A17" s="3" t="s">
        <v>30</v>
      </c>
      <c r="B17" s="16" t="n">
        <f aca="false">Decision!C10</f>
        <v>4.35</v>
      </c>
      <c r="C17" s="16" t="n">
        <f aca="false">Decision!D10</f>
        <v>2.75</v>
      </c>
      <c r="D17" s="16" t="n">
        <f aca="false">Decision!E10</f>
        <v>2.45</v>
      </c>
    </row>
    <row r="18" customFormat="false" ht="15" hidden="false" customHeight="false" outlineLevel="0" collapsed="false">
      <c r="A18" s="7" t="s">
        <v>31</v>
      </c>
      <c r="C18" s="10" t="n">
        <f aca="false">Options!C43</f>
        <v>-37.8851505019429</v>
      </c>
    </row>
    <row r="21" customFormat="false" ht="15" hidden="false" customHeight="false" outlineLevel="0" collapsed="false">
      <c r="A21" s="6" t="s">
        <v>22</v>
      </c>
      <c r="B21" s="6" t="s">
        <v>32</v>
      </c>
      <c r="C21" s="6" t="s">
        <v>33</v>
      </c>
      <c r="D21" s="6" t="s">
        <v>34</v>
      </c>
    </row>
    <row r="22" customFormat="false" ht="15" hidden="false" customHeight="false" outlineLevel="0" collapsed="false">
      <c r="A22" s="7" t="s">
        <v>15</v>
      </c>
      <c r="B22" s="10" t="n">
        <f aca="false">Options!B20</f>
        <v>11588.2106466969</v>
      </c>
      <c r="C22" s="10" t="n">
        <f aca="false">Options!C20</f>
        <v>55176.4212933938</v>
      </c>
      <c r="D22" s="10" t="n">
        <f aca="false">Options!D20</f>
        <v>98764.6319400907</v>
      </c>
    </row>
    <row r="23" customFormat="false" ht="15" hidden="false" customHeight="false" outlineLevel="0" collapsed="false">
      <c r="A23" s="7" t="s">
        <v>16</v>
      </c>
      <c r="B23" s="10" t="n">
        <f aca="false">Options!B36</f>
        <v>-10736.8370209197</v>
      </c>
      <c r="C23" s="10" t="n">
        <f aca="false">Options!C36</f>
        <v>36200.3085962953</v>
      </c>
      <c r="D23" s="10" t="n">
        <f aca="false">Options!D36</f>
        <v>110311.591149793</v>
      </c>
    </row>
    <row r="24" customFormat="false" ht="15" hidden="false" customHeight="false" outlineLevel="0" collapsed="false">
      <c r="A24" s="7" t="s">
        <v>17</v>
      </c>
      <c r="B24" s="10" t="n">
        <f aca="false">Options!B56</f>
        <v>-27561.4079015674</v>
      </c>
      <c r="C24" s="10" t="n">
        <f aca="false">Options!C56</f>
        <v>3294.53954618686</v>
      </c>
      <c r="D24" s="10" t="n">
        <f aca="false">Options!D56</f>
        <v>42559.2671298187</v>
      </c>
    </row>
    <row r="27" customFormat="false" ht="15" hidden="false" customHeight="false" outlineLevel="0" collapsed="false">
      <c r="A27" s="6" t="s">
        <v>35</v>
      </c>
      <c r="B27" s="6" t="s">
        <v>32</v>
      </c>
      <c r="C27" s="6" t="s">
        <v>33</v>
      </c>
      <c r="D27" s="6" t="s">
        <v>34</v>
      </c>
    </row>
    <row r="28" customFormat="false" ht="15" hidden="false" customHeight="false" outlineLevel="0" collapsed="false">
      <c r="A28" s="7" t="s">
        <v>15</v>
      </c>
      <c r="B28" s="10" t="n">
        <f aca="false">NPV!H12</f>
        <v>17341.5483497361</v>
      </c>
      <c r="C28" s="10" t="n">
        <f aca="false">NPV!H6</f>
        <v>204734.325035191</v>
      </c>
      <c r="D28" s="10" t="n">
        <f aca="false">NPV!H18</f>
        <v>392127.101720647</v>
      </c>
    </row>
    <row r="29" customFormat="false" ht="15" hidden="false" customHeight="false" outlineLevel="0" collapsed="false">
      <c r="A29" s="7" t="s">
        <v>16</v>
      </c>
      <c r="B29" s="10" t="n">
        <f aca="false">NPV!H13</f>
        <v>-58498.9657043294</v>
      </c>
      <c r="C29" s="10" t="n">
        <f aca="false">NPV!H7</f>
        <v>143291.424779755</v>
      </c>
      <c r="D29" s="10" t="n">
        <f aca="false">NPV!H19</f>
        <v>461907.830807256</v>
      </c>
    </row>
    <row r="30" customFormat="false" ht="15" hidden="false" customHeight="false" outlineLevel="0" collapsed="false">
      <c r="A30" s="7" t="s">
        <v>17</v>
      </c>
      <c r="B30" s="10" t="n">
        <f aca="false">NPV!H14</f>
        <v>-126870.826714166</v>
      </c>
      <c r="C30" s="10" t="n">
        <f aca="false">NPV!H8</f>
        <v>5783.88848766848</v>
      </c>
      <c r="D30" s="10" t="n">
        <f aca="false">NPV!H20</f>
        <v>174589.31129647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80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true" outlineLevel="0" collapsed="false">
      <c r="A2" s="4" t="s">
        <v>37</v>
      </c>
      <c r="B2" s="4"/>
      <c r="C2" s="4"/>
      <c r="D2" s="4"/>
      <c r="E2" s="4"/>
      <c r="F2" s="4"/>
    </row>
    <row r="4" customFormat="false" ht="15" hidden="false" customHeight="false" outlineLevel="0" collapsed="false">
      <c r="A4" s="6" t="s">
        <v>38</v>
      </c>
      <c r="B4" s="6" t="s">
        <v>39</v>
      </c>
      <c r="C4" s="6" t="s">
        <v>32</v>
      </c>
      <c r="D4" s="6" t="s">
        <v>33</v>
      </c>
      <c r="E4" s="6" t="s">
        <v>34</v>
      </c>
      <c r="F4" s="6" t="s">
        <v>40</v>
      </c>
    </row>
    <row r="5" customFormat="false" ht="15" hidden="false" customHeight="false" outlineLevel="0" collapsed="false">
      <c r="A5" s="17" t="s">
        <v>41</v>
      </c>
    </row>
    <row r="6" customFormat="false" ht="39.75" hidden="false" customHeight="true" outlineLevel="0" collapsed="false">
      <c r="A6" s="4" t="s">
        <v>42</v>
      </c>
      <c r="B6" s="7" t="s">
        <v>43</v>
      </c>
      <c r="C6" s="7"/>
      <c r="D6" s="18" t="n">
        <v>67998</v>
      </c>
      <c r="E6" s="7"/>
      <c r="F6" s="4" t="s">
        <v>44</v>
      </c>
    </row>
    <row r="7" customFormat="false" ht="39.75" hidden="false" customHeight="true" outlineLevel="0" collapsed="false">
      <c r="A7" s="4" t="s">
        <v>45</v>
      </c>
      <c r="B7" s="7" t="s">
        <v>46</v>
      </c>
      <c r="C7" s="7"/>
      <c r="D7" s="19" t="n">
        <v>8</v>
      </c>
      <c r="E7" s="7"/>
      <c r="F7" s="4" t="s">
        <v>47</v>
      </c>
    </row>
    <row r="8" customFormat="false" ht="39.75" hidden="false" customHeight="true" outlineLevel="0" collapsed="false">
      <c r="A8" s="4" t="s">
        <v>48</v>
      </c>
      <c r="B8" s="7" t="s">
        <v>49</v>
      </c>
      <c r="C8" s="7"/>
      <c r="D8" s="19" t="n">
        <v>10</v>
      </c>
      <c r="E8" s="7"/>
      <c r="F8" s="4" t="s">
        <v>50</v>
      </c>
    </row>
    <row r="9" customFormat="false" ht="39.75" hidden="false" customHeight="true" outlineLevel="0" collapsed="false">
      <c r="A9" s="4" t="s">
        <v>51</v>
      </c>
      <c r="B9" s="7" t="s">
        <v>52</v>
      </c>
      <c r="C9" s="7"/>
      <c r="D9" s="20" t="n">
        <v>0.52</v>
      </c>
      <c r="E9" s="7"/>
      <c r="F9" s="4" t="s">
        <v>53</v>
      </c>
    </row>
    <row r="10" customFormat="false" ht="39.75" hidden="false" customHeight="true" outlineLevel="0" collapsed="false">
      <c r="A10" s="4" t="s">
        <v>54</v>
      </c>
      <c r="B10" s="7" t="s">
        <v>55</v>
      </c>
      <c r="C10" s="7"/>
      <c r="D10" s="20" t="n">
        <v>0.2</v>
      </c>
      <c r="E10" s="7"/>
      <c r="F10" s="4" t="s">
        <v>56</v>
      </c>
    </row>
    <row r="11" customFormat="false" ht="39.75" hidden="false" customHeight="true" outlineLevel="0" collapsed="false">
      <c r="A11" s="4" t="s">
        <v>57</v>
      </c>
      <c r="B11" s="7" t="s">
        <v>58</v>
      </c>
      <c r="C11" s="7"/>
      <c r="D11" s="21" t="n">
        <f aca="false">394357/10808</f>
        <v>36.4875092524056</v>
      </c>
      <c r="E11" s="7"/>
      <c r="F11" s="4" t="s">
        <v>59</v>
      </c>
    </row>
    <row r="12" customFormat="false" ht="39.75" hidden="false" customHeight="true" outlineLevel="0" collapsed="false">
      <c r="A12" s="4" t="s">
        <v>60</v>
      </c>
      <c r="B12" s="7" t="s">
        <v>61</v>
      </c>
      <c r="C12" s="7"/>
      <c r="D12" s="20" t="n">
        <v>0.15</v>
      </c>
      <c r="E12" s="7"/>
      <c r="F12" s="4" t="s">
        <v>53</v>
      </c>
    </row>
    <row r="13" customFormat="false" ht="39.75" hidden="false" customHeight="true" outlineLevel="0" collapsed="false">
      <c r="A13" s="4" t="s">
        <v>62</v>
      </c>
      <c r="B13" s="7" t="s">
        <v>63</v>
      </c>
      <c r="C13" s="7"/>
      <c r="D13" s="20" t="n">
        <v>0.815</v>
      </c>
      <c r="E13" s="7"/>
      <c r="F13" s="4" t="s">
        <v>64</v>
      </c>
    </row>
    <row r="14" customFormat="false" ht="39.75" hidden="false" customHeight="true" outlineLevel="0" collapsed="false">
      <c r="A14" s="4" t="s">
        <v>65</v>
      </c>
      <c r="B14" s="7" t="s">
        <v>66</v>
      </c>
      <c r="C14" s="7"/>
      <c r="D14" s="20" t="n">
        <v>1.018</v>
      </c>
      <c r="E14" s="7"/>
      <c r="F14" s="4" t="s">
        <v>67</v>
      </c>
    </row>
    <row r="15" customFormat="false" ht="39.75" hidden="false" customHeight="true" outlineLevel="0" collapsed="false">
      <c r="A15" s="4" t="s">
        <v>68</v>
      </c>
      <c r="B15" s="7" t="s">
        <v>69</v>
      </c>
      <c r="C15" s="7"/>
      <c r="D15" s="21" t="n">
        <f aca="false">289041/45</f>
        <v>6423.13333333333</v>
      </c>
      <c r="E15" s="7"/>
      <c r="F15" s="4" t="s">
        <v>70</v>
      </c>
    </row>
    <row r="16" customFormat="false" ht="39.75" hidden="false" customHeight="true" outlineLevel="0" collapsed="false">
      <c r="A16" s="4" t="s">
        <v>71</v>
      </c>
      <c r="B16" s="7" t="s">
        <v>72</v>
      </c>
      <c r="C16" s="7"/>
      <c r="D16" s="21" t="n">
        <f aca="false">58671/21</f>
        <v>2793.85714285714</v>
      </c>
      <c r="E16" s="7"/>
      <c r="F16" s="4" t="s">
        <v>73</v>
      </c>
    </row>
    <row r="18" customFormat="false" ht="15" hidden="false" customHeight="false" outlineLevel="0" collapsed="false">
      <c r="A18" s="17" t="s">
        <v>74</v>
      </c>
    </row>
    <row r="19" customFormat="false" ht="39.75" hidden="false" customHeight="true" outlineLevel="0" collapsed="false">
      <c r="A19" s="22" t="s">
        <v>75</v>
      </c>
      <c r="B19" s="7" t="s">
        <v>76</v>
      </c>
      <c r="C19" s="23"/>
      <c r="D19" s="24" t="n">
        <v>10</v>
      </c>
      <c r="E19" s="23"/>
      <c r="F19" s="4" t="s">
        <v>77</v>
      </c>
    </row>
    <row r="20" customFormat="false" ht="39.75" hidden="false" customHeight="true" outlineLevel="0" collapsed="false">
      <c r="A20" s="22" t="s">
        <v>78</v>
      </c>
      <c r="B20" s="7" t="s">
        <v>79</v>
      </c>
      <c r="C20" s="23"/>
      <c r="D20" s="25" t="n">
        <v>0.15</v>
      </c>
      <c r="E20" s="23"/>
      <c r="F20" s="4" t="s">
        <v>80</v>
      </c>
    </row>
    <row r="21" customFormat="false" ht="39.75" hidden="false" customHeight="true" outlineLevel="0" collapsed="false">
      <c r="A21" s="4" t="s">
        <v>81</v>
      </c>
      <c r="B21" s="7" t="s">
        <v>82</v>
      </c>
      <c r="C21" s="7"/>
      <c r="D21" s="26" t="n">
        <v>1.5</v>
      </c>
      <c r="E21" s="7"/>
      <c r="F21" s="4" t="s">
        <v>83</v>
      </c>
    </row>
    <row r="22" customFormat="false" ht="39.75" hidden="false" customHeight="true" outlineLevel="0" collapsed="false">
      <c r="A22" s="27" t="s">
        <v>84</v>
      </c>
      <c r="B22" s="7" t="s">
        <v>85</v>
      </c>
      <c r="C22" s="28"/>
      <c r="D22" s="29" t="n">
        <f aca="false">D19+D20*D11-D21</f>
        <v>13.9731263878608</v>
      </c>
      <c r="E22" s="28"/>
      <c r="F22" s="4" t="s">
        <v>86</v>
      </c>
    </row>
    <row r="24" customFormat="false" ht="15" hidden="false" customHeight="false" outlineLevel="0" collapsed="false">
      <c r="A24" s="17" t="s">
        <v>87</v>
      </c>
    </row>
    <row r="25" customFormat="false" ht="39.75" hidden="false" customHeight="true" outlineLevel="0" collapsed="false">
      <c r="A25" s="4" t="s">
        <v>88</v>
      </c>
      <c r="B25" s="7" t="s">
        <v>89</v>
      </c>
      <c r="C25" s="7"/>
      <c r="D25" s="26" t="n">
        <v>11000</v>
      </c>
      <c r="E25" s="7"/>
      <c r="F25" s="4" t="s">
        <v>90</v>
      </c>
    </row>
    <row r="26" customFormat="false" ht="39.75" hidden="false" customHeight="true" outlineLevel="0" collapsed="false">
      <c r="A26" s="4" t="s">
        <v>91</v>
      </c>
      <c r="B26" s="7" t="s">
        <v>92</v>
      </c>
      <c r="C26" s="7"/>
      <c r="D26" s="26" t="n">
        <v>5000</v>
      </c>
      <c r="E26" s="7"/>
      <c r="F26" s="4" t="s">
        <v>93</v>
      </c>
    </row>
    <row r="27" customFormat="false" ht="39.75" hidden="false" customHeight="true" outlineLevel="0" collapsed="false">
      <c r="A27" s="4" t="s">
        <v>94</v>
      </c>
      <c r="B27" s="7" t="s">
        <v>95</v>
      </c>
      <c r="C27" s="7"/>
      <c r="D27" s="26" t="n">
        <v>4000</v>
      </c>
      <c r="E27" s="7"/>
      <c r="F27" s="4" t="s">
        <v>96</v>
      </c>
    </row>
    <row r="28" customFormat="false" ht="39.75" hidden="false" customHeight="true" outlineLevel="0" collapsed="false">
      <c r="A28" s="4" t="s">
        <v>97</v>
      </c>
      <c r="B28" s="7" t="s">
        <v>98</v>
      </c>
      <c r="C28" s="7"/>
      <c r="D28" s="26" t="n">
        <v>2500</v>
      </c>
      <c r="E28" s="7"/>
      <c r="F28" s="4" t="s">
        <v>99</v>
      </c>
    </row>
    <row r="29" customFormat="false" ht="39.75" hidden="false" customHeight="true" outlineLevel="0" collapsed="false">
      <c r="A29" s="4" t="s">
        <v>100</v>
      </c>
      <c r="B29" s="7" t="s">
        <v>101</v>
      </c>
      <c r="C29" s="7"/>
      <c r="D29" s="26" t="n">
        <v>3000</v>
      </c>
      <c r="E29" s="7"/>
      <c r="F29" s="4" t="s">
        <v>102</v>
      </c>
    </row>
    <row r="30" customFormat="false" ht="39.75" hidden="false" customHeight="true" outlineLevel="0" collapsed="false">
      <c r="A30" s="4" t="s">
        <v>103</v>
      </c>
      <c r="B30" s="7" t="s">
        <v>104</v>
      </c>
      <c r="C30" s="7"/>
      <c r="D30" s="26" t="n">
        <v>1500</v>
      </c>
      <c r="E30" s="7"/>
      <c r="F30" s="4" t="s">
        <v>105</v>
      </c>
    </row>
    <row r="31" customFormat="false" ht="39.75" hidden="false" customHeight="true" outlineLevel="0" collapsed="false">
      <c r="A31" s="27" t="s">
        <v>106</v>
      </c>
      <c r="B31" s="7" t="s">
        <v>107</v>
      </c>
      <c r="C31" s="28"/>
      <c r="D31" s="29" t="n">
        <f aca="false">SUM(D25:D30)</f>
        <v>27000</v>
      </c>
      <c r="E31" s="28"/>
      <c r="F31" s="4" t="s">
        <v>108</v>
      </c>
    </row>
    <row r="32" customFormat="false" ht="39.75" hidden="false" customHeight="true" outlineLevel="0" collapsed="false">
      <c r="A32" s="22" t="s">
        <v>109</v>
      </c>
      <c r="B32" s="7" t="s">
        <v>110</v>
      </c>
      <c r="C32" s="23"/>
      <c r="D32" s="24" t="n">
        <v>2000</v>
      </c>
      <c r="E32" s="23"/>
      <c r="F32" s="4" t="s">
        <v>111</v>
      </c>
    </row>
    <row r="33" customFormat="false" ht="39.75" hidden="false" customHeight="true" outlineLevel="0" collapsed="false">
      <c r="A33" s="4" t="s">
        <v>112</v>
      </c>
      <c r="B33" s="7" t="s">
        <v>113</v>
      </c>
      <c r="C33" s="7"/>
      <c r="D33" s="20" t="n">
        <v>0.9</v>
      </c>
      <c r="E33" s="7"/>
      <c r="F33" s="4" t="s">
        <v>114</v>
      </c>
    </row>
    <row r="34" customFormat="false" ht="39.75" hidden="false" customHeight="true" outlineLevel="0" collapsed="false">
      <c r="A34" s="4" t="s">
        <v>115</v>
      </c>
      <c r="B34" s="7" t="s">
        <v>116</v>
      </c>
      <c r="C34" s="7"/>
      <c r="D34" s="26" t="n">
        <v>30000</v>
      </c>
      <c r="E34" s="7"/>
      <c r="F34" s="4" t="s">
        <v>117</v>
      </c>
    </row>
    <row r="35" customFormat="false" ht="39.75" hidden="false" customHeight="true" outlineLevel="0" collapsed="false">
      <c r="A35" s="4" t="s">
        <v>118</v>
      </c>
      <c r="B35" s="7" t="s">
        <v>119</v>
      </c>
      <c r="C35" s="7"/>
      <c r="D35" s="26" t="n">
        <v>35000</v>
      </c>
      <c r="E35" s="7"/>
      <c r="F35" s="4" t="s">
        <v>120</v>
      </c>
    </row>
    <row r="36" customFormat="false" ht="39.75" hidden="false" customHeight="true" outlineLevel="0" collapsed="false">
      <c r="A36" s="4" t="s">
        <v>121</v>
      </c>
      <c r="B36" s="7" t="s">
        <v>122</v>
      </c>
      <c r="C36" s="7"/>
      <c r="D36" s="26" t="n">
        <v>20000</v>
      </c>
      <c r="E36" s="7"/>
      <c r="F36" s="4" t="s">
        <v>120</v>
      </c>
    </row>
    <row r="37" customFormat="false" ht="39.75" hidden="false" customHeight="true" outlineLevel="0" collapsed="false">
      <c r="A37" s="4" t="s">
        <v>123</v>
      </c>
      <c r="B37" s="7" t="s">
        <v>124</v>
      </c>
      <c r="C37" s="7"/>
      <c r="D37" s="26" t="n">
        <v>15000</v>
      </c>
      <c r="E37" s="7"/>
      <c r="F37" s="4" t="s">
        <v>120</v>
      </c>
    </row>
    <row r="39" customFormat="false" ht="15" hidden="false" customHeight="false" outlineLevel="0" collapsed="false">
      <c r="A39" s="17" t="s">
        <v>125</v>
      </c>
    </row>
    <row r="40" customFormat="false" ht="39.75" hidden="false" customHeight="true" outlineLevel="0" collapsed="false">
      <c r="A40" s="4" t="s">
        <v>126</v>
      </c>
      <c r="B40" s="7" t="s">
        <v>127</v>
      </c>
      <c r="C40" s="7"/>
      <c r="D40" s="19" t="n">
        <v>2</v>
      </c>
      <c r="E40" s="7"/>
      <c r="F40" s="4" t="s">
        <v>128</v>
      </c>
    </row>
    <row r="41" customFormat="false" ht="39.75" hidden="false" customHeight="true" outlineLevel="0" collapsed="false">
      <c r="A41" s="22" t="s">
        <v>129</v>
      </c>
      <c r="B41" s="7" t="s">
        <v>130</v>
      </c>
      <c r="C41" s="25" t="n">
        <v>0.04</v>
      </c>
      <c r="D41" s="25" t="n">
        <v>0.08</v>
      </c>
      <c r="E41" s="25" t="n">
        <v>0.12</v>
      </c>
      <c r="F41" s="4" t="s">
        <v>131</v>
      </c>
    </row>
    <row r="42" customFormat="false" ht="39.75" hidden="false" customHeight="true" outlineLevel="0" collapsed="false">
      <c r="A42" s="4" t="s">
        <v>132</v>
      </c>
      <c r="B42" s="7" t="s">
        <v>133</v>
      </c>
      <c r="C42" s="20" t="n">
        <v>0.015</v>
      </c>
      <c r="D42" s="20" t="n">
        <v>0.03</v>
      </c>
      <c r="E42" s="20" t="n">
        <v>0.045</v>
      </c>
      <c r="F42" s="4" t="s">
        <v>134</v>
      </c>
    </row>
    <row r="43" customFormat="false" ht="39.75" hidden="false" customHeight="true" outlineLevel="0" collapsed="false">
      <c r="A43" s="4" t="s">
        <v>135</v>
      </c>
      <c r="B43" s="7" t="s">
        <v>136</v>
      </c>
      <c r="C43" s="7"/>
      <c r="D43" s="20" t="n">
        <v>0.8</v>
      </c>
      <c r="E43" s="7"/>
      <c r="F43" s="4" t="s">
        <v>137</v>
      </c>
    </row>
    <row r="45" customFormat="false" ht="15" hidden="false" customHeight="false" outlineLevel="0" collapsed="false">
      <c r="A45" s="17" t="s">
        <v>138</v>
      </c>
    </row>
    <row r="46" customFormat="false" ht="39.75" hidden="false" customHeight="true" outlineLevel="0" collapsed="false">
      <c r="A46" s="4" t="s">
        <v>139</v>
      </c>
      <c r="B46" s="7" t="s">
        <v>140</v>
      </c>
      <c r="C46" s="7"/>
      <c r="D46" s="19" t="n">
        <v>4</v>
      </c>
      <c r="E46" s="7"/>
      <c r="F46" s="4" t="s">
        <v>141</v>
      </c>
    </row>
    <row r="47" customFormat="false" ht="39.75" hidden="false" customHeight="true" outlineLevel="0" collapsed="false">
      <c r="A47" s="22" t="s">
        <v>142</v>
      </c>
      <c r="B47" s="7" t="s">
        <v>143</v>
      </c>
      <c r="C47" s="25" t="n">
        <v>0.35</v>
      </c>
      <c r="D47" s="25" t="n">
        <v>0.45</v>
      </c>
      <c r="E47" s="25" t="n">
        <v>0.6</v>
      </c>
      <c r="F47" s="4" t="s">
        <v>144</v>
      </c>
    </row>
    <row r="48" customFormat="false" ht="39.75" hidden="false" customHeight="true" outlineLevel="0" collapsed="false">
      <c r="A48" s="22" t="s">
        <v>145</v>
      </c>
      <c r="B48" s="7" t="s">
        <v>146</v>
      </c>
      <c r="C48" s="25" t="n">
        <v>0.5</v>
      </c>
      <c r="D48" s="25" t="n">
        <v>0.4</v>
      </c>
      <c r="E48" s="25" t="n">
        <v>0.3</v>
      </c>
      <c r="F48" s="4" t="s">
        <v>147</v>
      </c>
    </row>
    <row r="50" customFormat="false" ht="15" hidden="false" customHeight="false" outlineLevel="0" collapsed="false">
      <c r="A50" s="17" t="s">
        <v>148</v>
      </c>
    </row>
    <row r="51" customFormat="false" ht="39.75" hidden="false" customHeight="true" outlineLevel="0" collapsed="false">
      <c r="A51" s="4" t="s">
        <v>149</v>
      </c>
      <c r="B51" s="7" t="s">
        <v>150</v>
      </c>
      <c r="C51" s="7"/>
      <c r="D51" s="19" t="n">
        <v>2</v>
      </c>
      <c r="E51" s="7"/>
      <c r="F51" s="4" t="s">
        <v>141</v>
      </c>
    </row>
    <row r="52" customFormat="false" ht="39.75" hidden="false" customHeight="true" outlineLevel="0" collapsed="false">
      <c r="A52" s="22" t="s">
        <v>151</v>
      </c>
      <c r="B52" s="7" t="s">
        <v>152</v>
      </c>
      <c r="C52" s="25" t="n">
        <v>0.6</v>
      </c>
      <c r="D52" s="25" t="n">
        <v>0.75</v>
      </c>
      <c r="E52" s="25" t="n">
        <v>0.9</v>
      </c>
      <c r="F52" s="4" t="s">
        <v>153</v>
      </c>
    </row>
    <row r="53" customFormat="false" ht="39.75" hidden="false" customHeight="true" outlineLevel="0" collapsed="false">
      <c r="A53" s="4" t="s">
        <v>154</v>
      </c>
      <c r="B53" s="7" t="s">
        <v>155</v>
      </c>
      <c r="C53" s="20" t="n">
        <v>0.4</v>
      </c>
      <c r="D53" s="20" t="n">
        <v>0.3</v>
      </c>
      <c r="E53" s="20" t="n">
        <v>0.2</v>
      </c>
      <c r="F53" s="4" t="s">
        <v>156</v>
      </c>
    </row>
    <row r="54" customFormat="false" ht="39.75" hidden="false" customHeight="true" outlineLevel="0" collapsed="false">
      <c r="A54" s="22" t="s">
        <v>157</v>
      </c>
      <c r="B54" s="7" t="s">
        <v>158</v>
      </c>
      <c r="C54" s="25" t="n">
        <v>0.35</v>
      </c>
      <c r="D54" s="25" t="n">
        <v>0.25</v>
      </c>
      <c r="E54" s="25" t="n">
        <v>0.15</v>
      </c>
      <c r="F54" s="4" t="s">
        <v>159</v>
      </c>
    </row>
    <row r="55" customFormat="false" ht="39.75" hidden="false" customHeight="true" outlineLevel="0" collapsed="false">
      <c r="A55" s="4" t="s">
        <v>160</v>
      </c>
      <c r="B55" s="7" t="s">
        <v>161</v>
      </c>
      <c r="C55" s="7"/>
      <c r="D55" s="20" t="n">
        <v>0.5</v>
      </c>
      <c r="E55" s="7"/>
      <c r="F55" s="4" t="s">
        <v>156</v>
      </c>
    </row>
    <row r="57" customFormat="false" ht="15" hidden="false" customHeight="false" outlineLevel="0" collapsed="false">
      <c r="A57" s="17" t="s">
        <v>162</v>
      </c>
    </row>
    <row r="58" customFormat="false" ht="39.75" hidden="false" customHeight="true" outlineLevel="0" collapsed="false">
      <c r="A58" s="4" t="s">
        <v>163</v>
      </c>
      <c r="B58" s="7" t="s">
        <v>164</v>
      </c>
      <c r="C58" s="7"/>
      <c r="D58" s="19" t="n">
        <v>5</v>
      </c>
      <c r="E58" s="7"/>
      <c r="F58" s="4" t="s">
        <v>165</v>
      </c>
    </row>
    <row r="59" customFormat="false" ht="39.75" hidden="false" customHeight="true" outlineLevel="0" collapsed="false">
      <c r="A59" s="4" t="s">
        <v>166</v>
      </c>
      <c r="B59" s="7" t="s">
        <v>167</v>
      </c>
      <c r="C59" s="7"/>
      <c r="D59" s="20" t="n">
        <v>0.08</v>
      </c>
      <c r="E59" s="7"/>
      <c r="F59" s="4" t="s">
        <v>168</v>
      </c>
    </row>
    <row r="60" customFormat="false" ht="39.75" hidden="false" customHeight="true" outlineLevel="0" collapsed="false">
      <c r="A60" s="4" t="s">
        <v>169</v>
      </c>
      <c r="B60" s="7" t="s">
        <v>170</v>
      </c>
      <c r="C60" s="7"/>
      <c r="D60" s="20" t="n">
        <v>0.04</v>
      </c>
      <c r="E60" s="7"/>
      <c r="F60" s="4" t="s">
        <v>171</v>
      </c>
    </row>
    <row r="61" customFormat="false" ht="39.75" hidden="false" customHeight="true" outlineLevel="0" collapsed="false">
      <c r="A61" s="4" t="s">
        <v>172</v>
      </c>
      <c r="B61" s="7" t="s">
        <v>173</v>
      </c>
      <c r="C61" s="7"/>
      <c r="D61" s="20" t="n">
        <v>0.03</v>
      </c>
      <c r="E61" s="7"/>
      <c r="F61" s="4" t="s">
        <v>174</v>
      </c>
    </row>
    <row r="63" customFormat="false" ht="15" hidden="false" customHeight="false" outlineLevel="0" collapsed="false">
      <c r="A63" s="17" t="s">
        <v>175</v>
      </c>
    </row>
    <row r="64" customFormat="false" ht="39.75" hidden="false" customHeight="true" outlineLevel="0" collapsed="false">
      <c r="A64" s="4" t="s">
        <v>176</v>
      </c>
      <c r="B64" s="7" t="s">
        <v>177</v>
      </c>
      <c r="C64" s="7"/>
      <c r="D64" s="20" t="n">
        <v>0.35</v>
      </c>
      <c r="E64" s="7"/>
      <c r="F64" s="4" t="s">
        <v>178</v>
      </c>
    </row>
    <row r="65" customFormat="false" ht="39.75" hidden="false" customHeight="true" outlineLevel="0" collapsed="false">
      <c r="A65" s="4" t="s">
        <v>179</v>
      </c>
      <c r="B65" s="7" t="s">
        <v>180</v>
      </c>
      <c r="C65" s="7"/>
      <c r="D65" s="20" t="n">
        <v>0.3</v>
      </c>
      <c r="E65" s="7"/>
      <c r="F65" s="4" t="s">
        <v>181</v>
      </c>
    </row>
    <row r="66" customFormat="false" ht="39.75" hidden="false" customHeight="true" outlineLevel="0" collapsed="false">
      <c r="A66" s="4" t="s">
        <v>182</v>
      </c>
      <c r="B66" s="7" t="s">
        <v>183</v>
      </c>
      <c r="C66" s="7"/>
      <c r="D66" s="20" t="n">
        <v>0.5</v>
      </c>
      <c r="E66" s="7"/>
      <c r="F66" s="4" t="s">
        <v>184</v>
      </c>
    </row>
    <row r="67" customFormat="false" ht="39.75" hidden="false" customHeight="true" outlineLevel="0" collapsed="false">
      <c r="A67" s="4" t="s">
        <v>185</v>
      </c>
      <c r="B67" s="7" t="s">
        <v>186</v>
      </c>
      <c r="C67" s="7"/>
      <c r="D67" s="20" t="n">
        <v>0.05</v>
      </c>
      <c r="E67" s="7"/>
      <c r="F67" s="4" t="s">
        <v>187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4" min="2" style="0" width="14"/>
    <col collapsed="false" customWidth="true" hidden="false" outlineLevel="0" max="5" min="5" style="0" width="58"/>
  </cols>
  <sheetData>
    <row r="1" customFormat="false" ht="17.35" hidden="false" customHeight="false" outlineLevel="0" collapsed="false">
      <c r="A1" s="1" t="s">
        <v>188</v>
      </c>
    </row>
    <row r="2" customFormat="false" ht="27.75" hidden="false" customHeight="true" outlineLevel="0" collapsed="false">
      <c r="A2" s="4" t="s">
        <v>189</v>
      </c>
      <c r="B2" s="4"/>
      <c r="C2" s="4"/>
      <c r="D2" s="4"/>
      <c r="E2" s="4"/>
    </row>
    <row r="3" customFormat="false" ht="15" hidden="false" customHeight="false" outlineLevel="0" collapsed="false">
      <c r="A3" s="6" t="s">
        <v>190</v>
      </c>
      <c r="B3" s="6" t="s">
        <v>32</v>
      </c>
      <c r="C3" s="6" t="s">
        <v>33</v>
      </c>
      <c r="D3" s="6" t="s">
        <v>34</v>
      </c>
      <c r="E3" s="6" t="s">
        <v>191</v>
      </c>
    </row>
    <row r="4" customFormat="false" ht="15" hidden="false" customHeight="false" outlineLevel="0" collapsed="false">
      <c r="A4" s="17" t="s">
        <v>192</v>
      </c>
    </row>
    <row r="5" customFormat="false" ht="27.75" hidden="false" customHeight="true" outlineLevel="0" collapsed="false">
      <c r="A5" s="7" t="s">
        <v>193</v>
      </c>
      <c r="B5" s="9" t="n">
        <f aca="false">Inputs!$D$6</f>
        <v>67998</v>
      </c>
      <c r="C5" s="9" t="n">
        <f aca="false">Inputs!$D$6</f>
        <v>67998</v>
      </c>
      <c r="D5" s="9" t="n">
        <f aca="false">Inputs!$D$6</f>
        <v>67998</v>
      </c>
      <c r="E5" s="4" t="s">
        <v>194</v>
      </c>
    </row>
    <row r="6" customFormat="false" ht="27.75" hidden="false" customHeight="true" outlineLevel="0" collapsed="false">
      <c r="A6" s="7" t="s">
        <v>195</v>
      </c>
      <c r="B6" s="9" t="n">
        <f aca="false">Inputs!$D$6/Inputs!$D$7</f>
        <v>8499.75</v>
      </c>
      <c r="C6" s="9" t="n">
        <f aca="false">Inputs!$D$6/Inputs!$D$7</f>
        <v>8499.75</v>
      </c>
      <c r="D6" s="9" t="n">
        <f aca="false">Inputs!$D$6/Inputs!$D$7</f>
        <v>8499.75</v>
      </c>
      <c r="E6" s="4" t="s">
        <v>196</v>
      </c>
    </row>
    <row r="7" customFormat="false" ht="27.75" hidden="false" customHeight="true" outlineLevel="0" collapsed="false">
      <c r="A7" s="7" t="s">
        <v>197</v>
      </c>
      <c r="B7" s="9" t="n">
        <f aca="false">Inputs!$D$6/4*Inputs!$D$9</f>
        <v>8839.74</v>
      </c>
      <c r="C7" s="9" t="n">
        <f aca="false">Inputs!$D$6/4*Inputs!$D$9</f>
        <v>8839.74</v>
      </c>
      <c r="D7" s="9" t="n">
        <f aca="false">Inputs!$D$6/4*Inputs!$D$9</f>
        <v>8839.74</v>
      </c>
      <c r="E7" s="4" t="s">
        <v>198</v>
      </c>
    </row>
    <row r="8" customFormat="false" ht="27.75" hidden="false" customHeight="true" outlineLevel="0" collapsed="false">
      <c r="A8" s="7" t="s">
        <v>199</v>
      </c>
      <c r="B8" s="10" t="n">
        <f aca="false">Inputs!$D$22</f>
        <v>13.9731263878608</v>
      </c>
      <c r="C8" s="10" t="n">
        <f aca="false">Inputs!$D$22</f>
        <v>13.9731263878608</v>
      </c>
      <c r="D8" s="10" t="n">
        <f aca="false">Inputs!$D$22</f>
        <v>13.9731263878608</v>
      </c>
      <c r="E8" s="4" t="s">
        <v>200</v>
      </c>
    </row>
    <row r="9" customFormat="false" ht="27.75" hidden="false" customHeight="true" outlineLevel="0" collapsed="false">
      <c r="A9" s="7" t="s">
        <v>201</v>
      </c>
      <c r="B9" s="10" t="n">
        <f aca="false">Inputs!$D$31*Inputs!$D$7</f>
        <v>216000</v>
      </c>
      <c r="C9" s="10" t="n">
        <f aca="false">Inputs!$D$31*Inputs!$D$7</f>
        <v>216000</v>
      </c>
      <c r="D9" s="10" t="n">
        <f aca="false">Inputs!$D$31*Inputs!$D$7</f>
        <v>216000</v>
      </c>
      <c r="E9" s="4" t="s">
        <v>202</v>
      </c>
    </row>
    <row r="11" customFormat="false" ht="15" hidden="false" customHeight="false" outlineLevel="0" collapsed="false">
      <c r="A11" s="17" t="s">
        <v>203</v>
      </c>
    </row>
    <row r="12" customFormat="false" ht="27.75" hidden="false" customHeight="true" outlineLevel="0" collapsed="false">
      <c r="A12" s="7" t="s">
        <v>204</v>
      </c>
      <c r="B12" s="9" t="n">
        <f aca="false">Inputs!$D$40*Inputs!$D$7</f>
        <v>16</v>
      </c>
      <c r="C12" s="9" t="n">
        <f aca="false">Inputs!$D$40*Inputs!$D$7</f>
        <v>16</v>
      </c>
      <c r="D12" s="9" t="n">
        <f aca="false">Inputs!$D$40*Inputs!$D$7</f>
        <v>16</v>
      </c>
      <c r="E12" s="4" t="s">
        <v>205</v>
      </c>
    </row>
    <row r="13" customFormat="false" ht="27.75" hidden="false" customHeight="true" outlineLevel="0" collapsed="false">
      <c r="A13" s="7" t="s">
        <v>206</v>
      </c>
      <c r="B13" s="8" t="n">
        <f aca="false">B12/(Inputs!$D$8*Inputs!$D$7)</f>
        <v>0.2</v>
      </c>
      <c r="C13" s="8" t="n">
        <f aca="false">B12/(Inputs!$D$8*Inputs!$D$7)</f>
        <v>0.2</v>
      </c>
      <c r="D13" s="8" t="n">
        <f aca="false">B12/(Inputs!$D$8*Inputs!$D$7)</f>
        <v>0.2</v>
      </c>
      <c r="E13" s="4" t="s">
        <v>207</v>
      </c>
    </row>
    <row r="14" customFormat="false" ht="27.75" hidden="false" customHeight="true" outlineLevel="0" collapsed="false">
      <c r="A14" s="7" t="s">
        <v>208</v>
      </c>
      <c r="B14" s="9" t="n">
        <f aca="false">Inputs!$D$6*Inputs!$C$41</f>
        <v>2719.92</v>
      </c>
      <c r="C14" s="9" t="n">
        <f aca="false">Inputs!$D$6*Inputs!$D$41</f>
        <v>5439.84</v>
      </c>
      <c r="D14" s="9" t="n">
        <f aca="false">Inputs!$D$6*Inputs!$E$41</f>
        <v>8159.76</v>
      </c>
      <c r="E14" s="4" t="s">
        <v>209</v>
      </c>
    </row>
    <row r="15" customFormat="false" ht="27.75" hidden="false" customHeight="true" outlineLevel="0" collapsed="false">
      <c r="A15" s="7" t="s">
        <v>210</v>
      </c>
      <c r="B15" s="30" t="n">
        <f aca="false">0</f>
        <v>0</v>
      </c>
      <c r="C15" s="30" t="n">
        <f aca="false">0</f>
        <v>0</v>
      </c>
      <c r="D15" s="30" t="n">
        <f aca="false">0</f>
        <v>0</v>
      </c>
      <c r="E15" s="4" t="s">
        <v>211</v>
      </c>
    </row>
    <row r="16" customFormat="false" ht="27.75" hidden="false" customHeight="true" outlineLevel="0" collapsed="false">
      <c r="A16" s="11" t="s">
        <v>212</v>
      </c>
      <c r="B16" s="31" t="n">
        <f aca="false">B14-B15</f>
        <v>2719.92</v>
      </c>
      <c r="C16" s="31" t="n">
        <f aca="false">C14-C15</f>
        <v>5439.84</v>
      </c>
      <c r="D16" s="31" t="n">
        <f aca="false">D14-D15</f>
        <v>8159.76</v>
      </c>
      <c r="E16" s="4" t="s">
        <v>213</v>
      </c>
    </row>
    <row r="17" customFormat="false" ht="27.75" hidden="false" customHeight="true" outlineLevel="0" collapsed="false">
      <c r="A17" s="7" t="s">
        <v>20</v>
      </c>
      <c r="B17" s="10" t="n">
        <f aca="false">B16*Inputs!$D$22+Inputs!$D$20*Inputs!$C$42*Inputs!$D$6*Inputs!$D$11</f>
        <v>43588.2106466969</v>
      </c>
      <c r="C17" s="10" t="n">
        <f aca="false">C16*Inputs!$D$22+Inputs!$D$20*Inputs!$D$42*Inputs!$D$6*Inputs!$D$11</f>
        <v>87176.4212933938</v>
      </c>
      <c r="D17" s="10" t="n">
        <f aca="false">D16*Inputs!$D$22+Inputs!$D$20*Inputs!$E$42*Inputs!$D$6*Inputs!$D$11</f>
        <v>130764.631940091</v>
      </c>
      <c r="E17" s="4" t="s">
        <v>214</v>
      </c>
    </row>
    <row r="18" customFormat="false" ht="27.75" hidden="false" customHeight="true" outlineLevel="0" collapsed="false">
      <c r="A18" s="7" t="s">
        <v>215</v>
      </c>
      <c r="B18" s="10" t="n">
        <f aca="false">B16*Inputs!$D$11+Inputs!$C$42*Inputs!$D$6*Inputs!$D$11</f>
        <v>136459.270977979</v>
      </c>
      <c r="C18" s="10" t="n">
        <f aca="false">C16*Inputs!$D$11+Inputs!$D$42*Inputs!$D$6*Inputs!$D$11</f>
        <v>272918.541955959</v>
      </c>
      <c r="D18" s="10" t="n">
        <f aca="false">D16*Inputs!$D$11+Inputs!$E$42*Inputs!$D$6*Inputs!$D$11</f>
        <v>409377.812933938</v>
      </c>
      <c r="E18" s="4" t="s">
        <v>216</v>
      </c>
    </row>
    <row r="19" customFormat="false" ht="27.75" hidden="false" customHeight="true" outlineLevel="0" collapsed="false">
      <c r="A19" s="7" t="s">
        <v>217</v>
      </c>
      <c r="B19" s="10" t="n">
        <f aca="false">Inputs!$D$32*B12</f>
        <v>32000</v>
      </c>
      <c r="C19" s="10" t="n">
        <f aca="false">Inputs!$D$32*B12</f>
        <v>32000</v>
      </c>
      <c r="D19" s="10" t="n">
        <f aca="false">Inputs!$D$32*B12</f>
        <v>32000</v>
      </c>
      <c r="E19" s="4" t="s">
        <v>218</v>
      </c>
    </row>
    <row r="20" customFormat="false" ht="27.75" hidden="false" customHeight="true" outlineLevel="0" collapsed="false">
      <c r="A20" s="11" t="s">
        <v>22</v>
      </c>
      <c r="B20" s="32" t="n">
        <f aca="false">B17-B19</f>
        <v>11588.2106466969</v>
      </c>
      <c r="C20" s="32" t="n">
        <f aca="false">C17-C19</f>
        <v>55176.4212933938</v>
      </c>
      <c r="D20" s="32" t="n">
        <f aca="false">D17-D19</f>
        <v>98764.6319400907</v>
      </c>
      <c r="E20" s="4" t="s">
        <v>219</v>
      </c>
    </row>
    <row r="21" customFormat="false" ht="27.75" hidden="false" customHeight="true" outlineLevel="0" collapsed="false">
      <c r="A21" s="7" t="s">
        <v>220</v>
      </c>
      <c r="B21" s="9" t="n">
        <f aca="false">B19/Inputs!$D$22</f>
        <v>2290.11025247721</v>
      </c>
      <c r="C21" s="9" t="n">
        <f aca="false">C19/Inputs!$D$22</f>
        <v>2290.11025247721</v>
      </c>
      <c r="D21" s="9" t="n">
        <f aca="false">D19/Inputs!$D$22</f>
        <v>2290.11025247721</v>
      </c>
      <c r="E21" s="4" t="s">
        <v>221</v>
      </c>
    </row>
    <row r="22" customFormat="false" ht="27.75" hidden="false" customHeight="true" outlineLevel="0" collapsed="false">
      <c r="A22" s="28" t="s">
        <v>222</v>
      </c>
      <c r="B22" s="33" t="n">
        <f aca="false">B16/B21</f>
        <v>1.1876808101522</v>
      </c>
      <c r="C22" s="33" t="n">
        <f aca="false">C16/C21</f>
        <v>2.3753616203044</v>
      </c>
      <c r="D22" s="33" t="n">
        <f aca="false">D16/D21</f>
        <v>3.56304243045661</v>
      </c>
      <c r="E22" s="4" t="s">
        <v>223</v>
      </c>
    </row>
    <row r="23" customFormat="false" ht="27.75" hidden="false" customHeight="true" outlineLevel="0" collapsed="false">
      <c r="A23" s="7" t="s">
        <v>224</v>
      </c>
      <c r="B23" s="8" t="n">
        <f aca="false">Inputs!$D$12*(1-Inputs!$D$43*(1-Inputs!$D$8/(Inputs!$D$8+Inputs!$D$40)))</f>
        <v>0.13</v>
      </c>
      <c r="C23" s="8" t="n">
        <f aca="false">Inputs!$D$12*(1-Inputs!$D$43*(1-Inputs!$D$8/(Inputs!$D$8+Inputs!$D$40)))</f>
        <v>0.13</v>
      </c>
      <c r="D23" s="8" t="n">
        <f aca="false">Inputs!$D$12*(1-Inputs!$D$43*(1-Inputs!$D$8/(Inputs!$D$8+Inputs!$D$40)))</f>
        <v>0.13</v>
      </c>
      <c r="E23" s="4" t="s">
        <v>225</v>
      </c>
    </row>
    <row r="24" customFormat="false" ht="27.75" hidden="false" customHeight="true" outlineLevel="0" collapsed="false">
      <c r="A24" s="7" t="s">
        <v>226</v>
      </c>
      <c r="B24" s="8" t="n">
        <f aca="false">Inputs!$D$13*B23/Inputs!$D$12*(1+Inputs!$C$41)</f>
        <v>0.734586666666667</v>
      </c>
      <c r="C24" s="8" t="n">
        <f aca="false">Inputs!$D$13*C23/Inputs!$D$12*(1+Inputs!$D$41)</f>
        <v>0.76284</v>
      </c>
      <c r="D24" s="8" t="n">
        <f aca="false">Inputs!$D$13*D23/Inputs!$D$12*(1+Inputs!$E$41)</f>
        <v>0.791093333333333</v>
      </c>
      <c r="E24" s="4" t="s">
        <v>227</v>
      </c>
    </row>
    <row r="25" customFormat="false" ht="27.75" hidden="false" customHeight="true" outlineLevel="0" collapsed="false">
      <c r="A25" s="28" t="s">
        <v>228</v>
      </c>
      <c r="B25" s="34" t="n">
        <f aca="false">Inputs!$D$14*B23/Inputs!$D$12*(1+Inputs!$C$41)</f>
        <v>0.917557333333333</v>
      </c>
      <c r="C25" s="34" t="n">
        <f aca="false">Inputs!$D$14*C23/Inputs!$D$12*(1+Inputs!$D$41)</f>
        <v>0.952848</v>
      </c>
      <c r="D25" s="34" t="n">
        <f aca="false">Inputs!$D$14*D23/Inputs!$D$12*(1+Inputs!$E$41)</f>
        <v>0.988138666666667</v>
      </c>
      <c r="E25" s="4" t="s">
        <v>229</v>
      </c>
    </row>
    <row r="27" customFormat="false" ht="15" hidden="false" customHeight="false" outlineLevel="0" collapsed="false">
      <c r="A27" s="17" t="s">
        <v>138</v>
      </c>
    </row>
    <row r="28" customFormat="false" ht="27.75" hidden="false" customHeight="true" outlineLevel="0" collapsed="false">
      <c r="A28" s="7" t="s">
        <v>230</v>
      </c>
      <c r="B28" s="9" t="n">
        <f aca="false">Inputs!$D$46</f>
        <v>4</v>
      </c>
      <c r="C28" s="9" t="n">
        <f aca="false">Inputs!$D$46</f>
        <v>4</v>
      </c>
      <c r="D28" s="9" t="n">
        <f aca="false">Inputs!$D$46</f>
        <v>4</v>
      </c>
      <c r="E28" s="4" t="s">
        <v>231</v>
      </c>
    </row>
    <row r="29" customFormat="false" ht="27.75" hidden="false" customHeight="true" outlineLevel="0" collapsed="false">
      <c r="A29" s="7" t="s">
        <v>206</v>
      </c>
      <c r="B29" s="8" t="n">
        <f aca="false">B28/Inputs!$D$7</f>
        <v>0.5</v>
      </c>
      <c r="C29" s="8" t="n">
        <f aca="false">B28/Inputs!$D$7</f>
        <v>0.5</v>
      </c>
      <c r="D29" s="8" t="n">
        <f aca="false">B28/Inputs!$D$7</f>
        <v>0.5</v>
      </c>
      <c r="E29" s="4" t="s">
        <v>232</v>
      </c>
    </row>
    <row r="30" customFormat="false" ht="27.75" hidden="false" customHeight="true" outlineLevel="0" collapsed="false">
      <c r="A30" s="7" t="s">
        <v>233</v>
      </c>
      <c r="B30" s="9" t="n">
        <f aca="false">Inputs!$D$46*Inputs!$C$47*B7</f>
        <v>12375.636</v>
      </c>
      <c r="C30" s="9" t="n">
        <f aca="false">Inputs!$D$46*Inputs!$D$47*C7</f>
        <v>15911.532</v>
      </c>
      <c r="D30" s="9" t="n">
        <f aca="false">Inputs!$D$46*Inputs!$E$47*D7</f>
        <v>21215.376</v>
      </c>
      <c r="E30" s="4" t="s">
        <v>234</v>
      </c>
    </row>
    <row r="31" customFormat="false" ht="27.75" hidden="false" customHeight="true" outlineLevel="0" collapsed="false">
      <c r="A31" s="7" t="s">
        <v>235</v>
      </c>
      <c r="B31" s="9" t="n">
        <f aca="false">B30*Inputs!$C$48</f>
        <v>6187.818</v>
      </c>
      <c r="C31" s="9" t="n">
        <f aca="false">C30*Inputs!$D$48</f>
        <v>6364.6128</v>
      </c>
      <c r="D31" s="9" t="n">
        <f aca="false">D30*Inputs!$E$48</f>
        <v>6364.6128</v>
      </c>
      <c r="E31" s="4" t="s">
        <v>236</v>
      </c>
    </row>
    <row r="32" customFormat="false" ht="27.75" hidden="false" customHeight="true" outlineLevel="0" collapsed="false">
      <c r="A32" s="11" t="s">
        <v>212</v>
      </c>
      <c r="B32" s="31" t="n">
        <f aca="false">B30-B31</f>
        <v>6187.818</v>
      </c>
      <c r="C32" s="31" t="n">
        <f aca="false">C30-C31</f>
        <v>9546.9192</v>
      </c>
      <c r="D32" s="31" t="n">
        <f aca="false">D30-D31</f>
        <v>14850.7632</v>
      </c>
      <c r="E32" s="4"/>
    </row>
    <row r="33" customFormat="false" ht="27.75" hidden="false" customHeight="true" outlineLevel="0" collapsed="false">
      <c r="A33" s="7" t="s">
        <v>20</v>
      </c>
      <c r="B33" s="10" t="n">
        <f aca="false">B32*Inputs!$D$22</f>
        <v>86463.1629790803</v>
      </c>
      <c r="C33" s="10" t="n">
        <f aca="false">C32*Inputs!$D$22</f>
        <v>133400.308596295</v>
      </c>
      <c r="D33" s="10" t="n">
        <f aca="false">D32*Inputs!$D$22</f>
        <v>207511.591149793</v>
      </c>
      <c r="E33" s="4" t="s">
        <v>237</v>
      </c>
    </row>
    <row r="34" customFormat="false" ht="27.75" hidden="false" customHeight="true" outlineLevel="0" collapsed="false">
      <c r="A34" s="7" t="s">
        <v>215</v>
      </c>
      <c r="B34" s="10" t="n">
        <f aca="false">B32*Inputs!$D$11</f>
        <v>225778.066527202</v>
      </c>
      <c r="C34" s="10" t="n">
        <f aca="false">C32*Inputs!$D$11</f>
        <v>348343.302641969</v>
      </c>
      <c r="D34" s="10" t="n">
        <f aca="false">D32*Inputs!$D$11</f>
        <v>541867.359665285</v>
      </c>
      <c r="E34" s="4"/>
    </row>
    <row r="35" customFormat="false" ht="27.75" hidden="false" customHeight="true" outlineLevel="0" collapsed="false">
      <c r="A35" s="7" t="s">
        <v>217</v>
      </c>
      <c r="B35" s="10" t="n">
        <f aca="false">Inputs!$D$46*Inputs!$D$31*Inputs!$D$33</f>
        <v>97200</v>
      </c>
      <c r="C35" s="10" t="n">
        <f aca="false">Inputs!$D$46*Inputs!$D$31*Inputs!$D$33</f>
        <v>97200</v>
      </c>
      <c r="D35" s="10" t="n">
        <f aca="false">Inputs!$D$46*Inputs!$D$31*Inputs!$D$33</f>
        <v>97200</v>
      </c>
      <c r="E35" s="4" t="s">
        <v>238</v>
      </c>
    </row>
    <row r="36" customFormat="false" ht="27.75" hidden="false" customHeight="true" outlineLevel="0" collapsed="false">
      <c r="A36" s="11" t="s">
        <v>22</v>
      </c>
      <c r="B36" s="32" t="n">
        <f aca="false">B33-B35</f>
        <v>-10736.8370209197</v>
      </c>
      <c r="C36" s="32" t="n">
        <f aca="false">C33-C35</f>
        <v>36200.3085962953</v>
      </c>
      <c r="D36" s="32" t="n">
        <f aca="false">D33-D35</f>
        <v>110311.591149793</v>
      </c>
      <c r="E36" s="4"/>
    </row>
    <row r="37" customFormat="false" ht="27.75" hidden="false" customHeight="true" outlineLevel="0" collapsed="false">
      <c r="A37" s="7" t="s">
        <v>220</v>
      </c>
      <c r="B37" s="9" t="n">
        <f aca="false">B35/Inputs!$D$22</f>
        <v>6956.20989189953</v>
      </c>
      <c r="C37" s="9" t="n">
        <f aca="false">C35/Inputs!$D$22</f>
        <v>6956.20989189953</v>
      </c>
      <c r="D37" s="9" t="n">
        <f aca="false">D35/Inputs!$D$22</f>
        <v>6956.20989189953</v>
      </c>
      <c r="E37" s="4"/>
    </row>
    <row r="38" customFormat="false" ht="27.75" hidden="false" customHeight="true" outlineLevel="0" collapsed="false">
      <c r="A38" s="28" t="s">
        <v>23</v>
      </c>
      <c r="B38" s="33" t="n">
        <f aca="false">B32/B37</f>
        <v>0.889538713776546</v>
      </c>
      <c r="C38" s="33" t="n">
        <f aca="false">C32/C37</f>
        <v>1.3724311583981</v>
      </c>
      <c r="D38" s="33" t="n">
        <f aca="false">D32/D37</f>
        <v>2.13489291306371</v>
      </c>
      <c r="E38" s="4"/>
    </row>
    <row r="39" customFormat="false" ht="27.75" hidden="false" customHeight="true" outlineLevel="0" collapsed="false">
      <c r="A39" s="7" t="s">
        <v>239</v>
      </c>
      <c r="B39" s="8" t="n">
        <f aca="false">B31/Inputs!$D$7/B6</f>
        <v>0.091</v>
      </c>
      <c r="C39" s="8" t="n">
        <f aca="false">C31/Inputs!$D$7/C6</f>
        <v>0.0936</v>
      </c>
      <c r="D39" s="8" t="n">
        <f aca="false">D31/Inputs!$D$7/D6</f>
        <v>0.0936</v>
      </c>
      <c r="E39" s="4" t="s">
        <v>240</v>
      </c>
    </row>
    <row r="40" customFormat="false" ht="27.75" hidden="false" customHeight="true" outlineLevel="0" collapsed="false">
      <c r="A40" s="7" t="s">
        <v>226</v>
      </c>
      <c r="B40" s="8" t="n">
        <f aca="false">Inputs!$D$13*(1-B39)</f>
        <v>0.740835</v>
      </c>
      <c r="C40" s="8" t="n">
        <f aca="false">Inputs!$D$13*(1-C39)</f>
        <v>0.738716</v>
      </c>
      <c r="D40" s="8" t="n">
        <f aca="false">Inputs!$D$13*(1-D39)</f>
        <v>0.738716</v>
      </c>
      <c r="E40" s="4"/>
    </row>
    <row r="41" customFormat="false" ht="27.75" hidden="false" customHeight="true" outlineLevel="0" collapsed="false">
      <c r="A41" s="28" t="s">
        <v>228</v>
      </c>
      <c r="B41" s="34" t="n">
        <f aca="false">Inputs!$D$14*(1-B39)</f>
        <v>0.925362</v>
      </c>
      <c r="C41" s="34" t="n">
        <f aca="false">Inputs!$D$14*(1-C39)</f>
        <v>0.9227152</v>
      </c>
      <c r="D41" s="34" t="n">
        <f aca="false">Inputs!$D$14*(1-D39)</f>
        <v>0.9227152</v>
      </c>
      <c r="E41" s="4"/>
    </row>
    <row r="42" customFormat="false" ht="27.75" hidden="false" customHeight="true" outlineLevel="0" collapsed="false">
      <c r="A42" s="7" t="s">
        <v>241</v>
      </c>
      <c r="B42" s="10" t="n">
        <f aca="false">Inputs!$D$15*B6/10808*Inputs!$C$47</f>
        <v>1767.97369009067</v>
      </c>
      <c r="C42" s="10" t="n">
        <f aca="false">Inputs!$D$15*C6/10808*Inputs!$D$47</f>
        <v>2273.10903011658</v>
      </c>
      <c r="D42" s="10" t="n">
        <f aca="false">Inputs!$D$15*D6/10808*Inputs!$E$47</f>
        <v>3030.81204015544</v>
      </c>
      <c r="E42" s="4" t="s">
        <v>242</v>
      </c>
    </row>
    <row r="43" customFormat="false" ht="27.75" hidden="false" customHeight="true" outlineLevel="0" collapsed="false">
      <c r="A43" s="28" t="s">
        <v>243</v>
      </c>
      <c r="B43" s="12" t="n">
        <f aca="false">B42*(1-Inputs!$D$64)-Inputs!$D$65*Inputs!$D$15*B6/10808</f>
        <v>-366.223121518782</v>
      </c>
      <c r="C43" s="12" t="n">
        <f aca="false">C42*(1-Inputs!$D$64)-Inputs!$D$65*Inputs!$D$15*C6/10808</f>
        <v>-37.8851505019429</v>
      </c>
      <c r="D43" s="12" t="n">
        <f aca="false">D42*(1-Inputs!$D$64)-Inputs!$D$65*Inputs!$D$15*D6/10808</f>
        <v>454.621806023316</v>
      </c>
      <c r="E43" s="4" t="s">
        <v>244</v>
      </c>
    </row>
    <row r="44" customFormat="false" ht="27.75" hidden="false" customHeight="true" outlineLevel="0" collapsed="false">
      <c r="A44" s="7" t="s">
        <v>245</v>
      </c>
      <c r="B44" s="10" t="n">
        <f aca="false">Inputs!$D$16*B6/10808*Inputs!$C$47*(1-Inputs!$D$66)-Inputs!$D$67*Inputs!$D$16*B6/10808</f>
        <v>274.647104575315</v>
      </c>
      <c r="C44" s="10" t="n">
        <f aca="false">Inputs!$D$16*C6/10808*Inputs!$D$47*(1-Inputs!$D$66)-Inputs!$D$67*Inputs!$D$16*C6/10808</f>
        <v>384.50594640544</v>
      </c>
      <c r="D44" s="10" t="n">
        <f aca="false">Inputs!$D$16*D6/10808*Inputs!$E$47*(1-Inputs!$D$66)-Inputs!$D$67*Inputs!$D$16*D6/10808</f>
        <v>549.294209150629</v>
      </c>
      <c r="E44" s="4"/>
    </row>
    <row r="46" customFormat="false" ht="15" hidden="false" customHeight="false" outlineLevel="0" collapsed="false">
      <c r="A46" s="17" t="s">
        <v>148</v>
      </c>
    </row>
    <row r="47" customFormat="false" ht="27.75" hidden="false" customHeight="true" outlineLevel="0" collapsed="false">
      <c r="A47" s="7" t="s">
        <v>230</v>
      </c>
      <c r="B47" s="9" t="n">
        <f aca="false">Inputs!$D$51</f>
        <v>2</v>
      </c>
      <c r="C47" s="9" t="n">
        <f aca="false">Inputs!$D$51</f>
        <v>2</v>
      </c>
      <c r="D47" s="9" t="n">
        <f aca="false">Inputs!$D$51</f>
        <v>2</v>
      </c>
      <c r="E47" s="4" t="s">
        <v>246</v>
      </c>
    </row>
    <row r="48" customFormat="false" ht="27.75" hidden="false" customHeight="true" outlineLevel="0" collapsed="false">
      <c r="A48" s="7" t="s">
        <v>206</v>
      </c>
      <c r="B48" s="8" t="n">
        <f aca="false">B47/Inputs!$D$7</f>
        <v>0.25</v>
      </c>
      <c r="C48" s="8" t="n">
        <f aca="false">B47/Inputs!$D$7</f>
        <v>0.25</v>
      </c>
      <c r="D48" s="8" t="n">
        <f aca="false">B47/Inputs!$D$7</f>
        <v>0.25</v>
      </c>
      <c r="E48" s="4" t="s">
        <v>247</v>
      </c>
    </row>
    <row r="49" customFormat="false" ht="27.75" hidden="false" customHeight="true" outlineLevel="0" collapsed="false">
      <c r="A49" s="7" t="s">
        <v>248</v>
      </c>
      <c r="B49" s="9" t="n">
        <f aca="false">Inputs!$C$52*Inputs!$D$10*Inputs!$D$6</f>
        <v>8159.76</v>
      </c>
      <c r="C49" s="9" t="n">
        <f aca="false">Inputs!$D$52*Inputs!$D$10*Inputs!$D$6</f>
        <v>10199.7</v>
      </c>
      <c r="D49" s="9" t="n">
        <f aca="false">Inputs!$E$52*Inputs!$D$10*Inputs!$D$6</f>
        <v>12239.64</v>
      </c>
      <c r="E49" s="4" t="s">
        <v>249</v>
      </c>
    </row>
    <row r="50" customFormat="false" ht="27.75" hidden="false" customHeight="true" outlineLevel="0" collapsed="false">
      <c r="A50" s="7" t="s">
        <v>250</v>
      </c>
      <c r="B50" s="9" t="n">
        <f aca="false">B49*Inputs!$C$53</f>
        <v>3263.904</v>
      </c>
      <c r="C50" s="9" t="n">
        <f aca="false">C49*Inputs!$D$53</f>
        <v>3059.91</v>
      </c>
      <c r="D50" s="9" t="n">
        <f aca="false">D49*Inputs!$E$53</f>
        <v>2447.928</v>
      </c>
      <c r="E50" s="4"/>
    </row>
    <row r="51" customFormat="false" ht="27.75" hidden="false" customHeight="true" outlineLevel="0" collapsed="false">
      <c r="A51" s="11" t="s">
        <v>251</v>
      </c>
      <c r="B51" s="31" t="n">
        <f aca="false">B49-B50</f>
        <v>4895.856</v>
      </c>
      <c r="C51" s="31" t="n">
        <f aca="false">C49-C50</f>
        <v>7139.79</v>
      </c>
      <c r="D51" s="31" t="n">
        <f aca="false">D49-D50</f>
        <v>9791.712</v>
      </c>
      <c r="E51" s="4"/>
    </row>
    <row r="52" customFormat="false" ht="27.75" hidden="false" customHeight="true" outlineLevel="0" collapsed="false">
      <c r="A52" s="7" t="s">
        <v>252</v>
      </c>
      <c r="B52" s="8" t="n">
        <f aca="false">1-Inputs!$C$54*Inputs!$D$55</f>
        <v>0.825</v>
      </c>
      <c r="C52" s="8" t="n">
        <f aca="false">1-Inputs!$D$54*Inputs!$D$55</f>
        <v>0.875</v>
      </c>
      <c r="D52" s="8" t="n">
        <f aca="false">1-Inputs!$E$54*Inputs!$D$55</f>
        <v>0.925</v>
      </c>
      <c r="E52" s="4" t="s">
        <v>253</v>
      </c>
    </row>
    <row r="53" customFormat="false" ht="27.75" hidden="false" customHeight="true" outlineLevel="0" collapsed="false">
      <c r="A53" s="7" t="s">
        <v>254</v>
      </c>
      <c r="B53" s="10" t="n">
        <f aca="false">B51*Inputs!$D$22*B52</f>
        <v>56438.5920984326</v>
      </c>
      <c r="C53" s="10" t="n">
        <f aca="false">C51*Inputs!$D$22*C52</f>
        <v>87294.5395461869</v>
      </c>
      <c r="D53" s="10" t="n">
        <f aca="false">D51*Inputs!$D$22*D52</f>
        <v>126559.267129819</v>
      </c>
      <c r="E53" s="4"/>
    </row>
    <row r="54" customFormat="false" ht="27.75" hidden="false" customHeight="true" outlineLevel="0" collapsed="false">
      <c r="A54" s="7" t="s">
        <v>215</v>
      </c>
      <c r="B54" s="10" t="n">
        <f aca="false">B51*Inputs!$D$11*B52</f>
        <v>147376.012656218</v>
      </c>
      <c r="C54" s="10" t="n">
        <f aca="false">C51*Inputs!$D$11*C52</f>
        <v>227949.009474579</v>
      </c>
      <c r="D54" s="10" t="n">
        <f aca="false">D51*Inputs!$D$11*D52</f>
        <v>330479.543532124</v>
      </c>
      <c r="E54" s="4"/>
    </row>
    <row r="55" customFormat="false" ht="27.75" hidden="false" customHeight="true" outlineLevel="0" collapsed="false">
      <c r="A55" s="7" t="s">
        <v>217</v>
      </c>
      <c r="B55" s="10" t="n">
        <f aca="false">Inputs!$D$51*Inputs!$D$31+Inputs!$D$34</f>
        <v>84000</v>
      </c>
      <c r="C55" s="10" t="n">
        <f aca="false">Inputs!$D$51*Inputs!$D$31+Inputs!$D$34</f>
        <v>84000</v>
      </c>
      <c r="D55" s="10" t="n">
        <f aca="false">Inputs!$D$51*Inputs!$D$31+Inputs!$D$34</f>
        <v>84000</v>
      </c>
      <c r="E55" s="4" t="s">
        <v>255</v>
      </c>
    </row>
    <row r="56" customFormat="false" ht="27.75" hidden="false" customHeight="true" outlineLevel="0" collapsed="false">
      <c r="A56" s="11" t="s">
        <v>22</v>
      </c>
      <c r="B56" s="32" t="n">
        <f aca="false">B53-B55</f>
        <v>-27561.4079015674</v>
      </c>
      <c r="C56" s="32" t="n">
        <f aca="false">C53-C55</f>
        <v>3294.53954618686</v>
      </c>
      <c r="D56" s="32" t="n">
        <f aca="false">D53-D55</f>
        <v>42559.2671298187</v>
      </c>
      <c r="E56" s="4"/>
    </row>
    <row r="57" customFormat="false" ht="27.75" hidden="false" customHeight="true" outlineLevel="0" collapsed="false">
      <c r="A57" s="7" t="s">
        <v>220</v>
      </c>
      <c r="B57" s="9" t="n">
        <f aca="false">B55/Inputs!$D$22/B52</f>
        <v>7286.71443970022</v>
      </c>
      <c r="C57" s="9" t="n">
        <f aca="false">C55/Inputs!$D$22/C52</f>
        <v>6870.33075743164</v>
      </c>
      <c r="D57" s="9" t="n">
        <f aca="false">D55/Inputs!$D$22/D52</f>
        <v>6498.9615273002</v>
      </c>
      <c r="E57" s="4" t="s">
        <v>256</v>
      </c>
    </row>
    <row r="58" customFormat="false" ht="27.75" hidden="false" customHeight="true" outlineLevel="0" collapsed="false">
      <c r="A58" s="28" t="s">
        <v>23</v>
      </c>
      <c r="B58" s="33" t="n">
        <f aca="false">B51/B57</f>
        <v>0.671888001171817</v>
      </c>
      <c r="C58" s="33" t="n">
        <f aca="false">C51/C57</f>
        <v>1.03922070888318</v>
      </c>
      <c r="D58" s="33" t="n">
        <f aca="false">D51/D57</f>
        <v>1.50665794202165</v>
      </c>
      <c r="E58" s="4"/>
    </row>
    <row r="59" customFormat="false" ht="27.75" hidden="false" customHeight="true" outlineLevel="0" collapsed="false">
      <c r="A59" s="7" t="s">
        <v>257</v>
      </c>
      <c r="B59" s="8" t="n">
        <f aca="false">B50/Inputs!$D$7/B6</f>
        <v>0.048</v>
      </c>
      <c r="C59" s="8" t="n">
        <f aca="false">C50/Inputs!$D$7/C6</f>
        <v>0.045</v>
      </c>
      <c r="D59" s="8" t="n">
        <f aca="false">D50/Inputs!$D$7/D6</f>
        <v>0.036</v>
      </c>
      <c r="E59" s="4"/>
    </row>
    <row r="60" customFormat="false" ht="27.75" hidden="false" customHeight="true" outlineLevel="0" collapsed="false">
      <c r="A60" s="7" t="s">
        <v>226</v>
      </c>
      <c r="B60" s="8" t="n">
        <f aca="false">Inputs!$D$13*(1-B59)</f>
        <v>0.77588</v>
      </c>
      <c r="C60" s="8" t="n">
        <f aca="false">Inputs!$D$13*(1-C59)</f>
        <v>0.778325</v>
      </c>
      <c r="D60" s="8" t="n">
        <f aca="false">Inputs!$D$13*(1-D59)</f>
        <v>0.78566</v>
      </c>
      <c r="E60" s="4"/>
    </row>
    <row r="61" customFormat="false" ht="27.75" hidden="false" customHeight="true" outlineLevel="0" collapsed="false">
      <c r="A61" s="28" t="s">
        <v>228</v>
      </c>
      <c r="B61" s="34" t="n">
        <f aca="false">Inputs!$D$14*(1-B59)</f>
        <v>0.969136</v>
      </c>
      <c r="C61" s="34" t="n">
        <f aca="false">Inputs!$D$14*(1-C59)</f>
        <v>0.97219</v>
      </c>
      <c r="D61" s="34" t="n">
        <f aca="false">Inputs!$D$14*(1-D59)</f>
        <v>0.981352</v>
      </c>
      <c r="E61" s="4"/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7" min="2" style="0" width="1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3"/>
  </cols>
  <sheetData>
    <row r="1" customFormat="false" ht="17.35" hidden="false" customHeight="false" outlineLevel="0" collapsed="false">
      <c r="A1" s="1" t="s">
        <v>258</v>
      </c>
    </row>
    <row r="2" customFormat="false" ht="27.75" hidden="false" customHeight="true" outlineLevel="0" collapsed="false">
      <c r="A2" s="4" t="s">
        <v>259</v>
      </c>
      <c r="B2" s="4"/>
      <c r="C2" s="4"/>
      <c r="D2" s="4"/>
      <c r="E2" s="4"/>
      <c r="F2" s="4"/>
      <c r="G2" s="4"/>
      <c r="H2" s="4"/>
      <c r="I2" s="4"/>
    </row>
    <row r="4" customFormat="false" ht="15" hidden="false" customHeight="false" outlineLevel="0" collapsed="false">
      <c r="A4" s="17" t="s">
        <v>14</v>
      </c>
    </row>
    <row r="5" customFormat="false" ht="26.85" hidden="false" customHeight="false" outlineLevel="0" collapsed="false">
      <c r="A5" s="6" t="s">
        <v>260</v>
      </c>
      <c r="B5" s="6" t="s">
        <v>261</v>
      </c>
      <c r="C5" s="6" t="s">
        <v>262</v>
      </c>
      <c r="D5" s="6" t="s">
        <v>263</v>
      </c>
      <c r="E5" s="6" t="s">
        <v>264</v>
      </c>
      <c r="F5" s="6" t="s">
        <v>265</v>
      </c>
      <c r="G5" s="6" t="s">
        <v>266</v>
      </c>
      <c r="H5" s="6" t="s">
        <v>267</v>
      </c>
      <c r="I5" s="6" t="s">
        <v>268</v>
      </c>
      <c r="J5" s="6" t="s">
        <v>269</v>
      </c>
    </row>
    <row r="6" customFormat="false" ht="15" hidden="false" customHeight="false" outlineLevel="0" collapsed="false">
      <c r="A6" s="3" t="s">
        <v>15</v>
      </c>
      <c r="B6" s="10" t="n">
        <f aca="false">-Inputs!$D$35</f>
        <v>-35000</v>
      </c>
      <c r="C6" s="10" t="n">
        <f aca="false">Options!C17*(1+Inputs!$D$60)^0-Options!C19*(1+Inputs!$D$61)^0</f>
        <v>55176.4212933938</v>
      </c>
      <c r="D6" s="10" t="n">
        <f aca="false">Options!C17*(1+Inputs!$D$60)^1-Options!C19*(1+Inputs!$D$61)^1</f>
        <v>57703.4781451296</v>
      </c>
      <c r="E6" s="10" t="n">
        <f aca="false">Options!C17*(1+Inputs!$D$60)^2-Options!C19*(1+Inputs!$D$61)^2</f>
        <v>60341.2172709347</v>
      </c>
      <c r="F6" s="10" t="n">
        <f aca="false">Options!C17*(1+Inputs!$D$60)^3-Options!C19*(1+Inputs!$D$61)^3</f>
        <v>63094.3539617721</v>
      </c>
      <c r="G6" s="10" t="n">
        <f aca="false">Options!C17*(1+Inputs!$D$60)^4-Options!C19*(1+Inputs!$D$61)^4</f>
        <v>65967.800760243</v>
      </c>
      <c r="H6" s="32" t="n">
        <f aca="false">B6+NPV(Inputs!$D$59,C6:G6)</f>
        <v>204734.325035191</v>
      </c>
      <c r="I6" s="35" t="n">
        <f aca="false">IFERROR(IRR(B6:G6),"n/a")</f>
        <v>1.60581482082311</v>
      </c>
      <c r="J6" s="36" t="n">
        <f aca="false">IF(C6&gt;0,-B6/C6,"never")</f>
        <v>0.634328924920517</v>
      </c>
    </row>
    <row r="7" customFormat="false" ht="15" hidden="false" customHeight="false" outlineLevel="0" collapsed="false">
      <c r="A7" s="3" t="s">
        <v>16</v>
      </c>
      <c r="B7" s="10" t="n">
        <f aca="false">-Inputs!$D$36</f>
        <v>-20000</v>
      </c>
      <c r="C7" s="10" t="n">
        <f aca="false">Options!C33*(1+Inputs!$D$60)^0-Options!C35*(1+Inputs!$D$61)^0</f>
        <v>36200.3085962953</v>
      </c>
      <c r="D7" s="10" t="n">
        <f aca="false">Options!C33*(1+Inputs!$D$60)^1-Options!C35*(1+Inputs!$D$61)^1</f>
        <v>38620.3209401472</v>
      </c>
      <c r="E7" s="10" t="n">
        <f aca="false">Options!C33*(1+Inputs!$D$60)^2-Options!C35*(1+Inputs!$D$61)^2</f>
        <v>41166.2937777531</v>
      </c>
      <c r="F7" s="10" t="n">
        <f aca="false">Options!C33*(1+Inputs!$D$60)^3-Options!C35*(1+Inputs!$D$61)^3</f>
        <v>43844.1403288632</v>
      </c>
      <c r="G7" s="10" t="n">
        <f aca="false">Options!C33*(1+Inputs!$D$60)^4-Options!C35*(1+Inputs!$D$61)^4</f>
        <v>46660.0365860177</v>
      </c>
      <c r="H7" s="32" t="n">
        <f aca="false">B7+NPV(Inputs!$D$59,C7:G7)</f>
        <v>143291.424779755</v>
      </c>
      <c r="I7" s="35" t="n">
        <f aca="false">IFERROR(IRR(B7:G7),"n/a")</f>
        <v>1.86347551081475</v>
      </c>
      <c r="J7" s="36" t="n">
        <f aca="false">IF(C7&gt;0,-B7/C7,"never")</f>
        <v>0.552481478073553</v>
      </c>
    </row>
    <row r="8" customFormat="false" ht="15" hidden="false" customHeight="false" outlineLevel="0" collapsed="false">
      <c r="A8" s="3" t="s">
        <v>17</v>
      </c>
      <c r="B8" s="10" t="n">
        <f aca="false">-Inputs!$D$37</f>
        <v>-15000</v>
      </c>
      <c r="C8" s="10" t="n">
        <f aca="false">Options!C53*(1+Inputs!$D$60)^0-Options!C55*(1+Inputs!$D$61)^0</f>
        <v>3294.53954618686</v>
      </c>
      <c r="D8" s="10" t="n">
        <f aca="false">Options!C53*(1+Inputs!$D$60)^1-Options!C55*(1+Inputs!$D$61)^1</f>
        <v>4266.32112803434</v>
      </c>
      <c r="E8" s="10" t="n">
        <f aca="false">Options!C53*(1+Inputs!$D$60)^2-Options!C55*(1+Inputs!$D$61)^2</f>
        <v>5302.17397315573</v>
      </c>
      <c r="F8" s="10" t="n">
        <f aca="false">Options!C53*(1+Inputs!$D$60)^3-Options!C55*(1+Inputs!$D$61)^3</f>
        <v>6405.41693208195</v>
      </c>
      <c r="G8" s="10" t="n">
        <f aca="false">Options!C53*(1+Inputs!$D$60)^4-Options!C55*(1+Inputs!$D$61)^4</f>
        <v>7579.52428936522</v>
      </c>
      <c r="H8" s="32" t="n">
        <f aca="false">B8+NPV(Inputs!$D$59,C8:G8)</f>
        <v>5783.88848766848</v>
      </c>
      <c r="I8" s="35" t="n">
        <f aca="false">IFERROR(IRR(B8:G8),"n/a")</f>
        <v>0.197678098221352</v>
      </c>
      <c r="J8" s="36" t="n">
        <f aca="false">IF(C8&gt;0,-B8/C8,"never")</f>
        <v>4.55298829767006</v>
      </c>
    </row>
    <row r="10" customFormat="false" ht="15" hidden="false" customHeight="false" outlineLevel="0" collapsed="false">
      <c r="A10" s="17" t="s">
        <v>270</v>
      </c>
    </row>
    <row r="11" customFormat="false" ht="26.85" hidden="false" customHeight="false" outlineLevel="0" collapsed="false">
      <c r="A11" s="6" t="s">
        <v>260</v>
      </c>
      <c r="B11" s="6" t="s">
        <v>261</v>
      </c>
      <c r="C11" s="6" t="s">
        <v>262</v>
      </c>
      <c r="D11" s="6" t="s">
        <v>263</v>
      </c>
      <c r="E11" s="6" t="s">
        <v>264</v>
      </c>
      <c r="F11" s="6" t="s">
        <v>265</v>
      </c>
      <c r="G11" s="6" t="s">
        <v>266</v>
      </c>
      <c r="H11" s="6" t="s">
        <v>267</v>
      </c>
      <c r="I11" s="6" t="s">
        <v>268</v>
      </c>
      <c r="J11" s="6" t="s">
        <v>269</v>
      </c>
    </row>
    <row r="12" customFormat="false" ht="15" hidden="false" customHeight="false" outlineLevel="0" collapsed="false">
      <c r="A12" s="3" t="s">
        <v>15</v>
      </c>
      <c r="B12" s="10" t="n">
        <f aca="false">-Inputs!$D$35</f>
        <v>-35000</v>
      </c>
      <c r="C12" s="10" t="n">
        <f aca="false">Options!B17*(1+Inputs!$D$60)^0-Options!B19*(1+Inputs!$D$61)^0</f>
        <v>11588.2106466969</v>
      </c>
      <c r="D12" s="10" t="n">
        <f aca="false">Options!B17*(1+Inputs!$D$60)^1-Options!B19*(1+Inputs!$D$61)^1</f>
        <v>12371.7390725648</v>
      </c>
      <c r="E12" s="10" t="n">
        <f aca="false">Options!B17*(1+Inputs!$D$60)^2-Options!B19*(1+Inputs!$D$61)^2</f>
        <v>13196.2086354674</v>
      </c>
      <c r="F12" s="10" t="n">
        <f aca="false">Options!B17*(1+Inputs!$D$60)^3-Options!B19*(1+Inputs!$D$61)^3</f>
        <v>14063.5449808861</v>
      </c>
      <c r="G12" s="10" t="n">
        <f aca="false">Options!B17*(1+Inputs!$D$60)^4-Options!B19*(1+Inputs!$D$61)^4</f>
        <v>14975.7594201215</v>
      </c>
      <c r="H12" s="32" t="n">
        <f aca="false">B12+NPV(Inputs!$D$59,C12:G12)</f>
        <v>17341.5483497361</v>
      </c>
      <c r="I12" s="35" t="n">
        <f aca="false">IFERROR(IRR(B12:G12),"n/a")</f>
        <v>0.244838096636427</v>
      </c>
      <c r="J12" s="36" t="n">
        <f aca="false">IF(C12&gt;0,-B12/C12,"never")</f>
        <v>3.02031099253243</v>
      </c>
    </row>
    <row r="13" customFormat="false" ht="15" hidden="false" customHeight="false" outlineLevel="0" collapsed="false">
      <c r="A13" s="3" t="s">
        <v>16</v>
      </c>
      <c r="B13" s="10" t="n">
        <f aca="false">-Inputs!$D$36</f>
        <v>-20000</v>
      </c>
      <c r="C13" s="10" t="n">
        <f aca="false">Options!B33*(1+Inputs!$D$60)^0-Options!B35*(1+Inputs!$D$61)^0</f>
        <v>-10736.8370209197</v>
      </c>
      <c r="D13" s="10" t="n">
        <f aca="false">Options!B33*(1+Inputs!$D$60)^1-Options!B35*(1+Inputs!$D$61)^1</f>
        <v>-10194.3105017565</v>
      </c>
      <c r="E13" s="10" t="n">
        <f aca="false">Options!B33*(1+Inputs!$D$60)^2-Options!B35*(1+Inputs!$D$61)^2</f>
        <v>-9600.92292182673</v>
      </c>
      <c r="F13" s="10" t="n">
        <f aca="false">Options!B33*(1+Inputs!$D$60)^3-Options!B35*(1+Inputs!$D$61)^3</f>
        <v>-8953.76503869981</v>
      </c>
      <c r="G13" s="10" t="n">
        <f aca="false">Options!B33*(1+Inputs!$D$60)^4-Options!B35*(1+Inputs!$D$61)^4</f>
        <v>-8249.78499624781</v>
      </c>
      <c r="H13" s="32" t="n">
        <f aca="false">B13+NPV(Inputs!$D$59,C13:G13)</f>
        <v>-58498.9657043294</v>
      </c>
      <c r="I13" s="35" t="str">
        <f aca="false">IFERROR(IRR(B13:G13),"n/a")</f>
        <v>n/a</v>
      </c>
      <c r="J13" s="36" t="str">
        <f aca="false">IF(C13&gt;0,-B13/C13,"never")</f>
        <v>never</v>
      </c>
    </row>
    <row r="14" customFormat="false" ht="15" hidden="false" customHeight="false" outlineLevel="0" collapsed="false">
      <c r="A14" s="3" t="s">
        <v>17</v>
      </c>
      <c r="B14" s="10" t="n">
        <f aca="false">-Inputs!$D$37</f>
        <v>-15000</v>
      </c>
      <c r="C14" s="10" t="n">
        <f aca="false">Options!B53*(1+Inputs!$D$60)^0-Options!B55*(1+Inputs!$D$61)^0</f>
        <v>-27561.4079015674</v>
      </c>
      <c r="D14" s="10" t="n">
        <f aca="false">Options!B53*(1+Inputs!$D$60)^1-Options!B55*(1+Inputs!$D$61)^1</f>
        <v>-27823.8642176301</v>
      </c>
      <c r="E14" s="10" t="n">
        <f aca="false">Options!B53*(1+Inputs!$D$60)^2-Options!B55*(1+Inputs!$D$61)^2</f>
        <v>-28071.6187863352</v>
      </c>
      <c r="F14" s="10" t="n">
        <f aca="false">Options!B53*(1+Inputs!$D$60)^3-Options!B55*(1+Inputs!$D$61)^3</f>
        <v>-28303.3275377887</v>
      </c>
      <c r="G14" s="10" t="n">
        <f aca="false">Options!B53*(1+Inputs!$D$60)^4-Options!B55*(1+Inputs!$D$61)^4</f>
        <v>-28517.5699593002</v>
      </c>
      <c r="H14" s="32" t="n">
        <f aca="false">B14+NPV(Inputs!$D$59,C14:G14)</f>
        <v>-126870.826714166</v>
      </c>
      <c r="I14" s="35" t="str">
        <f aca="false">IFERROR(IRR(B14:G14),"n/a")</f>
        <v>n/a</v>
      </c>
      <c r="J14" s="36" t="str">
        <f aca="false">IF(C14&gt;0,-B14/C14,"never")</f>
        <v>never</v>
      </c>
    </row>
    <row r="16" customFormat="false" ht="15" hidden="false" customHeight="false" outlineLevel="0" collapsed="false">
      <c r="A16" s="17" t="s">
        <v>271</v>
      </c>
    </row>
    <row r="17" customFormat="false" ht="26.85" hidden="false" customHeight="false" outlineLevel="0" collapsed="false">
      <c r="A17" s="6" t="s">
        <v>260</v>
      </c>
      <c r="B17" s="6" t="s">
        <v>261</v>
      </c>
      <c r="C17" s="6" t="s">
        <v>262</v>
      </c>
      <c r="D17" s="6" t="s">
        <v>263</v>
      </c>
      <c r="E17" s="6" t="s">
        <v>264</v>
      </c>
      <c r="F17" s="6" t="s">
        <v>265</v>
      </c>
      <c r="G17" s="6" t="s">
        <v>266</v>
      </c>
      <c r="H17" s="6" t="s">
        <v>267</v>
      </c>
      <c r="I17" s="6" t="s">
        <v>268</v>
      </c>
      <c r="J17" s="6" t="s">
        <v>269</v>
      </c>
    </row>
    <row r="18" customFormat="false" ht="15" hidden="false" customHeight="false" outlineLevel="0" collapsed="false">
      <c r="A18" s="3" t="s">
        <v>15</v>
      </c>
      <c r="B18" s="10" t="n">
        <f aca="false">-Inputs!$D$35</f>
        <v>-35000</v>
      </c>
      <c r="C18" s="10" t="n">
        <f aca="false">Options!D17*(1+Inputs!$D$60)^0-Options!D19*(1+Inputs!$D$61)^0</f>
        <v>98764.6319400907</v>
      </c>
      <c r="D18" s="10" t="n">
        <f aca="false">Options!D17*(1+Inputs!$D$60)^1-Options!D19*(1+Inputs!$D$61)^1</f>
        <v>103035.217217694</v>
      </c>
      <c r="E18" s="10" t="n">
        <f aca="false">Options!D17*(1+Inputs!$D$60)^2-Options!D19*(1+Inputs!$D$61)^2</f>
        <v>107486.225906402</v>
      </c>
      <c r="F18" s="10" t="n">
        <f aca="false">Options!D17*(1+Inputs!$D$60)^3-Options!D19*(1+Inputs!$D$61)^3</f>
        <v>112125.162942658</v>
      </c>
      <c r="G18" s="10" t="n">
        <f aca="false">Options!D17*(1+Inputs!$D$60)^4-Options!D19*(1+Inputs!$D$61)^4</f>
        <v>116959.842100365</v>
      </c>
      <c r="H18" s="32" t="n">
        <f aca="false">B18+NPV(Inputs!$D$59,C18:G18)</f>
        <v>392127.101720647</v>
      </c>
      <c r="I18" s="35" t="n">
        <f aca="false">IFERROR(IRR(B18:G18),"n/a")</f>
        <v>2.86100941154599</v>
      </c>
      <c r="J18" s="36" t="n">
        <f aca="false">IF(C18&gt;0,-B18/C18,"never")</f>
        <v>0.354377871030092</v>
      </c>
    </row>
    <row r="19" customFormat="false" ht="15" hidden="false" customHeight="false" outlineLevel="0" collapsed="false">
      <c r="A19" s="3" t="s">
        <v>16</v>
      </c>
      <c r="B19" s="10" t="n">
        <f aca="false">-Inputs!$D$36</f>
        <v>-20000</v>
      </c>
      <c r="C19" s="10" t="n">
        <f aca="false">Options!D33*(1+Inputs!$D$60)^0-Options!D35*(1+Inputs!$D$61)^0</f>
        <v>110311.591149793</v>
      </c>
      <c r="D19" s="10" t="n">
        <f aca="false">Options!D33*(1+Inputs!$D$60)^1-Options!D35*(1+Inputs!$D$61)^1</f>
        <v>115696.054795785</v>
      </c>
      <c r="E19" s="10" t="n">
        <f aca="false">Options!D33*(1+Inputs!$D$60)^2-Options!D35*(1+Inputs!$D$61)^2</f>
        <v>121325.056987616</v>
      </c>
      <c r="F19" s="10" t="n">
        <f aca="false">Options!D33*(1+Inputs!$D$60)^3-Options!D35*(1+Inputs!$D$61)^3</f>
        <v>127209.254067121</v>
      </c>
      <c r="G19" s="10" t="n">
        <f aca="false">Options!D33*(1+Inputs!$D$60)^4-Options!D35*(1+Inputs!$D$61)^4</f>
        <v>133359.754873805</v>
      </c>
      <c r="H19" s="32" t="n">
        <f aca="false">B19+NPV(Inputs!$D$59,C19:G19)</f>
        <v>461907.830807256</v>
      </c>
      <c r="I19" s="35" t="n">
        <f aca="false">IFERROR(IRR(B19:G19),"n/a")</f>
        <v>5.56378745613495</v>
      </c>
      <c r="J19" s="36" t="n">
        <f aca="false">IF(C19&gt;0,-B19/C19,"never")</f>
        <v>0.181304609892191</v>
      </c>
    </row>
    <row r="20" customFormat="false" ht="15" hidden="false" customHeight="false" outlineLevel="0" collapsed="false">
      <c r="A20" s="3" t="s">
        <v>17</v>
      </c>
      <c r="B20" s="10" t="n">
        <f aca="false">-Inputs!$D$37</f>
        <v>-15000</v>
      </c>
      <c r="C20" s="10" t="n">
        <f aca="false">Options!D53*(1+Inputs!$D$60)^0-Options!D55*(1+Inputs!$D$61)^0</f>
        <v>42559.2671298187</v>
      </c>
      <c r="D20" s="10" t="n">
        <f aca="false">Options!D53*(1+Inputs!$D$60)^1-Options!D55*(1+Inputs!$D$61)^1</f>
        <v>45101.6378150114</v>
      </c>
      <c r="E20" s="10" t="n">
        <f aca="false">Options!D53*(1+Inputs!$D$60)^2-Options!D55*(1+Inputs!$D$61)^2</f>
        <v>47770.9033276119</v>
      </c>
      <c r="F20" s="10" t="n">
        <f aca="false">Options!D53*(1+Inputs!$D$60)^3-Options!D55*(1+Inputs!$D$61)^3</f>
        <v>50572.8954607164</v>
      </c>
      <c r="G20" s="10" t="n">
        <f aca="false">Options!D53*(1+Inputs!$D$60)^4-Options!D55*(1+Inputs!$D$61)^4</f>
        <v>53513.701959145</v>
      </c>
      <c r="H20" s="32" t="n">
        <f aca="false">B20+NPV(Inputs!$D$59,C20:G20)</f>
        <v>174589.31129647</v>
      </c>
      <c r="I20" s="35" t="n">
        <f aca="false">IFERROR(IRR(B20:G20),"n/a")</f>
        <v>2.89259968141177</v>
      </c>
      <c r="J20" s="36" t="n">
        <f aca="false">IF(C20&gt;0,-B20/C20,"never")</f>
        <v>0.352449678098202</v>
      </c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1"/>
    <col collapsed="false" customWidth="true" hidden="false" outlineLevel="0" max="6" min="6" style="0" width="2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272</v>
      </c>
    </row>
    <row r="2" customFormat="false" ht="27.75" hidden="false" customHeight="true" outlineLevel="0" collapsed="false">
      <c r="A2" s="4" t="s">
        <v>273</v>
      </c>
      <c r="B2" s="4"/>
      <c r="C2" s="4"/>
      <c r="D2" s="4"/>
      <c r="E2" s="4"/>
      <c r="F2" s="4"/>
      <c r="G2" s="4"/>
    </row>
    <row r="4" customFormat="false" ht="15" hidden="false" customHeight="false" outlineLevel="0" collapsed="false">
      <c r="A4" s="6" t="s">
        <v>274</v>
      </c>
      <c r="B4" s="6" t="s">
        <v>275</v>
      </c>
      <c r="C4" s="6" t="s">
        <v>15</v>
      </c>
      <c r="D4" s="6" t="s">
        <v>16</v>
      </c>
      <c r="E4" s="6" t="s">
        <v>17</v>
      </c>
      <c r="F4" s="6" t="s">
        <v>276</v>
      </c>
      <c r="G4" s="6" t="s">
        <v>277</v>
      </c>
    </row>
    <row r="5" customFormat="false" ht="51.75" hidden="false" customHeight="true" outlineLevel="0" collapsed="false">
      <c r="A5" s="4" t="s">
        <v>278</v>
      </c>
      <c r="B5" s="20" t="n">
        <v>0.3</v>
      </c>
      <c r="C5" s="19" t="n">
        <v>4</v>
      </c>
      <c r="D5" s="19" t="n">
        <v>3</v>
      </c>
      <c r="E5" s="19" t="n">
        <v>2</v>
      </c>
      <c r="F5" s="4" t="s">
        <v>279</v>
      </c>
      <c r="G5" s="4" t="s">
        <v>280</v>
      </c>
    </row>
    <row r="6" customFormat="false" ht="51.75" hidden="false" customHeight="true" outlineLevel="0" collapsed="false">
      <c r="A6" s="4" t="s">
        <v>281</v>
      </c>
      <c r="B6" s="20" t="n">
        <v>0.25</v>
      </c>
      <c r="C6" s="19" t="n">
        <v>5</v>
      </c>
      <c r="D6" s="19" t="n">
        <v>3</v>
      </c>
      <c r="E6" s="19" t="n">
        <v>2</v>
      </c>
      <c r="F6" s="4" t="s">
        <v>282</v>
      </c>
      <c r="G6" s="4" t="s">
        <v>283</v>
      </c>
    </row>
    <row r="7" customFormat="false" ht="51.75" hidden="false" customHeight="true" outlineLevel="0" collapsed="false">
      <c r="A7" s="4" t="s">
        <v>284</v>
      </c>
      <c r="B7" s="20" t="n">
        <v>0.2</v>
      </c>
      <c r="C7" s="19" t="n">
        <v>5</v>
      </c>
      <c r="D7" s="19" t="n">
        <v>2</v>
      </c>
      <c r="E7" s="19" t="n">
        <v>2</v>
      </c>
      <c r="F7" s="4" t="s">
        <v>285</v>
      </c>
      <c r="G7" s="4" t="s">
        <v>286</v>
      </c>
    </row>
    <row r="8" customFormat="false" ht="51.75" hidden="false" customHeight="true" outlineLevel="0" collapsed="false">
      <c r="A8" s="4" t="s">
        <v>287</v>
      </c>
      <c r="B8" s="20" t="n">
        <v>0.15</v>
      </c>
      <c r="C8" s="19" t="n">
        <v>4</v>
      </c>
      <c r="D8" s="19" t="n">
        <v>2</v>
      </c>
      <c r="E8" s="19" t="n">
        <v>3</v>
      </c>
      <c r="F8" s="4" t="s">
        <v>288</v>
      </c>
      <c r="G8" s="4" t="s">
        <v>289</v>
      </c>
    </row>
    <row r="9" customFormat="false" ht="51.75" hidden="false" customHeight="true" outlineLevel="0" collapsed="false">
      <c r="A9" s="4" t="s">
        <v>290</v>
      </c>
      <c r="B9" s="20" t="n">
        <v>0.1</v>
      </c>
      <c r="C9" s="19" t="n">
        <v>3</v>
      </c>
      <c r="D9" s="19" t="n">
        <v>4</v>
      </c>
      <c r="E9" s="19" t="n">
        <v>5</v>
      </c>
      <c r="F9" s="4" t="s">
        <v>291</v>
      </c>
      <c r="G9" s="4" t="s">
        <v>292</v>
      </c>
    </row>
    <row r="10" customFormat="false" ht="15" hidden="false" customHeight="false" outlineLevel="0" collapsed="false">
      <c r="A10" s="11" t="s">
        <v>293</v>
      </c>
      <c r="B10" s="37" t="n">
        <f aca="false">SUM(B5:B9)</f>
        <v>1</v>
      </c>
      <c r="C10" s="38" t="n">
        <f aca="false">SUMPRODUCT($B$5:$B$9,C5:C9)</f>
        <v>4.35</v>
      </c>
      <c r="D10" s="38" t="n">
        <f aca="false">SUMPRODUCT($B$5:$B$9,D5:D9)</f>
        <v>2.75</v>
      </c>
      <c r="E10" s="38" t="n">
        <f aca="false">SUMPRODUCT($B$5:$B$9,E5:E9)</f>
        <v>2.45</v>
      </c>
    </row>
    <row r="11" customFormat="false" ht="15" hidden="false" customHeight="false" outlineLevel="0" collapsed="false">
      <c r="A11" s="3" t="s">
        <v>294</v>
      </c>
      <c r="C11" s="7" t="n">
        <f aca="false">RANK(C10,$C$10:$E$10)</f>
        <v>1</v>
      </c>
      <c r="D11" s="7" t="n">
        <f aca="false">RANK(D10,$C$10:$E$10)</f>
        <v>2</v>
      </c>
      <c r="E11" s="7" t="n">
        <f aca="false">RANK(E10,$C$10:$E$10)</f>
        <v>3</v>
      </c>
    </row>
    <row r="12" customFormat="false" ht="15" hidden="false" customHeight="false" outlineLevel="0" collapsed="false">
      <c r="A12" s="7" t="s">
        <v>295</v>
      </c>
      <c r="B12" s="7" t="str">
        <f aca="false">IF(ABS(B10-1)&lt;0.001,"OK","ERROR")</f>
        <v>OK</v>
      </c>
    </row>
    <row r="14" customFormat="false" ht="15" hidden="false" customHeight="false" outlineLevel="0" collapsed="false">
      <c r="A14" s="17" t="s">
        <v>296</v>
      </c>
    </row>
    <row r="15" customFormat="false" ht="26.85" hidden="false" customHeight="false" outlineLevel="0" collapsed="false">
      <c r="A15" s="6" t="s">
        <v>297</v>
      </c>
      <c r="B15" s="6" t="s">
        <v>279</v>
      </c>
      <c r="C15" s="6" t="s">
        <v>298</v>
      </c>
      <c r="D15" s="6" t="s">
        <v>299</v>
      </c>
      <c r="E15" s="6" t="s">
        <v>300</v>
      </c>
      <c r="F15" s="6" t="s">
        <v>301</v>
      </c>
      <c r="G15" s="6" t="s">
        <v>302</v>
      </c>
      <c r="H15" s="6" t="s">
        <v>303</v>
      </c>
      <c r="I15" s="6" t="s">
        <v>304</v>
      </c>
      <c r="J15" s="6" t="s">
        <v>305</v>
      </c>
    </row>
    <row r="16" customFormat="false" ht="15" hidden="false" customHeight="false" outlineLevel="0" collapsed="false">
      <c r="A16" s="7" t="s">
        <v>306</v>
      </c>
      <c r="B16" s="20" t="n">
        <v>0.3</v>
      </c>
      <c r="C16" s="20" t="n">
        <v>0.25</v>
      </c>
      <c r="D16" s="20" t="n">
        <v>0.2</v>
      </c>
      <c r="E16" s="20" t="n">
        <v>0.15</v>
      </c>
      <c r="F16" s="20" t="n">
        <v>0.1</v>
      </c>
      <c r="G16" s="39" t="n">
        <f aca="false">SUMPRODUCT(B16:F16,TRANSPOSE(C$5:C$9))</f>
        <v>4.35</v>
      </c>
      <c r="H16" s="39" t="n">
        <f aca="false">SUMPRODUCT(B16:F16,TRANSPOSE(D$5:D$9))</f>
        <v>2.75</v>
      </c>
      <c r="I16" s="39" t="n">
        <f aca="false">SUMPRODUCT(B16:F16,TRANSPOSE(E$5:E$9))</f>
        <v>2.45</v>
      </c>
      <c r="J16" s="11" t="str">
        <f aca="false">INDEX({"A","B","C"},MATCH(MAX(G16:I16),G16:I16,0))</f>
        <v>A</v>
      </c>
    </row>
    <row r="17" customFormat="false" ht="15" hidden="false" customHeight="false" outlineLevel="0" collapsed="false">
      <c r="A17" s="7" t="s">
        <v>307</v>
      </c>
      <c r="B17" s="20" t="n">
        <v>0.5</v>
      </c>
      <c r="C17" s="20" t="n">
        <v>0.15</v>
      </c>
      <c r="D17" s="20" t="n">
        <v>0.15</v>
      </c>
      <c r="E17" s="20" t="n">
        <v>0.1</v>
      </c>
      <c r="F17" s="20" t="n">
        <v>0.1</v>
      </c>
      <c r="G17" s="39" t="n">
        <f aca="false">SUMPRODUCT(B17:F17,TRANSPOSE(C$5:C$9))</f>
        <v>4.2</v>
      </c>
      <c r="H17" s="39" t="n">
        <f aca="false">SUMPRODUCT(B17:F17,TRANSPOSE(D$5:D$9))</f>
        <v>2.85</v>
      </c>
      <c r="I17" s="39" t="n">
        <f aca="false">SUMPRODUCT(B17:F17,TRANSPOSE(E$5:E$9))</f>
        <v>2.4</v>
      </c>
      <c r="J17" s="11" t="str">
        <f aca="false">INDEX({"A","B","C"},MATCH(MAX(G17:I17),G17:I17,0))</f>
        <v>A</v>
      </c>
    </row>
    <row r="18" customFormat="false" ht="15" hidden="false" customHeight="false" outlineLevel="0" collapsed="false">
      <c r="A18" s="7" t="s">
        <v>308</v>
      </c>
      <c r="B18" s="20" t="n">
        <v>0.2</v>
      </c>
      <c r="C18" s="20" t="n">
        <v>0.15</v>
      </c>
      <c r="D18" s="20" t="n">
        <v>0.15</v>
      </c>
      <c r="E18" s="20" t="n">
        <v>0.1</v>
      </c>
      <c r="F18" s="20" t="n">
        <v>0.4</v>
      </c>
      <c r="G18" s="39" t="n">
        <f aca="false">SUMPRODUCT(B18:F18,TRANSPOSE(C$5:C$9))</f>
        <v>3.9</v>
      </c>
      <c r="H18" s="39" t="n">
        <f aca="false">SUMPRODUCT(B18:F18,TRANSPOSE(D$5:D$9))</f>
        <v>3.15</v>
      </c>
      <c r="I18" s="39" t="n">
        <f aca="false">SUMPRODUCT(B18:F18,TRANSPOSE(E$5:E$9))</f>
        <v>3.3</v>
      </c>
      <c r="J18" s="11" t="str">
        <f aca="false">INDEX({"A","B","C"},MATCH(MAX(G18:I18),G18:I18,0))</f>
        <v>A</v>
      </c>
    </row>
    <row r="19" customFormat="false" ht="15" hidden="false" customHeight="false" outlineLevel="0" collapsed="false">
      <c r="A19" s="7" t="s">
        <v>309</v>
      </c>
      <c r="B19" s="20" t="n">
        <v>0.15</v>
      </c>
      <c r="C19" s="20" t="n">
        <v>0.45</v>
      </c>
      <c r="D19" s="20" t="n">
        <v>0.2</v>
      </c>
      <c r="E19" s="20" t="n">
        <v>0.15</v>
      </c>
      <c r="F19" s="20" t="n">
        <v>0.05</v>
      </c>
      <c r="G19" s="39" t="n">
        <f aca="false">SUMPRODUCT(B19:F19,TRANSPOSE(C$5:C$9))</f>
        <v>4.6</v>
      </c>
      <c r="H19" s="39" t="n">
        <f aca="false">SUMPRODUCT(B19:F19,TRANSPOSE(D$5:D$9))</f>
        <v>2.7</v>
      </c>
      <c r="I19" s="39" t="n">
        <f aca="false">SUMPRODUCT(B19:F19,TRANSPOSE(E$5:E$9))</f>
        <v>2.3</v>
      </c>
      <c r="J19" s="11" t="str">
        <f aca="false">INDEX({"A","B","C"},MATCH(MAX(G19:I19),G19:I19,0))</f>
        <v>A</v>
      </c>
    </row>
    <row r="20" customFormat="false" ht="15" hidden="false" customHeight="false" outlineLevel="0" collapsed="false">
      <c r="A20" s="7" t="s">
        <v>310</v>
      </c>
      <c r="B20" s="20" t="n">
        <v>0.2</v>
      </c>
      <c r="C20" s="20" t="n">
        <v>0.2</v>
      </c>
      <c r="D20" s="20" t="n">
        <v>0.4</v>
      </c>
      <c r="E20" s="20" t="n">
        <v>0.15</v>
      </c>
      <c r="F20" s="20" t="n">
        <v>0.05</v>
      </c>
      <c r="G20" s="39" t="n">
        <f aca="false">SUMPRODUCT(B20:F20,TRANSPOSE(C$5:C$9))</f>
        <v>4.55</v>
      </c>
      <c r="H20" s="39" t="n">
        <f aca="false">SUMPRODUCT(B20:F20,TRANSPOSE(D$5:D$9))</f>
        <v>2.5</v>
      </c>
      <c r="I20" s="39" t="n">
        <f aca="false">SUMPRODUCT(B20:F20,TRANSPOSE(E$5:E$9))</f>
        <v>2.3</v>
      </c>
      <c r="J20" s="11" t="str">
        <f aca="false">INDEX({"A","B","C"},MATCH(MAX(G20:I20),G20:I20,0))</f>
        <v>A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2026-09-24T20:16:14Z</dcterms:created>
  <dc:creator>openpyxl</dc:creator>
  <dc:description/>
  <dc:language>en-US</dc:language>
  <cp:lastModifiedBy/>
  <dcterms:modified xsi:type="dcterms:W3CDTF">2026-09-24T20:16:15Z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