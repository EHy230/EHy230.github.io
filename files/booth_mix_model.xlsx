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cdon\Downloads\Case n' portfolio\"/>
    </mc:Choice>
  </mc:AlternateContent>
  <xr:revisionPtr revIDLastSave="0" documentId="13_ncr:1_{3E9CAD15-0A59-49B2-A3FF-FD720CAB2D13}" xr6:coauthVersionLast="47" xr6:coauthVersionMax="47" xr10:uidLastSave="{00000000-0000-0000-0000-000000000000}"/>
  <bookViews>
    <workbookView xWindow="-120" yWindow="-120" windowWidth="29040" windowHeight="15720" tabRatio="500" activeTab="5" xr2:uid="{00000000-000D-0000-FFFF-FFFF00000000}"/>
  </bookViews>
  <sheets>
    <sheet name="README" sheetId="1" r:id="rId1"/>
    <sheet name="Summary" sheetId="2" r:id="rId2"/>
    <sheet name="Inputs" sheetId="3" r:id="rId3"/>
    <sheet name="Demand" sheetId="4" r:id="rId4"/>
    <sheet name="Optimizer" sheetId="5" r:id="rId5"/>
    <sheet name="Recommendation"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 i="6" l="1"/>
  <c r="C10" i="4"/>
  <c r="C8" i="4"/>
  <c r="C5" i="4"/>
  <c r="D44" i="6"/>
  <c r="D43" i="6"/>
  <c r="D42" i="6"/>
  <c r="H28" i="6"/>
  <c r="G28" i="6"/>
  <c r="F28" i="6"/>
  <c r="E28" i="6"/>
  <c r="L28" i="6" s="1"/>
  <c r="E19" i="2" s="1"/>
  <c r="H27" i="6"/>
  <c r="G27" i="6"/>
  <c r="F27" i="6"/>
  <c r="E27" i="6"/>
  <c r="L27" i="6" s="1"/>
  <c r="E18" i="2" s="1"/>
  <c r="H26" i="6"/>
  <c r="G26" i="6"/>
  <c r="F26" i="6"/>
  <c r="E26" i="6"/>
  <c r="L26" i="6" s="1"/>
  <c r="E17" i="2" s="1"/>
  <c r="C10" i="6"/>
  <c r="C9" i="6"/>
  <c r="C8" i="6"/>
  <c r="G946" i="5"/>
  <c r="F946" i="5"/>
  <c r="C946" i="5"/>
  <c r="G945" i="5"/>
  <c r="F945" i="5"/>
  <c r="C945" i="5"/>
  <c r="H944" i="5"/>
  <c r="I944" i="5" s="1"/>
  <c r="G944" i="5"/>
  <c r="F944" i="5"/>
  <c r="C944" i="5"/>
  <c r="G943" i="5"/>
  <c r="F943" i="5"/>
  <c r="C943" i="5"/>
  <c r="G942" i="5"/>
  <c r="F942" i="5"/>
  <c r="C942" i="5"/>
  <c r="G941" i="5"/>
  <c r="F941" i="5"/>
  <c r="C941" i="5"/>
  <c r="G940" i="5"/>
  <c r="F940" i="5"/>
  <c r="C940" i="5"/>
  <c r="G939" i="5"/>
  <c r="F939" i="5"/>
  <c r="C939" i="5"/>
  <c r="G938" i="5"/>
  <c r="F938" i="5"/>
  <c r="C938" i="5"/>
  <c r="G937" i="5"/>
  <c r="F937" i="5"/>
  <c r="C937" i="5"/>
  <c r="G936" i="5"/>
  <c r="F936" i="5"/>
  <c r="C936" i="5"/>
  <c r="G935" i="5"/>
  <c r="F935" i="5"/>
  <c r="C935" i="5"/>
  <c r="G934" i="5"/>
  <c r="F934" i="5"/>
  <c r="C934" i="5"/>
  <c r="G933" i="5"/>
  <c r="F933" i="5"/>
  <c r="C933" i="5"/>
  <c r="G932" i="5"/>
  <c r="F932" i="5"/>
  <c r="C932" i="5"/>
  <c r="G931" i="5"/>
  <c r="F931" i="5"/>
  <c r="C931" i="5"/>
  <c r="G930" i="5"/>
  <c r="F930" i="5"/>
  <c r="C930" i="5"/>
  <c r="G929" i="5"/>
  <c r="F929" i="5"/>
  <c r="C929" i="5"/>
  <c r="G928" i="5"/>
  <c r="F928" i="5"/>
  <c r="C928" i="5"/>
  <c r="G927" i="5"/>
  <c r="F927" i="5"/>
  <c r="C927" i="5"/>
  <c r="G926" i="5"/>
  <c r="F926" i="5"/>
  <c r="C926" i="5"/>
  <c r="G925" i="5"/>
  <c r="F925" i="5"/>
  <c r="C925" i="5"/>
  <c r="G924" i="5"/>
  <c r="F924" i="5"/>
  <c r="C924" i="5"/>
  <c r="G923" i="5"/>
  <c r="F923" i="5"/>
  <c r="C923" i="5"/>
  <c r="G922" i="5"/>
  <c r="F922" i="5"/>
  <c r="C922" i="5"/>
  <c r="G921" i="5"/>
  <c r="F921" i="5"/>
  <c r="C921" i="5"/>
  <c r="G920" i="5"/>
  <c r="F920" i="5"/>
  <c r="C920" i="5"/>
  <c r="G919" i="5"/>
  <c r="F919" i="5"/>
  <c r="C919" i="5"/>
  <c r="G918" i="5"/>
  <c r="F918" i="5"/>
  <c r="C918" i="5"/>
  <c r="G917" i="5"/>
  <c r="F917" i="5"/>
  <c r="C917" i="5"/>
  <c r="G916" i="5"/>
  <c r="F916" i="5"/>
  <c r="C916" i="5"/>
  <c r="G915" i="5"/>
  <c r="F915" i="5"/>
  <c r="C915" i="5"/>
  <c r="G914" i="5"/>
  <c r="F914" i="5"/>
  <c r="C914" i="5"/>
  <c r="G913" i="5"/>
  <c r="F913" i="5"/>
  <c r="C913" i="5"/>
  <c r="G912" i="5"/>
  <c r="F912" i="5"/>
  <c r="C912" i="5"/>
  <c r="G911" i="5"/>
  <c r="F911" i="5"/>
  <c r="C911" i="5"/>
  <c r="G910" i="5"/>
  <c r="F910" i="5"/>
  <c r="C910" i="5"/>
  <c r="G909" i="5"/>
  <c r="F909" i="5"/>
  <c r="C909" i="5"/>
  <c r="G908" i="5"/>
  <c r="F908" i="5"/>
  <c r="C908" i="5"/>
  <c r="H907" i="5"/>
  <c r="I907" i="5" s="1"/>
  <c r="G907" i="5"/>
  <c r="F907" i="5"/>
  <c r="C907" i="5"/>
  <c r="G906" i="5"/>
  <c r="F906" i="5"/>
  <c r="C906" i="5"/>
  <c r="G905" i="5"/>
  <c r="F905" i="5"/>
  <c r="C905" i="5"/>
  <c r="G904" i="5"/>
  <c r="F904" i="5"/>
  <c r="C904" i="5"/>
  <c r="G903" i="5"/>
  <c r="F903" i="5"/>
  <c r="C903" i="5"/>
  <c r="G902" i="5"/>
  <c r="F902" i="5"/>
  <c r="C902" i="5"/>
  <c r="G901" i="5"/>
  <c r="F901" i="5"/>
  <c r="C901" i="5"/>
  <c r="G900" i="5"/>
  <c r="F900" i="5"/>
  <c r="C900" i="5"/>
  <c r="G899" i="5"/>
  <c r="F899" i="5"/>
  <c r="C899" i="5"/>
  <c r="G898" i="5"/>
  <c r="F898" i="5"/>
  <c r="C898" i="5"/>
  <c r="G897" i="5"/>
  <c r="F897" i="5"/>
  <c r="C897" i="5"/>
  <c r="G896" i="5"/>
  <c r="F896" i="5"/>
  <c r="C896" i="5"/>
  <c r="G895" i="5"/>
  <c r="F895" i="5"/>
  <c r="C895" i="5"/>
  <c r="G894" i="5"/>
  <c r="F894" i="5"/>
  <c r="C894" i="5"/>
  <c r="G893" i="5"/>
  <c r="F893" i="5"/>
  <c r="C893" i="5"/>
  <c r="G892" i="5"/>
  <c r="F892" i="5"/>
  <c r="C892" i="5"/>
  <c r="G891" i="5"/>
  <c r="F891" i="5"/>
  <c r="C891" i="5"/>
  <c r="G890" i="5"/>
  <c r="F890" i="5"/>
  <c r="C890" i="5"/>
  <c r="G889" i="5"/>
  <c r="F889" i="5"/>
  <c r="C889" i="5"/>
  <c r="G888" i="5"/>
  <c r="F888" i="5"/>
  <c r="C888" i="5"/>
  <c r="G887" i="5"/>
  <c r="F887" i="5"/>
  <c r="C887" i="5"/>
  <c r="G886" i="5"/>
  <c r="F886" i="5"/>
  <c r="C886" i="5"/>
  <c r="G885" i="5"/>
  <c r="F885" i="5"/>
  <c r="C885" i="5"/>
  <c r="G884" i="5"/>
  <c r="F884" i="5"/>
  <c r="C884" i="5"/>
  <c r="G883" i="5"/>
  <c r="F883" i="5"/>
  <c r="C883" i="5"/>
  <c r="G882" i="5"/>
  <c r="F882" i="5"/>
  <c r="C882" i="5"/>
  <c r="G881" i="5"/>
  <c r="F881" i="5"/>
  <c r="C881" i="5"/>
  <c r="G880" i="5"/>
  <c r="F880" i="5"/>
  <c r="C880" i="5"/>
  <c r="G879" i="5"/>
  <c r="F879" i="5"/>
  <c r="C879" i="5"/>
  <c r="G878" i="5"/>
  <c r="F878" i="5"/>
  <c r="C878" i="5"/>
  <c r="G877" i="5"/>
  <c r="F877" i="5"/>
  <c r="C877" i="5"/>
  <c r="G876" i="5"/>
  <c r="F876" i="5"/>
  <c r="C876" i="5"/>
  <c r="G875" i="5"/>
  <c r="F875" i="5"/>
  <c r="C875" i="5"/>
  <c r="G874" i="5"/>
  <c r="F874" i="5"/>
  <c r="C874" i="5"/>
  <c r="G873" i="5"/>
  <c r="F873" i="5"/>
  <c r="C873" i="5"/>
  <c r="G872" i="5"/>
  <c r="F872" i="5"/>
  <c r="C872" i="5"/>
  <c r="G871" i="5"/>
  <c r="F871" i="5"/>
  <c r="C871" i="5"/>
  <c r="G870" i="5"/>
  <c r="F870" i="5"/>
  <c r="C870" i="5"/>
  <c r="G869" i="5"/>
  <c r="F869" i="5"/>
  <c r="C869" i="5"/>
  <c r="G868" i="5"/>
  <c r="F868" i="5"/>
  <c r="C868" i="5"/>
  <c r="G867" i="5"/>
  <c r="F867" i="5"/>
  <c r="C867" i="5"/>
  <c r="G866" i="5"/>
  <c r="F866" i="5"/>
  <c r="C866" i="5"/>
  <c r="G865" i="5"/>
  <c r="F865" i="5"/>
  <c r="C865" i="5"/>
  <c r="G864" i="5"/>
  <c r="F864" i="5"/>
  <c r="C864" i="5"/>
  <c r="G863" i="5"/>
  <c r="F863" i="5"/>
  <c r="C863" i="5"/>
  <c r="G862" i="5"/>
  <c r="F862" i="5"/>
  <c r="C862" i="5"/>
  <c r="G861" i="5"/>
  <c r="F861" i="5"/>
  <c r="C861" i="5"/>
  <c r="G860" i="5"/>
  <c r="F860" i="5"/>
  <c r="C860" i="5"/>
  <c r="G859" i="5"/>
  <c r="F859" i="5"/>
  <c r="C859" i="5"/>
  <c r="G858" i="5"/>
  <c r="F858" i="5"/>
  <c r="C858" i="5"/>
  <c r="G857" i="5"/>
  <c r="F857" i="5"/>
  <c r="C857" i="5"/>
  <c r="G856" i="5"/>
  <c r="F856" i="5"/>
  <c r="C856" i="5"/>
  <c r="G855" i="5"/>
  <c r="F855" i="5"/>
  <c r="C855" i="5"/>
  <c r="G854" i="5"/>
  <c r="F854" i="5"/>
  <c r="C854" i="5"/>
  <c r="G853" i="5"/>
  <c r="F853" i="5"/>
  <c r="C853" i="5"/>
  <c r="G852" i="5"/>
  <c r="F852" i="5"/>
  <c r="C852" i="5"/>
  <c r="G851" i="5"/>
  <c r="F851" i="5"/>
  <c r="C851" i="5"/>
  <c r="G850" i="5"/>
  <c r="F850" i="5"/>
  <c r="C850" i="5"/>
  <c r="G849" i="5"/>
  <c r="F849" i="5"/>
  <c r="C849" i="5"/>
  <c r="G848" i="5"/>
  <c r="F848" i="5"/>
  <c r="C848" i="5"/>
  <c r="G847" i="5"/>
  <c r="F847" i="5"/>
  <c r="C847" i="5"/>
  <c r="G846" i="5"/>
  <c r="F846" i="5"/>
  <c r="C846" i="5"/>
  <c r="G845" i="5"/>
  <c r="F845" i="5"/>
  <c r="C845" i="5"/>
  <c r="G844" i="5"/>
  <c r="F844" i="5"/>
  <c r="C844" i="5"/>
  <c r="G843" i="5"/>
  <c r="F843" i="5"/>
  <c r="C843" i="5"/>
  <c r="G842" i="5"/>
  <c r="F842" i="5"/>
  <c r="C842" i="5"/>
  <c r="G841" i="5"/>
  <c r="F841" i="5"/>
  <c r="C841" i="5"/>
  <c r="G840" i="5"/>
  <c r="F840" i="5"/>
  <c r="C840" i="5"/>
  <c r="G839" i="5"/>
  <c r="F839" i="5"/>
  <c r="C839" i="5"/>
  <c r="G838" i="5"/>
  <c r="F838" i="5"/>
  <c r="C838" i="5"/>
  <c r="G837" i="5"/>
  <c r="F837" i="5"/>
  <c r="C837" i="5"/>
  <c r="G836" i="5"/>
  <c r="F836" i="5"/>
  <c r="C836" i="5"/>
  <c r="G835" i="5"/>
  <c r="F835" i="5"/>
  <c r="C835" i="5"/>
  <c r="G834" i="5"/>
  <c r="F834" i="5"/>
  <c r="C834" i="5"/>
  <c r="G833" i="5"/>
  <c r="F833" i="5"/>
  <c r="C833" i="5"/>
  <c r="V832" i="5"/>
  <c r="W832" i="5" s="1"/>
  <c r="X832" i="5" s="1"/>
  <c r="Y832" i="5" s="1"/>
  <c r="Z832" i="5" s="1"/>
  <c r="AA832" i="5" s="1"/>
  <c r="AB832" i="5" s="1"/>
  <c r="G832" i="5"/>
  <c r="F832" i="5"/>
  <c r="C832" i="5"/>
  <c r="G831" i="5"/>
  <c r="F831" i="5"/>
  <c r="C831" i="5"/>
  <c r="G830" i="5"/>
  <c r="F830" i="5"/>
  <c r="C830" i="5"/>
  <c r="G829" i="5"/>
  <c r="F829" i="5"/>
  <c r="C829" i="5"/>
  <c r="G828" i="5"/>
  <c r="F828" i="5"/>
  <c r="C828" i="5"/>
  <c r="G827" i="5"/>
  <c r="F827" i="5"/>
  <c r="C827" i="5"/>
  <c r="G826" i="5"/>
  <c r="F826" i="5"/>
  <c r="C826" i="5"/>
  <c r="G825" i="5"/>
  <c r="F825" i="5"/>
  <c r="C825" i="5"/>
  <c r="G824" i="5"/>
  <c r="F824" i="5"/>
  <c r="C824" i="5"/>
  <c r="G823" i="5"/>
  <c r="F823" i="5"/>
  <c r="C823" i="5"/>
  <c r="G822" i="5"/>
  <c r="F822" i="5"/>
  <c r="C822" i="5"/>
  <c r="G821" i="5"/>
  <c r="F821" i="5"/>
  <c r="C821" i="5"/>
  <c r="G820" i="5"/>
  <c r="F820" i="5"/>
  <c r="C820" i="5"/>
  <c r="G819" i="5"/>
  <c r="F819" i="5"/>
  <c r="C819" i="5"/>
  <c r="G818" i="5"/>
  <c r="F818" i="5"/>
  <c r="C818" i="5"/>
  <c r="G817" i="5"/>
  <c r="F817" i="5"/>
  <c r="C817" i="5"/>
  <c r="G816" i="5"/>
  <c r="F816" i="5"/>
  <c r="C816" i="5"/>
  <c r="G815" i="5"/>
  <c r="F815" i="5"/>
  <c r="C815" i="5"/>
  <c r="G814" i="5"/>
  <c r="F814" i="5"/>
  <c r="C814" i="5"/>
  <c r="G813" i="5"/>
  <c r="F813" i="5"/>
  <c r="C813" i="5"/>
  <c r="G812" i="5"/>
  <c r="F812" i="5"/>
  <c r="C812" i="5"/>
  <c r="G811" i="5"/>
  <c r="F811" i="5"/>
  <c r="C811" i="5"/>
  <c r="G810" i="5"/>
  <c r="F810" i="5"/>
  <c r="C810" i="5"/>
  <c r="G809" i="5"/>
  <c r="F809" i="5"/>
  <c r="C809" i="5"/>
  <c r="G808" i="5"/>
  <c r="F808" i="5"/>
  <c r="C808" i="5"/>
  <c r="G807" i="5"/>
  <c r="F807" i="5"/>
  <c r="C807" i="5"/>
  <c r="G806" i="5"/>
  <c r="F806" i="5"/>
  <c r="C806" i="5"/>
  <c r="G805" i="5"/>
  <c r="F805" i="5"/>
  <c r="C805" i="5"/>
  <c r="G804" i="5"/>
  <c r="F804" i="5"/>
  <c r="C804" i="5"/>
  <c r="G803" i="5"/>
  <c r="F803" i="5"/>
  <c r="C803" i="5"/>
  <c r="G802" i="5"/>
  <c r="F802" i="5"/>
  <c r="C802" i="5"/>
  <c r="G801" i="5"/>
  <c r="F801" i="5"/>
  <c r="C801" i="5"/>
  <c r="G800" i="5"/>
  <c r="F800" i="5"/>
  <c r="C800" i="5"/>
  <c r="G799" i="5"/>
  <c r="F799" i="5"/>
  <c r="C799" i="5"/>
  <c r="G798" i="5"/>
  <c r="F798" i="5"/>
  <c r="C798" i="5"/>
  <c r="G797" i="5"/>
  <c r="F797" i="5"/>
  <c r="C797" i="5"/>
  <c r="G796" i="5"/>
  <c r="F796" i="5"/>
  <c r="C796" i="5"/>
  <c r="G795" i="5"/>
  <c r="F795" i="5"/>
  <c r="C795" i="5"/>
  <c r="G794" i="5"/>
  <c r="F794" i="5"/>
  <c r="C794" i="5"/>
  <c r="G793" i="5"/>
  <c r="F793" i="5"/>
  <c r="C793" i="5"/>
  <c r="G792" i="5"/>
  <c r="F792" i="5"/>
  <c r="C792" i="5"/>
  <c r="G791" i="5"/>
  <c r="F791" i="5"/>
  <c r="C791" i="5"/>
  <c r="G790" i="5"/>
  <c r="F790" i="5"/>
  <c r="C790" i="5"/>
  <c r="G789" i="5"/>
  <c r="F789" i="5"/>
  <c r="C789" i="5"/>
  <c r="G788" i="5"/>
  <c r="F788" i="5"/>
  <c r="C788" i="5"/>
  <c r="G787" i="5"/>
  <c r="F787" i="5"/>
  <c r="C787" i="5"/>
  <c r="G786" i="5"/>
  <c r="F786" i="5"/>
  <c r="C786" i="5"/>
  <c r="G785" i="5"/>
  <c r="F785" i="5"/>
  <c r="C785" i="5"/>
  <c r="G784" i="5"/>
  <c r="F784" i="5"/>
  <c r="C784" i="5"/>
  <c r="G783" i="5"/>
  <c r="F783" i="5"/>
  <c r="C783" i="5"/>
  <c r="G782" i="5"/>
  <c r="F782" i="5"/>
  <c r="C782" i="5"/>
  <c r="G781" i="5"/>
  <c r="F781" i="5"/>
  <c r="C781" i="5"/>
  <c r="G780" i="5"/>
  <c r="F780" i="5"/>
  <c r="C780" i="5"/>
  <c r="G779" i="5"/>
  <c r="F779" i="5"/>
  <c r="C779" i="5"/>
  <c r="G778" i="5"/>
  <c r="F778" i="5"/>
  <c r="C778" i="5"/>
  <c r="G777" i="5"/>
  <c r="F777" i="5"/>
  <c r="C777" i="5"/>
  <c r="G776" i="5"/>
  <c r="F776" i="5"/>
  <c r="C776" i="5"/>
  <c r="G775" i="5"/>
  <c r="F775" i="5"/>
  <c r="C775" i="5"/>
  <c r="G774" i="5"/>
  <c r="F774" i="5"/>
  <c r="C774" i="5"/>
  <c r="G773" i="5"/>
  <c r="F773" i="5"/>
  <c r="C773" i="5"/>
  <c r="G772" i="5"/>
  <c r="F772" i="5"/>
  <c r="C772" i="5"/>
  <c r="G771" i="5"/>
  <c r="F771" i="5"/>
  <c r="C771" i="5"/>
  <c r="G770" i="5"/>
  <c r="F770" i="5"/>
  <c r="C770" i="5"/>
  <c r="G769" i="5"/>
  <c r="F769" i="5"/>
  <c r="C769" i="5"/>
  <c r="G768" i="5"/>
  <c r="F768" i="5"/>
  <c r="C768" i="5"/>
  <c r="G767" i="5"/>
  <c r="F767" i="5"/>
  <c r="C767" i="5"/>
  <c r="G766" i="5"/>
  <c r="F766" i="5"/>
  <c r="C766" i="5"/>
  <c r="G765" i="5"/>
  <c r="F765" i="5"/>
  <c r="C765" i="5"/>
  <c r="G764" i="5"/>
  <c r="F764" i="5"/>
  <c r="C764" i="5"/>
  <c r="G763" i="5"/>
  <c r="F763" i="5"/>
  <c r="C763" i="5"/>
  <c r="G762" i="5"/>
  <c r="F762" i="5"/>
  <c r="C762" i="5"/>
  <c r="G761" i="5"/>
  <c r="F761" i="5"/>
  <c r="C761" i="5"/>
  <c r="G760" i="5"/>
  <c r="F760" i="5"/>
  <c r="C760" i="5"/>
  <c r="G759" i="5"/>
  <c r="F759" i="5"/>
  <c r="C759" i="5"/>
  <c r="G758" i="5"/>
  <c r="F758" i="5"/>
  <c r="C758" i="5"/>
  <c r="G757" i="5"/>
  <c r="F757" i="5"/>
  <c r="C757" i="5"/>
  <c r="G756" i="5"/>
  <c r="F756" i="5"/>
  <c r="C756" i="5"/>
  <c r="G755" i="5"/>
  <c r="F755" i="5"/>
  <c r="C755" i="5"/>
  <c r="G754" i="5"/>
  <c r="F754" i="5"/>
  <c r="C754" i="5"/>
  <c r="G753" i="5"/>
  <c r="F753" i="5"/>
  <c r="C753" i="5"/>
  <c r="G752" i="5"/>
  <c r="F752" i="5"/>
  <c r="C752" i="5"/>
  <c r="G751" i="5"/>
  <c r="F751" i="5"/>
  <c r="C751" i="5"/>
  <c r="G750" i="5"/>
  <c r="F750" i="5"/>
  <c r="C750" i="5"/>
  <c r="G749" i="5"/>
  <c r="F749" i="5"/>
  <c r="C749" i="5"/>
  <c r="G748" i="5"/>
  <c r="F748" i="5"/>
  <c r="C748" i="5"/>
  <c r="G747" i="5"/>
  <c r="F747" i="5"/>
  <c r="C747" i="5"/>
  <c r="G746" i="5"/>
  <c r="F746" i="5"/>
  <c r="C746" i="5"/>
  <c r="G745" i="5"/>
  <c r="F745" i="5"/>
  <c r="C745" i="5"/>
  <c r="G744" i="5"/>
  <c r="F744" i="5"/>
  <c r="C744" i="5"/>
  <c r="G743" i="5"/>
  <c r="F743" i="5"/>
  <c r="C743" i="5"/>
  <c r="G742" i="5"/>
  <c r="F742" i="5"/>
  <c r="C742" i="5"/>
  <c r="G741" i="5"/>
  <c r="F741" i="5"/>
  <c r="C741" i="5"/>
  <c r="G740" i="5"/>
  <c r="F740" i="5"/>
  <c r="C740" i="5"/>
  <c r="G739" i="5"/>
  <c r="F739" i="5"/>
  <c r="C739" i="5"/>
  <c r="G738" i="5"/>
  <c r="F738" i="5"/>
  <c r="C738" i="5"/>
  <c r="G737" i="5"/>
  <c r="F737" i="5"/>
  <c r="C737" i="5"/>
  <c r="G736" i="5"/>
  <c r="F736" i="5"/>
  <c r="C736" i="5"/>
  <c r="G735" i="5"/>
  <c r="F735" i="5"/>
  <c r="C735" i="5"/>
  <c r="G734" i="5"/>
  <c r="F734" i="5"/>
  <c r="C734" i="5"/>
  <c r="G733" i="5"/>
  <c r="F733" i="5"/>
  <c r="C733" i="5"/>
  <c r="G732" i="5"/>
  <c r="F732" i="5"/>
  <c r="C732" i="5"/>
  <c r="G731" i="5"/>
  <c r="F731" i="5"/>
  <c r="C731" i="5"/>
  <c r="G730" i="5"/>
  <c r="F730" i="5"/>
  <c r="C730" i="5"/>
  <c r="G729" i="5"/>
  <c r="F729" i="5"/>
  <c r="C729" i="5"/>
  <c r="G728" i="5"/>
  <c r="F728" i="5"/>
  <c r="C728" i="5"/>
  <c r="G727" i="5"/>
  <c r="F727" i="5"/>
  <c r="C727" i="5"/>
  <c r="G726" i="5"/>
  <c r="F726" i="5"/>
  <c r="C726" i="5"/>
  <c r="G725" i="5"/>
  <c r="F725" i="5"/>
  <c r="C725" i="5"/>
  <c r="G724" i="5"/>
  <c r="F724" i="5"/>
  <c r="C724" i="5"/>
  <c r="G723" i="5"/>
  <c r="F723" i="5"/>
  <c r="C723" i="5"/>
  <c r="G722" i="5"/>
  <c r="F722" i="5"/>
  <c r="C722" i="5"/>
  <c r="G721" i="5"/>
  <c r="F721" i="5"/>
  <c r="C721" i="5"/>
  <c r="G720" i="5"/>
  <c r="F720" i="5"/>
  <c r="C720" i="5"/>
  <c r="G719" i="5"/>
  <c r="F719" i="5"/>
  <c r="C719" i="5"/>
  <c r="G718" i="5"/>
  <c r="F718" i="5"/>
  <c r="C718" i="5"/>
  <c r="G717" i="5"/>
  <c r="F717" i="5"/>
  <c r="C717" i="5"/>
  <c r="G716" i="5"/>
  <c r="F716" i="5"/>
  <c r="C716" i="5"/>
  <c r="G715" i="5"/>
  <c r="F715" i="5"/>
  <c r="C715" i="5"/>
  <c r="G714" i="5"/>
  <c r="F714" i="5"/>
  <c r="C714" i="5"/>
  <c r="V713" i="5"/>
  <c r="W713" i="5" s="1"/>
  <c r="X713" i="5" s="1"/>
  <c r="Y713" i="5" s="1"/>
  <c r="Z713" i="5" s="1"/>
  <c r="AA713" i="5" s="1"/>
  <c r="AB713" i="5" s="1"/>
  <c r="G713" i="5"/>
  <c r="F713" i="5"/>
  <c r="C713" i="5"/>
  <c r="G712" i="5"/>
  <c r="F712" i="5"/>
  <c r="C712" i="5"/>
  <c r="G711" i="5"/>
  <c r="F711" i="5"/>
  <c r="C711" i="5"/>
  <c r="G710" i="5"/>
  <c r="F710" i="5"/>
  <c r="C710" i="5"/>
  <c r="G709" i="5"/>
  <c r="F709" i="5"/>
  <c r="C709" i="5"/>
  <c r="G708" i="5"/>
  <c r="F708" i="5"/>
  <c r="C708" i="5"/>
  <c r="G707" i="5"/>
  <c r="F707" i="5"/>
  <c r="C707" i="5"/>
  <c r="G706" i="5"/>
  <c r="F706" i="5"/>
  <c r="C706" i="5"/>
  <c r="G705" i="5"/>
  <c r="F705" i="5"/>
  <c r="C705" i="5"/>
  <c r="G704" i="5"/>
  <c r="F704" i="5"/>
  <c r="C704" i="5"/>
  <c r="G703" i="5"/>
  <c r="F703" i="5"/>
  <c r="C703" i="5"/>
  <c r="G702" i="5"/>
  <c r="F702" i="5"/>
  <c r="C702" i="5"/>
  <c r="G701" i="5"/>
  <c r="F701" i="5"/>
  <c r="C701" i="5"/>
  <c r="G700" i="5"/>
  <c r="F700" i="5"/>
  <c r="C700" i="5"/>
  <c r="G699" i="5"/>
  <c r="F699" i="5"/>
  <c r="C699" i="5"/>
  <c r="G698" i="5"/>
  <c r="F698" i="5"/>
  <c r="C698" i="5"/>
  <c r="G697" i="5"/>
  <c r="F697" i="5"/>
  <c r="C697" i="5"/>
  <c r="G696" i="5"/>
  <c r="F696" i="5"/>
  <c r="C696" i="5"/>
  <c r="G695" i="5"/>
  <c r="F695" i="5"/>
  <c r="C695" i="5"/>
  <c r="G694" i="5"/>
  <c r="F694" i="5"/>
  <c r="C694" i="5"/>
  <c r="G693" i="5"/>
  <c r="F693" i="5"/>
  <c r="C693" i="5"/>
  <c r="G692" i="5"/>
  <c r="F692" i="5"/>
  <c r="C692" i="5"/>
  <c r="G691" i="5"/>
  <c r="F691" i="5"/>
  <c r="C691" i="5"/>
  <c r="G690" i="5"/>
  <c r="F690" i="5"/>
  <c r="C690" i="5"/>
  <c r="G689" i="5"/>
  <c r="F689" i="5"/>
  <c r="C689" i="5"/>
  <c r="G688" i="5"/>
  <c r="F688" i="5"/>
  <c r="C688" i="5"/>
  <c r="G687" i="5"/>
  <c r="F687" i="5"/>
  <c r="C687" i="5"/>
  <c r="G686" i="5"/>
  <c r="F686" i="5"/>
  <c r="C686" i="5"/>
  <c r="G685" i="5"/>
  <c r="F685" i="5"/>
  <c r="C685" i="5"/>
  <c r="G684" i="5"/>
  <c r="F684" i="5"/>
  <c r="C684" i="5"/>
  <c r="G683" i="5"/>
  <c r="F683" i="5"/>
  <c r="C683" i="5"/>
  <c r="G682" i="5"/>
  <c r="F682" i="5"/>
  <c r="C682" i="5"/>
  <c r="G681" i="5"/>
  <c r="F681" i="5"/>
  <c r="C681" i="5"/>
  <c r="G680" i="5"/>
  <c r="F680" i="5"/>
  <c r="C680" i="5"/>
  <c r="G679" i="5"/>
  <c r="F679" i="5"/>
  <c r="C679" i="5"/>
  <c r="G678" i="5"/>
  <c r="F678" i="5"/>
  <c r="C678" i="5"/>
  <c r="G677" i="5"/>
  <c r="F677" i="5"/>
  <c r="C677" i="5"/>
  <c r="G676" i="5"/>
  <c r="F676" i="5"/>
  <c r="C676" i="5"/>
  <c r="G675" i="5"/>
  <c r="F675" i="5"/>
  <c r="C675" i="5"/>
  <c r="G674" i="5"/>
  <c r="F674" i="5"/>
  <c r="C674" i="5"/>
  <c r="G673" i="5"/>
  <c r="F673" i="5"/>
  <c r="C673" i="5"/>
  <c r="G672" i="5"/>
  <c r="F672" i="5"/>
  <c r="C672" i="5"/>
  <c r="G671" i="5"/>
  <c r="F671" i="5"/>
  <c r="C671" i="5"/>
  <c r="G670" i="5"/>
  <c r="F670" i="5"/>
  <c r="C670" i="5"/>
  <c r="G669" i="5"/>
  <c r="F669" i="5"/>
  <c r="C669" i="5"/>
  <c r="G668" i="5"/>
  <c r="F668" i="5"/>
  <c r="C668" i="5"/>
  <c r="G667" i="5"/>
  <c r="F667" i="5"/>
  <c r="C667" i="5"/>
  <c r="G666" i="5"/>
  <c r="F666" i="5"/>
  <c r="C666" i="5"/>
  <c r="G665" i="5"/>
  <c r="F665" i="5"/>
  <c r="C665" i="5"/>
  <c r="G664" i="5"/>
  <c r="F664" i="5"/>
  <c r="V664" i="5" s="1"/>
  <c r="W664" i="5" s="1"/>
  <c r="X664" i="5" s="1"/>
  <c r="Y664" i="5" s="1"/>
  <c r="Z664" i="5" s="1"/>
  <c r="AA664" i="5" s="1"/>
  <c r="AB664" i="5" s="1"/>
  <c r="C664" i="5"/>
  <c r="G663" i="5"/>
  <c r="F663" i="5"/>
  <c r="C663" i="5"/>
  <c r="G662" i="5"/>
  <c r="F662" i="5"/>
  <c r="C662" i="5"/>
  <c r="G661" i="5"/>
  <c r="F661" i="5"/>
  <c r="C661" i="5"/>
  <c r="G660" i="5"/>
  <c r="F660" i="5"/>
  <c r="C660" i="5"/>
  <c r="G659" i="5"/>
  <c r="F659" i="5"/>
  <c r="C659" i="5"/>
  <c r="G658" i="5"/>
  <c r="F658" i="5"/>
  <c r="C658" i="5"/>
  <c r="G657" i="5"/>
  <c r="F657" i="5"/>
  <c r="C657" i="5"/>
  <c r="G656" i="5"/>
  <c r="F656" i="5"/>
  <c r="C656" i="5"/>
  <c r="G655" i="5"/>
  <c r="F655" i="5"/>
  <c r="C655" i="5"/>
  <c r="V654" i="5"/>
  <c r="W654" i="5" s="1"/>
  <c r="X654" i="5" s="1"/>
  <c r="Y654" i="5" s="1"/>
  <c r="Z654" i="5" s="1"/>
  <c r="AA654" i="5" s="1"/>
  <c r="AB654" i="5" s="1"/>
  <c r="G654" i="5"/>
  <c r="F654" i="5"/>
  <c r="C654" i="5"/>
  <c r="G653" i="5"/>
  <c r="F653" i="5"/>
  <c r="C653" i="5"/>
  <c r="G652" i="5"/>
  <c r="F652" i="5"/>
  <c r="C652" i="5"/>
  <c r="G651" i="5"/>
  <c r="F651" i="5"/>
  <c r="C651" i="5"/>
  <c r="G650" i="5"/>
  <c r="F650" i="5"/>
  <c r="C650" i="5"/>
  <c r="G649" i="5"/>
  <c r="F649" i="5"/>
  <c r="C649" i="5"/>
  <c r="G648" i="5"/>
  <c r="F648" i="5"/>
  <c r="C648" i="5"/>
  <c r="G647" i="5"/>
  <c r="F647" i="5"/>
  <c r="C647" i="5"/>
  <c r="G646" i="5"/>
  <c r="F646" i="5"/>
  <c r="C646" i="5"/>
  <c r="G645" i="5"/>
  <c r="F645" i="5"/>
  <c r="C645" i="5"/>
  <c r="G644" i="5"/>
  <c r="F644" i="5"/>
  <c r="C644" i="5"/>
  <c r="G643" i="5"/>
  <c r="F643" i="5"/>
  <c r="C643" i="5"/>
  <c r="G642" i="5"/>
  <c r="F642" i="5"/>
  <c r="C642" i="5"/>
  <c r="G641" i="5"/>
  <c r="F641" i="5"/>
  <c r="C641" i="5"/>
  <c r="G640" i="5"/>
  <c r="F640" i="5"/>
  <c r="C640" i="5"/>
  <c r="G639" i="5"/>
  <c r="F639" i="5"/>
  <c r="C639" i="5"/>
  <c r="G638" i="5"/>
  <c r="F638" i="5"/>
  <c r="C638" i="5"/>
  <c r="G637" i="5"/>
  <c r="F637" i="5"/>
  <c r="C637" i="5"/>
  <c r="G636" i="5"/>
  <c r="F636" i="5"/>
  <c r="C636" i="5"/>
  <c r="G635" i="5"/>
  <c r="F635" i="5"/>
  <c r="C635" i="5"/>
  <c r="G634" i="5"/>
  <c r="F634" i="5"/>
  <c r="C634" i="5"/>
  <c r="G633" i="5"/>
  <c r="F633" i="5"/>
  <c r="C633" i="5"/>
  <c r="G632" i="5"/>
  <c r="F632" i="5"/>
  <c r="C632" i="5"/>
  <c r="G631" i="5"/>
  <c r="F631" i="5"/>
  <c r="C631" i="5"/>
  <c r="G630" i="5"/>
  <c r="F630" i="5"/>
  <c r="C630" i="5"/>
  <c r="G629" i="5"/>
  <c r="F629" i="5"/>
  <c r="C629" i="5"/>
  <c r="G628" i="5"/>
  <c r="F628" i="5"/>
  <c r="C628" i="5"/>
  <c r="G627" i="5"/>
  <c r="F627" i="5"/>
  <c r="C627" i="5"/>
  <c r="G626" i="5"/>
  <c r="F626" i="5"/>
  <c r="C626" i="5"/>
  <c r="G625" i="5"/>
  <c r="F625" i="5"/>
  <c r="C625" i="5"/>
  <c r="G624" i="5"/>
  <c r="F624" i="5"/>
  <c r="C624" i="5"/>
  <c r="G623" i="5"/>
  <c r="F623" i="5"/>
  <c r="C623" i="5"/>
  <c r="G622" i="5"/>
  <c r="F622" i="5"/>
  <c r="C622" i="5"/>
  <c r="G621" i="5"/>
  <c r="F621" i="5"/>
  <c r="C621" i="5"/>
  <c r="G620" i="5"/>
  <c r="F620" i="5"/>
  <c r="C620" i="5"/>
  <c r="G619" i="5"/>
  <c r="F619" i="5"/>
  <c r="C619" i="5"/>
  <c r="G618" i="5"/>
  <c r="F618" i="5"/>
  <c r="C618" i="5"/>
  <c r="G617" i="5"/>
  <c r="F617" i="5"/>
  <c r="C617" i="5"/>
  <c r="G616" i="5"/>
  <c r="F616" i="5"/>
  <c r="C616" i="5"/>
  <c r="G615" i="5"/>
  <c r="F615" i="5"/>
  <c r="C615" i="5"/>
  <c r="G614" i="5"/>
  <c r="F614" i="5"/>
  <c r="C614" i="5"/>
  <c r="G613" i="5"/>
  <c r="F613" i="5"/>
  <c r="C613" i="5"/>
  <c r="G612" i="5"/>
  <c r="F612" i="5"/>
  <c r="C612" i="5"/>
  <c r="G611" i="5"/>
  <c r="F611" i="5"/>
  <c r="C611" i="5"/>
  <c r="G610" i="5"/>
  <c r="F610" i="5"/>
  <c r="C610" i="5"/>
  <c r="G609" i="5"/>
  <c r="F609" i="5"/>
  <c r="C609" i="5"/>
  <c r="G608" i="5"/>
  <c r="F608" i="5"/>
  <c r="C608" i="5"/>
  <c r="G607" i="5"/>
  <c r="F607" i="5"/>
  <c r="C607" i="5"/>
  <c r="G606" i="5"/>
  <c r="F606" i="5"/>
  <c r="C606" i="5"/>
  <c r="G605" i="5"/>
  <c r="F605" i="5"/>
  <c r="C605" i="5"/>
  <c r="G604" i="5"/>
  <c r="F604" i="5"/>
  <c r="C604" i="5"/>
  <c r="G603" i="5"/>
  <c r="F603" i="5"/>
  <c r="C603" i="5"/>
  <c r="G602" i="5"/>
  <c r="F602" i="5"/>
  <c r="C602" i="5"/>
  <c r="G601" i="5"/>
  <c r="F601" i="5"/>
  <c r="C601" i="5"/>
  <c r="G600" i="5"/>
  <c r="F600" i="5"/>
  <c r="C600" i="5"/>
  <c r="G599" i="5"/>
  <c r="F599" i="5"/>
  <c r="C599" i="5"/>
  <c r="G598" i="5"/>
  <c r="F598" i="5"/>
  <c r="C598" i="5"/>
  <c r="G597" i="5"/>
  <c r="F597" i="5"/>
  <c r="C597" i="5"/>
  <c r="G596" i="5"/>
  <c r="F596" i="5"/>
  <c r="C596" i="5"/>
  <c r="G595" i="5"/>
  <c r="F595" i="5"/>
  <c r="C595" i="5"/>
  <c r="G594" i="5"/>
  <c r="F594" i="5"/>
  <c r="V594" i="5" s="1"/>
  <c r="W594" i="5" s="1"/>
  <c r="X594" i="5" s="1"/>
  <c r="Y594" i="5" s="1"/>
  <c r="Z594" i="5" s="1"/>
  <c r="AA594" i="5" s="1"/>
  <c r="AB594" i="5" s="1"/>
  <c r="C594" i="5"/>
  <c r="G593" i="5"/>
  <c r="F593" i="5"/>
  <c r="C593" i="5"/>
  <c r="G592" i="5"/>
  <c r="F592" i="5"/>
  <c r="C592" i="5"/>
  <c r="G591" i="5"/>
  <c r="F591" i="5"/>
  <c r="C591" i="5"/>
  <c r="G590" i="5"/>
  <c r="F590" i="5"/>
  <c r="C590" i="5"/>
  <c r="G589" i="5"/>
  <c r="F589" i="5"/>
  <c r="C589" i="5"/>
  <c r="G588" i="5"/>
  <c r="F588" i="5"/>
  <c r="C588" i="5"/>
  <c r="G587" i="5"/>
  <c r="F587" i="5"/>
  <c r="C587" i="5"/>
  <c r="G586" i="5"/>
  <c r="F586" i="5"/>
  <c r="C586" i="5"/>
  <c r="G585" i="5"/>
  <c r="F585" i="5"/>
  <c r="C585" i="5"/>
  <c r="G584" i="5"/>
  <c r="F584" i="5"/>
  <c r="C584" i="5"/>
  <c r="G583" i="5"/>
  <c r="F583" i="5"/>
  <c r="C583" i="5"/>
  <c r="G582" i="5"/>
  <c r="F582" i="5"/>
  <c r="C582" i="5"/>
  <c r="G581" i="5"/>
  <c r="F581" i="5"/>
  <c r="C581" i="5"/>
  <c r="G580" i="5"/>
  <c r="F580" i="5"/>
  <c r="C580" i="5"/>
  <c r="G579" i="5"/>
  <c r="F579" i="5"/>
  <c r="C579" i="5"/>
  <c r="G578" i="5"/>
  <c r="F578" i="5"/>
  <c r="C578" i="5"/>
  <c r="G577" i="5"/>
  <c r="F577" i="5"/>
  <c r="C577" i="5"/>
  <c r="G576" i="5"/>
  <c r="F576" i="5"/>
  <c r="C576" i="5"/>
  <c r="G575" i="5"/>
  <c r="F575" i="5"/>
  <c r="C575" i="5"/>
  <c r="G574" i="5"/>
  <c r="F574" i="5"/>
  <c r="C574" i="5"/>
  <c r="G573" i="5"/>
  <c r="F573" i="5"/>
  <c r="C573" i="5"/>
  <c r="G572" i="5"/>
  <c r="F572" i="5"/>
  <c r="C572" i="5"/>
  <c r="G571" i="5"/>
  <c r="F571" i="5"/>
  <c r="C571" i="5"/>
  <c r="G570" i="5"/>
  <c r="F570" i="5"/>
  <c r="C570" i="5"/>
  <c r="G569" i="5"/>
  <c r="F569" i="5"/>
  <c r="C569" i="5"/>
  <c r="G568" i="5"/>
  <c r="F568" i="5"/>
  <c r="C568" i="5"/>
  <c r="G567" i="5"/>
  <c r="F567" i="5"/>
  <c r="C567" i="5"/>
  <c r="G566" i="5"/>
  <c r="F566" i="5"/>
  <c r="C566" i="5"/>
  <c r="G565" i="5"/>
  <c r="F565" i="5"/>
  <c r="C565" i="5"/>
  <c r="G564" i="5"/>
  <c r="F564" i="5"/>
  <c r="C564" i="5"/>
  <c r="G563" i="5"/>
  <c r="F563" i="5"/>
  <c r="C563" i="5"/>
  <c r="G562" i="5"/>
  <c r="F562" i="5"/>
  <c r="C562" i="5"/>
  <c r="G561" i="5"/>
  <c r="F561" i="5"/>
  <c r="C561" i="5"/>
  <c r="G560" i="5"/>
  <c r="F560" i="5"/>
  <c r="C560" i="5"/>
  <c r="G559" i="5"/>
  <c r="F559" i="5"/>
  <c r="C559" i="5"/>
  <c r="G558" i="5"/>
  <c r="F558" i="5"/>
  <c r="C558" i="5"/>
  <c r="G557" i="5"/>
  <c r="F557" i="5"/>
  <c r="C557" i="5"/>
  <c r="G556" i="5"/>
  <c r="F556" i="5"/>
  <c r="C556" i="5"/>
  <c r="G555" i="5"/>
  <c r="F555" i="5"/>
  <c r="C555" i="5"/>
  <c r="G554" i="5"/>
  <c r="F554" i="5"/>
  <c r="C554" i="5"/>
  <c r="G553" i="5"/>
  <c r="F553" i="5"/>
  <c r="C553" i="5"/>
  <c r="G552" i="5"/>
  <c r="F552" i="5"/>
  <c r="C552" i="5"/>
  <c r="G551" i="5"/>
  <c r="F551" i="5"/>
  <c r="C551" i="5"/>
  <c r="G550" i="5"/>
  <c r="F550" i="5"/>
  <c r="C550" i="5"/>
  <c r="G549" i="5"/>
  <c r="F549" i="5"/>
  <c r="C549" i="5"/>
  <c r="G548" i="5"/>
  <c r="F548" i="5"/>
  <c r="C548" i="5"/>
  <c r="G547" i="5"/>
  <c r="F547" i="5"/>
  <c r="C547" i="5"/>
  <c r="G546" i="5"/>
  <c r="F546" i="5"/>
  <c r="C546" i="5"/>
  <c r="G545" i="5"/>
  <c r="F545" i="5"/>
  <c r="C545" i="5"/>
  <c r="G544" i="5"/>
  <c r="F544" i="5"/>
  <c r="C544" i="5"/>
  <c r="G543" i="5"/>
  <c r="F543" i="5"/>
  <c r="C543" i="5"/>
  <c r="G542" i="5"/>
  <c r="F542" i="5"/>
  <c r="C542" i="5"/>
  <c r="G541" i="5"/>
  <c r="F541" i="5"/>
  <c r="C541" i="5"/>
  <c r="G540" i="5"/>
  <c r="F540" i="5"/>
  <c r="C540" i="5"/>
  <c r="G539" i="5"/>
  <c r="F539" i="5"/>
  <c r="C539" i="5"/>
  <c r="G538" i="5"/>
  <c r="F538" i="5"/>
  <c r="C538" i="5"/>
  <c r="G537" i="5"/>
  <c r="F537" i="5"/>
  <c r="C537" i="5"/>
  <c r="G536" i="5"/>
  <c r="F536" i="5"/>
  <c r="C536" i="5"/>
  <c r="V535" i="5"/>
  <c r="W535" i="5" s="1"/>
  <c r="X535" i="5" s="1"/>
  <c r="Y535" i="5" s="1"/>
  <c r="Z535" i="5" s="1"/>
  <c r="AA535" i="5" s="1"/>
  <c r="AB535" i="5" s="1"/>
  <c r="G535" i="5"/>
  <c r="H535" i="5" s="1"/>
  <c r="I535" i="5" s="1"/>
  <c r="F535" i="5"/>
  <c r="C535" i="5"/>
  <c r="G534" i="5"/>
  <c r="F534" i="5"/>
  <c r="C534" i="5"/>
  <c r="G533" i="5"/>
  <c r="F533" i="5"/>
  <c r="C533" i="5"/>
  <c r="G532" i="5"/>
  <c r="F532" i="5"/>
  <c r="C532" i="5"/>
  <c r="G531" i="5"/>
  <c r="F531" i="5"/>
  <c r="C531" i="5"/>
  <c r="G530" i="5"/>
  <c r="F530" i="5"/>
  <c r="C530" i="5"/>
  <c r="G529" i="5"/>
  <c r="F529" i="5"/>
  <c r="C529" i="5"/>
  <c r="G528" i="5"/>
  <c r="F528" i="5"/>
  <c r="C528" i="5"/>
  <c r="G527" i="5"/>
  <c r="F527" i="5"/>
  <c r="C527" i="5"/>
  <c r="G526" i="5"/>
  <c r="F526" i="5"/>
  <c r="C526" i="5"/>
  <c r="G525" i="5"/>
  <c r="F525" i="5"/>
  <c r="C525" i="5"/>
  <c r="G524" i="5"/>
  <c r="F524" i="5"/>
  <c r="C524" i="5"/>
  <c r="G523" i="5"/>
  <c r="F523" i="5"/>
  <c r="C523" i="5"/>
  <c r="G522" i="5"/>
  <c r="F522" i="5"/>
  <c r="C522" i="5"/>
  <c r="G521" i="5"/>
  <c r="F521" i="5"/>
  <c r="C521" i="5"/>
  <c r="G520" i="5"/>
  <c r="F520" i="5"/>
  <c r="C520" i="5"/>
  <c r="G519" i="5"/>
  <c r="F519" i="5"/>
  <c r="C519" i="5"/>
  <c r="G518" i="5"/>
  <c r="F518" i="5"/>
  <c r="C518" i="5"/>
  <c r="G517" i="5"/>
  <c r="F517" i="5"/>
  <c r="C517" i="5"/>
  <c r="G516" i="5"/>
  <c r="F516" i="5"/>
  <c r="C516" i="5"/>
  <c r="G515" i="5"/>
  <c r="F515" i="5"/>
  <c r="C515" i="5"/>
  <c r="G514" i="5"/>
  <c r="F514" i="5"/>
  <c r="C514" i="5"/>
  <c r="G513" i="5"/>
  <c r="F513" i="5"/>
  <c r="C513" i="5"/>
  <c r="G512" i="5"/>
  <c r="F512" i="5"/>
  <c r="C512" i="5"/>
  <c r="G511" i="5"/>
  <c r="F511" i="5"/>
  <c r="C511" i="5"/>
  <c r="G510" i="5"/>
  <c r="F510" i="5"/>
  <c r="C510" i="5"/>
  <c r="G509" i="5"/>
  <c r="F509" i="5"/>
  <c r="C509" i="5"/>
  <c r="G508" i="5"/>
  <c r="F508" i="5"/>
  <c r="C508" i="5"/>
  <c r="G507" i="5"/>
  <c r="F507" i="5"/>
  <c r="C507" i="5"/>
  <c r="G506" i="5"/>
  <c r="F506" i="5"/>
  <c r="C506" i="5"/>
  <c r="G505" i="5"/>
  <c r="F505" i="5"/>
  <c r="C505" i="5"/>
  <c r="G504" i="5"/>
  <c r="F504" i="5"/>
  <c r="C504" i="5"/>
  <c r="G503" i="5"/>
  <c r="F503" i="5"/>
  <c r="C503" i="5"/>
  <c r="G502" i="5"/>
  <c r="F502" i="5"/>
  <c r="C502" i="5"/>
  <c r="G501" i="5"/>
  <c r="F501" i="5"/>
  <c r="C501" i="5"/>
  <c r="G500" i="5"/>
  <c r="F500" i="5"/>
  <c r="C500" i="5"/>
  <c r="G499" i="5"/>
  <c r="F499" i="5"/>
  <c r="C499" i="5"/>
  <c r="G498" i="5"/>
  <c r="F498" i="5"/>
  <c r="C498" i="5"/>
  <c r="G497" i="5"/>
  <c r="F497" i="5"/>
  <c r="C497" i="5"/>
  <c r="G496" i="5"/>
  <c r="F496" i="5"/>
  <c r="C496" i="5"/>
  <c r="G495" i="5"/>
  <c r="F495" i="5"/>
  <c r="C495" i="5"/>
  <c r="G494" i="5"/>
  <c r="F494" i="5"/>
  <c r="C494" i="5"/>
  <c r="G493" i="5"/>
  <c r="F493" i="5"/>
  <c r="C493" i="5"/>
  <c r="G492" i="5"/>
  <c r="F492" i="5"/>
  <c r="C492" i="5"/>
  <c r="G491" i="5"/>
  <c r="F491" i="5"/>
  <c r="C491" i="5"/>
  <c r="G490" i="5"/>
  <c r="F490" i="5"/>
  <c r="C490" i="5"/>
  <c r="G489" i="5"/>
  <c r="F489" i="5"/>
  <c r="C489" i="5"/>
  <c r="G488" i="5"/>
  <c r="F488" i="5"/>
  <c r="C488" i="5"/>
  <c r="G487" i="5"/>
  <c r="F487" i="5"/>
  <c r="C487" i="5"/>
  <c r="G486" i="5"/>
  <c r="F486" i="5"/>
  <c r="C486" i="5"/>
  <c r="G485" i="5"/>
  <c r="F485" i="5"/>
  <c r="C485" i="5"/>
  <c r="G484" i="5"/>
  <c r="F484" i="5"/>
  <c r="C484" i="5"/>
  <c r="G483" i="5"/>
  <c r="F483" i="5"/>
  <c r="C483" i="5"/>
  <c r="G482" i="5"/>
  <c r="F482" i="5"/>
  <c r="C482" i="5"/>
  <c r="G481" i="5"/>
  <c r="F481" i="5"/>
  <c r="C481" i="5"/>
  <c r="G480" i="5"/>
  <c r="F480" i="5"/>
  <c r="C480" i="5"/>
  <c r="G479" i="5"/>
  <c r="F479" i="5"/>
  <c r="C479" i="5"/>
  <c r="G478" i="5"/>
  <c r="F478" i="5"/>
  <c r="C478" i="5"/>
  <c r="G477" i="5"/>
  <c r="F477" i="5"/>
  <c r="C477" i="5"/>
  <c r="G476" i="5"/>
  <c r="F476" i="5"/>
  <c r="C476" i="5"/>
  <c r="G475" i="5"/>
  <c r="F475" i="5"/>
  <c r="C475" i="5"/>
  <c r="G474" i="5"/>
  <c r="F474" i="5"/>
  <c r="C474" i="5"/>
  <c r="G473" i="5"/>
  <c r="F473" i="5"/>
  <c r="C473" i="5"/>
  <c r="G472" i="5"/>
  <c r="F472" i="5"/>
  <c r="C472" i="5"/>
  <c r="G471" i="5"/>
  <c r="F471" i="5"/>
  <c r="C471" i="5"/>
  <c r="G470" i="5"/>
  <c r="F470" i="5"/>
  <c r="C470" i="5"/>
  <c r="G469" i="5"/>
  <c r="F469" i="5"/>
  <c r="C469" i="5"/>
  <c r="G468" i="5"/>
  <c r="F468" i="5"/>
  <c r="C468" i="5"/>
  <c r="G467" i="5"/>
  <c r="F467" i="5"/>
  <c r="C467" i="5"/>
  <c r="G466" i="5"/>
  <c r="F466" i="5"/>
  <c r="C466" i="5"/>
  <c r="G465" i="5"/>
  <c r="F465" i="5"/>
  <c r="C465" i="5"/>
  <c r="G464" i="5"/>
  <c r="F464" i="5"/>
  <c r="C464" i="5"/>
  <c r="G463" i="5"/>
  <c r="F463" i="5"/>
  <c r="C463" i="5"/>
  <c r="G462" i="5"/>
  <c r="F462" i="5"/>
  <c r="C462" i="5"/>
  <c r="G461" i="5"/>
  <c r="F461" i="5"/>
  <c r="C461" i="5"/>
  <c r="G460" i="5"/>
  <c r="F460" i="5"/>
  <c r="C460" i="5"/>
  <c r="G459" i="5"/>
  <c r="F459" i="5"/>
  <c r="C459" i="5"/>
  <c r="G458" i="5"/>
  <c r="F458" i="5"/>
  <c r="C458" i="5"/>
  <c r="G457" i="5"/>
  <c r="F457" i="5"/>
  <c r="C457" i="5"/>
  <c r="G456" i="5"/>
  <c r="F456" i="5"/>
  <c r="C456" i="5"/>
  <c r="G455" i="5"/>
  <c r="F455" i="5"/>
  <c r="C455" i="5"/>
  <c r="G454" i="5"/>
  <c r="F454" i="5"/>
  <c r="C454" i="5"/>
  <c r="G453" i="5"/>
  <c r="F453" i="5"/>
  <c r="C453" i="5"/>
  <c r="G452" i="5"/>
  <c r="F452" i="5"/>
  <c r="C452" i="5"/>
  <c r="G451" i="5"/>
  <c r="F451" i="5"/>
  <c r="C451" i="5"/>
  <c r="G450" i="5"/>
  <c r="F450" i="5"/>
  <c r="C450" i="5"/>
  <c r="G449" i="5"/>
  <c r="F449" i="5"/>
  <c r="C449" i="5"/>
  <c r="G448" i="5"/>
  <c r="F448" i="5"/>
  <c r="C448" i="5"/>
  <c r="G447" i="5"/>
  <c r="F447" i="5"/>
  <c r="C447" i="5"/>
  <c r="G446" i="5"/>
  <c r="F446" i="5"/>
  <c r="C446" i="5"/>
  <c r="G445" i="5"/>
  <c r="F445" i="5"/>
  <c r="C445" i="5"/>
  <c r="G444" i="5"/>
  <c r="F444" i="5"/>
  <c r="C444" i="5"/>
  <c r="G443" i="5"/>
  <c r="F443" i="5"/>
  <c r="C443" i="5"/>
  <c r="G442" i="5"/>
  <c r="F442" i="5"/>
  <c r="C442" i="5"/>
  <c r="G441" i="5"/>
  <c r="F441" i="5"/>
  <c r="C441" i="5"/>
  <c r="G440" i="5"/>
  <c r="F440" i="5"/>
  <c r="C440" i="5"/>
  <c r="G439" i="5"/>
  <c r="F439" i="5"/>
  <c r="C439" i="5"/>
  <c r="G438" i="5"/>
  <c r="F438" i="5"/>
  <c r="C438" i="5"/>
  <c r="G437" i="5"/>
  <c r="F437" i="5"/>
  <c r="C437" i="5"/>
  <c r="G436" i="5"/>
  <c r="F436" i="5"/>
  <c r="C436" i="5"/>
  <c r="G435" i="5"/>
  <c r="F435" i="5"/>
  <c r="C435" i="5"/>
  <c r="G434" i="5"/>
  <c r="F434" i="5"/>
  <c r="C434" i="5"/>
  <c r="G433" i="5"/>
  <c r="F433" i="5"/>
  <c r="C433" i="5"/>
  <c r="G432" i="5"/>
  <c r="F432" i="5"/>
  <c r="C432" i="5"/>
  <c r="G431" i="5"/>
  <c r="F431" i="5"/>
  <c r="C431" i="5"/>
  <c r="G430" i="5"/>
  <c r="F430" i="5"/>
  <c r="C430" i="5"/>
  <c r="G429" i="5"/>
  <c r="F429" i="5"/>
  <c r="C429" i="5"/>
  <c r="G428" i="5"/>
  <c r="F428" i="5"/>
  <c r="C428" i="5"/>
  <c r="G427" i="5"/>
  <c r="F427" i="5"/>
  <c r="C427" i="5"/>
  <c r="G426" i="5"/>
  <c r="F426" i="5"/>
  <c r="C426" i="5"/>
  <c r="G425" i="5"/>
  <c r="F425" i="5"/>
  <c r="C425" i="5"/>
  <c r="G424" i="5"/>
  <c r="F424" i="5"/>
  <c r="C424" i="5"/>
  <c r="G423" i="5"/>
  <c r="F423" i="5"/>
  <c r="C423" i="5"/>
  <c r="G422" i="5"/>
  <c r="F422" i="5"/>
  <c r="C422" i="5"/>
  <c r="G421" i="5"/>
  <c r="F421" i="5"/>
  <c r="C421" i="5"/>
  <c r="G420" i="5"/>
  <c r="F420" i="5"/>
  <c r="C420" i="5"/>
  <c r="G419" i="5"/>
  <c r="F419" i="5"/>
  <c r="C419" i="5"/>
  <c r="G418" i="5"/>
  <c r="F418" i="5"/>
  <c r="C418" i="5"/>
  <c r="G417" i="5"/>
  <c r="F417" i="5"/>
  <c r="C417" i="5"/>
  <c r="V416" i="5"/>
  <c r="W416" i="5" s="1"/>
  <c r="X416" i="5" s="1"/>
  <c r="Y416" i="5" s="1"/>
  <c r="Z416" i="5" s="1"/>
  <c r="AA416" i="5" s="1"/>
  <c r="AB416" i="5" s="1"/>
  <c r="G416" i="5"/>
  <c r="F416" i="5"/>
  <c r="C416" i="5"/>
  <c r="G415" i="5"/>
  <c r="F415" i="5"/>
  <c r="C415" i="5"/>
  <c r="G414" i="5"/>
  <c r="F414" i="5"/>
  <c r="C414" i="5"/>
  <c r="G413" i="5"/>
  <c r="F413" i="5"/>
  <c r="C413" i="5"/>
  <c r="G412" i="5"/>
  <c r="F412" i="5"/>
  <c r="C412" i="5"/>
  <c r="G411" i="5"/>
  <c r="F411" i="5"/>
  <c r="C411" i="5"/>
  <c r="G410" i="5"/>
  <c r="F410" i="5"/>
  <c r="C410" i="5"/>
  <c r="G409" i="5"/>
  <c r="F409" i="5"/>
  <c r="C409" i="5"/>
  <c r="G408" i="5"/>
  <c r="F408" i="5"/>
  <c r="C408" i="5"/>
  <c r="G407" i="5"/>
  <c r="F407" i="5"/>
  <c r="C407" i="5"/>
  <c r="G406" i="5"/>
  <c r="F406" i="5"/>
  <c r="C406" i="5"/>
  <c r="G405" i="5"/>
  <c r="F405" i="5"/>
  <c r="C405" i="5"/>
  <c r="G404" i="5"/>
  <c r="F404" i="5"/>
  <c r="C404" i="5"/>
  <c r="G403" i="5"/>
  <c r="F403" i="5"/>
  <c r="C403" i="5"/>
  <c r="G402" i="5"/>
  <c r="F402" i="5"/>
  <c r="C402" i="5"/>
  <c r="G401" i="5"/>
  <c r="F401" i="5"/>
  <c r="C401" i="5"/>
  <c r="G400" i="5"/>
  <c r="F400" i="5"/>
  <c r="C400" i="5"/>
  <c r="G399" i="5"/>
  <c r="F399" i="5"/>
  <c r="C399" i="5"/>
  <c r="G398" i="5"/>
  <c r="F398" i="5"/>
  <c r="C398" i="5"/>
  <c r="G397" i="5"/>
  <c r="F397" i="5"/>
  <c r="C397" i="5"/>
  <c r="G396" i="5"/>
  <c r="F396" i="5"/>
  <c r="C396" i="5"/>
  <c r="G395" i="5"/>
  <c r="F395" i="5"/>
  <c r="C395" i="5"/>
  <c r="G394" i="5"/>
  <c r="F394" i="5"/>
  <c r="C394" i="5"/>
  <c r="G393" i="5"/>
  <c r="F393" i="5"/>
  <c r="C393" i="5"/>
  <c r="G392" i="5"/>
  <c r="F392" i="5"/>
  <c r="C392" i="5"/>
  <c r="G391" i="5"/>
  <c r="F391" i="5"/>
  <c r="C391" i="5"/>
  <c r="G390" i="5"/>
  <c r="F390" i="5"/>
  <c r="C390" i="5"/>
  <c r="G389" i="5"/>
  <c r="F389" i="5"/>
  <c r="C389" i="5"/>
  <c r="G388" i="5"/>
  <c r="F388" i="5"/>
  <c r="C388" i="5"/>
  <c r="G387" i="5"/>
  <c r="F387" i="5"/>
  <c r="C387" i="5"/>
  <c r="G386" i="5"/>
  <c r="F386" i="5"/>
  <c r="C386" i="5"/>
  <c r="G385" i="5"/>
  <c r="F385" i="5"/>
  <c r="C385" i="5"/>
  <c r="G384" i="5"/>
  <c r="F384" i="5"/>
  <c r="C384" i="5"/>
  <c r="G383" i="5"/>
  <c r="F383" i="5"/>
  <c r="C383" i="5"/>
  <c r="G382" i="5"/>
  <c r="F382" i="5"/>
  <c r="C382" i="5"/>
  <c r="G381" i="5"/>
  <c r="F381" i="5"/>
  <c r="C381" i="5"/>
  <c r="G380" i="5"/>
  <c r="F380" i="5"/>
  <c r="C380" i="5"/>
  <c r="G379" i="5"/>
  <c r="F379" i="5"/>
  <c r="C379" i="5"/>
  <c r="G378" i="5"/>
  <c r="F378" i="5"/>
  <c r="C378" i="5"/>
  <c r="G377" i="5"/>
  <c r="F377" i="5"/>
  <c r="C377" i="5"/>
  <c r="G376" i="5"/>
  <c r="F376" i="5"/>
  <c r="C376" i="5"/>
  <c r="G375" i="5"/>
  <c r="F375" i="5"/>
  <c r="C375" i="5"/>
  <c r="G374" i="5"/>
  <c r="F374" i="5"/>
  <c r="C374" i="5"/>
  <c r="G373" i="5"/>
  <c r="F373" i="5"/>
  <c r="C373" i="5"/>
  <c r="G372" i="5"/>
  <c r="F372" i="5"/>
  <c r="C372" i="5"/>
  <c r="G371" i="5"/>
  <c r="F371" i="5"/>
  <c r="C371" i="5"/>
  <c r="G370" i="5"/>
  <c r="F370" i="5"/>
  <c r="C370" i="5"/>
  <c r="G369" i="5"/>
  <c r="F369" i="5"/>
  <c r="C369" i="5"/>
  <c r="G368" i="5"/>
  <c r="F368" i="5"/>
  <c r="C368" i="5"/>
  <c r="G367" i="5"/>
  <c r="F367" i="5"/>
  <c r="C367" i="5"/>
  <c r="G366" i="5"/>
  <c r="F366" i="5"/>
  <c r="C366" i="5"/>
  <c r="G365" i="5"/>
  <c r="F365" i="5"/>
  <c r="C365" i="5"/>
  <c r="G364" i="5"/>
  <c r="F364" i="5"/>
  <c r="C364" i="5"/>
  <c r="G363" i="5"/>
  <c r="F363" i="5"/>
  <c r="C363" i="5"/>
  <c r="G362" i="5"/>
  <c r="F362" i="5"/>
  <c r="C362" i="5"/>
  <c r="G361" i="5"/>
  <c r="F361" i="5"/>
  <c r="C361" i="5"/>
  <c r="G360" i="5"/>
  <c r="F360" i="5"/>
  <c r="C360" i="5"/>
  <c r="G359" i="5"/>
  <c r="F359" i="5"/>
  <c r="C359" i="5"/>
  <c r="G358" i="5"/>
  <c r="F358" i="5"/>
  <c r="C358" i="5"/>
  <c r="G357" i="5"/>
  <c r="F357" i="5"/>
  <c r="C357" i="5"/>
  <c r="G356" i="5"/>
  <c r="F356" i="5"/>
  <c r="C356" i="5"/>
  <c r="G355" i="5"/>
  <c r="F355" i="5"/>
  <c r="C355" i="5"/>
  <c r="G354" i="5"/>
  <c r="F354" i="5"/>
  <c r="C354" i="5"/>
  <c r="G353" i="5"/>
  <c r="F353" i="5"/>
  <c r="C353" i="5"/>
  <c r="G352" i="5"/>
  <c r="F352" i="5"/>
  <c r="C352" i="5"/>
  <c r="G351" i="5"/>
  <c r="F351" i="5"/>
  <c r="C351" i="5"/>
  <c r="G350" i="5"/>
  <c r="F350" i="5"/>
  <c r="C350" i="5"/>
  <c r="G349" i="5"/>
  <c r="F349" i="5"/>
  <c r="C349" i="5"/>
  <c r="G348" i="5"/>
  <c r="F348" i="5"/>
  <c r="C348" i="5"/>
  <c r="G347" i="5"/>
  <c r="F347" i="5"/>
  <c r="C347" i="5"/>
  <c r="G346" i="5"/>
  <c r="F346" i="5"/>
  <c r="C346" i="5"/>
  <c r="G345" i="5"/>
  <c r="F345" i="5"/>
  <c r="C345" i="5"/>
  <c r="G344" i="5"/>
  <c r="F344" i="5"/>
  <c r="C344" i="5"/>
  <c r="G343" i="5"/>
  <c r="F343" i="5"/>
  <c r="C343" i="5"/>
  <c r="G342" i="5"/>
  <c r="F342" i="5"/>
  <c r="C342" i="5"/>
  <c r="G341" i="5"/>
  <c r="F341" i="5"/>
  <c r="C341" i="5"/>
  <c r="G340" i="5"/>
  <c r="F340" i="5"/>
  <c r="C340" i="5"/>
  <c r="G339" i="5"/>
  <c r="F339" i="5"/>
  <c r="C339" i="5"/>
  <c r="G338" i="5"/>
  <c r="F338" i="5"/>
  <c r="C338" i="5"/>
  <c r="G337" i="5"/>
  <c r="F337" i="5"/>
  <c r="C337" i="5"/>
  <c r="G336" i="5"/>
  <c r="F336" i="5"/>
  <c r="C336" i="5"/>
  <c r="G335" i="5"/>
  <c r="F335" i="5"/>
  <c r="C335" i="5"/>
  <c r="G334" i="5"/>
  <c r="F334" i="5"/>
  <c r="C334" i="5"/>
  <c r="G333" i="5"/>
  <c r="F333" i="5"/>
  <c r="C333" i="5"/>
  <c r="G332" i="5"/>
  <c r="F332" i="5"/>
  <c r="C332" i="5"/>
  <c r="G331" i="5"/>
  <c r="F331" i="5"/>
  <c r="C331" i="5"/>
  <c r="G330" i="5"/>
  <c r="F330" i="5"/>
  <c r="C330" i="5"/>
  <c r="G329" i="5"/>
  <c r="F329" i="5"/>
  <c r="C329" i="5"/>
  <c r="G328" i="5"/>
  <c r="F328" i="5"/>
  <c r="C328" i="5"/>
  <c r="G327" i="5"/>
  <c r="F327" i="5"/>
  <c r="C327" i="5"/>
  <c r="G326" i="5"/>
  <c r="F326" i="5"/>
  <c r="C326" i="5"/>
  <c r="G325" i="5"/>
  <c r="F325" i="5"/>
  <c r="C325" i="5"/>
  <c r="G324" i="5"/>
  <c r="F324" i="5"/>
  <c r="C324" i="5"/>
  <c r="G323" i="5"/>
  <c r="F323" i="5"/>
  <c r="C323" i="5"/>
  <c r="G322" i="5"/>
  <c r="F322" i="5"/>
  <c r="C322" i="5"/>
  <c r="G321" i="5"/>
  <c r="F321" i="5"/>
  <c r="C321" i="5"/>
  <c r="G320" i="5"/>
  <c r="F320" i="5"/>
  <c r="C320" i="5"/>
  <c r="G319" i="5"/>
  <c r="F319" i="5"/>
  <c r="C319" i="5"/>
  <c r="G318" i="5"/>
  <c r="F318" i="5"/>
  <c r="C318" i="5"/>
  <c r="G317" i="5"/>
  <c r="F317" i="5"/>
  <c r="C317" i="5"/>
  <c r="G316" i="5"/>
  <c r="F316" i="5"/>
  <c r="C316" i="5"/>
  <c r="G315" i="5"/>
  <c r="F315" i="5"/>
  <c r="C315" i="5"/>
  <c r="G314" i="5"/>
  <c r="F314" i="5"/>
  <c r="C314" i="5"/>
  <c r="G313" i="5"/>
  <c r="F313" i="5"/>
  <c r="C313" i="5"/>
  <c r="G312" i="5"/>
  <c r="F312" i="5"/>
  <c r="C312" i="5"/>
  <c r="G311" i="5"/>
  <c r="F311" i="5"/>
  <c r="C311" i="5"/>
  <c r="G310" i="5"/>
  <c r="F310" i="5"/>
  <c r="C310" i="5"/>
  <c r="G309" i="5"/>
  <c r="F309" i="5"/>
  <c r="C309" i="5"/>
  <c r="G308" i="5"/>
  <c r="F308" i="5"/>
  <c r="C308" i="5"/>
  <c r="G307" i="5"/>
  <c r="F307" i="5"/>
  <c r="C307" i="5"/>
  <c r="G306" i="5"/>
  <c r="F306" i="5"/>
  <c r="C306" i="5"/>
  <c r="G305" i="5"/>
  <c r="F305" i="5"/>
  <c r="C305" i="5"/>
  <c r="G304" i="5"/>
  <c r="F304" i="5"/>
  <c r="C304" i="5"/>
  <c r="G303" i="5"/>
  <c r="F303" i="5"/>
  <c r="C303" i="5"/>
  <c r="G302" i="5"/>
  <c r="F302" i="5"/>
  <c r="C302" i="5"/>
  <c r="G301" i="5"/>
  <c r="F301" i="5"/>
  <c r="C301" i="5"/>
  <c r="G300" i="5"/>
  <c r="F300" i="5"/>
  <c r="C300" i="5"/>
  <c r="G299" i="5"/>
  <c r="F299" i="5"/>
  <c r="C299" i="5"/>
  <c r="G298" i="5"/>
  <c r="F298" i="5"/>
  <c r="C298" i="5"/>
  <c r="V297" i="5"/>
  <c r="W297" i="5" s="1"/>
  <c r="X297" i="5" s="1"/>
  <c r="Y297" i="5" s="1"/>
  <c r="Z297" i="5" s="1"/>
  <c r="AA297" i="5" s="1"/>
  <c r="AB297" i="5" s="1"/>
  <c r="G297" i="5"/>
  <c r="F297" i="5"/>
  <c r="C297" i="5"/>
  <c r="G296" i="5"/>
  <c r="F296" i="5"/>
  <c r="C296" i="5"/>
  <c r="G295" i="5"/>
  <c r="F295" i="5"/>
  <c r="C295" i="5"/>
  <c r="G294" i="5"/>
  <c r="F294" i="5"/>
  <c r="C294" i="5"/>
  <c r="G293" i="5"/>
  <c r="F293" i="5"/>
  <c r="C293" i="5"/>
  <c r="G292" i="5"/>
  <c r="F292" i="5"/>
  <c r="C292" i="5"/>
  <c r="G291" i="5"/>
  <c r="F291" i="5"/>
  <c r="C291" i="5"/>
  <c r="G290" i="5"/>
  <c r="F290" i="5"/>
  <c r="C290" i="5"/>
  <c r="G289" i="5"/>
  <c r="F289" i="5"/>
  <c r="C289" i="5"/>
  <c r="G288" i="5"/>
  <c r="F288" i="5"/>
  <c r="C288" i="5"/>
  <c r="G287" i="5"/>
  <c r="F287" i="5"/>
  <c r="C287" i="5"/>
  <c r="G286" i="5"/>
  <c r="F286" i="5"/>
  <c r="C286" i="5"/>
  <c r="G285" i="5"/>
  <c r="F285" i="5"/>
  <c r="C285" i="5"/>
  <c r="G284" i="5"/>
  <c r="F284" i="5"/>
  <c r="C284" i="5"/>
  <c r="G283" i="5"/>
  <c r="F283" i="5"/>
  <c r="C283" i="5"/>
  <c r="G282" i="5"/>
  <c r="F282" i="5"/>
  <c r="C282" i="5"/>
  <c r="G281" i="5"/>
  <c r="F281" i="5"/>
  <c r="C281" i="5"/>
  <c r="G280" i="5"/>
  <c r="F280" i="5"/>
  <c r="C280" i="5"/>
  <c r="G279" i="5"/>
  <c r="F279" i="5"/>
  <c r="C279" i="5"/>
  <c r="G278" i="5"/>
  <c r="F278" i="5"/>
  <c r="C278" i="5"/>
  <c r="G277" i="5"/>
  <c r="F277" i="5"/>
  <c r="C277" i="5"/>
  <c r="G276" i="5"/>
  <c r="F276" i="5"/>
  <c r="C276" i="5"/>
  <c r="G275" i="5"/>
  <c r="F275" i="5"/>
  <c r="C275" i="5"/>
  <c r="G274" i="5"/>
  <c r="F274" i="5"/>
  <c r="C274" i="5"/>
  <c r="G273" i="5"/>
  <c r="F273" i="5"/>
  <c r="C273" i="5"/>
  <c r="G272" i="5"/>
  <c r="F272" i="5"/>
  <c r="C272" i="5"/>
  <c r="G271" i="5"/>
  <c r="F271" i="5"/>
  <c r="C271" i="5"/>
  <c r="G270" i="5"/>
  <c r="F270" i="5"/>
  <c r="C270" i="5"/>
  <c r="G269" i="5"/>
  <c r="F269" i="5"/>
  <c r="C269" i="5"/>
  <c r="G268" i="5"/>
  <c r="F268" i="5"/>
  <c r="C268" i="5"/>
  <c r="G267" i="5"/>
  <c r="F267" i="5"/>
  <c r="C267" i="5"/>
  <c r="G266" i="5"/>
  <c r="F266" i="5"/>
  <c r="C266" i="5"/>
  <c r="G265" i="5"/>
  <c r="F265" i="5"/>
  <c r="C265" i="5"/>
  <c r="G264" i="5"/>
  <c r="F264" i="5"/>
  <c r="C264" i="5"/>
  <c r="G263" i="5"/>
  <c r="F263" i="5"/>
  <c r="C263" i="5"/>
  <c r="G262" i="5"/>
  <c r="F262" i="5"/>
  <c r="C262" i="5"/>
  <c r="G261" i="5"/>
  <c r="F261" i="5"/>
  <c r="C261" i="5"/>
  <c r="G260" i="5"/>
  <c r="F260" i="5"/>
  <c r="C260" i="5"/>
  <c r="G259" i="5"/>
  <c r="F259" i="5"/>
  <c r="C259" i="5"/>
  <c r="G258" i="5"/>
  <c r="F258" i="5"/>
  <c r="C258" i="5"/>
  <c r="G257" i="5"/>
  <c r="F257" i="5"/>
  <c r="C257" i="5"/>
  <c r="G256" i="5"/>
  <c r="F256" i="5"/>
  <c r="C256" i="5"/>
  <c r="G255" i="5"/>
  <c r="F255" i="5"/>
  <c r="C255" i="5"/>
  <c r="G254" i="5"/>
  <c r="F254" i="5"/>
  <c r="C254" i="5"/>
  <c r="G253" i="5"/>
  <c r="F253" i="5"/>
  <c r="C253" i="5"/>
  <c r="G252" i="5"/>
  <c r="F252" i="5"/>
  <c r="C252" i="5"/>
  <c r="G251" i="5"/>
  <c r="F251" i="5"/>
  <c r="C251" i="5"/>
  <c r="G250" i="5"/>
  <c r="F250" i="5"/>
  <c r="C250" i="5"/>
  <c r="G249" i="5"/>
  <c r="F249" i="5"/>
  <c r="C249" i="5"/>
  <c r="G248" i="5"/>
  <c r="F248" i="5"/>
  <c r="C248" i="5"/>
  <c r="G247" i="5"/>
  <c r="F247" i="5"/>
  <c r="C247" i="5"/>
  <c r="G246" i="5"/>
  <c r="F246" i="5"/>
  <c r="C246" i="5"/>
  <c r="G245" i="5"/>
  <c r="F245" i="5"/>
  <c r="C245" i="5"/>
  <c r="G244" i="5"/>
  <c r="F244" i="5"/>
  <c r="C244" i="5"/>
  <c r="G243" i="5"/>
  <c r="F243" i="5"/>
  <c r="C243" i="5"/>
  <c r="G242" i="5"/>
  <c r="F242" i="5"/>
  <c r="C242" i="5"/>
  <c r="G241" i="5"/>
  <c r="F241" i="5"/>
  <c r="C241" i="5"/>
  <c r="G240" i="5"/>
  <c r="F240" i="5"/>
  <c r="C240" i="5"/>
  <c r="G239" i="5"/>
  <c r="F239" i="5"/>
  <c r="C239" i="5"/>
  <c r="V238" i="5"/>
  <c r="W238" i="5" s="1"/>
  <c r="X238" i="5" s="1"/>
  <c r="Y238" i="5" s="1"/>
  <c r="Z238" i="5" s="1"/>
  <c r="AA238" i="5" s="1"/>
  <c r="AB238" i="5" s="1"/>
  <c r="G238" i="5"/>
  <c r="F238" i="5"/>
  <c r="C238" i="5"/>
  <c r="G237" i="5"/>
  <c r="F237" i="5"/>
  <c r="C237" i="5"/>
  <c r="G236" i="5"/>
  <c r="F236" i="5"/>
  <c r="C236" i="5"/>
  <c r="G235" i="5"/>
  <c r="F235" i="5"/>
  <c r="C235" i="5"/>
  <c r="G234" i="5"/>
  <c r="F234" i="5"/>
  <c r="C234" i="5"/>
  <c r="G233" i="5"/>
  <c r="F233" i="5"/>
  <c r="C233" i="5"/>
  <c r="G232" i="5"/>
  <c r="F232" i="5"/>
  <c r="C232" i="5"/>
  <c r="G231" i="5"/>
  <c r="F231" i="5"/>
  <c r="C231" i="5"/>
  <c r="G230" i="5"/>
  <c r="F230" i="5"/>
  <c r="C230" i="5"/>
  <c r="G229" i="5"/>
  <c r="F229" i="5"/>
  <c r="C229" i="5"/>
  <c r="G228" i="5"/>
  <c r="F228" i="5"/>
  <c r="C228" i="5"/>
  <c r="G227" i="5"/>
  <c r="F227" i="5"/>
  <c r="C227" i="5"/>
  <c r="G226" i="5"/>
  <c r="F226" i="5"/>
  <c r="C226" i="5"/>
  <c r="G225" i="5"/>
  <c r="F225" i="5"/>
  <c r="C225" i="5"/>
  <c r="G224" i="5"/>
  <c r="F224" i="5"/>
  <c r="C224" i="5"/>
  <c r="G223" i="5"/>
  <c r="F223" i="5"/>
  <c r="C223" i="5"/>
  <c r="G222" i="5"/>
  <c r="F222" i="5"/>
  <c r="C222" i="5"/>
  <c r="G221" i="5"/>
  <c r="F221" i="5"/>
  <c r="C221" i="5"/>
  <c r="G220" i="5"/>
  <c r="F220" i="5"/>
  <c r="C220" i="5"/>
  <c r="G219" i="5"/>
  <c r="F219" i="5"/>
  <c r="C219" i="5"/>
  <c r="G218" i="5"/>
  <c r="F218" i="5"/>
  <c r="C218" i="5"/>
  <c r="G217" i="5"/>
  <c r="F217" i="5"/>
  <c r="C217" i="5"/>
  <c r="G216" i="5"/>
  <c r="F216" i="5"/>
  <c r="C216" i="5"/>
  <c r="G215" i="5"/>
  <c r="F215" i="5"/>
  <c r="C215" i="5"/>
  <c r="G214" i="5"/>
  <c r="F214" i="5"/>
  <c r="C214" i="5"/>
  <c r="G213" i="5"/>
  <c r="F213" i="5"/>
  <c r="C213" i="5"/>
  <c r="G212" i="5"/>
  <c r="F212" i="5"/>
  <c r="C212" i="5"/>
  <c r="G211" i="5"/>
  <c r="F211" i="5"/>
  <c r="C211" i="5"/>
  <c r="G210" i="5"/>
  <c r="F210" i="5"/>
  <c r="C210" i="5"/>
  <c r="G209" i="5"/>
  <c r="F209" i="5"/>
  <c r="C209" i="5"/>
  <c r="G208" i="5"/>
  <c r="F208" i="5"/>
  <c r="C208" i="5"/>
  <c r="G207" i="5"/>
  <c r="F207" i="5"/>
  <c r="C207" i="5"/>
  <c r="G206" i="5"/>
  <c r="F206" i="5"/>
  <c r="C206" i="5"/>
  <c r="G205" i="5"/>
  <c r="F205" i="5"/>
  <c r="C205" i="5"/>
  <c r="G204" i="5"/>
  <c r="F204" i="5"/>
  <c r="C204" i="5"/>
  <c r="G203" i="5"/>
  <c r="F203" i="5"/>
  <c r="C203" i="5"/>
  <c r="G202" i="5"/>
  <c r="F202" i="5"/>
  <c r="C202" i="5"/>
  <c r="G201" i="5"/>
  <c r="F201" i="5"/>
  <c r="C201" i="5"/>
  <c r="G200" i="5"/>
  <c r="F200" i="5"/>
  <c r="C200" i="5"/>
  <c r="G199" i="5"/>
  <c r="F199" i="5"/>
  <c r="C199" i="5"/>
  <c r="G198" i="5"/>
  <c r="F198" i="5"/>
  <c r="C198" i="5"/>
  <c r="G197" i="5"/>
  <c r="F197" i="5"/>
  <c r="C197" i="5"/>
  <c r="H196" i="5"/>
  <c r="I196" i="5" s="1"/>
  <c r="G196" i="5"/>
  <c r="F196" i="5"/>
  <c r="C196" i="5"/>
  <c r="G195" i="5"/>
  <c r="F195" i="5"/>
  <c r="C195" i="5"/>
  <c r="G194" i="5"/>
  <c r="F194" i="5"/>
  <c r="C194" i="5"/>
  <c r="G193" i="5"/>
  <c r="F193" i="5"/>
  <c r="C193" i="5"/>
  <c r="G192" i="5"/>
  <c r="F192" i="5"/>
  <c r="C192" i="5"/>
  <c r="G191" i="5"/>
  <c r="F191" i="5"/>
  <c r="C191" i="5"/>
  <c r="G190" i="5"/>
  <c r="F190" i="5"/>
  <c r="C190" i="5"/>
  <c r="G189" i="5"/>
  <c r="F189" i="5"/>
  <c r="C189" i="5"/>
  <c r="G188" i="5"/>
  <c r="F188" i="5"/>
  <c r="C188" i="5"/>
  <c r="G187" i="5"/>
  <c r="F187" i="5"/>
  <c r="C187" i="5"/>
  <c r="G186" i="5"/>
  <c r="F186" i="5"/>
  <c r="C186" i="5"/>
  <c r="G185" i="5"/>
  <c r="F185" i="5"/>
  <c r="D185" i="5"/>
  <c r="C185" i="5"/>
  <c r="E185" i="5" s="1"/>
  <c r="G184" i="5"/>
  <c r="F184" i="5"/>
  <c r="C184" i="5"/>
  <c r="G183" i="5"/>
  <c r="F183" i="5"/>
  <c r="C183" i="5"/>
  <c r="G182" i="5"/>
  <c r="F182" i="5"/>
  <c r="C182" i="5"/>
  <c r="G181" i="5"/>
  <c r="F181" i="5"/>
  <c r="C181" i="5"/>
  <c r="G180" i="5"/>
  <c r="F180" i="5"/>
  <c r="C180" i="5"/>
  <c r="G179" i="5"/>
  <c r="F179" i="5"/>
  <c r="C179" i="5"/>
  <c r="G178" i="5"/>
  <c r="F178" i="5"/>
  <c r="V178" i="5" s="1"/>
  <c r="W178" i="5" s="1"/>
  <c r="X178" i="5" s="1"/>
  <c r="Y178" i="5" s="1"/>
  <c r="Z178" i="5" s="1"/>
  <c r="AA178" i="5" s="1"/>
  <c r="AB178" i="5" s="1"/>
  <c r="C178" i="5"/>
  <c r="G177" i="5"/>
  <c r="F177" i="5"/>
  <c r="C177" i="5"/>
  <c r="G176" i="5"/>
  <c r="F176" i="5"/>
  <c r="C176" i="5"/>
  <c r="G175" i="5"/>
  <c r="F175" i="5"/>
  <c r="C175" i="5"/>
  <c r="G174" i="5"/>
  <c r="F174" i="5"/>
  <c r="C174" i="5"/>
  <c r="G173" i="5"/>
  <c r="F173" i="5"/>
  <c r="C173" i="5"/>
  <c r="G172" i="5"/>
  <c r="F172" i="5"/>
  <c r="C172" i="5"/>
  <c r="G171" i="5"/>
  <c r="F171" i="5"/>
  <c r="C171" i="5"/>
  <c r="G170" i="5"/>
  <c r="F170" i="5"/>
  <c r="C170" i="5"/>
  <c r="G169" i="5"/>
  <c r="F169" i="5"/>
  <c r="C169" i="5"/>
  <c r="G168" i="5"/>
  <c r="F168" i="5"/>
  <c r="C168" i="5"/>
  <c r="G167" i="5"/>
  <c r="F167" i="5"/>
  <c r="C167" i="5"/>
  <c r="G166" i="5"/>
  <c r="F166" i="5"/>
  <c r="C166" i="5"/>
  <c r="G165" i="5"/>
  <c r="F165" i="5"/>
  <c r="C165" i="5"/>
  <c r="G164" i="5"/>
  <c r="F164" i="5"/>
  <c r="C164" i="5"/>
  <c r="G163" i="5"/>
  <c r="F163" i="5"/>
  <c r="C163" i="5"/>
  <c r="G162" i="5"/>
  <c r="F162" i="5"/>
  <c r="C162" i="5"/>
  <c r="G161" i="5"/>
  <c r="F161" i="5"/>
  <c r="C161" i="5"/>
  <c r="G160" i="5"/>
  <c r="F160" i="5"/>
  <c r="C160" i="5"/>
  <c r="G159" i="5"/>
  <c r="F159" i="5"/>
  <c r="C159" i="5"/>
  <c r="G158" i="5"/>
  <c r="F158" i="5"/>
  <c r="C158" i="5"/>
  <c r="G157" i="5"/>
  <c r="F157" i="5"/>
  <c r="C157" i="5"/>
  <c r="G156" i="5"/>
  <c r="F156" i="5"/>
  <c r="C156" i="5"/>
  <c r="G155" i="5"/>
  <c r="F155" i="5"/>
  <c r="C155" i="5"/>
  <c r="G154" i="5"/>
  <c r="F154" i="5"/>
  <c r="C154" i="5"/>
  <c r="G153" i="5"/>
  <c r="F153" i="5"/>
  <c r="C153" i="5"/>
  <c r="G152" i="5"/>
  <c r="F152" i="5"/>
  <c r="C152" i="5"/>
  <c r="G151" i="5"/>
  <c r="F151" i="5"/>
  <c r="C151" i="5"/>
  <c r="G150" i="5"/>
  <c r="F150" i="5"/>
  <c r="C150" i="5"/>
  <c r="G149" i="5"/>
  <c r="F149" i="5"/>
  <c r="C149" i="5"/>
  <c r="G148" i="5"/>
  <c r="F148" i="5"/>
  <c r="C148" i="5"/>
  <c r="G147" i="5"/>
  <c r="F147" i="5"/>
  <c r="C147" i="5"/>
  <c r="G146" i="5"/>
  <c r="F146" i="5"/>
  <c r="C146" i="5"/>
  <c r="G145" i="5"/>
  <c r="F145" i="5"/>
  <c r="C145" i="5"/>
  <c r="G144" i="5"/>
  <c r="F144" i="5"/>
  <c r="C144" i="5"/>
  <c r="G143" i="5"/>
  <c r="F143" i="5"/>
  <c r="C143" i="5"/>
  <c r="G142" i="5"/>
  <c r="F142" i="5"/>
  <c r="C142" i="5"/>
  <c r="G141" i="5"/>
  <c r="F141" i="5"/>
  <c r="C141" i="5"/>
  <c r="G140" i="5"/>
  <c r="F140" i="5"/>
  <c r="C140" i="5"/>
  <c r="G139" i="5"/>
  <c r="F139" i="5"/>
  <c r="C139" i="5"/>
  <c r="G138" i="5"/>
  <c r="F138" i="5"/>
  <c r="C138" i="5"/>
  <c r="G137" i="5"/>
  <c r="F137" i="5"/>
  <c r="C137" i="5"/>
  <c r="G136" i="5"/>
  <c r="F136" i="5"/>
  <c r="C136" i="5"/>
  <c r="G135" i="5"/>
  <c r="F135" i="5"/>
  <c r="C135" i="5"/>
  <c r="G134" i="5"/>
  <c r="F134" i="5"/>
  <c r="C134" i="5"/>
  <c r="G133" i="5"/>
  <c r="F133" i="5"/>
  <c r="C133" i="5"/>
  <c r="G132" i="5"/>
  <c r="F132" i="5"/>
  <c r="C132" i="5"/>
  <c r="G131" i="5"/>
  <c r="F131" i="5"/>
  <c r="C131" i="5"/>
  <c r="G130" i="5"/>
  <c r="F130" i="5"/>
  <c r="C130" i="5"/>
  <c r="G129" i="5"/>
  <c r="F129" i="5"/>
  <c r="C129" i="5"/>
  <c r="G128" i="5"/>
  <c r="F128" i="5"/>
  <c r="C128" i="5"/>
  <c r="G127" i="5"/>
  <c r="F127" i="5"/>
  <c r="C127" i="5"/>
  <c r="G126" i="5"/>
  <c r="F126" i="5"/>
  <c r="C126" i="5"/>
  <c r="G125" i="5"/>
  <c r="F125" i="5"/>
  <c r="C125" i="5"/>
  <c r="G124" i="5"/>
  <c r="F124" i="5"/>
  <c r="C124" i="5"/>
  <c r="G123" i="5"/>
  <c r="F123" i="5"/>
  <c r="C123" i="5"/>
  <c r="G122" i="5"/>
  <c r="F122" i="5"/>
  <c r="C122" i="5"/>
  <c r="G121" i="5"/>
  <c r="F121" i="5"/>
  <c r="C121" i="5"/>
  <c r="G120" i="5"/>
  <c r="F120" i="5"/>
  <c r="C120" i="5"/>
  <c r="V119" i="5"/>
  <c r="W119" i="5" s="1"/>
  <c r="X119" i="5" s="1"/>
  <c r="Y119" i="5" s="1"/>
  <c r="Z119" i="5" s="1"/>
  <c r="AA119" i="5" s="1"/>
  <c r="AB119" i="5" s="1"/>
  <c r="G119" i="5"/>
  <c r="H119" i="5" s="1"/>
  <c r="I119" i="5" s="1"/>
  <c r="F119" i="5"/>
  <c r="C119" i="5"/>
  <c r="G118" i="5"/>
  <c r="F118" i="5"/>
  <c r="C118" i="5"/>
  <c r="G117" i="5"/>
  <c r="F117" i="5"/>
  <c r="C117" i="5"/>
  <c r="G116" i="5"/>
  <c r="F116" i="5"/>
  <c r="C116" i="5"/>
  <c r="G115" i="5"/>
  <c r="F115" i="5"/>
  <c r="C115" i="5"/>
  <c r="G114" i="5"/>
  <c r="F114" i="5"/>
  <c r="C114" i="5"/>
  <c r="G113" i="5"/>
  <c r="F113" i="5"/>
  <c r="C113" i="5"/>
  <c r="G112" i="5"/>
  <c r="F112" i="5"/>
  <c r="C112" i="5"/>
  <c r="G111" i="5"/>
  <c r="F111" i="5"/>
  <c r="C111" i="5"/>
  <c r="G110" i="5"/>
  <c r="F110" i="5"/>
  <c r="C110" i="5"/>
  <c r="G109" i="5"/>
  <c r="F109" i="5"/>
  <c r="C109" i="5"/>
  <c r="G108" i="5"/>
  <c r="F108" i="5"/>
  <c r="C108" i="5"/>
  <c r="G107" i="5"/>
  <c r="F107" i="5"/>
  <c r="C107" i="5"/>
  <c r="G106" i="5"/>
  <c r="F106" i="5"/>
  <c r="C106" i="5"/>
  <c r="G105" i="5"/>
  <c r="F105" i="5"/>
  <c r="C105" i="5"/>
  <c r="G104" i="5"/>
  <c r="F104" i="5"/>
  <c r="C104" i="5"/>
  <c r="G103" i="5"/>
  <c r="F103" i="5"/>
  <c r="C103" i="5"/>
  <c r="G102" i="5"/>
  <c r="F102" i="5"/>
  <c r="C102" i="5"/>
  <c r="G101" i="5"/>
  <c r="F101" i="5"/>
  <c r="C101" i="5"/>
  <c r="G100" i="5"/>
  <c r="F100" i="5"/>
  <c r="C100" i="5"/>
  <c r="G99" i="5"/>
  <c r="F99" i="5"/>
  <c r="C99" i="5"/>
  <c r="G98" i="5"/>
  <c r="F98" i="5"/>
  <c r="C98" i="5"/>
  <c r="G97" i="5"/>
  <c r="F97" i="5"/>
  <c r="C97" i="5"/>
  <c r="G96" i="5"/>
  <c r="F96" i="5"/>
  <c r="C96" i="5"/>
  <c r="G95" i="5"/>
  <c r="F95" i="5"/>
  <c r="C95" i="5"/>
  <c r="G94" i="5"/>
  <c r="F94" i="5"/>
  <c r="C94" i="5"/>
  <c r="G93" i="5"/>
  <c r="F93" i="5"/>
  <c r="C93" i="5"/>
  <c r="G92" i="5"/>
  <c r="F92" i="5"/>
  <c r="C92" i="5"/>
  <c r="G91" i="5"/>
  <c r="F91" i="5"/>
  <c r="C91" i="5"/>
  <c r="G90" i="5"/>
  <c r="F90" i="5"/>
  <c r="C90" i="5"/>
  <c r="G89" i="5"/>
  <c r="F89" i="5"/>
  <c r="C89" i="5"/>
  <c r="G88" i="5"/>
  <c r="F88" i="5"/>
  <c r="C88" i="5"/>
  <c r="G87" i="5"/>
  <c r="F87" i="5"/>
  <c r="C87" i="5"/>
  <c r="G86" i="5"/>
  <c r="F86" i="5"/>
  <c r="C86" i="5"/>
  <c r="G85" i="5"/>
  <c r="F85" i="5"/>
  <c r="C85" i="5"/>
  <c r="G84" i="5"/>
  <c r="F84" i="5"/>
  <c r="C84" i="5"/>
  <c r="G83" i="5"/>
  <c r="F83" i="5"/>
  <c r="C83" i="5"/>
  <c r="G82" i="5"/>
  <c r="F82" i="5"/>
  <c r="C82" i="5"/>
  <c r="G81" i="5"/>
  <c r="F81" i="5"/>
  <c r="C81" i="5"/>
  <c r="G80" i="5"/>
  <c r="F80" i="5"/>
  <c r="C80" i="5"/>
  <c r="G79" i="5"/>
  <c r="F79" i="5"/>
  <c r="C79" i="5"/>
  <c r="G78" i="5"/>
  <c r="F78" i="5"/>
  <c r="C78" i="5"/>
  <c r="G77" i="5"/>
  <c r="F77" i="5"/>
  <c r="C77" i="5"/>
  <c r="G76" i="5"/>
  <c r="F76" i="5"/>
  <c r="C76" i="5"/>
  <c r="G75" i="5"/>
  <c r="F75" i="5"/>
  <c r="C75" i="5"/>
  <c r="G74" i="5"/>
  <c r="F74" i="5"/>
  <c r="C74" i="5"/>
  <c r="G73" i="5"/>
  <c r="F73" i="5"/>
  <c r="C73" i="5"/>
  <c r="G72" i="5"/>
  <c r="F72" i="5"/>
  <c r="C72" i="5"/>
  <c r="G71" i="5"/>
  <c r="F71" i="5"/>
  <c r="C71" i="5"/>
  <c r="G70" i="5"/>
  <c r="F70" i="5"/>
  <c r="C70" i="5"/>
  <c r="G69" i="5"/>
  <c r="F69" i="5"/>
  <c r="C69" i="5"/>
  <c r="G68" i="5"/>
  <c r="F68" i="5"/>
  <c r="C68" i="5"/>
  <c r="G67" i="5"/>
  <c r="F67" i="5"/>
  <c r="C67" i="5"/>
  <c r="G66" i="5"/>
  <c r="F66" i="5"/>
  <c r="C66" i="5"/>
  <c r="G65" i="5"/>
  <c r="F65" i="5"/>
  <c r="C65" i="5"/>
  <c r="G64" i="5"/>
  <c r="F64" i="5"/>
  <c r="D64" i="5"/>
  <c r="C64" i="5"/>
  <c r="E64" i="5" s="1"/>
  <c r="G63" i="5"/>
  <c r="F63" i="5"/>
  <c r="C63" i="5"/>
  <c r="G62" i="5"/>
  <c r="F62" i="5"/>
  <c r="C62" i="5"/>
  <c r="G61" i="5"/>
  <c r="F61" i="5"/>
  <c r="C61" i="5"/>
  <c r="G60" i="5"/>
  <c r="F60" i="5"/>
  <c r="C60" i="5"/>
  <c r="G59" i="5"/>
  <c r="F59" i="5"/>
  <c r="C59" i="5"/>
  <c r="G58" i="5"/>
  <c r="F58" i="5"/>
  <c r="C58" i="5"/>
  <c r="G57" i="5"/>
  <c r="F57" i="5"/>
  <c r="C57" i="5"/>
  <c r="G56" i="5"/>
  <c r="F56" i="5"/>
  <c r="C56" i="5"/>
  <c r="G55" i="5"/>
  <c r="F55" i="5"/>
  <c r="C55" i="5"/>
  <c r="G54" i="5"/>
  <c r="F54" i="5"/>
  <c r="C54" i="5"/>
  <c r="G53" i="5"/>
  <c r="F53" i="5"/>
  <c r="C53" i="5"/>
  <c r="G52" i="5"/>
  <c r="F52" i="5"/>
  <c r="C52" i="5"/>
  <c r="G51" i="5"/>
  <c r="F51" i="5"/>
  <c r="C51" i="5"/>
  <c r="G50" i="5"/>
  <c r="F50" i="5"/>
  <c r="C50" i="5"/>
  <c r="G49" i="5"/>
  <c r="F49" i="5"/>
  <c r="C49" i="5"/>
  <c r="G48" i="5"/>
  <c r="F48" i="5"/>
  <c r="C48" i="5"/>
  <c r="G47" i="5"/>
  <c r="F47" i="5"/>
  <c r="C47" i="5"/>
  <c r="G46" i="5"/>
  <c r="F46" i="5"/>
  <c r="E46" i="5"/>
  <c r="C46" i="5"/>
  <c r="D46" i="5" s="1"/>
  <c r="G45" i="5"/>
  <c r="F45" i="5"/>
  <c r="C45" i="5"/>
  <c r="G44" i="5"/>
  <c r="F44" i="5"/>
  <c r="C44" i="5"/>
  <c r="G43" i="5"/>
  <c r="F43" i="5"/>
  <c r="C43" i="5"/>
  <c r="G42" i="5"/>
  <c r="F42" i="5"/>
  <c r="C42" i="5"/>
  <c r="G41" i="5"/>
  <c r="F41" i="5"/>
  <c r="C41" i="5"/>
  <c r="G40" i="5"/>
  <c r="F40" i="5"/>
  <c r="C40" i="5"/>
  <c r="G39" i="5"/>
  <c r="F39" i="5"/>
  <c r="C39" i="5"/>
  <c r="G38" i="5"/>
  <c r="F38" i="5"/>
  <c r="C38" i="5"/>
  <c r="G37" i="5"/>
  <c r="F37" i="5"/>
  <c r="C37" i="5"/>
  <c r="G36" i="5"/>
  <c r="F36" i="5"/>
  <c r="C36" i="5"/>
  <c r="G35" i="5"/>
  <c r="F35" i="5"/>
  <c r="C35" i="5"/>
  <c r="G34" i="5"/>
  <c r="F34" i="5"/>
  <c r="C34" i="5"/>
  <c r="G33" i="5"/>
  <c r="F33" i="5"/>
  <c r="C33" i="5"/>
  <c r="G32" i="5"/>
  <c r="F32" i="5"/>
  <c r="C32" i="5"/>
  <c r="G31" i="5"/>
  <c r="F31" i="5"/>
  <c r="C31" i="5"/>
  <c r="G30" i="5"/>
  <c r="F30" i="5"/>
  <c r="C30" i="5"/>
  <c r="G29" i="5"/>
  <c r="F29" i="5"/>
  <c r="C29" i="5"/>
  <c r="G28" i="5"/>
  <c r="F28" i="5"/>
  <c r="C28" i="5"/>
  <c r="G27" i="5"/>
  <c r="F27" i="5"/>
  <c r="C27" i="5"/>
  <c r="G26" i="5"/>
  <c r="F26" i="5"/>
  <c r="C26" i="5"/>
  <c r="G25" i="5"/>
  <c r="F25" i="5"/>
  <c r="C25" i="5"/>
  <c r="G24" i="5"/>
  <c r="F24" i="5"/>
  <c r="C24" i="5"/>
  <c r="G23" i="5"/>
  <c r="F23" i="5"/>
  <c r="C23" i="5"/>
  <c r="G22" i="5"/>
  <c r="F22" i="5"/>
  <c r="C22" i="5"/>
  <c r="G21" i="5"/>
  <c r="F21" i="5"/>
  <c r="C21" i="5"/>
  <c r="G20" i="5"/>
  <c r="F20" i="5"/>
  <c r="C20" i="5"/>
  <c r="G19" i="5"/>
  <c r="F19" i="5"/>
  <c r="C19" i="5"/>
  <c r="G18" i="5"/>
  <c r="F18" i="5"/>
  <c r="C18" i="5"/>
  <c r="G17" i="5"/>
  <c r="F17" i="5"/>
  <c r="C17" i="5"/>
  <c r="G16" i="5"/>
  <c r="F16" i="5"/>
  <c r="C16" i="5"/>
  <c r="G15" i="5"/>
  <c r="F15" i="5"/>
  <c r="C15" i="5"/>
  <c r="G14" i="5"/>
  <c r="F14" i="5"/>
  <c r="C14" i="5"/>
  <c r="G13" i="5"/>
  <c r="F13" i="5"/>
  <c r="C13" i="5"/>
  <c r="G12" i="5"/>
  <c r="F12" i="5"/>
  <c r="C12" i="5"/>
  <c r="G11" i="5"/>
  <c r="F11" i="5"/>
  <c r="C11" i="5"/>
  <c r="G10" i="5"/>
  <c r="F10" i="5"/>
  <c r="C10" i="5"/>
  <c r="G9" i="5"/>
  <c r="F9" i="5"/>
  <c r="C9" i="5"/>
  <c r="G8" i="5"/>
  <c r="F8" i="5"/>
  <c r="C8" i="5"/>
  <c r="G7" i="5"/>
  <c r="F7" i="5"/>
  <c r="C7" i="5"/>
  <c r="G6" i="5"/>
  <c r="F6" i="5"/>
  <c r="C6" i="5"/>
  <c r="G5" i="5"/>
  <c r="F5" i="5"/>
  <c r="C5" i="5"/>
  <c r="B41" i="4"/>
  <c r="C41" i="4" s="1"/>
  <c r="D41" i="4" s="1"/>
  <c r="B40" i="4"/>
  <c r="C40" i="4" s="1"/>
  <c r="D40" i="4" s="1"/>
  <c r="B39" i="4"/>
  <c r="C39" i="4" s="1"/>
  <c r="D39" i="4" s="1"/>
  <c r="E39" i="4" s="1"/>
  <c r="D30" i="4"/>
  <c r="C30" i="4"/>
  <c r="B30" i="4"/>
  <c r="D27" i="4"/>
  <c r="C27" i="4"/>
  <c r="B27" i="4"/>
  <c r="D26" i="4"/>
  <c r="C26" i="4"/>
  <c r="B26" i="4"/>
  <c r="D21" i="4"/>
  <c r="C21" i="4"/>
  <c r="B21" i="4"/>
  <c r="D18" i="4"/>
  <c r="C18" i="4"/>
  <c r="B18" i="4"/>
  <c r="D17" i="4"/>
  <c r="C17" i="4"/>
  <c r="B17" i="4"/>
  <c r="D12" i="4"/>
  <c r="C12" i="4"/>
  <c r="B12" i="4"/>
  <c r="D9" i="4"/>
  <c r="C9" i="4"/>
  <c r="B9" i="4"/>
  <c r="D8" i="4"/>
  <c r="B8" i="4"/>
  <c r="D5" i="4"/>
  <c r="B5" i="4"/>
  <c r="D4" i="4"/>
  <c r="C4" i="4"/>
  <c r="B4" i="4"/>
  <c r="A20" i="2"/>
  <c r="B19" i="2"/>
  <c r="A19" i="2"/>
  <c r="B18" i="2"/>
  <c r="A18" i="2"/>
  <c r="B17" i="2"/>
  <c r="A17" i="2"/>
  <c r="A16" i="2"/>
  <c r="K28" i="6" l="1"/>
  <c r="C19" i="2" s="1"/>
  <c r="J28" i="6"/>
  <c r="I28" i="6"/>
  <c r="D19" i="2" s="1"/>
  <c r="K27" i="6"/>
  <c r="C18" i="2" s="1"/>
  <c r="J27" i="6"/>
  <c r="I27" i="6"/>
  <c r="D18" i="2" s="1"/>
  <c r="K26" i="6"/>
  <c r="C17" i="2" s="1"/>
  <c r="J26" i="6"/>
  <c r="I26" i="6"/>
  <c r="D17" i="2" s="1"/>
  <c r="H946" i="5"/>
  <c r="I946" i="5" s="1"/>
  <c r="V946" i="5"/>
  <c r="W946" i="5" s="1"/>
  <c r="X946" i="5" s="1"/>
  <c r="Y946" i="5" s="1"/>
  <c r="Z946" i="5" s="1"/>
  <c r="AA946" i="5" s="1"/>
  <c r="AB946" i="5" s="1"/>
  <c r="D946" i="5"/>
  <c r="E946" i="5"/>
  <c r="H945" i="5"/>
  <c r="I945" i="5" s="1"/>
  <c r="V945" i="5"/>
  <c r="W945" i="5" s="1"/>
  <c r="X945" i="5" s="1"/>
  <c r="Y945" i="5" s="1"/>
  <c r="Z945" i="5"/>
  <c r="AA945" i="5" s="1"/>
  <c r="AB945" i="5" s="1"/>
  <c r="E945" i="5"/>
  <c r="D945" i="5"/>
  <c r="J944" i="5"/>
  <c r="K944" i="5" s="1"/>
  <c r="L944" i="5" s="1"/>
  <c r="M944" i="5" s="1"/>
  <c r="N944" i="5"/>
  <c r="V944" i="5"/>
  <c r="W944" i="5" s="1"/>
  <c r="X944" i="5" s="1"/>
  <c r="Y944" i="5" s="1"/>
  <c r="Z944" i="5" s="1"/>
  <c r="AA944" i="5" s="1"/>
  <c r="AB944" i="5" s="1"/>
  <c r="D944" i="5"/>
  <c r="E944" i="5"/>
  <c r="H943" i="5"/>
  <c r="I943" i="5" s="1"/>
  <c r="V943" i="5"/>
  <c r="W943" i="5" s="1"/>
  <c r="X943" i="5" s="1"/>
  <c r="Y943" i="5" s="1"/>
  <c r="Z943" i="5" s="1"/>
  <c r="AA943" i="5" s="1"/>
  <c r="AB943" i="5" s="1"/>
  <c r="D943" i="5"/>
  <c r="E943" i="5"/>
  <c r="H942" i="5"/>
  <c r="I942" i="5" s="1"/>
  <c r="V942" i="5"/>
  <c r="W942" i="5" s="1"/>
  <c r="X942" i="5" s="1"/>
  <c r="Y942" i="5" s="1"/>
  <c r="Z942" i="5"/>
  <c r="AA942" i="5" s="1"/>
  <c r="AB942" i="5" s="1"/>
  <c r="E942" i="5"/>
  <c r="D942" i="5"/>
  <c r="H941" i="5"/>
  <c r="I941" i="5" s="1"/>
  <c r="V941" i="5"/>
  <c r="W941" i="5" s="1"/>
  <c r="X941" i="5" s="1"/>
  <c r="Y941" i="5" s="1"/>
  <c r="Z941" i="5" s="1"/>
  <c r="AA941" i="5" s="1"/>
  <c r="AB941" i="5" s="1"/>
  <c r="E941" i="5"/>
  <c r="D941" i="5"/>
  <c r="H940" i="5"/>
  <c r="I940" i="5" s="1"/>
  <c r="V940" i="5"/>
  <c r="W940" i="5" s="1"/>
  <c r="X940" i="5" s="1"/>
  <c r="Y940" i="5" s="1"/>
  <c r="Z940" i="5"/>
  <c r="AA940" i="5" s="1"/>
  <c r="AB940" i="5" s="1"/>
  <c r="E940" i="5"/>
  <c r="D940" i="5"/>
  <c r="H939" i="5"/>
  <c r="I939" i="5" s="1"/>
  <c r="V939" i="5"/>
  <c r="W939" i="5" s="1"/>
  <c r="X939" i="5" s="1"/>
  <c r="Y939" i="5" s="1"/>
  <c r="Z939" i="5"/>
  <c r="AA939" i="5" s="1"/>
  <c r="AB939" i="5" s="1"/>
  <c r="D939" i="5"/>
  <c r="E939" i="5"/>
  <c r="H938" i="5"/>
  <c r="I938" i="5" s="1"/>
  <c r="V938" i="5"/>
  <c r="W938" i="5" s="1"/>
  <c r="X938" i="5" s="1"/>
  <c r="Y938" i="5" s="1"/>
  <c r="Z938" i="5"/>
  <c r="AA938" i="5" s="1"/>
  <c r="AB938" i="5" s="1"/>
  <c r="D938" i="5"/>
  <c r="E938" i="5"/>
  <c r="H937" i="5"/>
  <c r="I937" i="5" s="1"/>
  <c r="V937" i="5"/>
  <c r="W937" i="5" s="1"/>
  <c r="X937" i="5" s="1"/>
  <c r="Y937" i="5" s="1"/>
  <c r="Z937" i="5" s="1"/>
  <c r="AA937" i="5" s="1"/>
  <c r="AB937" i="5" s="1"/>
  <c r="D937" i="5"/>
  <c r="E937" i="5"/>
  <c r="H936" i="5"/>
  <c r="I936" i="5" s="1"/>
  <c r="V936" i="5"/>
  <c r="W936" i="5" s="1"/>
  <c r="X936" i="5" s="1"/>
  <c r="Y936" i="5" s="1"/>
  <c r="Z936" i="5"/>
  <c r="AA936" i="5" s="1"/>
  <c r="AB936" i="5" s="1"/>
  <c r="D936" i="5"/>
  <c r="E936" i="5"/>
  <c r="H935" i="5"/>
  <c r="I935" i="5" s="1"/>
  <c r="V935" i="5"/>
  <c r="W935" i="5" s="1"/>
  <c r="X935" i="5" s="1"/>
  <c r="Y935" i="5" s="1"/>
  <c r="Z935" i="5"/>
  <c r="AA935" i="5" s="1"/>
  <c r="AB935" i="5" s="1"/>
  <c r="D935" i="5"/>
  <c r="E935" i="5"/>
  <c r="H934" i="5"/>
  <c r="I934" i="5" s="1"/>
  <c r="V934" i="5"/>
  <c r="W934" i="5" s="1"/>
  <c r="X934" i="5" s="1"/>
  <c r="Y934" i="5" s="1"/>
  <c r="Z934" i="5"/>
  <c r="AA934" i="5" s="1"/>
  <c r="AB934" i="5" s="1"/>
  <c r="E934" i="5"/>
  <c r="D934" i="5"/>
  <c r="H933" i="5"/>
  <c r="I933" i="5" s="1"/>
  <c r="V933" i="5"/>
  <c r="W933" i="5" s="1"/>
  <c r="X933" i="5" s="1"/>
  <c r="Y933" i="5" s="1"/>
  <c r="Z933" i="5"/>
  <c r="AA933" i="5" s="1"/>
  <c r="AB933" i="5" s="1"/>
  <c r="D933" i="5"/>
  <c r="E933" i="5"/>
  <c r="H932" i="5"/>
  <c r="I932" i="5" s="1"/>
  <c r="V932" i="5"/>
  <c r="W932" i="5" s="1"/>
  <c r="X932" i="5" s="1"/>
  <c r="Y932" i="5" s="1"/>
  <c r="Z932" i="5" s="1"/>
  <c r="AA932" i="5" s="1"/>
  <c r="AB932" i="5" s="1"/>
  <c r="E932" i="5"/>
  <c r="D932" i="5"/>
  <c r="H931" i="5"/>
  <c r="I931" i="5" s="1"/>
  <c r="V931" i="5"/>
  <c r="W931" i="5" s="1"/>
  <c r="X931" i="5" s="1"/>
  <c r="Y931" i="5" s="1"/>
  <c r="Z931" i="5"/>
  <c r="AA931" i="5" s="1"/>
  <c r="AB931" i="5" s="1"/>
  <c r="E931" i="5"/>
  <c r="D931" i="5"/>
  <c r="H930" i="5"/>
  <c r="I930" i="5" s="1"/>
  <c r="V930" i="5"/>
  <c r="W930" i="5" s="1"/>
  <c r="X930" i="5" s="1"/>
  <c r="Y930" i="5" s="1"/>
  <c r="Z930" i="5" s="1"/>
  <c r="AA930" i="5" s="1"/>
  <c r="AB930" i="5" s="1"/>
  <c r="E930" i="5"/>
  <c r="D930" i="5"/>
  <c r="H929" i="5"/>
  <c r="I929" i="5" s="1"/>
  <c r="V929" i="5"/>
  <c r="W929" i="5" s="1"/>
  <c r="X929" i="5" s="1"/>
  <c r="Y929" i="5" s="1"/>
  <c r="Z929" i="5"/>
  <c r="AA929" i="5" s="1"/>
  <c r="AB929" i="5" s="1"/>
  <c r="E929" i="5"/>
  <c r="D929" i="5"/>
  <c r="H928" i="5"/>
  <c r="I928" i="5" s="1"/>
  <c r="V928" i="5"/>
  <c r="W928" i="5" s="1"/>
  <c r="X928" i="5" s="1"/>
  <c r="Y928" i="5" s="1"/>
  <c r="Z928" i="5" s="1"/>
  <c r="AA928" i="5" s="1"/>
  <c r="AB928" i="5" s="1"/>
  <c r="D928" i="5"/>
  <c r="E928" i="5"/>
  <c r="H927" i="5"/>
  <c r="I927" i="5" s="1"/>
  <c r="V927" i="5"/>
  <c r="W927" i="5" s="1"/>
  <c r="X927" i="5" s="1"/>
  <c r="Y927" i="5" s="1"/>
  <c r="Z927" i="5" s="1"/>
  <c r="AA927" i="5" s="1"/>
  <c r="AB927" i="5" s="1"/>
  <c r="E927" i="5"/>
  <c r="D927" i="5"/>
  <c r="H926" i="5"/>
  <c r="I926" i="5" s="1"/>
  <c r="V926" i="5"/>
  <c r="W926" i="5" s="1"/>
  <c r="X926" i="5" s="1"/>
  <c r="Y926" i="5" s="1"/>
  <c r="Z926" i="5"/>
  <c r="AA926" i="5" s="1"/>
  <c r="AB926" i="5" s="1"/>
  <c r="E926" i="5"/>
  <c r="D926" i="5"/>
  <c r="H925" i="5"/>
  <c r="I925" i="5" s="1"/>
  <c r="V925" i="5"/>
  <c r="W925" i="5" s="1"/>
  <c r="X925" i="5" s="1"/>
  <c r="Y925" i="5" s="1"/>
  <c r="Z925" i="5"/>
  <c r="AA925" i="5" s="1"/>
  <c r="AB925" i="5" s="1"/>
  <c r="E925" i="5"/>
  <c r="D925" i="5"/>
  <c r="H924" i="5"/>
  <c r="I924" i="5" s="1"/>
  <c r="V924" i="5"/>
  <c r="W924" i="5" s="1"/>
  <c r="X924" i="5" s="1"/>
  <c r="Y924" i="5" s="1"/>
  <c r="Z924" i="5"/>
  <c r="AA924" i="5" s="1"/>
  <c r="AB924" i="5" s="1"/>
  <c r="E924" i="5"/>
  <c r="D924" i="5"/>
  <c r="H923" i="5"/>
  <c r="I923" i="5" s="1"/>
  <c r="V923" i="5"/>
  <c r="W923" i="5" s="1"/>
  <c r="X923" i="5" s="1"/>
  <c r="Y923" i="5" s="1"/>
  <c r="Z923" i="5"/>
  <c r="AA923" i="5" s="1"/>
  <c r="AB923" i="5" s="1"/>
  <c r="D923" i="5"/>
  <c r="E923" i="5"/>
  <c r="H922" i="5"/>
  <c r="I922" i="5" s="1"/>
  <c r="V922" i="5"/>
  <c r="W922" i="5" s="1"/>
  <c r="X922" i="5" s="1"/>
  <c r="Y922" i="5" s="1"/>
  <c r="Z922" i="5" s="1"/>
  <c r="AA922" i="5" s="1"/>
  <c r="AB922" i="5" s="1"/>
  <c r="E922" i="5"/>
  <c r="D922" i="5"/>
  <c r="H921" i="5"/>
  <c r="I921" i="5" s="1"/>
  <c r="V921" i="5"/>
  <c r="W921" i="5" s="1"/>
  <c r="X921" i="5" s="1"/>
  <c r="Y921" i="5" s="1"/>
  <c r="Z921" i="5" s="1"/>
  <c r="AA921" i="5" s="1"/>
  <c r="AB921" i="5" s="1"/>
  <c r="D921" i="5"/>
  <c r="E921" i="5"/>
  <c r="H920" i="5"/>
  <c r="I920" i="5" s="1"/>
  <c r="V920" i="5"/>
  <c r="W920" i="5" s="1"/>
  <c r="X920" i="5" s="1"/>
  <c r="Y920" i="5" s="1"/>
  <c r="Z920" i="5"/>
  <c r="AA920" i="5" s="1"/>
  <c r="AB920" i="5" s="1"/>
  <c r="E920" i="5"/>
  <c r="D920" i="5"/>
  <c r="H919" i="5"/>
  <c r="I919" i="5" s="1"/>
  <c r="V919" i="5"/>
  <c r="W919" i="5" s="1"/>
  <c r="X919" i="5" s="1"/>
  <c r="Y919" i="5" s="1"/>
  <c r="Z919" i="5"/>
  <c r="AA919" i="5" s="1"/>
  <c r="AB919" i="5" s="1"/>
  <c r="D919" i="5"/>
  <c r="E919" i="5"/>
  <c r="H918" i="5"/>
  <c r="I918" i="5" s="1"/>
  <c r="V918" i="5"/>
  <c r="W918" i="5" s="1"/>
  <c r="X918" i="5" s="1"/>
  <c r="Y918" i="5" s="1"/>
  <c r="Z918" i="5" s="1"/>
  <c r="AA918" i="5" s="1"/>
  <c r="AB918" i="5" s="1"/>
  <c r="E918" i="5"/>
  <c r="D918" i="5"/>
  <c r="H917" i="5"/>
  <c r="I917" i="5" s="1"/>
  <c r="V917" i="5"/>
  <c r="W917" i="5" s="1"/>
  <c r="X917" i="5" s="1"/>
  <c r="Y917" i="5" s="1"/>
  <c r="Z917" i="5"/>
  <c r="AA917" i="5" s="1"/>
  <c r="AB917" i="5" s="1"/>
  <c r="E917" i="5"/>
  <c r="D917" i="5"/>
  <c r="H916" i="5"/>
  <c r="I916" i="5" s="1"/>
  <c r="V916" i="5"/>
  <c r="W916" i="5" s="1"/>
  <c r="X916" i="5" s="1"/>
  <c r="Y916" i="5" s="1"/>
  <c r="Z916" i="5" s="1"/>
  <c r="AA916" i="5" s="1"/>
  <c r="AB916" i="5" s="1"/>
  <c r="D916" i="5"/>
  <c r="E916" i="5"/>
  <c r="H915" i="5"/>
  <c r="I915" i="5" s="1"/>
  <c r="V915" i="5"/>
  <c r="W915" i="5" s="1"/>
  <c r="X915" i="5" s="1"/>
  <c r="Y915" i="5" s="1"/>
  <c r="Z915" i="5" s="1"/>
  <c r="AA915" i="5" s="1"/>
  <c r="AB915" i="5" s="1"/>
  <c r="D915" i="5"/>
  <c r="E915" i="5"/>
  <c r="H914" i="5"/>
  <c r="I914" i="5" s="1"/>
  <c r="V914" i="5"/>
  <c r="W914" i="5" s="1"/>
  <c r="X914" i="5" s="1"/>
  <c r="Y914" i="5" s="1"/>
  <c r="Z914" i="5" s="1"/>
  <c r="AA914" i="5" s="1"/>
  <c r="AB914" i="5" s="1"/>
  <c r="E914" i="5"/>
  <c r="D914" i="5"/>
  <c r="H913" i="5"/>
  <c r="I913" i="5" s="1"/>
  <c r="V913" i="5"/>
  <c r="W913" i="5" s="1"/>
  <c r="X913" i="5" s="1"/>
  <c r="Y913" i="5" s="1"/>
  <c r="Z913" i="5"/>
  <c r="AA913" i="5" s="1"/>
  <c r="AB913" i="5" s="1"/>
  <c r="E913" i="5"/>
  <c r="D913" i="5"/>
  <c r="H912" i="5"/>
  <c r="I912" i="5" s="1"/>
  <c r="V912" i="5"/>
  <c r="W912" i="5" s="1"/>
  <c r="X912" i="5" s="1"/>
  <c r="Y912" i="5" s="1"/>
  <c r="Z912" i="5"/>
  <c r="AA912" i="5" s="1"/>
  <c r="AB912" i="5" s="1"/>
  <c r="D912" i="5"/>
  <c r="E912" i="5"/>
  <c r="H911" i="5"/>
  <c r="I911" i="5" s="1"/>
  <c r="V911" i="5"/>
  <c r="W911" i="5" s="1"/>
  <c r="X911" i="5" s="1"/>
  <c r="Y911" i="5" s="1"/>
  <c r="Z911" i="5"/>
  <c r="AA911" i="5" s="1"/>
  <c r="AB911" i="5" s="1"/>
  <c r="E911" i="5"/>
  <c r="D911" i="5"/>
  <c r="H910" i="5"/>
  <c r="I910" i="5" s="1"/>
  <c r="V910" i="5"/>
  <c r="W910" i="5" s="1"/>
  <c r="X910" i="5" s="1"/>
  <c r="Y910" i="5" s="1"/>
  <c r="Z910" i="5"/>
  <c r="AA910" i="5" s="1"/>
  <c r="AB910" i="5" s="1"/>
  <c r="D910" i="5"/>
  <c r="E910" i="5"/>
  <c r="H909" i="5"/>
  <c r="I909" i="5" s="1"/>
  <c r="V909" i="5"/>
  <c r="W909" i="5" s="1"/>
  <c r="X909" i="5" s="1"/>
  <c r="Y909" i="5" s="1"/>
  <c r="Z909" i="5" s="1"/>
  <c r="AA909" i="5" s="1"/>
  <c r="AB909" i="5" s="1"/>
  <c r="D909" i="5"/>
  <c r="E909" i="5"/>
  <c r="H908" i="5"/>
  <c r="I908" i="5" s="1"/>
  <c r="V908" i="5"/>
  <c r="W908" i="5" s="1"/>
  <c r="X908" i="5" s="1"/>
  <c r="Y908" i="5" s="1"/>
  <c r="Z908" i="5"/>
  <c r="AA908" i="5" s="1"/>
  <c r="AB908" i="5" s="1"/>
  <c r="D908" i="5"/>
  <c r="E908" i="5"/>
  <c r="J907" i="5"/>
  <c r="K907" i="5" s="1"/>
  <c r="L907" i="5" s="1"/>
  <c r="M907" i="5" s="1"/>
  <c r="N907" i="5"/>
  <c r="V907" i="5"/>
  <c r="W907" i="5" s="1"/>
  <c r="X907" i="5" s="1"/>
  <c r="Y907" i="5" s="1"/>
  <c r="Z907" i="5" s="1"/>
  <c r="AA907" i="5" s="1"/>
  <c r="AB907" i="5" s="1"/>
  <c r="D907" i="5"/>
  <c r="E907" i="5"/>
  <c r="H906" i="5"/>
  <c r="I906" i="5" s="1"/>
  <c r="V906" i="5"/>
  <c r="W906" i="5" s="1"/>
  <c r="X906" i="5" s="1"/>
  <c r="Y906" i="5" s="1"/>
  <c r="Z906" i="5"/>
  <c r="AA906" i="5" s="1"/>
  <c r="AB906" i="5" s="1"/>
  <c r="D906" i="5"/>
  <c r="E906" i="5"/>
  <c r="H905" i="5"/>
  <c r="I905" i="5" s="1"/>
  <c r="V905" i="5"/>
  <c r="W905" i="5" s="1"/>
  <c r="X905" i="5" s="1"/>
  <c r="Y905" i="5" s="1"/>
  <c r="Z905" i="5"/>
  <c r="AA905" i="5" s="1"/>
  <c r="AB905" i="5" s="1"/>
  <c r="D905" i="5"/>
  <c r="E905" i="5"/>
  <c r="H904" i="5"/>
  <c r="I904" i="5" s="1"/>
  <c r="V904" i="5"/>
  <c r="W904" i="5" s="1"/>
  <c r="X904" i="5" s="1"/>
  <c r="Y904" i="5" s="1"/>
  <c r="Z904" i="5"/>
  <c r="AA904" i="5" s="1"/>
  <c r="AB904" i="5" s="1"/>
  <c r="D904" i="5"/>
  <c r="E904" i="5"/>
  <c r="H903" i="5"/>
  <c r="I903" i="5" s="1"/>
  <c r="V903" i="5"/>
  <c r="W903" i="5" s="1"/>
  <c r="X903" i="5" s="1"/>
  <c r="Y903" i="5" s="1"/>
  <c r="Z903" i="5"/>
  <c r="AA903" i="5" s="1"/>
  <c r="AB903" i="5" s="1"/>
  <c r="D903" i="5"/>
  <c r="E903" i="5"/>
  <c r="H902" i="5"/>
  <c r="I902" i="5" s="1"/>
  <c r="V902" i="5"/>
  <c r="W902" i="5" s="1"/>
  <c r="X902" i="5" s="1"/>
  <c r="Y902" i="5" s="1"/>
  <c r="Z902" i="5" s="1"/>
  <c r="AA902" i="5" s="1"/>
  <c r="AB902" i="5" s="1"/>
  <c r="E902" i="5"/>
  <c r="D902" i="5"/>
  <c r="H901" i="5"/>
  <c r="I901" i="5" s="1"/>
  <c r="V901" i="5"/>
  <c r="W901" i="5" s="1"/>
  <c r="X901" i="5" s="1"/>
  <c r="Y901" i="5" s="1"/>
  <c r="Z901" i="5"/>
  <c r="AA901" i="5" s="1"/>
  <c r="AB901" i="5" s="1"/>
  <c r="D901" i="5"/>
  <c r="E901" i="5"/>
  <c r="H900" i="5"/>
  <c r="I900" i="5" s="1"/>
  <c r="V900" i="5"/>
  <c r="W900" i="5" s="1"/>
  <c r="X900" i="5" s="1"/>
  <c r="Y900" i="5" s="1"/>
  <c r="Z900" i="5"/>
  <c r="AA900" i="5" s="1"/>
  <c r="AB900" i="5" s="1"/>
  <c r="E900" i="5"/>
  <c r="D900" i="5"/>
  <c r="H899" i="5"/>
  <c r="I899" i="5" s="1"/>
  <c r="V899" i="5"/>
  <c r="W899" i="5" s="1"/>
  <c r="X899" i="5" s="1"/>
  <c r="Y899" i="5" s="1"/>
  <c r="Z899" i="5"/>
  <c r="AA899" i="5" s="1"/>
  <c r="AB899" i="5" s="1"/>
  <c r="E899" i="5"/>
  <c r="D899" i="5"/>
  <c r="H898" i="5"/>
  <c r="I898" i="5" s="1"/>
  <c r="V898" i="5"/>
  <c r="W898" i="5" s="1"/>
  <c r="X898" i="5" s="1"/>
  <c r="Y898" i="5" s="1"/>
  <c r="Z898" i="5" s="1"/>
  <c r="AA898" i="5" s="1"/>
  <c r="AB898" i="5" s="1"/>
  <c r="E898" i="5"/>
  <c r="D898" i="5"/>
  <c r="H897" i="5"/>
  <c r="I897" i="5" s="1"/>
  <c r="V897" i="5"/>
  <c r="W897" i="5" s="1"/>
  <c r="X897" i="5" s="1"/>
  <c r="Y897" i="5" s="1"/>
  <c r="Z897" i="5"/>
  <c r="AA897" i="5" s="1"/>
  <c r="AB897" i="5" s="1"/>
  <c r="E897" i="5"/>
  <c r="D897" i="5"/>
  <c r="H896" i="5"/>
  <c r="I896" i="5" s="1"/>
  <c r="V896" i="5"/>
  <c r="W896" i="5" s="1"/>
  <c r="X896" i="5" s="1"/>
  <c r="Y896" i="5" s="1"/>
  <c r="Z896" i="5"/>
  <c r="AA896" i="5" s="1"/>
  <c r="AB896" i="5" s="1"/>
  <c r="E896" i="5"/>
  <c r="D896" i="5"/>
  <c r="H895" i="5"/>
  <c r="I895" i="5" s="1"/>
  <c r="V895" i="5"/>
  <c r="W895" i="5" s="1"/>
  <c r="X895" i="5" s="1"/>
  <c r="Y895" i="5" s="1"/>
  <c r="Z895" i="5"/>
  <c r="AA895" i="5" s="1"/>
  <c r="AB895" i="5" s="1"/>
  <c r="D895" i="5"/>
  <c r="E895" i="5"/>
  <c r="H894" i="5"/>
  <c r="I894" i="5" s="1"/>
  <c r="V894" i="5"/>
  <c r="W894" i="5" s="1"/>
  <c r="X894" i="5" s="1"/>
  <c r="Y894" i="5" s="1"/>
  <c r="Z894" i="5"/>
  <c r="AA894" i="5" s="1"/>
  <c r="AB894" i="5" s="1"/>
  <c r="D894" i="5"/>
  <c r="E894" i="5"/>
  <c r="H893" i="5"/>
  <c r="I893" i="5" s="1"/>
  <c r="V893" i="5"/>
  <c r="W893" i="5" s="1"/>
  <c r="X893" i="5" s="1"/>
  <c r="Y893" i="5" s="1"/>
  <c r="Z893" i="5"/>
  <c r="AA893" i="5" s="1"/>
  <c r="AB893" i="5" s="1"/>
  <c r="E893" i="5"/>
  <c r="D893" i="5"/>
  <c r="H892" i="5"/>
  <c r="I892" i="5" s="1"/>
  <c r="V892" i="5"/>
  <c r="W892" i="5" s="1"/>
  <c r="X892" i="5" s="1"/>
  <c r="Y892" i="5" s="1"/>
  <c r="Z892" i="5"/>
  <c r="AA892" i="5" s="1"/>
  <c r="AB892" i="5" s="1"/>
  <c r="D892" i="5"/>
  <c r="E892" i="5"/>
  <c r="H891" i="5"/>
  <c r="I891" i="5" s="1"/>
  <c r="V891" i="5"/>
  <c r="W891" i="5" s="1"/>
  <c r="X891" i="5" s="1"/>
  <c r="Y891" i="5" s="1"/>
  <c r="Z891" i="5"/>
  <c r="AA891" i="5" s="1"/>
  <c r="AB891" i="5" s="1"/>
  <c r="D891" i="5"/>
  <c r="E891" i="5"/>
  <c r="H890" i="5"/>
  <c r="I890" i="5" s="1"/>
  <c r="V890" i="5"/>
  <c r="W890" i="5" s="1"/>
  <c r="X890" i="5" s="1"/>
  <c r="Y890" i="5" s="1"/>
  <c r="Z890" i="5"/>
  <c r="AA890" i="5" s="1"/>
  <c r="AB890" i="5" s="1"/>
  <c r="D890" i="5"/>
  <c r="E890" i="5"/>
  <c r="H889" i="5"/>
  <c r="I889" i="5" s="1"/>
  <c r="V889" i="5"/>
  <c r="W889" i="5" s="1"/>
  <c r="X889" i="5" s="1"/>
  <c r="Y889" i="5" s="1"/>
  <c r="Z889" i="5"/>
  <c r="AA889" i="5" s="1"/>
  <c r="AB889" i="5" s="1"/>
  <c r="E889" i="5"/>
  <c r="D889" i="5"/>
  <c r="H888" i="5"/>
  <c r="I888" i="5" s="1"/>
  <c r="V888" i="5"/>
  <c r="W888" i="5" s="1"/>
  <c r="X888" i="5" s="1"/>
  <c r="Y888" i="5" s="1"/>
  <c r="Z888" i="5"/>
  <c r="AA888" i="5" s="1"/>
  <c r="AB888" i="5" s="1"/>
  <c r="E888" i="5"/>
  <c r="D888" i="5"/>
  <c r="H887" i="5"/>
  <c r="I887" i="5" s="1"/>
  <c r="V887" i="5"/>
  <c r="W887" i="5" s="1"/>
  <c r="X887" i="5" s="1"/>
  <c r="Y887" i="5" s="1"/>
  <c r="Z887" i="5" s="1"/>
  <c r="AA887" i="5" s="1"/>
  <c r="AB887" i="5" s="1"/>
  <c r="E887" i="5"/>
  <c r="D887" i="5"/>
  <c r="H886" i="5"/>
  <c r="I886" i="5" s="1"/>
  <c r="V886" i="5"/>
  <c r="W886" i="5" s="1"/>
  <c r="X886" i="5" s="1"/>
  <c r="Y886" i="5" s="1"/>
  <c r="Z886" i="5" s="1"/>
  <c r="AA886" i="5" s="1"/>
  <c r="AB886" i="5" s="1"/>
  <c r="E886" i="5"/>
  <c r="D886" i="5"/>
  <c r="H885" i="5"/>
  <c r="I885" i="5" s="1"/>
  <c r="V885" i="5"/>
  <c r="W885" i="5" s="1"/>
  <c r="X885" i="5" s="1"/>
  <c r="Y885" i="5" s="1"/>
  <c r="Z885" i="5" s="1"/>
  <c r="AA885" i="5" s="1"/>
  <c r="AB885" i="5" s="1"/>
  <c r="D885" i="5"/>
  <c r="E885" i="5"/>
  <c r="H884" i="5"/>
  <c r="I884" i="5" s="1"/>
  <c r="V884" i="5"/>
  <c r="W884" i="5" s="1"/>
  <c r="X884" i="5" s="1"/>
  <c r="Y884" i="5" s="1"/>
  <c r="Z884" i="5" s="1"/>
  <c r="AA884" i="5" s="1"/>
  <c r="AB884" i="5" s="1"/>
  <c r="D884" i="5"/>
  <c r="E884" i="5"/>
  <c r="H883" i="5"/>
  <c r="I883" i="5" s="1"/>
  <c r="V883" i="5"/>
  <c r="W883" i="5" s="1"/>
  <c r="X883" i="5" s="1"/>
  <c r="Y883" i="5" s="1"/>
  <c r="Z883" i="5" s="1"/>
  <c r="AA883" i="5" s="1"/>
  <c r="AB883" i="5" s="1"/>
  <c r="E883" i="5"/>
  <c r="D883" i="5"/>
  <c r="H882" i="5"/>
  <c r="I882" i="5" s="1"/>
  <c r="V882" i="5"/>
  <c r="W882" i="5" s="1"/>
  <c r="X882" i="5" s="1"/>
  <c r="Y882" i="5" s="1"/>
  <c r="Z882" i="5" s="1"/>
  <c r="AA882" i="5" s="1"/>
  <c r="AB882" i="5" s="1"/>
  <c r="D882" i="5"/>
  <c r="E882" i="5"/>
  <c r="H881" i="5"/>
  <c r="I881" i="5" s="1"/>
  <c r="V881" i="5"/>
  <c r="W881" i="5" s="1"/>
  <c r="X881" i="5" s="1"/>
  <c r="Y881" i="5" s="1"/>
  <c r="Z881" i="5" s="1"/>
  <c r="AA881" i="5" s="1"/>
  <c r="AB881" i="5" s="1"/>
  <c r="D881" i="5"/>
  <c r="E881" i="5"/>
  <c r="H880" i="5"/>
  <c r="I880" i="5" s="1"/>
  <c r="V880" i="5"/>
  <c r="W880" i="5" s="1"/>
  <c r="X880" i="5" s="1"/>
  <c r="Y880" i="5" s="1"/>
  <c r="Z880" i="5" s="1"/>
  <c r="AA880" i="5" s="1"/>
  <c r="AB880" i="5" s="1"/>
  <c r="E880" i="5"/>
  <c r="D880" i="5"/>
  <c r="H879" i="5"/>
  <c r="I879" i="5" s="1"/>
  <c r="V879" i="5"/>
  <c r="W879" i="5" s="1"/>
  <c r="X879" i="5" s="1"/>
  <c r="Y879" i="5" s="1"/>
  <c r="Z879" i="5"/>
  <c r="AA879" i="5" s="1"/>
  <c r="AB879" i="5" s="1"/>
  <c r="D879" i="5"/>
  <c r="E879" i="5"/>
  <c r="H878" i="5"/>
  <c r="I878" i="5" s="1"/>
  <c r="V878" i="5"/>
  <c r="W878" i="5" s="1"/>
  <c r="X878" i="5" s="1"/>
  <c r="Y878" i="5" s="1"/>
  <c r="Z878" i="5" s="1"/>
  <c r="AA878" i="5" s="1"/>
  <c r="AB878" i="5" s="1"/>
  <c r="D878" i="5"/>
  <c r="E878" i="5"/>
  <c r="H877" i="5"/>
  <c r="I877" i="5" s="1"/>
  <c r="V877" i="5"/>
  <c r="W877" i="5" s="1"/>
  <c r="X877" i="5" s="1"/>
  <c r="Y877" i="5" s="1"/>
  <c r="Z877" i="5"/>
  <c r="AA877" i="5" s="1"/>
  <c r="AB877" i="5" s="1"/>
  <c r="D877" i="5"/>
  <c r="E877" i="5"/>
  <c r="H876" i="5"/>
  <c r="I876" i="5" s="1"/>
  <c r="V876" i="5"/>
  <c r="W876" i="5" s="1"/>
  <c r="X876" i="5" s="1"/>
  <c r="Y876" i="5" s="1"/>
  <c r="Z876" i="5" s="1"/>
  <c r="AA876" i="5" s="1"/>
  <c r="AB876" i="5" s="1"/>
  <c r="D876" i="5"/>
  <c r="E876" i="5"/>
  <c r="H875" i="5"/>
  <c r="I875" i="5" s="1"/>
  <c r="V875" i="5"/>
  <c r="W875" i="5" s="1"/>
  <c r="X875" i="5" s="1"/>
  <c r="Y875" i="5" s="1"/>
  <c r="Z875" i="5"/>
  <c r="AA875" i="5" s="1"/>
  <c r="AB875" i="5" s="1"/>
  <c r="E875" i="5"/>
  <c r="D875" i="5"/>
  <c r="H874" i="5"/>
  <c r="I874" i="5" s="1"/>
  <c r="V874" i="5"/>
  <c r="W874" i="5" s="1"/>
  <c r="X874" i="5" s="1"/>
  <c r="Y874" i="5" s="1"/>
  <c r="Z874" i="5"/>
  <c r="AA874" i="5" s="1"/>
  <c r="AB874" i="5" s="1"/>
  <c r="E874" i="5"/>
  <c r="D874" i="5"/>
  <c r="H873" i="5"/>
  <c r="I873" i="5" s="1"/>
  <c r="V873" i="5"/>
  <c r="W873" i="5" s="1"/>
  <c r="X873" i="5" s="1"/>
  <c r="Y873" i="5" s="1"/>
  <c r="Z873" i="5" s="1"/>
  <c r="AA873" i="5" s="1"/>
  <c r="AB873" i="5" s="1"/>
  <c r="E873" i="5"/>
  <c r="D873" i="5"/>
  <c r="H872" i="5"/>
  <c r="I872" i="5" s="1"/>
  <c r="V872" i="5"/>
  <c r="W872" i="5" s="1"/>
  <c r="X872" i="5" s="1"/>
  <c r="Y872" i="5" s="1"/>
  <c r="Z872" i="5" s="1"/>
  <c r="AA872" i="5" s="1"/>
  <c r="AB872" i="5" s="1"/>
  <c r="E872" i="5"/>
  <c r="D872" i="5"/>
  <c r="H871" i="5"/>
  <c r="I871" i="5" s="1"/>
  <c r="V871" i="5"/>
  <c r="W871" i="5" s="1"/>
  <c r="X871" i="5" s="1"/>
  <c r="Y871" i="5" s="1"/>
  <c r="Z871" i="5"/>
  <c r="AA871" i="5" s="1"/>
  <c r="AB871" i="5" s="1"/>
  <c r="E871" i="5"/>
  <c r="D871" i="5"/>
  <c r="H870" i="5"/>
  <c r="I870" i="5" s="1"/>
  <c r="V870" i="5"/>
  <c r="W870" i="5" s="1"/>
  <c r="X870" i="5" s="1"/>
  <c r="Y870" i="5" s="1"/>
  <c r="Z870" i="5"/>
  <c r="AA870" i="5" s="1"/>
  <c r="AB870" i="5" s="1"/>
  <c r="D870" i="5"/>
  <c r="E870" i="5"/>
  <c r="H869" i="5"/>
  <c r="I869" i="5" s="1"/>
  <c r="V869" i="5"/>
  <c r="W869" i="5" s="1"/>
  <c r="X869" i="5" s="1"/>
  <c r="Y869" i="5" s="1"/>
  <c r="Z869" i="5" s="1"/>
  <c r="AA869" i="5" s="1"/>
  <c r="AB869" i="5" s="1"/>
  <c r="E869" i="5"/>
  <c r="D869" i="5"/>
  <c r="H868" i="5"/>
  <c r="I868" i="5" s="1"/>
  <c r="V868" i="5"/>
  <c r="W868" i="5" s="1"/>
  <c r="X868" i="5" s="1"/>
  <c r="Y868" i="5" s="1"/>
  <c r="Z868" i="5" s="1"/>
  <c r="AA868" i="5" s="1"/>
  <c r="AB868" i="5" s="1"/>
  <c r="D868" i="5"/>
  <c r="E868" i="5"/>
  <c r="H867" i="5"/>
  <c r="I867" i="5" s="1"/>
  <c r="V867" i="5"/>
  <c r="W867" i="5" s="1"/>
  <c r="X867" i="5" s="1"/>
  <c r="Y867" i="5" s="1"/>
  <c r="Z867" i="5" s="1"/>
  <c r="AA867" i="5" s="1"/>
  <c r="AB867" i="5" s="1"/>
  <c r="E867" i="5"/>
  <c r="D867" i="5"/>
  <c r="H866" i="5"/>
  <c r="I866" i="5" s="1"/>
  <c r="V866" i="5"/>
  <c r="W866" i="5" s="1"/>
  <c r="X866" i="5" s="1"/>
  <c r="Y866" i="5" s="1"/>
  <c r="Z866" i="5" s="1"/>
  <c r="AA866" i="5" s="1"/>
  <c r="AB866" i="5" s="1"/>
  <c r="E866" i="5"/>
  <c r="D866" i="5"/>
  <c r="H865" i="5"/>
  <c r="I865" i="5" s="1"/>
  <c r="V865" i="5"/>
  <c r="W865" i="5" s="1"/>
  <c r="X865" i="5" s="1"/>
  <c r="Y865" i="5" s="1"/>
  <c r="Z865" i="5" s="1"/>
  <c r="AA865" i="5" s="1"/>
  <c r="AB865" i="5" s="1"/>
  <c r="E865" i="5"/>
  <c r="D865" i="5"/>
  <c r="H864" i="5"/>
  <c r="I864" i="5" s="1"/>
  <c r="V864" i="5"/>
  <c r="W864" i="5" s="1"/>
  <c r="X864" i="5" s="1"/>
  <c r="Y864" i="5" s="1"/>
  <c r="Z864" i="5" s="1"/>
  <c r="AA864" i="5" s="1"/>
  <c r="AB864" i="5" s="1"/>
  <c r="E864" i="5"/>
  <c r="D864" i="5"/>
  <c r="H863" i="5"/>
  <c r="I863" i="5" s="1"/>
  <c r="V863" i="5"/>
  <c r="W863" i="5" s="1"/>
  <c r="X863" i="5" s="1"/>
  <c r="Y863" i="5" s="1"/>
  <c r="Z863" i="5" s="1"/>
  <c r="AA863" i="5" s="1"/>
  <c r="AB863" i="5" s="1"/>
  <c r="E863" i="5"/>
  <c r="D863" i="5"/>
  <c r="H862" i="5"/>
  <c r="I862" i="5" s="1"/>
  <c r="V862" i="5"/>
  <c r="W862" i="5" s="1"/>
  <c r="X862" i="5" s="1"/>
  <c r="Y862" i="5" s="1"/>
  <c r="Z862" i="5" s="1"/>
  <c r="AA862" i="5" s="1"/>
  <c r="AB862" i="5" s="1"/>
  <c r="E862" i="5"/>
  <c r="D862" i="5"/>
  <c r="H861" i="5"/>
  <c r="I861" i="5" s="1"/>
  <c r="V861" i="5"/>
  <c r="W861" i="5" s="1"/>
  <c r="X861" i="5" s="1"/>
  <c r="Y861" i="5" s="1"/>
  <c r="Z861" i="5" s="1"/>
  <c r="AA861" i="5" s="1"/>
  <c r="AB861" i="5" s="1"/>
  <c r="D861" i="5"/>
  <c r="E861" i="5"/>
  <c r="H860" i="5"/>
  <c r="I860" i="5" s="1"/>
  <c r="V860" i="5"/>
  <c r="W860" i="5" s="1"/>
  <c r="X860" i="5" s="1"/>
  <c r="Y860" i="5" s="1"/>
  <c r="Z860" i="5" s="1"/>
  <c r="AA860" i="5" s="1"/>
  <c r="AB860" i="5" s="1"/>
  <c r="D860" i="5"/>
  <c r="E860" i="5"/>
  <c r="H859" i="5"/>
  <c r="I859" i="5" s="1"/>
  <c r="V859" i="5"/>
  <c r="W859" i="5" s="1"/>
  <c r="X859" i="5" s="1"/>
  <c r="Y859" i="5" s="1"/>
  <c r="Z859" i="5" s="1"/>
  <c r="AA859" i="5" s="1"/>
  <c r="AB859" i="5" s="1"/>
  <c r="D859" i="5"/>
  <c r="E859" i="5"/>
  <c r="H858" i="5"/>
  <c r="I858" i="5" s="1"/>
  <c r="V858" i="5"/>
  <c r="W858" i="5" s="1"/>
  <c r="X858" i="5" s="1"/>
  <c r="Y858" i="5" s="1"/>
  <c r="Z858" i="5"/>
  <c r="AA858" i="5" s="1"/>
  <c r="AB858" i="5" s="1"/>
  <c r="D858" i="5"/>
  <c r="E858" i="5"/>
  <c r="H857" i="5"/>
  <c r="I857" i="5" s="1"/>
  <c r="V857" i="5"/>
  <c r="W857" i="5" s="1"/>
  <c r="X857" i="5" s="1"/>
  <c r="Y857" i="5" s="1"/>
  <c r="Z857" i="5"/>
  <c r="AA857" i="5" s="1"/>
  <c r="AB857" i="5" s="1"/>
  <c r="E857" i="5"/>
  <c r="D857" i="5"/>
  <c r="H856" i="5"/>
  <c r="I856" i="5" s="1"/>
  <c r="V856" i="5"/>
  <c r="W856" i="5" s="1"/>
  <c r="X856" i="5" s="1"/>
  <c r="Y856" i="5" s="1"/>
  <c r="Z856" i="5"/>
  <c r="AA856" i="5" s="1"/>
  <c r="AB856" i="5" s="1"/>
  <c r="D856" i="5"/>
  <c r="E856" i="5"/>
  <c r="H855" i="5"/>
  <c r="I855" i="5" s="1"/>
  <c r="V855" i="5"/>
  <c r="W855" i="5" s="1"/>
  <c r="X855" i="5" s="1"/>
  <c r="Y855" i="5" s="1"/>
  <c r="Z855" i="5"/>
  <c r="AA855" i="5" s="1"/>
  <c r="AB855" i="5" s="1"/>
  <c r="D855" i="5"/>
  <c r="E855" i="5"/>
  <c r="H854" i="5"/>
  <c r="I854" i="5" s="1"/>
  <c r="V854" i="5"/>
  <c r="W854" i="5" s="1"/>
  <c r="X854" i="5" s="1"/>
  <c r="Y854" i="5" s="1"/>
  <c r="Z854" i="5" s="1"/>
  <c r="AA854" i="5" s="1"/>
  <c r="AB854" i="5" s="1"/>
  <c r="E854" i="5"/>
  <c r="D854" i="5"/>
  <c r="H853" i="5"/>
  <c r="I853" i="5" s="1"/>
  <c r="V853" i="5"/>
  <c r="W853" i="5" s="1"/>
  <c r="X853" i="5" s="1"/>
  <c r="Y853" i="5" s="1"/>
  <c r="Z853" i="5" s="1"/>
  <c r="AA853" i="5" s="1"/>
  <c r="AB853" i="5" s="1"/>
  <c r="E853" i="5"/>
  <c r="D853" i="5"/>
  <c r="H852" i="5"/>
  <c r="I852" i="5" s="1"/>
  <c r="V852" i="5"/>
  <c r="W852" i="5" s="1"/>
  <c r="X852" i="5" s="1"/>
  <c r="Y852" i="5" s="1"/>
  <c r="Z852" i="5" s="1"/>
  <c r="AA852" i="5" s="1"/>
  <c r="AB852" i="5" s="1"/>
  <c r="D852" i="5"/>
  <c r="E852" i="5"/>
  <c r="H851" i="5"/>
  <c r="I851" i="5" s="1"/>
  <c r="V851" i="5"/>
  <c r="W851" i="5" s="1"/>
  <c r="X851" i="5" s="1"/>
  <c r="Y851" i="5" s="1"/>
  <c r="Z851" i="5"/>
  <c r="AA851" i="5" s="1"/>
  <c r="AB851" i="5" s="1"/>
  <c r="D851" i="5"/>
  <c r="E851" i="5"/>
  <c r="H850" i="5"/>
  <c r="I850" i="5" s="1"/>
  <c r="V850" i="5"/>
  <c r="W850" i="5" s="1"/>
  <c r="X850" i="5" s="1"/>
  <c r="Y850" i="5" s="1"/>
  <c r="Z850" i="5"/>
  <c r="AA850" i="5" s="1"/>
  <c r="AB850" i="5" s="1"/>
  <c r="D850" i="5"/>
  <c r="E850" i="5"/>
  <c r="H849" i="5"/>
  <c r="I849" i="5" s="1"/>
  <c r="V849" i="5"/>
  <c r="W849" i="5" s="1"/>
  <c r="X849" i="5" s="1"/>
  <c r="Y849" i="5" s="1"/>
  <c r="Z849" i="5"/>
  <c r="AA849" i="5" s="1"/>
  <c r="AB849" i="5" s="1"/>
  <c r="D849" i="5"/>
  <c r="E849" i="5"/>
  <c r="H848" i="5"/>
  <c r="I848" i="5" s="1"/>
  <c r="V848" i="5"/>
  <c r="W848" i="5" s="1"/>
  <c r="X848" i="5" s="1"/>
  <c r="Y848" i="5" s="1"/>
  <c r="Z848" i="5" s="1"/>
  <c r="AA848" i="5" s="1"/>
  <c r="AB848" i="5" s="1"/>
  <c r="E848" i="5"/>
  <c r="D848" i="5"/>
  <c r="H847" i="5"/>
  <c r="I847" i="5" s="1"/>
  <c r="V847" i="5"/>
  <c r="W847" i="5" s="1"/>
  <c r="X847" i="5" s="1"/>
  <c r="Y847" i="5" s="1"/>
  <c r="Z847" i="5" s="1"/>
  <c r="AA847" i="5" s="1"/>
  <c r="AB847" i="5" s="1"/>
  <c r="E847" i="5"/>
  <c r="D847" i="5"/>
  <c r="H846" i="5"/>
  <c r="I846" i="5" s="1"/>
  <c r="V846" i="5"/>
  <c r="W846" i="5" s="1"/>
  <c r="X846" i="5" s="1"/>
  <c r="Y846" i="5" s="1"/>
  <c r="Z846" i="5"/>
  <c r="AA846" i="5" s="1"/>
  <c r="AB846" i="5" s="1"/>
  <c r="D846" i="5"/>
  <c r="E846" i="5"/>
  <c r="H845" i="5"/>
  <c r="I845" i="5" s="1"/>
  <c r="V845" i="5"/>
  <c r="W845" i="5" s="1"/>
  <c r="X845" i="5" s="1"/>
  <c r="Y845" i="5" s="1"/>
  <c r="Z845" i="5" s="1"/>
  <c r="AA845" i="5" s="1"/>
  <c r="AB845" i="5" s="1"/>
  <c r="E845" i="5"/>
  <c r="D845" i="5"/>
  <c r="H844" i="5"/>
  <c r="I844" i="5" s="1"/>
  <c r="V844" i="5"/>
  <c r="W844" i="5" s="1"/>
  <c r="X844" i="5" s="1"/>
  <c r="Y844" i="5" s="1"/>
  <c r="Z844" i="5"/>
  <c r="AA844" i="5" s="1"/>
  <c r="AB844" i="5" s="1"/>
  <c r="E844" i="5"/>
  <c r="D844" i="5"/>
  <c r="H843" i="5"/>
  <c r="I843" i="5" s="1"/>
  <c r="V843" i="5"/>
  <c r="W843" i="5" s="1"/>
  <c r="X843" i="5" s="1"/>
  <c r="Y843" i="5" s="1"/>
  <c r="Z843" i="5"/>
  <c r="AA843" i="5" s="1"/>
  <c r="AB843" i="5" s="1"/>
  <c r="D843" i="5"/>
  <c r="E843" i="5"/>
  <c r="H842" i="5"/>
  <c r="I842" i="5" s="1"/>
  <c r="V842" i="5"/>
  <c r="W842" i="5" s="1"/>
  <c r="X842" i="5" s="1"/>
  <c r="Y842" i="5" s="1"/>
  <c r="Z842" i="5" s="1"/>
  <c r="AA842" i="5" s="1"/>
  <c r="AB842" i="5" s="1"/>
  <c r="D842" i="5"/>
  <c r="E842" i="5"/>
  <c r="H841" i="5"/>
  <c r="I841" i="5" s="1"/>
  <c r="V841" i="5"/>
  <c r="W841" i="5" s="1"/>
  <c r="X841" i="5" s="1"/>
  <c r="Y841" i="5" s="1"/>
  <c r="Z841" i="5"/>
  <c r="AA841" i="5" s="1"/>
  <c r="AB841" i="5" s="1"/>
  <c r="E841" i="5"/>
  <c r="D841" i="5"/>
  <c r="H840" i="5"/>
  <c r="I840" i="5" s="1"/>
  <c r="V840" i="5"/>
  <c r="W840" i="5" s="1"/>
  <c r="X840" i="5" s="1"/>
  <c r="Y840" i="5" s="1"/>
  <c r="Z840" i="5" s="1"/>
  <c r="AA840" i="5" s="1"/>
  <c r="AB840" i="5" s="1"/>
  <c r="E840" i="5"/>
  <c r="D840" i="5"/>
  <c r="H839" i="5"/>
  <c r="I839" i="5" s="1"/>
  <c r="V839" i="5"/>
  <c r="W839" i="5" s="1"/>
  <c r="X839" i="5" s="1"/>
  <c r="Y839" i="5" s="1"/>
  <c r="Z839" i="5" s="1"/>
  <c r="AA839" i="5" s="1"/>
  <c r="AB839" i="5" s="1"/>
  <c r="D839" i="5"/>
  <c r="E839" i="5"/>
  <c r="H838" i="5"/>
  <c r="I838" i="5" s="1"/>
  <c r="V838" i="5"/>
  <c r="W838" i="5" s="1"/>
  <c r="X838" i="5" s="1"/>
  <c r="Y838" i="5" s="1"/>
  <c r="Z838" i="5" s="1"/>
  <c r="AA838" i="5" s="1"/>
  <c r="AB838" i="5" s="1"/>
  <c r="E838" i="5"/>
  <c r="D838" i="5"/>
  <c r="H837" i="5"/>
  <c r="I837" i="5" s="1"/>
  <c r="V837" i="5"/>
  <c r="W837" i="5" s="1"/>
  <c r="X837" i="5" s="1"/>
  <c r="Y837" i="5" s="1"/>
  <c r="Z837" i="5"/>
  <c r="AA837" i="5" s="1"/>
  <c r="AB837" i="5" s="1"/>
  <c r="D837" i="5"/>
  <c r="E837" i="5"/>
  <c r="H836" i="5"/>
  <c r="I836" i="5" s="1"/>
  <c r="V836" i="5"/>
  <c r="W836" i="5" s="1"/>
  <c r="X836" i="5" s="1"/>
  <c r="Y836" i="5" s="1"/>
  <c r="Z836" i="5"/>
  <c r="AA836" i="5" s="1"/>
  <c r="AB836" i="5" s="1"/>
  <c r="E836" i="5"/>
  <c r="D836" i="5"/>
  <c r="H835" i="5"/>
  <c r="I835" i="5" s="1"/>
  <c r="V835" i="5"/>
  <c r="W835" i="5" s="1"/>
  <c r="X835" i="5" s="1"/>
  <c r="Y835" i="5" s="1"/>
  <c r="Z835" i="5" s="1"/>
  <c r="AA835" i="5" s="1"/>
  <c r="AB835" i="5" s="1"/>
  <c r="D835" i="5"/>
  <c r="E835" i="5"/>
  <c r="H834" i="5"/>
  <c r="I834" i="5" s="1"/>
  <c r="V834" i="5"/>
  <c r="W834" i="5" s="1"/>
  <c r="X834" i="5" s="1"/>
  <c r="Y834" i="5" s="1"/>
  <c r="Z834" i="5"/>
  <c r="AA834" i="5" s="1"/>
  <c r="AB834" i="5" s="1"/>
  <c r="D834" i="5"/>
  <c r="E834" i="5"/>
  <c r="H833" i="5"/>
  <c r="I833" i="5" s="1"/>
  <c r="V833" i="5"/>
  <c r="W833" i="5" s="1"/>
  <c r="X833" i="5" s="1"/>
  <c r="Y833" i="5" s="1"/>
  <c r="Z833" i="5" s="1"/>
  <c r="AA833" i="5" s="1"/>
  <c r="AB833" i="5" s="1"/>
  <c r="E833" i="5"/>
  <c r="D833" i="5"/>
  <c r="H832" i="5"/>
  <c r="I832" i="5" s="1"/>
  <c r="D832" i="5"/>
  <c r="E832" i="5"/>
  <c r="H831" i="5"/>
  <c r="I831" i="5" s="1"/>
  <c r="V831" i="5"/>
  <c r="W831" i="5" s="1"/>
  <c r="X831" i="5" s="1"/>
  <c r="Y831" i="5" s="1"/>
  <c r="Z831" i="5"/>
  <c r="AA831" i="5" s="1"/>
  <c r="AB831" i="5" s="1"/>
  <c r="D831" i="5"/>
  <c r="E831" i="5"/>
  <c r="H830" i="5"/>
  <c r="I830" i="5" s="1"/>
  <c r="V830" i="5"/>
  <c r="W830" i="5" s="1"/>
  <c r="X830" i="5" s="1"/>
  <c r="Y830" i="5" s="1"/>
  <c r="Z830" i="5" s="1"/>
  <c r="AA830" i="5" s="1"/>
  <c r="AB830" i="5" s="1"/>
  <c r="E830" i="5"/>
  <c r="D830" i="5"/>
  <c r="H829" i="5"/>
  <c r="I829" i="5" s="1"/>
  <c r="V829" i="5"/>
  <c r="W829" i="5" s="1"/>
  <c r="X829" i="5" s="1"/>
  <c r="Y829" i="5" s="1"/>
  <c r="Z829" i="5" s="1"/>
  <c r="AA829" i="5" s="1"/>
  <c r="AB829" i="5" s="1"/>
  <c r="D829" i="5"/>
  <c r="E829" i="5"/>
  <c r="H828" i="5"/>
  <c r="I828" i="5" s="1"/>
  <c r="V828" i="5"/>
  <c r="W828" i="5" s="1"/>
  <c r="X828" i="5" s="1"/>
  <c r="Y828" i="5" s="1"/>
  <c r="Z828" i="5"/>
  <c r="AA828" i="5" s="1"/>
  <c r="AB828" i="5" s="1"/>
  <c r="D828" i="5"/>
  <c r="E828" i="5"/>
  <c r="H827" i="5"/>
  <c r="I827" i="5" s="1"/>
  <c r="V827" i="5"/>
  <c r="W827" i="5" s="1"/>
  <c r="X827" i="5" s="1"/>
  <c r="Y827" i="5" s="1"/>
  <c r="Z827" i="5"/>
  <c r="AA827" i="5" s="1"/>
  <c r="AB827" i="5" s="1"/>
  <c r="D827" i="5"/>
  <c r="E827" i="5"/>
  <c r="H826" i="5"/>
  <c r="I826" i="5" s="1"/>
  <c r="V826" i="5"/>
  <c r="W826" i="5" s="1"/>
  <c r="X826" i="5" s="1"/>
  <c r="Y826" i="5" s="1"/>
  <c r="Z826" i="5"/>
  <c r="AA826" i="5" s="1"/>
  <c r="AB826" i="5" s="1"/>
  <c r="D826" i="5"/>
  <c r="E826" i="5"/>
  <c r="H825" i="5"/>
  <c r="I825" i="5" s="1"/>
  <c r="V825" i="5"/>
  <c r="W825" i="5" s="1"/>
  <c r="X825" i="5" s="1"/>
  <c r="Y825" i="5" s="1"/>
  <c r="Z825" i="5" s="1"/>
  <c r="AA825" i="5" s="1"/>
  <c r="AB825" i="5" s="1"/>
  <c r="D825" i="5"/>
  <c r="E825" i="5"/>
  <c r="H824" i="5"/>
  <c r="I824" i="5" s="1"/>
  <c r="V824" i="5"/>
  <c r="W824" i="5" s="1"/>
  <c r="X824" i="5" s="1"/>
  <c r="Y824" i="5" s="1"/>
  <c r="Z824" i="5" s="1"/>
  <c r="AA824" i="5" s="1"/>
  <c r="AB824" i="5" s="1"/>
  <c r="E824" i="5"/>
  <c r="D824" i="5"/>
  <c r="H823" i="5"/>
  <c r="I823" i="5" s="1"/>
  <c r="V823" i="5"/>
  <c r="W823" i="5" s="1"/>
  <c r="X823" i="5" s="1"/>
  <c r="Y823" i="5" s="1"/>
  <c r="Z823" i="5"/>
  <c r="AA823" i="5" s="1"/>
  <c r="AB823" i="5" s="1"/>
  <c r="E823" i="5"/>
  <c r="D823" i="5"/>
  <c r="H822" i="5"/>
  <c r="I822" i="5" s="1"/>
  <c r="V822" i="5"/>
  <c r="W822" i="5" s="1"/>
  <c r="X822" i="5" s="1"/>
  <c r="Y822" i="5" s="1"/>
  <c r="Z822" i="5"/>
  <c r="AA822" i="5" s="1"/>
  <c r="AB822" i="5" s="1"/>
  <c r="D822" i="5"/>
  <c r="E822" i="5"/>
  <c r="H821" i="5"/>
  <c r="I821" i="5" s="1"/>
  <c r="V821" i="5"/>
  <c r="W821" i="5" s="1"/>
  <c r="X821" i="5" s="1"/>
  <c r="Y821" i="5" s="1"/>
  <c r="Z821" i="5" s="1"/>
  <c r="AA821" i="5" s="1"/>
  <c r="AB821" i="5" s="1"/>
  <c r="E821" i="5"/>
  <c r="D821" i="5"/>
  <c r="H820" i="5"/>
  <c r="I820" i="5" s="1"/>
  <c r="V820" i="5"/>
  <c r="W820" i="5" s="1"/>
  <c r="X820" i="5" s="1"/>
  <c r="Y820" i="5" s="1"/>
  <c r="Z820" i="5"/>
  <c r="AA820" i="5" s="1"/>
  <c r="AB820" i="5" s="1"/>
  <c r="E820" i="5"/>
  <c r="D820" i="5"/>
  <c r="H819" i="5"/>
  <c r="I819" i="5" s="1"/>
  <c r="V819" i="5"/>
  <c r="W819" i="5" s="1"/>
  <c r="X819" i="5" s="1"/>
  <c r="Y819" i="5" s="1"/>
  <c r="Z819" i="5" s="1"/>
  <c r="AA819" i="5" s="1"/>
  <c r="AB819" i="5" s="1"/>
  <c r="E819" i="5"/>
  <c r="D819" i="5"/>
  <c r="H818" i="5"/>
  <c r="I818" i="5" s="1"/>
  <c r="V818" i="5"/>
  <c r="W818" i="5" s="1"/>
  <c r="X818" i="5" s="1"/>
  <c r="Y818" i="5" s="1"/>
  <c r="Z818" i="5" s="1"/>
  <c r="AA818" i="5" s="1"/>
  <c r="AB818" i="5" s="1"/>
  <c r="D818" i="5"/>
  <c r="E818" i="5"/>
  <c r="H817" i="5"/>
  <c r="I817" i="5" s="1"/>
  <c r="V817" i="5"/>
  <c r="W817" i="5" s="1"/>
  <c r="X817" i="5" s="1"/>
  <c r="Y817" i="5" s="1"/>
  <c r="Z817" i="5"/>
  <c r="AA817" i="5" s="1"/>
  <c r="AB817" i="5" s="1"/>
  <c r="E817" i="5"/>
  <c r="D817" i="5"/>
  <c r="H816" i="5"/>
  <c r="I816" i="5" s="1"/>
  <c r="V816" i="5"/>
  <c r="W816" i="5" s="1"/>
  <c r="X816" i="5" s="1"/>
  <c r="Y816" i="5" s="1"/>
  <c r="Z816" i="5"/>
  <c r="AA816" i="5" s="1"/>
  <c r="AB816" i="5" s="1"/>
  <c r="D816" i="5"/>
  <c r="E816" i="5"/>
  <c r="H815" i="5"/>
  <c r="I815" i="5" s="1"/>
  <c r="V815" i="5"/>
  <c r="W815" i="5" s="1"/>
  <c r="X815" i="5" s="1"/>
  <c r="Y815" i="5" s="1"/>
  <c r="Z815" i="5"/>
  <c r="AA815" i="5" s="1"/>
  <c r="AB815" i="5" s="1"/>
  <c r="D815" i="5"/>
  <c r="E815" i="5"/>
  <c r="H814" i="5"/>
  <c r="I814" i="5" s="1"/>
  <c r="V814" i="5"/>
  <c r="W814" i="5" s="1"/>
  <c r="X814" i="5" s="1"/>
  <c r="Y814" i="5" s="1"/>
  <c r="Z814" i="5" s="1"/>
  <c r="AA814" i="5" s="1"/>
  <c r="AB814" i="5" s="1"/>
  <c r="D814" i="5"/>
  <c r="E814" i="5"/>
  <c r="H813" i="5"/>
  <c r="I813" i="5" s="1"/>
  <c r="V813" i="5"/>
  <c r="W813" i="5" s="1"/>
  <c r="X813" i="5" s="1"/>
  <c r="Y813" i="5" s="1"/>
  <c r="Z813" i="5"/>
  <c r="AA813" i="5" s="1"/>
  <c r="AB813" i="5" s="1"/>
  <c r="D813" i="5"/>
  <c r="E813" i="5"/>
  <c r="H812" i="5"/>
  <c r="I812" i="5" s="1"/>
  <c r="V812" i="5"/>
  <c r="W812" i="5" s="1"/>
  <c r="X812" i="5" s="1"/>
  <c r="Y812" i="5" s="1"/>
  <c r="Z812" i="5" s="1"/>
  <c r="AA812" i="5" s="1"/>
  <c r="AB812" i="5" s="1"/>
  <c r="E812" i="5"/>
  <c r="D812" i="5"/>
  <c r="H811" i="5"/>
  <c r="I811" i="5" s="1"/>
  <c r="V811" i="5"/>
  <c r="W811" i="5" s="1"/>
  <c r="X811" i="5" s="1"/>
  <c r="Y811" i="5" s="1"/>
  <c r="Z811" i="5"/>
  <c r="AA811" i="5" s="1"/>
  <c r="AB811" i="5" s="1"/>
  <c r="E811" i="5"/>
  <c r="D811" i="5"/>
  <c r="H810" i="5"/>
  <c r="I810" i="5" s="1"/>
  <c r="V810" i="5"/>
  <c r="W810" i="5" s="1"/>
  <c r="X810" i="5" s="1"/>
  <c r="Y810" i="5" s="1"/>
  <c r="Z810" i="5"/>
  <c r="AA810" i="5" s="1"/>
  <c r="AB810" i="5" s="1"/>
  <c r="D810" i="5"/>
  <c r="E810" i="5"/>
  <c r="H809" i="5"/>
  <c r="I809" i="5" s="1"/>
  <c r="V809" i="5"/>
  <c r="W809" i="5" s="1"/>
  <c r="X809" i="5" s="1"/>
  <c r="Y809" i="5" s="1"/>
  <c r="Z809" i="5" s="1"/>
  <c r="AA809" i="5" s="1"/>
  <c r="AB809" i="5" s="1"/>
  <c r="D809" i="5"/>
  <c r="E809" i="5"/>
  <c r="H808" i="5"/>
  <c r="I808" i="5" s="1"/>
  <c r="V808" i="5"/>
  <c r="W808" i="5" s="1"/>
  <c r="X808" i="5" s="1"/>
  <c r="Y808" i="5" s="1"/>
  <c r="Z808" i="5" s="1"/>
  <c r="AA808" i="5" s="1"/>
  <c r="AB808" i="5" s="1"/>
  <c r="D808" i="5"/>
  <c r="E808" i="5"/>
  <c r="H807" i="5"/>
  <c r="I807" i="5" s="1"/>
  <c r="V807" i="5"/>
  <c r="W807" i="5" s="1"/>
  <c r="X807" i="5" s="1"/>
  <c r="Y807" i="5" s="1"/>
  <c r="Z807" i="5"/>
  <c r="AA807" i="5" s="1"/>
  <c r="AB807" i="5" s="1"/>
  <c r="E807" i="5"/>
  <c r="D807" i="5"/>
  <c r="H806" i="5"/>
  <c r="I806" i="5" s="1"/>
  <c r="V806" i="5"/>
  <c r="W806" i="5" s="1"/>
  <c r="X806" i="5" s="1"/>
  <c r="Y806" i="5" s="1"/>
  <c r="Z806" i="5" s="1"/>
  <c r="AA806" i="5" s="1"/>
  <c r="AB806" i="5" s="1"/>
  <c r="E806" i="5"/>
  <c r="D806" i="5"/>
  <c r="H805" i="5"/>
  <c r="I805" i="5" s="1"/>
  <c r="V805" i="5"/>
  <c r="W805" i="5" s="1"/>
  <c r="X805" i="5" s="1"/>
  <c r="Y805" i="5" s="1"/>
  <c r="Z805" i="5" s="1"/>
  <c r="AA805" i="5" s="1"/>
  <c r="AB805" i="5" s="1"/>
  <c r="D805" i="5"/>
  <c r="E805" i="5"/>
  <c r="H804" i="5"/>
  <c r="I804" i="5" s="1"/>
  <c r="V804" i="5"/>
  <c r="W804" i="5" s="1"/>
  <c r="X804" i="5" s="1"/>
  <c r="Y804" i="5" s="1"/>
  <c r="Z804" i="5" s="1"/>
  <c r="AA804" i="5" s="1"/>
  <c r="AB804" i="5" s="1"/>
  <c r="E804" i="5"/>
  <c r="D804" i="5"/>
  <c r="H803" i="5"/>
  <c r="I803" i="5" s="1"/>
  <c r="V803" i="5"/>
  <c r="W803" i="5" s="1"/>
  <c r="X803" i="5" s="1"/>
  <c r="Y803" i="5" s="1"/>
  <c r="Z803" i="5" s="1"/>
  <c r="AA803" i="5" s="1"/>
  <c r="AB803" i="5" s="1"/>
  <c r="E803" i="5"/>
  <c r="D803" i="5"/>
  <c r="H802" i="5"/>
  <c r="I802" i="5" s="1"/>
  <c r="V802" i="5"/>
  <c r="W802" i="5" s="1"/>
  <c r="X802" i="5" s="1"/>
  <c r="Y802" i="5" s="1"/>
  <c r="Z802" i="5" s="1"/>
  <c r="AA802" i="5" s="1"/>
  <c r="AB802" i="5" s="1"/>
  <c r="E802" i="5"/>
  <c r="D802" i="5"/>
  <c r="H801" i="5"/>
  <c r="I801" i="5" s="1"/>
  <c r="V801" i="5"/>
  <c r="W801" i="5" s="1"/>
  <c r="X801" i="5" s="1"/>
  <c r="Y801" i="5" s="1"/>
  <c r="Z801" i="5" s="1"/>
  <c r="AA801" i="5" s="1"/>
  <c r="AB801" i="5" s="1"/>
  <c r="E801" i="5"/>
  <c r="D801" i="5"/>
  <c r="H800" i="5"/>
  <c r="I800" i="5" s="1"/>
  <c r="V800" i="5"/>
  <c r="W800" i="5" s="1"/>
  <c r="X800" i="5" s="1"/>
  <c r="Y800" i="5" s="1"/>
  <c r="Z800" i="5"/>
  <c r="AA800" i="5" s="1"/>
  <c r="AB800" i="5" s="1"/>
  <c r="D800" i="5"/>
  <c r="E800" i="5"/>
  <c r="H799" i="5"/>
  <c r="I799" i="5" s="1"/>
  <c r="V799" i="5"/>
  <c r="W799" i="5" s="1"/>
  <c r="X799" i="5" s="1"/>
  <c r="Y799" i="5" s="1"/>
  <c r="Z799" i="5"/>
  <c r="AA799" i="5" s="1"/>
  <c r="AB799" i="5" s="1"/>
  <c r="D799" i="5"/>
  <c r="E799" i="5"/>
  <c r="H798" i="5"/>
  <c r="I798" i="5" s="1"/>
  <c r="V798" i="5"/>
  <c r="W798" i="5" s="1"/>
  <c r="X798" i="5" s="1"/>
  <c r="Y798" i="5" s="1"/>
  <c r="Z798" i="5" s="1"/>
  <c r="AA798" i="5" s="1"/>
  <c r="AB798" i="5" s="1"/>
  <c r="E798" i="5"/>
  <c r="D798" i="5"/>
  <c r="H797" i="5"/>
  <c r="I797" i="5" s="1"/>
  <c r="V797" i="5"/>
  <c r="W797" i="5" s="1"/>
  <c r="X797" i="5" s="1"/>
  <c r="Y797" i="5" s="1"/>
  <c r="Z797" i="5" s="1"/>
  <c r="AA797" i="5" s="1"/>
  <c r="AB797" i="5" s="1"/>
  <c r="E797" i="5"/>
  <c r="D797" i="5"/>
  <c r="H796" i="5"/>
  <c r="I796" i="5" s="1"/>
  <c r="V796" i="5"/>
  <c r="W796" i="5" s="1"/>
  <c r="X796" i="5" s="1"/>
  <c r="Y796" i="5" s="1"/>
  <c r="Z796" i="5" s="1"/>
  <c r="AA796" i="5" s="1"/>
  <c r="AB796" i="5" s="1"/>
  <c r="E796" i="5"/>
  <c r="D796" i="5"/>
  <c r="H795" i="5"/>
  <c r="I795" i="5" s="1"/>
  <c r="V795" i="5"/>
  <c r="W795" i="5" s="1"/>
  <c r="X795" i="5" s="1"/>
  <c r="Y795" i="5" s="1"/>
  <c r="Z795" i="5" s="1"/>
  <c r="AA795" i="5" s="1"/>
  <c r="AB795" i="5" s="1"/>
  <c r="D795" i="5"/>
  <c r="E795" i="5"/>
  <c r="H794" i="5"/>
  <c r="I794" i="5" s="1"/>
  <c r="V794" i="5"/>
  <c r="W794" i="5" s="1"/>
  <c r="X794" i="5" s="1"/>
  <c r="Y794" i="5" s="1"/>
  <c r="Z794" i="5"/>
  <c r="AA794" i="5" s="1"/>
  <c r="AB794" i="5" s="1"/>
  <c r="E794" i="5"/>
  <c r="D794" i="5"/>
  <c r="H793" i="5"/>
  <c r="I793" i="5" s="1"/>
  <c r="V793" i="5"/>
  <c r="W793" i="5" s="1"/>
  <c r="X793" i="5" s="1"/>
  <c r="Y793" i="5" s="1"/>
  <c r="Z793" i="5"/>
  <c r="AA793" i="5" s="1"/>
  <c r="AB793" i="5" s="1"/>
  <c r="D793" i="5"/>
  <c r="E793" i="5"/>
  <c r="H792" i="5"/>
  <c r="I792" i="5" s="1"/>
  <c r="V792" i="5"/>
  <c r="W792" i="5" s="1"/>
  <c r="X792" i="5" s="1"/>
  <c r="Y792" i="5" s="1"/>
  <c r="Z792" i="5"/>
  <c r="AA792" i="5" s="1"/>
  <c r="AB792" i="5" s="1"/>
  <c r="D792" i="5"/>
  <c r="E792" i="5"/>
  <c r="H791" i="5"/>
  <c r="I791" i="5" s="1"/>
  <c r="V791" i="5"/>
  <c r="W791" i="5" s="1"/>
  <c r="X791" i="5" s="1"/>
  <c r="Y791" i="5" s="1"/>
  <c r="Z791" i="5" s="1"/>
  <c r="AA791" i="5" s="1"/>
  <c r="AB791" i="5" s="1"/>
  <c r="D791" i="5"/>
  <c r="E791" i="5"/>
  <c r="H790" i="5"/>
  <c r="I790" i="5" s="1"/>
  <c r="V790" i="5"/>
  <c r="W790" i="5" s="1"/>
  <c r="X790" i="5" s="1"/>
  <c r="Y790" i="5" s="1"/>
  <c r="Z790" i="5"/>
  <c r="AA790" i="5" s="1"/>
  <c r="AB790" i="5" s="1"/>
  <c r="D790" i="5"/>
  <c r="E790" i="5"/>
  <c r="H789" i="5"/>
  <c r="I789" i="5" s="1"/>
  <c r="V789" i="5"/>
  <c r="W789" i="5" s="1"/>
  <c r="X789" i="5" s="1"/>
  <c r="Y789" i="5" s="1"/>
  <c r="Z789" i="5"/>
  <c r="AA789" i="5" s="1"/>
  <c r="AB789" i="5" s="1"/>
  <c r="E789" i="5"/>
  <c r="D789" i="5"/>
  <c r="H788" i="5"/>
  <c r="I788" i="5" s="1"/>
  <c r="V788" i="5"/>
  <c r="W788" i="5" s="1"/>
  <c r="X788" i="5" s="1"/>
  <c r="Y788" i="5" s="1"/>
  <c r="Z788" i="5" s="1"/>
  <c r="AA788" i="5" s="1"/>
  <c r="AB788" i="5" s="1"/>
  <c r="E788" i="5"/>
  <c r="D788" i="5"/>
  <c r="H787" i="5"/>
  <c r="I787" i="5" s="1"/>
  <c r="V787" i="5"/>
  <c r="W787" i="5" s="1"/>
  <c r="X787" i="5" s="1"/>
  <c r="Y787" i="5" s="1"/>
  <c r="Z787" i="5" s="1"/>
  <c r="AA787" i="5" s="1"/>
  <c r="AB787" i="5" s="1"/>
  <c r="E787" i="5"/>
  <c r="D787" i="5"/>
  <c r="H786" i="5"/>
  <c r="I786" i="5" s="1"/>
  <c r="V786" i="5"/>
  <c r="W786" i="5" s="1"/>
  <c r="X786" i="5" s="1"/>
  <c r="Y786" i="5" s="1"/>
  <c r="Z786" i="5" s="1"/>
  <c r="AA786" i="5" s="1"/>
  <c r="AB786" i="5" s="1"/>
  <c r="D786" i="5"/>
  <c r="E786" i="5"/>
  <c r="H785" i="5"/>
  <c r="I785" i="5" s="1"/>
  <c r="V785" i="5"/>
  <c r="W785" i="5" s="1"/>
  <c r="X785" i="5" s="1"/>
  <c r="Y785" i="5" s="1"/>
  <c r="Z785" i="5"/>
  <c r="AA785" i="5" s="1"/>
  <c r="AB785" i="5" s="1"/>
  <c r="D785" i="5"/>
  <c r="E785" i="5"/>
  <c r="H784" i="5"/>
  <c r="I784" i="5" s="1"/>
  <c r="V784" i="5"/>
  <c r="W784" i="5" s="1"/>
  <c r="X784" i="5" s="1"/>
  <c r="Y784" i="5" s="1"/>
  <c r="Z784" i="5"/>
  <c r="AA784" i="5" s="1"/>
  <c r="AB784" i="5" s="1"/>
  <c r="D784" i="5"/>
  <c r="E784" i="5"/>
  <c r="H783" i="5"/>
  <c r="I783" i="5" s="1"/>
  <c r="V783" i="5"/>
  <c r="W783" i="5" s="1"/>
  <c r="X783" i="5" s="1"/>
  <c r="Y783" i="5" s="1"/>
  <c r="Z783" i="5" s="1"/>
  <c r="AA783" i="5" s="1"/>
  <c r="AB783" i="5" s="1"/>
  <c r="E783" i="5"/>
  <c r="D783" i="5"/>
  <c r="H782" i="5"/>
  <c r="I782" i="5" s="1"/>
  <c r="V782" i="5"/>
  <c r="W782" i="5" s="1"/>
  <c r="X782" i="5" s="1"/>
  <c r="Y782" i="5" s="1"/>
  <c r="Z782" i="5" s="1"/>
  <c r="AA782" i="5" s="1"/>
  <c r="AB782" i="5" s="1"/>
  <c r="D782" i="5"/>
  <c r="E782" i="5"/>
  <c r="H781" i="5"/>
  <c r="I781" i="5" s="1"/>
  <c r="V781" i="5"/>
  <c r="W781" i="5" s="1"/>
  <c r="X781" i="5" s="1"/>
  <c r="Y781" i="5" s="1"/>
  <c r="Z781" i="5"/>
  <c r="AA781" i="5" s="1"/>
  <c r="AB781" i="5" s="1"/>
  <c r="E781" i="5"/>
  <c r="D781" i="5"/>
  <c r="H780" i="5"/>
  <c r="I780" i="5" s="1"/>
  <c r="V780" i="5"/>
  <c r="W780" i="5" s="1"/>
  <c r="X780" i="5" s="1"/>
  <c r="Y780" i="5" s="1"/>
  <c r="Z780" i="5" s="1"/>
  <c r="AA780" i="5" s="1"/>
  <c r="AB780" i="5" s="1"/>
  <c r="D780" i="5"/>
  <c r="E780" i="5"/>
  <c r="H779" i="5"/>
  <c r="I779" i="5" s="1"/>
  <c r="V779" i="5"/>
  <c r="W779" i="5" s="1"/>
  <c r="X779" i="5" s="1"/>
  <c r="Y779" i="5" s="1"/>
  <c r="Z779" i="5"/>
  <c r="AA779" i="5" s="1"/>
  <c r="AB779" i="5" s="1"/>
  <c r="E779" i="5"/>
  <c r="D779" i="5"/>
  <c r="H778" i="5"/>
  <c r="I778" i="5" s="1"/>
  <c r="V778" i="5"/>
  <c r="W778" i="5" s="1"/>
  <c r="X778" i="5" s="1"/>
  <c r="Y778" i="5" s="1"/>
  <c r="Z778" i="5"/>
  <c r="AA778" i="5" s="1"/>
  <c r="AB778" i="5" s="1"/>
  <c r="E778" i="5"/>
  <c r="D778" i="5"/>
  <c r="H777" i="5"/>
  <c r="I777" i="5" s="1"/>
  <c r="V777" i="5"/>
  <c r="W777" i="5" s="1"/>
  <c r="X777" i="5" s="1"/>
  <c r="Y777" i="5" s="1"/>
  <c r="Z777" i="5" s="1"/>
  <c r="AA777" i="5" s="1"/>
  <c r="AB777" i="5" s="1"/>
  <c r="D777" i="5"/>
  <c r="E777" i="5"/>
  <c r="H776" i="5"/>
  <c r="I776" i="5" s="1"/>
  <c r="V776" i="5"/>
  <c r="W776" i="5" s="1"/>
  <c r="X776" i="5" s="1"/>
  <c r="Y776" i="5" s="1"/>
  <c r="Z776" i="5" s="1"/>
  <c r="AA776" i="5" s="1"/>
  <c r="AB776" i="5" s="1"/>
  <c r="E776" i="5"/>
  <c r="D776" i="5"/>
  <c r="H775" i="5"/>
  <c r="I775" i="5" s="1"/>
  <c r="V775" i="5"/>
  <c r="W775" i="5" s="1"/>
  <c r="X775" i="5" s="1"/>
  <c r="Y775" i="5" s="1"/>
  <c r="Z775" i="5" s="1"/>
  <c r="AA775" i="5" s="1"/>
  <c r="AB775" i="5" s="1"/>
  <c r="E775" i="5"/>
  <c r="D775" i="5"/>
  <c r="H774" i="5"/>
  <c r="I774" i="5" s="1"/>
  <c r="V774" i="5"/>
  <c r="W774" i="5" s="1"/>
  <c r="X774" i="5" s="1"/>
  <c r="Y774" i="5" s="1"/>
  <c r="Z774" i="5" s="1"/>
  <c r="AA774" i="5" s="1"/>
  <c r="AB774" i="5" s="1"/>
  <c r="E774" i="5"/>
  <c r="D774" i="5"/>
  <c r="H773" i="5"/>
  <c r="I773" i="5" s="1"/>
  <c r="V773" i="5"/>
  <c r="W773" i="5" s="1"/>
  <c r="X773" i="5" s="1"/>
  <c r="Y773" i="5" s="1"/>
  <c r="Z773" i="5" s="1"/>
  <c r="AA773" i="5" s="1"/>
  <c r="AB773" i="5" s="1"/>
  <c r="E773" i="5"/>
  <c r="D773" i="5"/>
  <c r="H772" i="5"/>
  <c r="I772" i="5" s="1"/>
  <c r="V772" i="5"/>
  <c r="W772" i="5" s="1"/>
  <c r="X772" i="5" s="1"/>
  <c r="Y772" i="5" s="1"/>
  <c r="Z772" i="5" s="1"/>
  <c r="AA772" i="5" s="1"/>
  <c r="AB772" i="5" s="1"/>
  <c r="E772" i="5"/>
  <c r="D772" i="5"/>
  <c r="H771" i="5"/>
  <c r="I771" i="5" s="1"/>
  <c r="V771" i="5"/>
  <c r="W771" i="5" s="1"/>
  <c r="X771" i="5" s="1"/>
  <c r="Y771" i="5" s="1"/>
  <c r="Z771" i="5" s="1"/>
  <c r="AA771" i="5" s="1"/>
  <c r="AB771" i="5" s="1"/>
  <c r="D771" i="5"/>
  <c r="E771" i="5"/>
  <c r="H770" i="5"/>
  <c r="I770" i="5" s="1"/>
  <c r="V770" i="5"/>
  <c r="W770" i="5" s="1"/>
  <c r="X770" i="5" s="1"/>
  <c r="Y770" i="5" s="1"/>
  <c r="Z770" i="5" s="1"/>
  <c r="AA770" i="5" s="1"/>
  <c r="AB770" i="5" s="1"/>
  <c r="D770" i="5"/>
  <c r="E770" i="5"/>
  <c r="H769" i="5"/>
  <c r="I769" i="5" s="1"/>
  <c r="V769" i="5"/>
  <c r="W769" i="5" s="1"/>
  <c r="X769" i="5" s="1"/>
  <c r="Y769" i="5" s="1"/>
  <c r="Z769" i="5" s="1"/>
  <c r="AA769" i="5" s="1"/>
  <c r="AB769" i="5" s="1"/>
  <c r="E769" i="5"/>
  <c r="D769" i="5"/>
  <c r="H768" i="5"/>
  <c r="I768" i="5" s="1"/>
  <c r="V768" i="5"/>
  <c r="W768" i="5" s="1"/>
  <c r="X768" i="5" s="1"/>
  <c r="Y768" i="5" s="1"/>
  <c r="Z768" i="5" s="1"/>
  <c r="AA768" i="5" s="1"/>
  <c r="AB768" i="5" s="1"/>
  <c r="E768" i="5"/>
  <c r="D768" i="5"/>
  <c r="H767" i="5"/>
  <c r="I767" i="5" s="1"/>
  <c r="V767" i="5"/>
  <c r="W767" i="5" s="1"/>
  <c r="X767" i="5" s="1"/>
  <c r="Y767" i="5" s="1"/>
  <c r="Z767" i="5" s="1"/>
  <c r="AA767" i="5" s="1"/>
  <c r="AB767" i="5" s="1"/>
  <c r="E767" i="5"/>
  <c r="D767" i="5"/>
  <c r="H766" i="5"/>
  <c r="I766" i="5" s="1"/>
  <c r="V766" i="5"/>
  <c r="W766" i="5" s="1"/>
  <c r="X766" i="5" s="1"/>
  <c r="Y766" i="5" s="1"/>
  <c r="Z766" i="5"/>
  <c r="AA766" i="5" s="1"/>
  <c r="AB766" i="5" s="1"/>
  <c r="E766" i="5"/>
  <c r="D766" i="5"/>
  <c r="H765" i="5"/>
  <c r="I765" i="5" s="1"/>
  <c r="V765" i="5"/>
  <c r="W765" i="5" s="1"/>
  <c r="X765" i="5" s="1"/>
  <c r="Y765" i="5" s="1"/>
  <c r="Z765" i="5" s="1"/>
  <c r="AA765" i="5" s="1"/>
  <c r="AB765" i="5" s="1"/>
  <c r="E765" i="5"/>
  <c r="D765" i="5"/>
  <c r="H764" i="5"/>
  <c r="I764" i="5" s="1"/>
  <c r="V764" i="5"/>
  <c r="W764" i="5" s="1"/>
  <c r="X764" i="5" s="1"/>
  <c r="Y764" i="5" s="1"/>
  <c r="Z764" i="5" s="1"/>
  <c r="AA764" i="5" s="1"/>
  <c r="AB764" i="5" s="1"/>
  <c r="E764" i="5"/>
  <c r="D764" i="5"/>
  <c r="H763" i="5"/>
  <c r="I763" i="5" s="1"/>
  <c r="V763" i="5"/>
  <c r="W763" i="5" s="1"/>
  <c r="X763" i="5" s="1"/>
  <c r="Y763" i="5" s="1"/>
  <c r="Z763" i="5"/>
  <c r="AA763" i="5" s="1"/>
  <c r="AB763" i="5" s="1"/>
  <c r="D763" i="5"/>
  <c r="E763" i="5"/>
  <c r="H762" i="5"/>
  <c r="I762" i="5" s="1"/>
  <c r="V762" i="5"/>
  <c r="W762" i="5" s="1"/>
  <c r="X762" i="5" s="1"/>
  <c r="Y762" i="5" s="1"/>
  <c r="Z762" i="5"/>
  <c r="AA762" i="5" s="1"/>
  <c r="AB762" i="5" s="1"/>
  <c r="D762" i="5"/>
  <c r="E762" i="5"/>
  <c r="H761" i="5"/>
  <c r="I761" i="5" s="1"/>
  <c r="V761" i="5"/>
  <c r="W761" i="5" s="1"/>
  <c r="X761" i="5" s="1"/>
  <c r="Y761" i="5" s="1"/>
  <c r="Z761" i="5"/>
  <c r="AA761" i="5" s="1"/>
  <c r="AB761" i="5" s="1"/>
  <c r="E761" i="5"/>
  <c r="D761" i="5"/>
  <c r="H760" i="5"/>
  <c r="I760" i="5" s="1"/>
  <c r="V760" i="5"/>
  <c r="W760" i="5" s="1"/>
  <c r="X760" i="5" s="1"/>
  <c r="Y760" i="5" s="1"/>
  <c r="Z760" i="5"/>
  <c r="AA760" i="5" s="1"/>
  <c r="AB760" i="5" s="1"/>
  <c r="D760" i="5"/>
  <c r="E760" i="5"/>
  <c r="H759" i="5"/>
  <c r="I759" i="5" s="1"/>
  <c r="V759" i="5"/>
  <c r="W759" i="5" s="1"/>
  <c r="X759" i="5" s="1"/>
  <c r="Y759" i="5" s="1"/>
  <c r="Z759" i="5"/>
  <c r="AA759" i="5" s="1"/>
  <c r="AB759" i="5" s="1"/>
  <c r="D759" i="5"/>
  <c r="E759" i="5"/>
  <c r="H758" i="5"/>
  <c r="I758" i="5" s="1"/>
  <c r="V758" i="5"/>
  <c r="W758" i="5" s="1"/>
  <c r="X758" i="5" s="1"/>
  <c r="Y758" i="5" s="1"/>
  <c r="Z758" i="5"/>
  <c r="AA758" i="5" s="1"/>
  <c r="AB758" i="5" s="1"/>
  <c r="D758" i="5"/>
  <c r="E758" i="5"/>
  <c r="H757" i="5"/>
  <c r="I757" i="5" s="1"/>
  <c r="V757" i="5"/>
  <c r="W757" i="5" s="1"/>
  <c r="X757" i="5" s="1"/>
  <c r="Y757" i="5" s="1"/>
  <c r="Z757" i="5"/>
  <c r="AA757" i="5" s="1"/>
  <c r="AB757" i="5" s="1"/>
  <c r="D757" i="5"/>
  <c r="E757" i="5"/>
  <c r="H756" i="5"/>
  <c r="I756" i="5" s="1"/>
  <c r="V756" i="5"/>
  <c r="W756" i="5" s="1"/>
  <c r="X756" i="5" s="1"/>
  <c r="Y756" i="5" s="1"/>
  <c r="Z756" i="5"/>
  <c r="AA756" i="5" s="1"/>
  <c r="AB756" i="5" s="1"/>
  <c r="E756" i="5"/>
  <c r="D756" i="5"/>
  <c r="H755" i="5"/>
  <c r="I755" i="5" s="1"/>
  <c r="V755" i="5"/>
  <c r="W755" i="5" s="1"/>
  <c r="X755" i="5" s="1"/>
  <c r="Y755" i="5" s="1"/>
  <c r="Z755" i="5" s="1"/>
  <c r="AA755" i="5" s="1"/>
  <c r="AB755" i="5" s="1"/>
  <c r="E755" i="5"/>
  <c r="D755" i="5"/>
  <c r="H754" i="5"/>
  <c r="I754" i="5" s="1"/>
  <c r="V754" i="5"/>
  <c r="W754" i="5" s="1"/>
  <c r="X754" i="5" s="1"/>
  <c r="Y754" i="5" s="1"/>
  <c r="Z754" i="5"/>
  <c r="AA754" i="5" s="1"/>
  <c r="AB754" i="5" s="1"/>
  <c r="D754" i="5"/>
  <c r="E754" i="5"/>
  <c r="H753" i="5"/>
  <c r="I753" i="5" s="1"/>
  <c r="V753" i="5"/>
  <c r="W753" i="5" s="1"/>
  <c r="X753" i="5" s="1"/>
  <c r="Y753" i="5" s="1"/>
  <c r="Z753" i="5" s="1"/>
  <c r="AA753" i="5" s="1"/>
  <c r="AB753" i="5" s="1"/>
  <c r="E753" i="5"/>
  <c r="D753" i="5"/>
  <c r="H752" i="5"/>
  <c r="I752" i="5" s="1"/>
  <c r="V752" i="5"/>
  <c r="W752" i="5" s="1"/>
  <c r="X752" i="5" s="1"/>
  <c r="Y752" i="5" s="1"/>
  <c r="Z752" i="5"/>
  <c r="AA752" i="5" s="1"/>
  <c r="AB752" i="5" s="1"/>
  <c r="D752" i="5"/>
  <c r="E752" i="5"/>
  <c r="H751" i="5"/>
  <c r="I751" i="5" s="1"/>
  <c r="V751" i="5"/>
  <c r="W751" i="5" s="1"/>
  <c r="X751" i="5" s="1"/>
  <c r="Y751" i="5" s="1"/>
  <c r="Z751" i="5" s="1"/>
  <c r="AA751" i="5" s="1"/>
  <c r="AB751" i="5" s="1"/>
  <c r="D751" i="5"/>
  <c r="E751" i="5"/>
  <c r="H750" i="5"/>
  <c r="I750" i="5" s="1"/>
  <c r="V750" i="5"/>
  <c r="W750" i="5" s="1"/>
  <c r="X750" i="5" s="1"/>
  <c r="Y750" i="5" s="1"/>
  <c r="Z750" i="5"/>
  <c r="AA750" i="5" s="1"/>
  <c r="AB750" i="5" s="1"/>
  <c r="D750" i="5"/>
  <c r="E750" i="5"/>
  <c r="H749" i="5"/>
  <c r="I749" i="5" s="1"/>
  <c r="V749" i="5"/>
  <c r="W749" i="5" s="1"/>
  <c r="X749" i="5" s="1"/>
  <c r="Y749" i="5" s="1"/>
  <c r="Z749" i="5" s="1"/>
  <c r="AA749" i="5" s="1"/>
  <c r="AB749" i="5" s="1"/>
  <c r="E749" i="5"/>
  <c r="D749" i="5"/>
  <c r="H748" i="5"/>
  <c r="I748" i="5" s="1"/>
  <c r="V748" i="5"/>
  <c r="W748" i="5" s="1"/>
  <c r="X748" i="5" s="1"/>
  <c r="Y748" i="5" s="1"/>
  <c r="Z748" i="5" s="1"/>
  <c r="AA748" i="5" s="1"/>
  <c r="AB748" i="5" s="1"/>
  <c r="E748" i="5"/>
  <c r="D748" i="5"/>
  <c r="H747" i="5"/>
  <c r="I747" i="5" s="1"/>
  <c r="V747" i="5"/>
  <c r="W747" i="5" s="1"/>
  <c r="X747" i="5" s="1"/>
  <c r="Y747" i="5" s="1"/>
  <c r="Z747" i="5" s="1"/>
  <c r="AA747" i="5" s="1"/>
  <c r="AB747" i="5" s="1"/>
  <c r="E747" i="5"/>
  <c r="D747" i="5"/>
  <c r="H746" i="5"/>
  <c r="I746" i="5" s="1"/>
  <c r="V746" i="5"/>
  <c r="W746" i="5" s="1"/>
  <c r="X746" i="5" s="1"/>
  <c r="Y746" i="5" s="1"/>
  <c r="Z746" i="5" s="1"/>
  <c r="AA746" i="5" s="1"/>
  <c r="AB746" i="5" s="1"/>
  <c r="E746" i="5"/>
  <c r="D746" i="5"/>
  <c r="H745" i="5"/>
  <c r="I745" i="5" s="1"/>
  <c r="V745" i="5"/>
  <c r="W745" i="5" s="1"/>
  <c r="X745" i="5" s="1"/>
  <c r="Y745" i="5" s="1"/>
  <c r="Z745" i="5" s="1"/>
  <c r="AA745" i="5" s="1"/>
  <c r="AB745" i="5" s="1"/>
  <c r="D745" i="5"/>
  <c r="E745" i="5"/>
  <c r="H744" i="5"/>
  <c r="I744" i="5" s="1"/>
  <c r="V744" i="5"/>
  <c r="W744" i="5" s="1"/>
  <c r="X744" i="5" s="1"/>
  <c r="Y744" i="5" s="1"/>
  <c r="Z744" i="5" s="1"/>
  <c r="AA744" i="5" s="1"/>
  <c r="AB744" i="5" s="1"/>
  <c r="D744" i="5"/>
  <c r="E744" i="5"/>
  <c r="H743" i="5"/>
  <c r="I743" i="5" s="1"/>
  <c r="V743" i="5"/>
  <c r="W743" i="5" s="1"/>
  <c r="X743" i="5" s="1"/>
  <c r="Y743" i="5" s="1"/>
  <c r="Z743" i="5" s="1"/>
  <c r="AA743" i="5" s="1"/>
  <c r="AB743" i="5" s="1"/>
  <c r="D743" i="5"/>
  <c r="E743" i="5"/>
  <c r="H742" i="5"/>
  <c r="I742" i="5" s="1"/>
  <c r="V742" i="5"/>
  <c r="W742" i="5" s="1"/>
  <c r="X742" i="5" s="1"/>
  <c r="Y742" i="5" s="1"/>
  <c r="Z742" i="5" s="1"/>
  <c r="AA742" i="5" s="1"/>
  <c r="AB742" i="5" s="1"/>
  <c r="D742" i="5"/>
  <c r="E742" i="5"/>
  <c r="H741" i="5"/>
  <c r="I741" i="5" s="1"/>
  <c r="V741" i="5"/>
  <c r="W741" i="5" s="1"/>
  <c r="X741" i="5" s="1"/>
  <c r="Y741" i="5" s="1"/>
  <c r="Z741" i="5" s="1"/>
  <c r="AA741" i="5" s="1"/>
  <c r="AB741" i="5" s="1"/>
  <c r="E741" i="5"/>
  <c r="D741" i="5"/>
  <c r="H740" i="5"/>
  <c r="I740" i="5" s="1"/>
  <c r="V740" i="5"/>
  <c r="W740" i="5" s="1"/>
  <c r="X740" i="5" s="1"/>
  <c r="Y740" i="5" s="1"/>
  <c r="Z740" i="5" s="1"/>
  <c r="AA740" i="5" s="1"/>
  <c r="AB740" i="5" s="1"/>
  <c r="E740" i="5"/>
  <c r="D740" i="5"/>
  <c r="H739" i="5"/>
  <c r="I739" i="5" s="1"/>
  <c r="V739" i="5"/>
  <c r="W739" i="5" s="1"/>
  <c r="X739" i="5" s="1"/>
  <c r="Y739" i="5" s="1"/>
  <c r="Z739" i="5" s="1"/>
  <c r="AA739" i="5" s="1"/>
  <c r="AB739" i="5" s="1"/>
  <c r="E739" i="5"/>
  <c r="D739" i="5"/>
  <c r="H738" i="5"/>
  <c r="I738" i="5" s="1"/>
  <c r="V738" i="5"/>
  <c r="W738" i="5" s="1"/>
  <c r="X738" i="5" s="1"/>
  <c r="Y738" i="5" s="1"/>
  <c r="Z738" i="5" s="1"/>
  <c r="AA738" i="5" s="1"/>
  <c r="AB738" i="5" s="1"/>
  <c r="D738" i="5"/>
  <c r="E738" i="5"/>
  <c r="H737" i="5"/>
  <c r="I737" i="5" s="1"/>
  <c r="V737" i="5"/>
  <c r="W737" i="5" s="1"/>
  <c r="X737" i="5" s="1"/>
  <c r="Y737" i="5" s="1"/>
  <c r="Z737" i="5" s="1"/>
  <c r="AA737" i="5" s="1"/>
  <c r="AB737" i="5" s="1"/>
  <c r="D737" i="5"/>
  <c r="E737" i="5"/>
  <c r="H736" i="5"/>
  <c r="I736" i="5" s="1"/>
  <c r="V736" i="5"/>
  <c r="W736" i="5" s="1"/>
  <c r="X736" i="5" s="1"/>
  <c r="Y736" i="5" s="1"/>
  <c r="Z736" i="5" s="1"/>
  <c r="AA736" i="5" s="1"/>
  <c r="AB736" i="5" s="1"/>
  <c r="E736" i="5"/>
  <c r="D736" i="5"/>
  <c r="H735" i="5"/>
  <c r="I735" i="5" s="1"/>
  <c r="V735" i="5"/>
  <c r="W735" i="5" s="1"/>
  <c r="X735" i="5" s="1"/>
  <c r="Y735" i="5" s="1"/>
  <c r="Z735" i="5" s="1"/>
  <c r="AA735" i="5" s="1"/>
  <c r="AB735" i="5" s="1"/>
  <c r="D735" i="5"/>
  <c r="E735" i="5"/>
  <c r="H734" i="5"/>
  <c r="I734" i="5" s="1"/>
  <c r="V734" i="5"/>
  <c r="W734" i="5" s="1"/>
  <c r="X734" i="5" s="1"/>
  <c r="Y734" i="5" s="1"/>
  <c r="Z734" i="5" s="1"/>
  <c r="AA734" i="5" s="1"/>
  <c r="AB734" i="5" s="1"/>
  <c r="E734" i="5"/>
  <c r="D734" i="5"/>
  <c r="H733" i="5"/>
  <c r="I733" i="5" s="1"/>
  <c r="V733" i="5"/>
  <c r="W733" i="5" s="1"/>
  <c r="X733" i="5" s="1"/>
  <c r="Y733" i="5" s="1"/>
  <c r="Z733" i="5" s="1"/>
  <c r="AA733" i="5" s="1"/>
  <c r="AB733" i="5" s="1"/>
  <c r="E733" i="5"/>
  <c r="D733" i="5"/>
  <c r="H732" i="5"/>
  <c r="I732" i="5" s="1"/>
  <c r="V732" i="5"/>
  <c r="W732" i="5" s="1"/>
  <c r="X732" i="5" s="1"/>
  <c r="Y732" i="5" s="1"/>
  <c r="Z732" i="5" s="1"/>
  <c r="AA732" i="5" s="1"/>
  <c r="AB732" i="5" s="1"/>
  <c r="E732" i="5"/>
  <c r="D732" i="5"/>
  <c r="H731" i="5"/>
  <c r="I731" i="5" s="1"/>
  <c r="V731" i="5"/>
  <c r="W731" i="5" s="1"/>
  <c r="X731" i="5" s="1"/>
  <c r="Y731" i="5" s="1"/>
  <c r="Z731" i="5" s="1"/>
  <c r="AA731" i="5" s="1"/>
  <c r="AB731" i="5" s="1"/>
  <c r="E731" i="5"/>
  <c r="D731" i="5"/>
  <c r="H730" i="5"/>
  <c r="I730" i="5" s="1"/>
  <c r="V730" i="5"/>
  <c r="W730" i="5" s="1"/>
  <c r="X730" i="5" s="1"/>
  <c r="Y730" i="5" s="1"/>
  <c r="Z730" i="5" s="1"/>
  <c r="AA730" i="5" s="1"/>
  <c r="AB730" i="5" s="1"/>
  <c r="E730" i="5"/>
  <c r="D730" i="5"/>
  <c r="H729" i="5"/>
  <c r="I729" i="5" s="1"/>
  <c r="V729" i="5"/>
  <c r="W729" i="5" s="1"/>
  <c r="X729" i="5" s="1"/>
  <c r="Y729" i="5" s="1"/>
  <c r="Z729" i="5" s="1"/>
  <c r="AA729" i="5" s="1"/>
  <c r="AB729" i="5" s="1"/>
  <c r="E729" i="5"/>
  <c r="D729" i="5"/>
  <c r="H728" i="5"/>
  <c r="I728" i="5" s="1"/>
  <c r="V728" i="5"/>
  <c r="W728" i="5" s="1"/>
  <c r="X728" i="5" s="1"/>
  <c r="Y728" i="5" s="1"/>
  <c r="Z728" i="5" s="1"/>
  <c r="AA728" i="5" s="1"/>
  <c r="AB728" i="5" s="1"/>
  <c r="E728" i="5"/>
  <c r="D728" i="5"/>
  <c r="H727" i="5"/>
  <c r="I727" i="5" s="1"/>
  <c r="V727" i="5"/>
  <c r="W727" i="5" s="1"/>
  <c r="X727" i="5" s="1"/>
  <c r="Y727" i="5" s="1"/>
  <c r="Z727" i="5" s="1"/>
  <c r="AA727" i="5" s="1"/>
  <c r="AB727" i="5" s="1"/>
  <c r="E727" i="5"/>
  <c r="D727" i="5"/>
  <c r="H726" i="5"/>
  <c r="I726" i="5" s="1"/>
  <c r="V726" i="5"/>
  <c r="W726" i="5" s="1"/>
  <c r="X726" i="5" s="1"/>
  <c r="Y726" i="5" s="1"/>
  <c r="Z726" i="5" s="1"/>
  <c r="AA726" i="5" s="1"/>
  <c r="AB726" i="5" s="1"/>
  <c r="E726" i="5"/>
  <c r="D726" i="5"/>
  <c r="H725" i="5"/>
  <c r="I725" i="5" s="1"/>
  <c r="V725" i="5"/>
  <c r="W725" i="5" s="1"/>
  <c r="X725" i="5" s="1"/>
  <c r="Y725" i="5" s="1"/>
  <c r="Z725" i="5" s="1"/>
  <c r="AA725" i="5" s="1"/>
  <c r="AB725" i="5" s="1"/>
  <c r="D725" i="5"/>
  <c r="E725" i="5"/>
  <c r="H724" i="5"/>
  <c r="I724" i="5" s="1"/>
  <c r="V724" i="5"/>
  <c r="W724" i="5" s="1"/>
  <c r="X724" i="5" s="1"/>
  <c r="Y724" i="5" s="1"/>
  <c r="Z724" i="5" s="1"/>
  <c r="AA724" i="5" s="1"/>
  <c r="AB724" i="5" s="1"/>
  <c r="E724" i="5"/>
  <c r="D724" i="5"/>
  <c r="H723" i="5"/>
  <c r="I723" i="5" s="1"/>
  <c r="V723" i="5"/>
  <c r="W723" i="5" s="1"/>
  <c r="X723" i="5" s="1"/>
  <c r="Y723" i="5" s="1"/>
  <c r="Z723" i="5" s="1"/>
  <c r="AA723" i="5" s="1"/>
  <c r="AB723" i="5" s="1"/>
  <c r="E723" i="5"/>
  <c r="D723" i="5"/>
  <c r="H722" i="5"/>
  <c r="I722" i="5" s="1"/>
  <c r="V722" i="5"/>
  <c r="W722" i="5" s="1"/>
  <c r="X722" i="5" s="1"/>
  <c r="Y722" i="5" s="1"/>
  <c r="Z722" i="5" s="1"/>
  <c r="AA722" i="5" s="1"/>
  <c r="AB722" i="5" s="1"/>
  <c r="D722" i="5"/>
  <c r="E722" i="5"/>
  <c r="H721" i="5"/>
  <c r="I721" i="5" s="1"/>
  <c r="V721" i="5"/>
  <c r="W721" i="5" s="1"/>
  <c r="X721" i="5" s="1"/>
  <c r="Y721" i="5" s="1"/>
  <c r="Z721" i="5" s="1"/>
  <c r="AA721" i="5" s="1"/>
  <c r="AB721" i="5" s="1"/>
  <c r="E721" i="5"/>
  <c r="D721" i="5"/>
  <c r="H720" i="5"/>
  <c r="I720" i="5" s="1"/>
  <c r="V720" i="5"/>
  <c r="W720" i="5" s="1"/>
  <c r="X720" i="5" s="1"/>
  <c r="Y720" i="5" s="1"/>
  <c r="Z720" i="5" s="1"/>
  <c r="AA720" i="5" s="1"/>
  <c r="AB720" i="5" s="1"/>
  <c r="E720" i="5"/>
  <c r="D720" i="5"/>
  <c r="H719" i="5"/>
  <c r="I719" i="5" s="1"/>
  <c r="V719" i="5"/>
  <c r="W719" i="5" s="1"/>
  <c r="X719" i="5" s="1"/>
  <c r="Y719" i="5" s="1"/>
  <c r="Z719" i="5" s="1"/>
  <c r="AA719" i="5" s="1"/>
  <c r="AB719" i="5" s="1"/>
  <c r="E719" i="5"/>
  <c r="D719" i="5"/>
  <c r="H718" i="5"/>
  <c r="I718" i="5" s="1"/>
  <c r="V718" i="5"/>
  <c r="W718" i="5" s="1"/>
  <c r="X718" i="5" s="1"/>
  <c r="Y718" i="5" s="1"/>
  <c r="Z718" i="5" s="1"/>
  <c r="AA718" i="5" s="1"/>
  <c r="AB718" i="5" s="1"/>
  <c r="E718" i="5"/>
  <c r="D718" i="5"/>
  <c r="H717" i="5"/>
  <c r="I717" i="5" s="1"/>
  <c r="V717" i="5"/>
  <c r="W717" i="5" s="1"/>
  <c r="X717" i="5" s="1"/>
  <c r="Y717" i="5" s="1"/>
  <c r="Z717" i="5" s="1"/>
  <c r="AA717" i="5" s="1"/>
  <c r="AB717" i="5" s="1"/>
  <c r="D717" i="5"/>
  <c r="E717" i="5"/>
  <c r="H716" i="5"/>
  <c r="I716" i="5" s="1"/>
  <c r="V716" i="5"/>
  <c r="W716" i="5" s="1"/>
  <c r="X716" i="5" s="1"/>
  <c r="Y716" i="5" s="1"/>
  <c r="Z716" i="5" s="1"/>
  <c r="AA716" i="5" s="1"/>
  <c r="AB716" i="5" s="1"/>
  <c r="D716" i="5"/>
  <c r="E716" i="5"/>
  <c r="H715" i="5"/>
  <c r="I715" i="5" s="1"/>
  <c r="V715" i="5"/>
  <c r="W715" i="5" s="1"/>
  <c r="X715" i="5" s="1"/>
  <c r="Y715" i="5" s="1"/>
  <c r="Z715" i="5" s="1"/>
  <c r="AA715" i="5" s="1"/>
  <c r="AB715" i="5" s="1"/>
  <c r="E715" i="5"/>
  <c r="D715" i="5"/>
  <c r="H714" i="5"/>
  <c r="I714" i="5" s="1"/>
  <c r="V714" i="5"/>
  <c r="W714" i="5" s="1"/>
  <c r="X714" i="5" s="1"/>
  <c r="Y714" i="5" s="1"/>
  <c r="Z714" i="5" s="1"/>
  <c r="AA714" i="5" s="1"/>
  <c r="AB714" i="5" s="1"/>
  <c r="E714" i="5"/>
  <c r="D714" i="5"/>
  <c r="H713" i="5"/>
  <c r="I713" i="5" s="1"/>
  <c r="D713" i="5"/>
  <c r="E713" i="5"/>
  <c r="H712" i="5"/>
  <c r="I712" i="5" s="1"/>
  <c r="V712" i="5"/>
  <c r="W712" i="5" s="1"/>
  <c r="X712" i="5" s="1"/>
  <c r="Y712" i="5" s="1"/>
  <c r="Z712" i="5" s="1"/>
  <c r="AA712" i="5" s="1"/>
  <c r="AB712" i="5" s="1"/>
  <c r="E712" i="5"/>
  <c r="D712" i="5"/>
  <c r="H711" i="5"/>
  <c r="I711" i="5" s="1"/>
  <c r="V711" i="5"/>
  <c r="W711" i="5" s="1"/>
  <c r="X711" i="5" s="1"/>
  <c r="Y711" i="5" s="1"/>
  <c r="Z711" i="5"/>
  <c r="AA711" i="5" s="1"/>
  <c r="AB711" i="5" s="1"/>
  <c r="D711" i="5"/>
  <c r="E711" i="5"/>
  <c r="H710" i="5"/>
  <c r="I710" i="5" s="1"/>
  <c r="V710" i="5"/>
  <c r="W710" i="5" s="1"/>
  <c r="X710" i="5" s="1"/>
  <c r="Y710" i="5" s="1"/>
  <c r="Z710" i="5"/>
  <c r="AA710" i="5" s="1"/>
  <c r="AB710" i="5" s="1"/>
  <c r="D710" i="5"/>
  <c r="E710" i="5"/>
  <c r="H709" i="5"/>
  <c r="I709" i="5" s="1"/>
  <c r="V709" i="5"/>
  <c r="W709" i="5" s="1"/>
  <c r="X709" i="5" s="1"/>
  <c r="Y709" i="5" s="1"/>
  <c r="Z709" i="5"/>
  <c r="AA709" i="5" s="1"/>
  <c r="AB709" i="5" s="1"/>
  <c r="D709" i="5"/>
  <c r="E709" i="5"/>
  <c r="H708" i="5"/>
  <c r="I708" i="5" s="1"/>
  <c r="V708" i="5"/>
  <c r="W708" i="5" s="1"/>
  <c r="X708" i="5" s="1"/>
  <c r="Y708" i="5" s="1"/>
  <c r="Z708" i="5"/>
  <c r="AA708" i="5" s="1"/>
  <c r="AB708" i="5" s="1"/>
  <c r="E708" i="5"/>
  <c r="D708" i="5"/>
  <c r="H707" i="5"/>
  <c r="I707" i="5" s="1"/>
  <c r="V707" i="5"/>
  <c r="W707" i="5" s="1"/>
  <c r="X707" i="5" s="1"/>
  <c r="Y707" i="5" s="1"/>
  <c r="Z707" i="5" s="1"/>
  <c r="AA707" i="5" s="1"/>
  <c r="AB707" i="5" s="1"/>
  <c r="D707" i="5"/>
  <c r="E707" i="5"/>
  <c r="H706" i="5"/>
  <c r="I706" i="5" s="1"/>
  <c r="V706" i="5"/>
  <c r="W706" i="5" s="1"/>
  <c r="X706" i="5" s="1"/>
  <c r="Y706" i="5" s="1"/>
  <c r="Z706" i="5"/>
  <c r="AA706" i="5" s="1"/>
  <c r="AB706" i="5" s="1"/>
  <c r="E706" i="5"/>
  <c r="D706" i="5"/>
  <c r="H705" i="5"/>
  <c r="I705" i="5" s="1"/>
  <c r="V705" i="5"/>
  <c r="W705" i="5" s="1"/>
  <c r="X705" i="5" s="1"/>
  <c r="Y705" i="5" s="1"/>
  <c r="Z705" i="5" s="1"/>
  <c r="AA705" i="5" s="1"/>
  <c r="AB705" i="5" s="1"/>
  <c r="D705" i="5"/>
  <c r="E705" i="5"/>
  <c r="H704" i="5"/>
  <c r="I704" i="5" s="1"/>
  <c r="V704" i="5"/>
  <c r="W704" i="5" s="1"/>
  <c r="X704" i="5" s="1"/>
  <c r="Y704" i="5" s="1"/>
  <c r="Z704" i="5" s="1"/>
  <c r="AA704" i="5" s="1"/>
  <c r="AB704" i="5" s="1"/>
  <c r="E704" i="5"/>
  <c r="D704" i="5"/>
  <c r="H703" i="5"/>
  <c r="I703" i="5" s="1"/>
  <c r="V703" i="5"/>
  <c r="W703" i="5" s="1"/>
  <c r="X703" i="5" s="1"/>
  <c r="Y703" i="5" s="1"/>
  <c r="Z703" i="5" s="1"/>
  <c r="AA703" i="5" s="1"/>
  <c r="AB703" i="5" s="1"/>
  <c r="E703" i="5"/>
  <c r="D703" i="5"/>
  <c r="H702" i="5"/>
  <c r="I702" i="5" s="1"/>
  <c r="V702" i="5"/>
  <c r="W702" i="5" s="1"/>
  <c r="X702" i="5" s="1"/>
  <c r="Y702" i="5" s="1"/>
  <c r="Z702" i="5" s="1"/>
  <c r="AA702" i="5" s="1"/>
  <c r="AB702" i="5" s="1"/>
  <c r="E702" i="5"/>
  <c r="D702" i="5"/>
  <c r="H701" i="5"/>
  <c r="I701" i="5" s="1"/>
  <c r="V701" i="5"/>
  <c r="W701" i="5" s="1"/>
  <c r="X701" i="5" s="1"/>
  <c r="Y701" i="5" s="1"/>
  <c r="Z701" i="5" s="1"/>
  <c r="AA701" i="5" s="1"/>
  <c r="AB701" i="5" s="1"/>
  <c r="E701" i="5"/>
  <c r="D701" i="5"/>
  <c r="H700" i="5"/>
  <c r="I700" i="5" s="1"/>
  <c r="V700" i="5"/>
  <c r="W700" i="5" s="1"/>
  <c r="X700" i="5" s="1"/>
  <c r="Y700" i="5" s="1"/>
  <c r="Z700" i="5"/>
  <c r="AA700" i="5" s="1"/>
  <c r="AB700" i="5" s="1"/>
  <c r="E700" i="5"/>
  <c r="D700" i="5"/>
  <c r="H699" i="5"/>
  <c r="I699" i="5" s="1"/>
  <c r="V699" i="5"/>
  <c r="W699" i="5" s="1"/>
  <c r="X699" i="5" s="1"/>
  <c r="Y699" i="5" s="1"/>
  <c r="Z699" i="5"/>
  <c r="AA699" i="5" s="1"/>
  <c r="AB699" i="5" s="1"/>
  <c r="D699" i="5"/>
  <c r="E699" i="5"/>
  <c r="H698" i="5"/>
  <c r="I698" i="5" s="1"/>
  <c r="V698" i="5"/>
  <c r="W698" i="5" s="1"/>
  <c r="X698" i="5" s="1"/>
  <c r="Y698" i="5" s="1"/>
  <c r="Z698" i="5"/>
  <c r="AA698" i="5" s="1"/>
  <c r="AB698" i="5" s="1"/>
  <c r="D698" i="5"/>
  <c r="E698" i="5"/>
  <c r="H697" i="5"/>
  <c r="I697" i="5" s="1"/>
  <c r="V697" i="5"/>
  <c r="W697" i="5" s="1"/>
  <c r="X697" i="5" s="1"/>
  <c r="Y697" i="5" s="1"/>
  <c r="Z697" i="5" s="1"/>
  <c r="AA697" i="5" s="1"/>
  <c r="AB697" i="5" s="1"/>
  <c r="E697" i="5"/>
  <c r="D697" i="5"/>
  <c r="H696" i="5"/>
  <c r="I696" i="5" s="1"/>
  <c r="V696" i="5"/>
  <c r="W696" i="5" s="1"/>
  <c r="X696" i="5" s="1"/>
  <c r="Y696" i="5" s="1"/>
  <c r="Z696" i="5" s="1"/>
  <c r="AA696" i="5" s="1"/>
  <c r="AB696" i="5" s="1"/>
  <c r="E696" i="5"/>
  <c r="D696" i="5"/>
  <c r="H695" i="5"/>
  <c r="I695" i="5" s="1"/>
  <c r="V695" i="5"/>
  <c r="W695" i="5" s="1"/>
  <c r="X695" i="5" s="1"/>
  <c r="Y695" i="5" s="1"/>
  <c r="Z695" i="5"/>
  <c r="AA695" i="5" s="1"/>
  <c r="AB695" i="5" s="1"/>
  <c r="D695" i="5"/>
  <c r="E695" i="5"/>
  <c r="H694" i="5"/>
  <c r="I694" i="5" s="1"/>
  <c r="V694" i="5"/>
  <c r="W694" i="5" s="1"/>
  <c r="X694" i="5" s="1"/>
  <c r="Y694" i="5" s="1"/>
  <c r="Z694" i="5" s="1"/>
  <c r="AA694" i="5" s="1"/>
  <c r="AB694" i="5" s="1"/>
  <c r="D694" i="5"/>
  <c r="E694" i="5"/>
  <c r="H693" i="5"/>
  <c r="I693" i="5" s="1"/>
  <c r="V693" i="5"/>
  <c r="W693" i="5" s="1"/>
  <c r="X693" i="5" s="1"/>
  <c r="Y693" i="5" s="1"/>
  <c r="Z693" i="5"/>
  <c r="AA693" i="5" s="1"/>
  <c r="AB693" i="5" s="1"/>
  <c r="D693" i="5"/>
  <c r="E693" i="5"/>
  <c r="H692" i="5"/>
  <c r="I692" i="5" s="1"/>
  <c r="V692" i="5"/>
  <c r="W692" i="5" s="1"/>
  <c r="X692" i="5" s="1"/>
  <c r="Y692" i="5" s="1"/>
  <c r="Z692" i="5" s="1"/>
  <c r="AA692" i="5" s="1"/>
  <c r="AB692" i="5" s="1"/>
  <c r="D692" i="5"/>
  <c r="E692" i="5"/>
  <c r="H691" i="5"/>
  <c r="I691" i="5" s="1"/>
  <c r="V691" i="5"/>
  <c r="W691" i="5" s="1"/>
  <c r="X691" i="5" s="1"/>
  <c r="Y691" i="5" s="1"/>
  <c r="Z691" i="5"/>
  <c r="AA691" i="5" s="1"/>
  <c r="AB691" i="5" s="1"/>
  <c r="D691" i="5"/>
  <c r="E691" i="5"/>
  <c r="H690" i="5"/>
  <c r="I690" i="5" s="1"/>
  <c r="V690" i="5"/>
  <c r="W690" i="5" s="1"/>
  <c r="X690" i="5" s="1"/>
  <c r="Y690" i="5" s="1"/>
  <c r="Z690" i="5"/>
  <c r="AA690" i="5" s="1"/>
  <c r="AB690" i="5" s="1"/>
  <c r="D690" i="5"/>
  <c r="E690" i="5"/>
  <c r="H689" i="5"/>
  <c r="I689" i="5" s="1"/>
  <c r="V689" i="5"/>
  <c r="W689" i="5" s="1"/>
  <c r="X689" i="5" s="1"/>
  <c r="Y689" i="5" s="1"/>
  <c r="Z689" i="5" s="1"/>
  <c r="AA689" i="5" s="1"/>
  <c r="AB689" i="5" s="1"/>
  <c r="D689" i="5"/>
  <c r="E689" i="5"/>
  <c r="H688" i="5"/>
  <c r="I688" i="5" s="1"/>
  <c r="V688" i="5"/>
  <c r="W688" i="5" s="1"/>
  <c r="X688" i="5" s="1"/>
  <c r="Y688" i="5" s="1"/>
  <c r="Z688" i="5" s="1"/>
  <c r="AA688" i="5" s="1"/>
  <c r="AB688" i="5" s="1"/>
  <c r="D688" i="5"/>
  <c r="E688" i="5"/>
  <c r="H687" i="5"/>
  <c r="I687" i="5" s="1"/>
  <c r="V687" i="5"/>
  <c r="W687" i="5" s="1"/>
  <c r="X687" i="5" s="1"/>
  <c r="Y687" i="5" s="1"/>
  <c r="Z687" i="5"/>
  <c r="AA687" i="5" s="1"/>
  <c r="AB687" i="5" s="1"/>
  <c r="D687" i="5"/>
  <c r="E687" i="5"/>
  <c r="H686" i="5"/>
  <c r="I686" i="5" s="1"/>
  <c r="V686" i="5"/>
  <c r="W686" i="5" s="1"/>
  <c r="X686" i="5" s="1"/>
  <c r="Y686" i="5" s="1"/>
  <c r="Z686" i="5"/>
  <c r="AA686" i="5" s="1"/>
  <c r="AB686" i="5" s="1"/>
  <c r="E686" i="5"/>
  <c r="D686" i="5"/>
  <c r="H685" i="5"/>
  <c r="I685" i="5" s="1"/>
  <c r="V685" i="5"/>
  <c r="W685" i="5" s="1"/>
  <c r="X685" i="5" s="1"/>
  <c r="Y685" i="5" s="1"/>
  <c r="Z685" i="5" s="1"/>
  <c r="AA685" i="5" s="1"/>
  <c r="AB685" i="5" s="1"/>
  <c r="D685" i="5"/>
  <c r="E685" i="5"/>
  <c r="H684" i="5"/>
  <c r="I684" i="5" s="1"/>
  <c r="V684" i="5"/>
  <c r="W684" i="5" s="1"/>
  <c r="X684" i="5" s="1"/>
  <c r="Y684" i="5" s="1"/>
  <c r="Z684" i="5" s="1"/>
  <c r="AA684" i="5" s="1"/>
  <c r="AB684" i="5" s="1"/>
  <c r="D684" i="5"/>
  <c r="E684" i="5"/>
  <c r="H683" i="5"/>
  <c r="I683" i="5" s="1"/>
  <c r="V683" i="5"/>
  <c r="W683" i="5" s="1"/>
  <c r="X683" i="5" s="1"/>
  <c r="Y683" i="5" s="1"/>
  <c r="Z683" i="5" s="1"/>
  <c r="AA683" i="5" s="1"/>
  <c r="AB683" i="5" s="1"/>
  <c r="E683" i="5"/>
  <c r="D683" i="5"/>
  <c r="H682" i="5"/>
  <c r="I682" i="5" s="1"/>
  <c r="V682" i="5"/>
  <c r="W682" i="5" s="1"/>
  <c r="X682" i="5" s="1"/>
  <c r="Y682" i="5" s="1"/>
  <c r="Z682" i="5" s="1"/>
  <c r="AA682" i="5" s="1"/>
  <c r="AB682" i="5" s="1"/>
  <c r="D682" i="5"/>
  <c r="E682" i="5"/>
  <c r="H681" i="5"/>
  <c r="I681" i="5" s="1"/>
  <c r="V681" i="5"/>
  <c r="W681" i="5" s="1"/>
  <c r="X681" i="5" s="1"/>
  <c r="Y681" i="5" s="1"/>
  <c r="Z681" i="5"/>
  <c r="AA681" i="5" s="1"/>
  <c r="AB681" i="5" s="1"/>
  <c r="D681" i="5"/>
  <c r="E681" i="5"/>
  <c r="H680" i="5"/>
  <c r="I680" i="5" s="1"/>
  <c r="V680" i="5"/>
  <c r="W680" i="5" s="1"/>
  <c r="X680" i="5" s="1"/>
  <c r="Y680" i="5" s="1"/>
  <c r="Z680" i="5" s="1"/>
  <c r="AA680" i="5" s="1"/>
  <c r="AB680" i="5" s="1"/>
  <c r="D680" i="5"/>
  <c r="E680" i="5"/>
  <c r="H679" i="5"/>
  <c r="I679" i="5" s="1"/>
  <c r="V679" i="5"/>
  <c r="W679" i="5" s="1"/>
  <c r="X679" i="5" s="1"/>
  <c r="Y679" i="5" s="1"/>
  <c r="Z679" i="5"/>
  <c r="AA679" i="5" s="1"/>
  <c r="AB679" i="5" s="1"/>
  <c r="D679" i="5"/>
  <c r="E679" i="5"/>
  <c r="H678" i="5"/>
  <c r="I678" i="5" s="1"/>
  <c r="V678" i="5"/>
  <c r="W678" i="5" s="1"/>
  <c r="X678" i="5" s="1"/>
  <c r="Y678" i="5" s="1"/>
  <c r="Z678" i="5"/>
  <c r="AA678" i="5" s="1"/>
  <c r="AB678" i="5" s="1"/>
  <c r="E678" i="5"/>
  <c r="D678" i="5"/>
  <c r="H677" i="5"/>
  <c r="I677" i="5" s="1"/>
  <c r="V677" i="5"/>
  <c r="W677" i="5" s="1"/>
  <c r="X677" i="5" s="1"/>
  <c r="Y677" i="5" s="1"/>
  <c r="Z677" i="5" s="1"/>
  <c r="AA677" i="5" s="1"/>
  <c r="AB677" i="5" s="1"/>
  <c r="E677" i="5"/>
  <c r="D677" i="5"/>
  <c r="H676" i="5"/>
  <c r="I676" i="5" s="1"/>
  <c r="V676" i="5"/>
  <c r="W676" i="5" s="1"/>
  <c r="X676" i="5" s="1"/>
  <c r="Y676" i="5" s="1"/>
  <c r="Z676" i="5" s="1"/>
  <c r="AA676" i="5" s="1"/>
  <c r="AB676" i="5" s="1"/>
  <c r="E676" i="5"/>
  <c r="D676" i="5"/>
  <c r="H675" i="5"/>
  <c r="I675" i="5" s="1"/>
  <c r="V675" i="5"/>
  <c r="W675" i="5" s="1"/>
  <c r="X675" i="5" s="1"/>
  <c r="Y675" i="5" s="1"/>
  <c r="Z675" i="5"/>
  <c r="AA675" i="5" s="1"/>
  <c r="AB675" i="5" s="1"/>
  <c r="D675" i="5"/>
  <c r="E675" i="5"/>
  <c r="H674" i="5"/>
  <c r="I674" i="5" s="1"/>
  <c r="V674" i="5"/>
  <c r="W674" i="5" s="1"/>
  <c r="X674" i="5" s="1"/>
  <c r="Y674" i="5" s="1"/>
  <c r="Z674" i="5"/>
  <c r="AA674" i="5" s="1"/>
  <c r="AB674" i="5" s="1"/>
  <c r="D674" i="5"/>
  <c r="E674" i="5"/>
  <c r="H673" i="5"/>
  <c r="I673" i="5" s="1"/>
  <c r="V673" i="5"/>
  <c r="W673" i="5" s="1"/>
  <c r="X673" i="5" s="1"/>
  <c r="Y673" i="5" s="1"/>
  <c r="Z673" i="5"/>
  <c r="AA673" i="5" s="1"/>
  <c r="AB673" i="5" s="1"/>
  <c r="E673" i="5"/>
  <c r="D673" i="5"/>
  <c r="H672" i="5"/>
  <c r="I672" i="5" s="1"/>
  <c r="V672" i="5"/>
  <c r="W672" i="5" s="1"/>
  <c r="X672" i="5" s="1"/>
  <c r="Y672" i="5" s="1"/>
  <c r="Z672" i="5" s="1"/>
  <c r="AA672" i="5" s="1"/>
  <c r="AB672" i="5" s="1"/>
  <c r="E672" i="5"/>
  <c r="D672" i="5"/>
  <c r="H671" i="5"/>
  <c r="I671" i="5" s="1"/>
  <c r="V671" i="5"/>
  <c r="W671" i="5" s="1"/>
  <c r="X671" i="5" s="1"/>
  <c r="Y671" i="5" s="1"/>
  <c r="Z671" i="5" s="1"/>
  <c r="AA671" i="5" s="1"/>
  <c r="AB671" i="5" s="1"/>
  <c r="D671" i="5"/>
  <c r="E671" i="5"/>
  <c r="H670" i="5"/>
  <c r="I670" i="5" s="1"/>
  <c r="V670" i="5"/>
  <c r="W670" i="5" s="1"/>
  <c r="X670" i="5" s="1"/>
  <c r="Y670" i="5" s="1"/>
  <c r="Z670" i="5"/>
  <c r="AA670" i="5" s="1"/>
  <c r="AB670" i="5" s="1"/>
  <c r="E670" i="5"/>
  <c r="D670" i="5"/>
  <c r="H669" i="5"/>
  <c r="I669" i="5" s="1"/>
  <c r="V669" i="5"/>
  <c r="W669" i="5" s="1"/>
  <c r="X669" i="5" s="1"/>
  <c r="Y669" i="5" s="1"/>
  <c r="Z669" i="5"/>
  <c r="AA669" i="5" s="1"/>
  <c r="AB669" i="5" s="1"/>
  <c r="E669" i="5"/>
  <c r="D669" i="5"/>
  <c r="H668" i="5"/>
  <c r="I668" i="5" s="1"/>
  <c r="V668" i="5"/>
  <c r="W668" i="5" s="1"/>
  <c r="X668" i="5" s="1"/>
  <c r="Y668" i="5" s="1"/>
  <c r="Z668" i="5" s="1"/>
  <c r="AA668" i="5" s="1"/>
  <c r="AB668" i="5" s="1"/>
  <c r="D668" i="5"/>
  <c r="E668" i="5"/>
  <c r="H667" i="5"/>
  <c r="I667" i="5" s="1"/>
  <c r="V667" i="5"/>
  <c r="W667" i="5" s="1"/>
  <c r="X667" i="5" s="1"/>
  <c r="Y667" i="5" s="1"/>
  <c r="Z667" i="5"/>
  <c r="AA667" i="5" s="1"/>
  <c r="AB667" i="5" s="1"/>
  <c r="E667" i="5"/>
  <c r="D667" i="5"/>
  <c r="H666" i="5"/>
  <c r="I666" i="5" s="1"/>
  <c r="V666" i="5"/>
  <c r="W666" i="5" s="1"/>
  <c r="X666" i="5" s="1"/>
  <c r="Y666" i="5" s="1"/>
  <c r="Z666" i="5" s="1"/>
  <c r="AA666" i="5" s="1"/>
  <c r="AB666" i="5" s="1"/>
  <c r="D666" i="5"/>
  <c r="E666" i="5"/>
  <c r="H665" i="5"/>
  <c r="I665" i="5" s="1"/>
  <c r="V665" i="5"/>
  <c r="W665" i="5" s="1"/>
  <c r="X665" i="5" s="1"/>
  <c r="Y665" i="5" s="1"/>
  <c r="Z665" i="5" s="1"/>
  <c r="AA665" i="5" s="1"/>
  <c r="AB665" i="5" s="1"/>
  <c r="E665" i="5"/>
  <c r="D665" i="5"/>
  <c r="H664" i="5"/>
  <c r="I664" i="5" s="1"/>
  <c r="D664" i="5"/>
  <c r="E664" i="5"/>
  <c r="H663" i="5"/>
  <c r="I663" i="5" s="1"/>
  <c r="V663" i="5"/>
  <c r="W663" i="5" s="1"/>
  <c r="X663" i="5" s="1"/>
  <c r="Y663" i="5" s="1"/>
  <c r="Z663" i="5"/>
  <c r="AA663" i="5" s="1"/>
  <c r="AB663" i="5" s="1"/>
  <c r="D663" i="5"/>
  <c r="E663" i="5"/>
  <c r="H662" i="5"/>
  <c r="I662" i="5" s="1"/>
  <c r="V662" i="5"/>
  <c r="W662" i="5" s="1"/>
  <c r="X662" i="5" s="1"/>
  <c r="Y662" i="5" s="1"/>
  <c r="Z662" i="5" s="1"/>
  <c r="AA662" i="5" s="1"/>
  <c r="AB662" i="5" s="1"/>
  <c r="E662" i="5"/>
  <c r="D662" i="5"/>
  <c r="H661" i="5"/>
  <c r="I661" i="5" s="1"/>
  <c r="V661" i="5"/>
  <c r="W661" i="5" s="1"/>
  <c r="X661" i="5" s="1"/>
  <c r="Y661" i="5" s="1"/>
  <c r="Z661" i="5"/>
  <c r="AA661" i="5" s="1"/>
  <c r="AB661" i="5" s="1"/>
  <c r="D661" i="5"/>
  <c r="E661" i="5"/>
  <c r="H660" i="5"/>
  <c r="I660" i="5" s="1"/>
  <c r="V660" i="5"/>
  <c r="W660" i="5" s="1"/>
  <c r="X660" i="5" s="1"/>
  <c r="Y660" i="5" s="1"/>
  <c r="Z660" i="5"/>
  <c r="AA660" i="5" s="1"/>
  <c r="AB660" i="5" s="1"/>
  <c r="E660" i="5"/>
  <c r="D660" i="5"/>
  <c r="H659" i="5"/>
  <c r="I659" i="5" s="1"/>
  <c r="V659" i="5"/>
  <c r="W659" i="5" s="1"/>
  <c r="X659" i="5" s="1"/>
  <c r="Y659" i="5" s="1"/>
  <c r="Z659" i="5" s="1"/>
  <c r="AA659" i="5" s="1"/>
  <c r="AB659" i="5" s="1"/>
  <c r="D659" i="5"/>
  <c r="E659" i="5"/>
  <c r="H658" i="5"/>
  <c r="I658" i="5" s="1"/>
  <c r="V658" i="5"/>
  <c r="W658" i="5" s="1"/>
  <c r="X658" i="5" s="1"/>
  <c r="Y658" i="5" s="1"/>
  <c r="Z658" i="5"/>
  <c r="AA658" i="5" s="1"/>
  <c r="AB658" i="5" s="1"/>
  <c r="D658" i="5"/>
  <c r="E658" i="5"/>
  <c r="H657" i="5"/>
  <c r="I657" i="5" s="1"/>
  <c r="V657" i="5"/>
  <c r="W657" i="5" s="1"/>
  <c r="X657" i="5" s="1"/>
  <c r="Y657" i="5" s="1"/>
  <c r="Z657" i="5"/>
  <c r="AA657" i="5" s="1"/>
  <c r="AB657" i="5" s="1"/>
  <c r="E657" i="5"/>
  <c r="D657" i="5"/>
  <c r="H656" i="5"/>
  <c r="I656" i="5" s="1"/>
  <c r="V656" i="5"/>
  <c r="W656" i="5" s="1"/>
  <c r="X656" i="5" s="1"/>
  <c r="Y656" i="5" s="1"/>
  <c r="Z656" i="5"/>
  <c r="AA656" i="5" s="1"/>
  <c r="AB656" i="5" s="1"/>
  <c r="D656" i="5"/>
  <c r="E656" i="5"/>
  <c r="H655" i="5"/>
  <c r="I655" i="5" s="1"/>
  <c r="V655" i="5"/>
  <c r="W655" i="5" s="1"/>
  <c r="X655" i="5" s="1"/>
  <c r="Y655" i="5" s="1"/>
  <c r="Z655" i="5"/>
  <c r="AA655" i="5" s="1"/>
  <c r="AB655" i="5" s="1"/>
  <c r="E655" i="5"/>
  <c r="D655" i="5"/>
  <c r="H654" i="5"/>
  <c r="I654" i="5" s="1"/>
  <c r="E654" i="5"/>
  <c r="D654" i="5"/>
  <c r="H653" i="5"/>
  <c r="I653" i="5" s="1"/>
  <c r="V653" i="5"/>
  <c r="W653" i="5" s="1"/>
  <c r="X653" i="5" s="1"/>
  <c r="Y653" i="5" s="1"/>
  <c r="Z653" i="5" s="1"/>
  <c r="AA653" i="5" s="1"/>
  <c r="AB653" i="5" s="1"/>
  <c r="E653" i="5"/>
  <c r="D653" i="5"/>
  <c r="H652" i="5"/>
  <c r="I652" i="5" s="1"/>
  <c r="V652" i="5"/>
  <c r="W652" i="5" s="1"/>
  <c r="X652" i="5" s="1"/>
  <c r="Y652" i="5" s="1"/>
  <c r="Z652" i="5" s="1"/>
  <c r="AA652" i="5" s="1"/>
  <c r="AB652" i="5" s="1"/>
  <c r="E652" i="5"/>
  <c r="D652" i="5"/>
  <c r="H651" i="5"/>
  <c r="I651" i="5" s="1"/>
  <c r="V651" i="5"/>
  <c r="W651" i="5" s="1"/>
  <c r="X651" i="5" s="1"/>
  <c r="Y651" i="5" s="1"/>
  <c r="Z651" i="5" s="1"/>
  <c r="AA651" i="5" s="1"/>
  <c r="AB651" i="5" s="1"/>
  <c r="E651" i="5"/>
  <c r="D651" i="5"/>
  <c r="H650" i="5"/>
  <c r="I650" i="5" s="1"/>
  <c r="V650" i="5"/>
  <c r="W650" i="5" s="1"/>
  <c r="X650" i="5" s="1"/>
  <c r="Y650" i="5" s="1"/>
  <c r="Z650" i="5" s="1"/>
  <c r="AA650" i="5" s="1"/>
  <c r="AB650" i="5" s="1"/>
  <c r="E650" i="5"/>
  <c r="D650" i="5"/>
  <c r="H649" i="5"/>
  <c r="I649" i="5" s="1"/>
  <c r="V649" i="5"/>
  <c r="W649" i="5" s="1"/>
  <c r="X649" i="5" s="1"/>
  <c r="Y649" i="5" s="1"/>
  <c r="Z649" i="5" s="1"/>
  <c r="AA649" i="5" s="1"/>
  <c r="AB649" i="5" s="1"/>
  <c r="E649" i="5"/>
  <c r="D649" i="5"/>
  <c r="H648" i="5"/>
  <c r="I648" i="5" s="1"/>
  <c r="V648" i="5"/>
  <c r="W648" i="5" s="1"/>
  <c r="X648" i="5" s="1"/>
  <c r="Y648" i="5" s="1"/>
  <c r="Z648" i="5" s="1"/>
  <c r="AA648" i="5" s="1"/>
  <c r="AB648" i="5" s="1"/>
  <c r="D648" i="5"/>
  <c r="E648" i="5"/>
  <c r="H647" i="5"/>
  <c r="I647" i="5" s="1"/>
  <c r="V647" i="5"/>
  <c r="W647" i="5" s="1"/>
  <c r="X647" i="5" s="1"/>
  <c r="Y647" i="5" s="1"/>
  <c r="Z647" i="5" s="1"/>
  <c r="AA647" i="5" s="1"/>
  <c r="AB647" i="5" s="1"/>
  <c r="E647" i="5"/>
  <c r="D647" i="5"/>
  <c r="H646" i="5"/>
  <c r="I646" i="5" s="1"/>
  <c r="V646" i="5"/>
  <c r="W646" i="5" s="1"/>
  <c r="X646" i="5" s="1"/>
  <c r="Y646" i="5" s="1"/>
  <c r="Z646" i="5" s="1"/>
  <c r="AA646" i="5" s="1"/>
  <c r="AB646" i="5" s="1"/>
  <c r="E646" i="5"/>
  <c r="D646" i="5"/>
  <c r="H645" i="5"/>
  <c r="I645" i="5" s="1"/>
  <c r="V645" i="5"/>
  <c r="W645" i="5" s="1"/>
  <c r="X645" i="5" s="1"/>
  <c r="Y645" i="5" s="1"/>
  <c r="Z645" i="5"/>
  <c r="AA645" i="5" s="1"/>
  <c r="AB645" i="5" s="1"/>
  <c r="E645" i="5"/>
  <c r="D645" i="5"/>
  <c r="H644" i="5"/>
  <c r="I644" i="5" s="1"/>
  <c r="V644" i="5"/>
  <c r="W644" i="5" s="1"/>
  <c r="X644" i="5" s="1"/>
  <c r="Y644" i="5" s="1"/>
  <c r="Z644" i="5" s="1"/>
  <c r="AA644" i="5" s="1"/>
  <c r="AB644" i="5" s="1"/>
  <c r="E644" i="5"/>
  <c r="D644" i="5"/>
  <c r="H643" i="5"/>
  <c r="I643" i="5" s="1"/>
  <c r="V643" i="5"/>
  <c r="W643" i="5" s="1"/>
  <c r="X643" i="5" s="1"/>
  <c r="Y643" i="5" s="1"/>
  <c r="Z643" i="5"/>
  <c r="AA643" i="5" s="1"/>
  <c r="AB643" i="5" s="1"/>
  <c r="D643" i="5"/>
  <c r="E643" i="5"/>
  <c r="H642" i="5"/>
  <c r="I642" i="5" s="1"/>
  <c r="V642" i="5"/>
  <c r="W642" i="5" s="1"/>
  <c r="X642" i="5" s="1"/>
  <c r="Y642" i="5" s="1"/>
  <c r="Z642" i="5"/>
  <c r="AA642" i="5" s="1"/>
  <c r="AB642" i="5" s="1"/>
  <c r="D642" i="5"/>
  <c r="E642" i="5"/>
  <c r="H641" i="5"/>
  <c r="I641" i="5" s="1"/>
  <c r="V641" i="5"/>
  <c r="W641" i="5" s="1"/>
  <c r="X641" i="5" s="1"/>
  <c r="Y641" i="5" s="1"/>
  <c r="Z641" i="5" s="1"/>
  <c r="AA641" i="5" s="1"/>
  <c r="AB641" i="5" s="1"/>
  <c r="E641" i="5"/>
  <c r="D641" i="5"/>
  <c r="H640" i="5"/>
  <c r="I640" i="5" s="1"/>
  <c r="V640" i="5"/>
  <c r="W640" i="5" s="1"/>
  <c r="X640" i="5" s="1"/>
  <c r="Y640" i="5" s="1"/>
  <c r="Z640" i="5" s="1"/>
  <c r="AA640" i="5" s="1"/>
  <c r="AB640" i="5" s="1"/>
  <c r="D640" i="5"/>
  <c r="E640" i="5"/>
  <c r="H639" i="5"/>
  <c r="I639" i="5" s="1"/>
  <c r="V639" i="5"/>
  <c r="W639" i="5" s="1"/>
  <c r="X639" i="5" s="1"/>
  <c r="Y639" i="5" s="1"/>
  <c r="Z639" i="5" s="1"/>
  <c r="AA639" i="5" s="1"/>
  <c r="AB639" i="5" s="1"/>
  <c r="E639" i="5"/>
  <c r="D639" i="5"/>
  <c r="H638" i="5"/>
  <c r="I638" i="5" s="1"/>
  <c r="V638" i="5"/>
  <c r="W638" i="5" s="1"/>
  <c r="X638" i="5" s="1"/>
  <c r="Y638" i="5" s="1"/>
  <c r="Z638" i="5" s="1"/>
  <c r="AA638" i="5" s="1"/>
  <c r="AB638" i="5" s="1"/>
  <c r="E638" i="5"/>
  <c r="D638" i="5"/>
  <c r="H637" i="5"/>
  <c r="I637" i="5" s="1"/>
  <c r="V637" i="5"/>
  <c r="W637" i="5" s="1"/>
  <c r="X637" i="5" s="1"/>
  <c r="Y637" i="5" s="1"/>
  <c r="Z637" i="5" s="1"/>
  <c r="AA637" i="5" s="1"/>
  <c r="AB637" i="5" s="1"/>
  <c r="E637" i="5"/>
  <c r="D637" i="5"/>
  <c r="H636" i="5"/>
  <c r="I636" i="5" s="1"/>
  <c r="V636" i="5"/>
  <c r="W636" i="5" s="1"/>
  <c r="X636" i="5" s="1"/>
  <c r="Y636" i="5" s="1"/>
  <c r="Z636" i="5" s="1"/>
  <c r="AA636" i="5" s="1"/>
  <c r="AB636" i="5" s="1"/>
  <c r="E636" i="5"/>
  <c r="D636" i="5"/>
  <c r="H635" i="5"/>
  <c r="I635" i="5" s="1"/>
  <c r="V635" i="5"/>
  <c r="W635" i="5" s="1"/>
  <c r="X635" i="5" s="1"/>
  <c r="Y635" i="5" s="1"/>
  <c r="Z635" i="5" s="1"/>
  <c r="AA635" i="5" s="1"/>
  <c r="AB635" i="5" s="1"/>
  <c r="E635" i="5"/>
  <c r="D635" i="5"/>
  <c r="H634" i="5"/>
  <c r="I634" i="5" s="1"/>
  <c r="V634" i="5"/>
  <c r="W634" i="5" s="1"/>
  <c r="X634" i="5" s="1"/>
  <c r="Y634" i="5" s="1"/>
  <c r="Z634" i="5" s="1"/>
  <c r="AA634" i="5" s="1"/>
  <c r="AB634" i="5" s="1"/>
  <c r="E634" i="5"/>
  <c r="D634" i="5"/>
  <c r="H633" i="5"/>
  <c r="I633" i="5" s="1"/>
  <c r="V633" i="5"/>
  <c r="W633" i="5" s="1"/>
  <c r="X633" i="5" s="1"/>
  <c r="Y633" i="5" s="1"/>
  <c r="Z633" i="5" s="1"/>
  <c r="AA633" i="5" s="1"/>
  <c r="AB633" i="5" s="1"/>
  <c r="D633" i="5"/>
  <c r="E633" i="5"/>
  <c r="H632" i="5"/>
  <c r="I632" i="5" s="1"/>
  <c r="V632" i="5"/>
  <c r="W632" i="5" s="1"/>
  <c r="X632" i="5" s="1"/>
  <c r="Y632" i="5" s="1"/>
  <c r="Z632" i="5" s="1"/>
  <c r="AA632" i="5" s="1"/>
  <c r="AB632" i="5" s="1"/>
  <c r="E632" i="5"/>
  <c r="D632" i="5"/>
  <c r="H631" i="5"/>
  <c r="I631" i="5" s="1"/>
  <c r="V631" i="5"/>
  <c r="W631" i="5" s="1"/>
  <c r="X631" i="5" s="1"/>
  <c r="Y631" i="5" s="1"/>
  <c r="Z631" i="5" s="1"/>
  <c r="AA631" i="5" s="1"/>
  <c r="AB631" i="5" s="1"/>
  <c r="E631" i="5"/>
  <c r="D631" i="5"/>
  <c r="H630" i="5"/>
  <c r="I630" i="5" s="1"/>
  <c r="V630" i="5"/>
  <c r="W630" i="5" s="1"/>
  <c r="X630" i="5" s="1"/>
  <c r="Y630" i="5" s="1"/>
  <c r="Z630" i="5" s="1"/>
  <c r="AA630" i="5" s="1"/>
  <c r="AB630" i="5" s="1"/>
  <c r="E630" i="5"/>
  <c r="D630" i="5"/>
  <c r="H629" i="5"/>
  <c r="I629" i="5" s="1"/>
  <c r="V629" i="5"/>
  <c r="W629" i="5" s="1"/>
  <c r="X629" i="5" s="1"/>
  <c r="Y629" i="5" s="1"/>
  <c r="Z629" i="5" s="1"/>
  <c r="AA629" i="5" s="1"/>
  <c r="AB629" i="5" s="1"/>
  <c r="E629" i="5"/>
  <c r="D629" i="5"/>
  <c r="H628" i="5"/>
  <c r="I628" i="5" s="1"/>
  <c r="V628" i="5"/>
  <c r="W628" i="5" s="1"/>
  <c r="X628" i="5" s="1"/>
  <c r="Y628" i="5" s="1"/>
  <c r="Z628" i="5" s="1"/>
  <c r="AA628" i="5" s="1"/>
  <c r="AB628" i="5" s="1"/>
  <c r="E628" i="5"/>
  <c r="D628" i="5"/>
  <c r="H627" i="5"/>
  <c r="I627" i="5" s="1"/>
  <c r="V627" i="5"/>
  <c r="W627" i="5" s="1"/>
  <c r="X627" i="5" s="1"/>
  <c r="Y627" i="5" s="1"/>
  <c r="Z627" i="5"/>
  <c r="AA627" i="5" s="1"/>
  <c r="AB627" i="5" s="1"/>
  <c r="E627" i="5"/>
  <c r="D627" i="5"/>
  <c r="H626" i="5"/>
  <c r="I626" i="5" s="1"/>
  <c r="V626" i="5"/>
  <c r="W626" i="5" s="1"/>
  <c r="X626" i="5" s="1"/>
  <c r="Y626" i="5" s="1"/>
  <c r="Z626" i="5" s="1"/>
  <c r="AA626" i="5" s="1"/>
  <c r="AB626" i="5" s="1"/>
  <c r="D626" i="5"/>
  <c r="E626" i="5"/>
  <c r="H625" i="5"/>
  <c r="I625" i="5" s="1"/>
  <c r="V625" i="5"/>
  <c r="W625" i="5" s="1"/>
  <c r="X625" i="5" s="1"/>
  <c r="Y625" i="5" s="1"/>
  <c r="Z625" i="5"/>
  <c r="AA625" i="5" s="1"/>
  <c r="AB625" i="5" s="1"/>
  <c r="E625" i="5"/>
  <c r="D625" i="5"/>
  <c r="H624" i="5"/>
  <c r="I624" i="5" s="1"/>
  <c r="V624" i="5"/>
  <c r="W624" i="5" s="1"/>
  <c r="X624" i="5" s="1"/>
  <c r="Y624" i="5" s="1"/>
  <c r="Z624" i="5" s="1"/>
  <c r="AA624" i="5" s="1"/>
  <c r="AB624" i="5" s="1"/>
  <c r="D624" i="5"/>
  <c r="E624" i="5"/>
  <c r="H623" i="5"/>
  <c r="I623" i="5" s="1"/>
  <c r="V623" i="5"/>
  <c r="W623" i="5" s="1"/>
  <c r="X623" i="5" s="1"/>
  <c r="Y623" i="5" s="1"/>
  <c r="Z623" i="5" s="1"/>
  <c r="AA623" i="5" s="1"/>
  <c r="AB623" i="5" s="1"/>
  <c r="D623" i="5"/>
  <c r="E623" i="5"/>
  <c r="H622" i="5"/>
  <c r="I622" i="5" s="1"/>
  <c r="V622" i="5"/>
  <c r="W622" i="5" s="1"/>
  <c r="X622" i="5" s="1"/>
  <c r="Y622" i="5" s="1"/>
  <c r="Z622" i="5" s="1"/>
  <c r="AA622" i="5" s="1"/>
  <c r="AB622" i="5" s="1"/>
  <c r="E622" i="5"/>
  <c r="D622" i="5"/>
  <c r="H621" i="5"/>
  <c r="I621" i="5" s="1"/>
  <c r="V621" i="5"/>
  <c r="W621" i="5" s="1"/>
  <c r="X621" i="5" s="1"/>
  <c r="Y621" i="5" s="1"/>
  <c r="Z621" i="5"/>
  <c r="AA621" i="5" s="1"/>
  <c r="AB621" i="5" s="1"/>
  <c r="E621" i="5"/>
  <c r="D621" i="5"/>
  <c r="H620" i="5"/>
  <c r="I620" i="5" s="1"/>
  <c r="V620" i="5"/>
  <c r="W620" i="5" s="1"/>
  <c r="X620" i="5" s="1"/>
  <c r="Y620" i="5" s="1"/>
  <c r="Z620" i="5" s="1"/>
  <c r="AA620" i="5" s="1"/>
  <c r="AB620" i="5" s="1"/>
  <c r="D620" i="5"/>
  <c r="E620" i="5"/>
  <c r="H619" i="5"/>
  <c r="I619" i="5" s="1"/>
  <c r="V619" i="5"/>
  <c r="W619" i="5" s="1"/>
  <c r="X619" i="5" s="1"/>
  <c r="Y619" i="5" s="1"/>
  <c r="Z619" i="5" s="1"/>
  <c r="AA619" i="5" s="1"/>
  <c r="AB619" i="5" s="1"/>
  <c r="E619" i="5"/>
  <c r="D619" i="5"/>
  <c r="H618" i="5"/>
  <c r="I618" i="5" s="1"/>
  <c r="V618" i="5"/>
  <c r="W618" i="5" s="1"/>
  <c r="X618" i="5" s="1"/>
  <c r="Y618" i="5" s="1"/>
  <c r="Z618" i="5" s="1"/>
  <c r="AA618" i="5" s="1"/>
  <c r="AB618" i="5" s="1"/>
  <c r="E618" i="5"/>
  <c r="D618" i="5"/>
  <c r="H617" i="5"/>
  <c r="I617" i="5" s="1"/>
  <c r="V617" i="5"/>
  <c r="W617" i="5" s="1"/>
  <c r="X617" i="5" s="1"/>
  <c r="Y617" i="5" s="1"/>
  <c r="Z617" i="5" s="1"/>
  <c r="AA617" i="5" s="1"/>
  <c r="AB617" i="5" s="1"/>
  <c r="E617" i="5"/>
  <c r="D617" i="5"/>
  <c r="H616" i="5"/>
  <c r="I616" i="5" s="1"/>
  <c r="V616" i="5"/>
  <c r="W616" i="5" s="1"/>
  <c r="X616" i="5" s="1"/>
  <c r="Y616" i="5" s="1"/>
  <c r="Z616" i="5"/>
  <c r="AA616" i="5" s="1"/>
  <c r="AB616" i="5" s="1"/>
  <c r="E616" i="5"/>
  <c r="D616" i="5"/>
  <c r="H615" i="5"/>
  <c r="I615" i="5" s="1"/>
  <c r="V615" i="5"/>
  <c r="W615" i="5" s="1"/>
  <c r="X615" i="5" s="1"/>
  <c r="Y615" i="5" s="1"/>
  <c r="Z615" i="5"/>
  <c r="AA615" i="5" s="1"/>
  <c r="AB615" i="5" s="1"/>
  <c r="E615" i="5"/>
  <c r="D615" i="5"/>
  <c r="H614" i="5"/>
  <c r="I614" i="5" s="1"/>
  <c r="V614" i="5"/>
  <c r="W614" i="5" s="1"/>
  <c r="X614" i="5" s="1"/>
  <c r="Y614" i="5" s="1"/>
  <c r="Z614" i="5" s="1"/>
  <c r="AA614" i="5" s="1"/>
  <c r="AB614" i="5" s="1"/>
  <c r="D614" i="5"/>
  <c r="E614" i="5"/>
  <c r="H613" i="5"/>
  <c r="I613" i="5" s="1"/>
  <c r="V613" i="5"/>
  <c r="W613" i="5" s="1"/>
  <c r="X613" i="5" s="1"/>
  <c r="Y613" i="5" s="1"/>
  <c r="Z613" i="5" s="1"/>
  <c r="AA613" i="5" s="1"/>
  <c r="AB613" i="5" s="1"/>
  <c r="D613" i="5"/>
  <c r="E613" i="5"/>
  <c r="H612" i="5"/>
  <c r="I612" i="5" s="1"/>
  <c r="V612" i="5"/>
  <c r="W612" i="5" s="1"/>
  <c r="X612" i="5" s="1"/>
  <c r="Y612" i="5" s="1"/>
  <c r="Z612" i="5" s="1"/>
  <c r="AA612" i="5" s="1"/>
  <c r="AB612" i="5" s="1"/>
  <c r="E612" i="5"/>
  <c r="D612" i="5"/>
  <c r="H611" i="5"/>
  <c r="I611" i="5" s="1"/>
  <c r="V611" i="5"/>
  <c r="W611" i="5" s="1"/>
  <c r="X611" i="5" s="1"/>
  <c r="Y611" i="5" s="1"/>
  <c r="Z611" i="5" s="1"/>
  <c r="AA611" i="5" s="1"/>
  <c r="AB611" i="5" s="1"/>
  <c r="D611" i="5"/>
  <c r="E611" i="5"/>
  <c r="H610" i="5"/>
  <c r="I610" i="5" s="1"/>
  <c r="V610" i="5"/>
  <c r="W610" i="5" s="1"/>
  <c r="X610" i="5" s="1"/>
  <c r="Y610" i="5" s="1"/>
  <c r="Z610" i="5" s="1"/>
  <c r="AA610" i="5" s="1"/>
  <c r="AB610" i="5" s="1"/>
  <c r="E610" i="5"/>
  <c r="D610" i="5"/>
  <c r="H609" i="5"/>
  <c r="I609" i="5" s="1"/>
  <c r="V609" i="5"/>
  <c r="W609" i="5" s="1"/>
  <c r="X609" i="5" s="1"/>
  <c r="Y609" i="5" s="1"/>
  <c r="Z609" i="5"/>
  <c r="AA609" i="5" s="1"/>
  <c r="AB609" i="5" s="1"/>
  <c r="D609" i="5"/>
  <c r="E609" i="5"/>
  <c r="H608" i="5"/>
  <c r="I608" i="5" s="1"/>
  <c r="V608" i="5"/>
  <c r="W608" i="5" s="1"/>
  <c r="X608" i="5" s="1"/>
  <c r="Y608" i="5" s="1"/>
  <c r="Z608" i="5"/>
  <c r="AA608" i="5" s="1"/>
  <c r="AB608" i="5" s="1"/>
  <c r="E608" i="5"/>
  <c r="D608" i="5"/>
  <c r="H607" i="5"/>
  <c r="I607" i="5" s="1"/>
  <c r="V607" i="5"/>
  <c r="W607" i="5" s="1"/>
  <c r="X607" i="5" s="1"/>
  <c r="Y607" i="5" s="1"/>
  <c r="Z607" i="5" s="1"/>
  <c r="AA607" i="5" s="1"/>
  <c r="AB607" i="5" s="1"/>
  <c r="E607" i="5"/>
  <c r="D607" i="5"/>
  <c r="H606" i="5"/>
  <c r="I606" i="5" s="1"/>
  <c r="V606" i="5"/>
  <c r="W606" i="5" s="1"/>
  <c r="X606" i="5" s="1"/>
  <c r="Y606" i="5" s="1"/>
  <c r="Z606" i="5" s="1"/>
  <c r="AA606" i="5" s="1"/>
  <c r="AB606" i="5" s="1"/>
  <c r="D606" i="5"/>
  <c r="E606" i="5"/>
  <c r="H605" i="5"/>
  <c r="I605" i="5" s="1"/>
  <c r="V605" i="5"/>
  <c r="W605" i="5" s="1"/>
  <c r="X605" i="5" s="1"/>
  <c r="Y605" i="5" s="1"/>
  <c r="Z605" i="5"/>
  <c r="AA605" i="5" s="1"/>
  <c r="AB605" i="5" s="1"/>
  <c r="D605" i="5"/>
  <c r="E605" i="5"/>
  <c r="H604" i="5"/>
  <c r="I604" i="5" s="1"/>
  <c r="V604" i="5"/>
  <c r="W604" i="5" s="1"/>
  <c r="X604" i="5" s="1"/>
  <c r="Y604" i="5" s="1"/>
  <c r="Z604" i="5" s="1"/>
  <c r="AA604" i="5" s="1"/>
  <c r="AB604" i="5" s="1"/>
  <c r="D604" i="5"/>
  <c r="E604" i="5"/>
  <c r="H603" i="5"/>
  <c r="I603" i="5" s="1"/>
  <c r="V603" i="5"/>
  <c r="W603" i="5" s="1"/>
  <c r="X603" i="5" s="1"/>
  <c r="Y603" i="5" s="1"/>
  <c r="Z603" i="5" s="1"/>
  <c r="AA603" i="5" s="1"/>
  <c r="AB603" i="5" s="1"/>
  <c r="D603" i="5"/>
  <c r="E603" i="5"/>
  <c r="H602" i="5"/>
  <c r="I602" i="5" s="1"/>
  <c r="V602" i="5"/>
  <c r="W602" i="5" s="1"/>
  <c r="X602" i="5" s="1"/>
  <c r="Y602" i="5" s="1"/>
  <c r="Z602" i="5" s="1"/>
  <c r="AA602" i="5" s="1"/>
  <c r="AB602" i="5" s="1"/>
  <c r="E602" i="5"/>
  <c r="D602" i="5"/>
  <c r="H601" i="5"/>
  <c r="I601" i="5" s="1"/>
  <c r="V601" i="5"/>
  <c r="W601" i="5" s="1"/>
  <c r="X601" i="5" s="1"/>
  <c r="Y601" i="5" s="1"/>
  <c r="Z601" i="5" s="1"/>
  <c r="AA601" i="5" s="1"/>
  <c r="AB601" i="5" s="1"/>
  <c r="D601" i="5"/>
  <c r="E601" i="5"/>
  <c r="H600" i="5"/>
  <c r="I600" i="5" s="1"/>
  <c r="V600" i="5"/>
  <c r="W600" i="5" s="1"/>
  <c r="X600" i="5" s="1"/>
  <c r="Y600" i="5" s="1"/>
  <c r="Z600" i="5" s="1"/>
  <c r="AA600" i="5" s="1"/>
  <c r="AB600" i="5" s="1"/>
  <c r="E600" i="5"/>
  <c r="D600" i="5"/>
  <c r="H599" i="5"/>
  <c r="I599" i="5" s="1"/>
  <c r="V599" i="5"/>
  <c r="W599" i="5" s="1"/>
  <c r="X599" i="5" s="1"/>
  <c r="Y599" i="5" s="1"/>
  <c r="Z599" i="5" s="1"/>
  <c r="AA599" i="5" s="1"/>
  <c r="AB599" i="5" s="1"/>
  <c r="E599" i="5"/>
  <c r="D599" i="5"/>
  <c r="H598" i="5"/>
  <c r="I598" i="5" s="1"/>
  <c r="V598" i="5"/>
  <c r="W598" i="5" s="1"/>
  <c r="X598" i="5" s="1"/>
  <c r="Y598" i="5" s="1"/>
  <c r="Z598" i="5" s="1"/>
  <c r="AA598" i="5" s="1"/>
  <c r="AB598" i="5" s="1"/>
  <c r="E598" i="5"/>
  <c r="D598" i="5"/>
  <c r="H597" i="5"/>
  <c r="I597" i="5" s="1"/>
  <c r="V597" i="5"/>
  <c r="W597" i="5" s="1"/>
  <c r="X597" i="5" s="1"/>
  <c r="Y597" i="5" s="1"/>
  <c r="Z597" i="5" s="1"/>
  <c r="AA597" i="5" s="1"/>
  <c r="AB597" i="5" s="1"/>
  <c r="E597" i="5"/>
  <c r="D597" i="5"/>
  <c r="H596" i="5"/>
  <c r="I596" i="5" s="1"/>
  <c r="V596" i="5"/>
  <c r="W596" i="5" s="1"/>
  <c r="X596" i="5" s="1"/>
  <c r="Y596" i="5" s="1"/>
  <c r="Z596" i="5"/>
  <c r="AA596" i="5" s="1"/>
  <c r="AB596" i="5" s="1"/>
  <c r="E596" i="5"/>
  <c r="D596" i="5"/>
  <c r="H595" i="5"/>
  <c r="I595" i="5" s="1"/>
  <c r="V595" i="5"/>
  <c r="W595" i="5" s="1"/>
  <c r="X595" i="5" s="1"/>
  <c r="Y595" i="5" s="1"/>
  <c r="Z595" i="5" s="1"/>
  <c r="AA595" i="5" s="1"/>
  <c r="AB595" i="5" s="1"/>
  <c r="E595" i="5"/>
  <c r="D595" i="5"/>
  <c r="H594" i="5"/>
  <c r="I594" i="5" s="1"/>
  <c r="E594" i="5"/>
  <c r="D594" i="5"/>
  <c r="H593" i="5"/>
  <c r="I593" i="5" s="1"/>
  <c r="V593" i="5"/>
  <c r="W593" i="5" s="1"/>
  <c r="X593" i="5" s="1"/>
  <c r="Y593" i="5" s="1"/>
  <c r="Z593" i="5"/>
  <c r="AA593" i="5" s="1"/>
  <c r="AB593" i="5" s="1"/>
  <c r="D593" i="5"/>
  <c r="E593" i="5"/>
  <c r="H592" i="5"/>
  <c r="I592" i="5" s="1"/>
  <c r="V592" i="5"/>
  <c r="W592" i="5" s="1"/>
  <c r="X592" i="5" s="1"/>
  <c r="Y592" i="5" s="1"/>
  <c r="Z592" i="5"/>
  <c r="AA592" i="5" s="1"/>
  <c r="AB592" i="5" s="1"/>
  <c r="E592" i="5"/>
  <c r="D592" i="5"/>
  <c r="H591" i="5"/>
  <c r="I591" i="5" s="1"/>
  <c r="V591" i="5"/>
  <c r="W591" i="5" s="1"/>
  <c r="X591" i="5" s="1"/>
  <c r="Y591" i="5" s="1"/>
  <c r="Z591" i="5"/>
  <c r="AA591" i="5" s="1"/>
  <c r="AB591" i="5" s="1"/>
  <c r="E591" i="5"/>
  <c r="D591" i="5"/>
  <c r="H590" i="5"/>
  <c r="I590" i="5" s="1"/>
  <c r="V590" i="5"/>
  <c r="W590" i="5" s="1"/>
  <c r="X590" i="5" s="1"/>
  <c r="Y590" i="5" s="1"/>
  <c r="Z590" i="5" s="1"/>
  <c r="AA590" i="5" s="1"/>
  <c r="AB590" i="5" s="1"/>
  <c r="D590" i="5"/>
  <c r="E590" i="5"/>
  <c r="H589" i="5"/>
  <c r="I589" i="5" s="1"/>
  <c r="V589" i="5"/>
  <c r="W589" i="5" s="1"/>
  <c r="X589" i="5" s="1"/>
  <c r="Y589" i="5" s="1"/>
  <c r="Z589" i="5" s="1"/>
  <c r="AA589" i="5" s="1"/>
  <c r="AB589" i="5" s="1"/>
  <c r="E589" i="5"/>
  <c r="D589" i="5"/>
  <c r="H588" i="5"/>
  <c r="I588" i="5" s="1"/>
  <c r="V588" i="5"/>
  <c r="W588" i="5" s="1"/>
  <c r="X588" i="5" s="1"/>
  <c r="Y588" i="5" s="1"/>
  <c r="Z588" i="5" s="1"/>
  <c r="AA588" i="5" s="1"/>
  <c r="AB588" i="5" s="1"/>
  <c r="D588" i="5"/>
  <c r="E588" i="5"/>
  <c r="H587" i="5"/>
  <c r="I587" i="5" s="1"/>
  <c r="V587" i="5"/>
  <c r="W587" i="5" s="1"/>
  <c r="X587" i="5" s="1"/>
  <c r="Y587" i="5" s="1"/>
  <c r="Z587" i="5"/>
  <c r="AA587" i="5" s="1"/>
  <c r="AB587" i="5" s="1"/>
  <c r="E587" i="5"/>
  <c r="D587" i="5"/>
  <c r="H586" i="5"/>
  <c r="I586" i="5" s="1"/>
  <c r="V586" i="5"/>
  <c r="W586" i="5" s="1"/>
  <c r="X586" i="5" s="1"/>
  <c r="Y586" i="5" s="1"/>
  <c r="Z586" i="5"/>
  <c r="AA586" i="5" s="1"/>
  <c r="AB586" i="5" s="1"/>
  <c r="D586" i="5"/>
  <c r="E586" i="5"/>
  <c r="H585" i="5"/>
  <c r="I585" i="5" s="1"/>
  <c r="V585" i="5"/>
  <c r="W585" i="5" s="1"/>
  <c r="X585" i="5" s="1"/>
  <c r="Y585" i="5" s="1"/>
  <c r="Z585" i="5"/>
  <c r="AA585" i="5" s="1"/>
  <c r="AB585" i="5" s="1"/>
  <c r="D585" i="5"/>
  <c r="E585" i="5"/>
  <c r="H584" i="5"/>
  <c r="I584" i="5" s="1"/>
  <c r="V584" i="5"/>
  <c r="W584" i="5" s="1"/>
  <c r="X584" i="5" s="1"/>
  <c r="Y584" i="5" s="1"/>
  <c r="Z584" i="5" s="1"/>
  <c r="AA584" i="5" s="1"/>
  <c r="AB584" i="5" s="1"/>
  <c r="E584" i="5"/>
  <c r="D584" i="5"/>
  <c r="H583" i="5"/>
  <c r="I583" i="5" s="1"/>
  <c r="V583" i="5"/>
  <c r="W583" i="5" s="1"/>
  <c r="X583" i="5" s="1"/>
  <c r="Y583" i="5" s="1"/>
  <c r="Z583" i="5" s="1"/>
  <c r="AA583" i="5" s="1"/>
  <c r="AB583" i="5" s="1"/>
  <c r="E583" i="5"/>
  <c r="D583" i="5"/>
  <c r="H582" i="5"/>
  <c r="I582" i="5" s="1"/>
  <c r="V582" i="5"/>
  <c r="W582" i="5" s="1"/>
  <c r="X582" i="5" s="1"/>
  <c r="Y582" i="5" s="1"/>
  <c r="Z582" i="5"/>
  <c r="AA582" i="5" s="1"/>
  <c r="AB582" i="5" s="1"/>
  <c r="D582" i="5"/>
  <c r="E582" i="5"/>
  <c r="H581" i="5"/>
  <c r="I581" i="5" s="1"/>
  <c r="V581" i="5"/>
  <c r="W581" i="5" s="1"/>
  <c r="X581" i="5" s="1"/>
  <c r="Y581" i="5" s="1"/>
  <c r="Z581" i="5"/>
  <c r="AA581" i="5" s="1"/>
  <c r="AB581" i="5" s="1"/>
  <c r="E581" i="5"/>
  <c r="D581" i="5"/>
  <c r="H580" i="5"/>
  <c r="I580" i="5" s="1"/>
  <c r="V580" i="5"/>
  <c r="W580" i="5" s="1"/>
  <c r="X580" i="5" s="1"/>
  <c r="Y580" i="5" s="1"/>
  <c r="Z580" i="5" s="1"/>
  <c r="AA580" i="5" s="1"/>
  <c r="AB580" i="5" s="1"/>
  <c r="E580" i="5"/>
  <c r="D580" i="5"/>
  <c r="H579" i="5"/>
  <c r="I579" i="5" s="1"/>
  <c r="V579" i="5"/>
  <c r="W579" i="5" s="1"/>
  <c r="X579" i="5" s="1"/>
  <c r="Y579" i="5" s="1"/>
  <c r="Z579" i="5" s="1"/>
  <c r="AA579" i="5" s="1"/>
  <c r="AB579" i="5" s="1"/>
  <c r="E579" i="5"/>
  <c r="D579" i="5"/>
  <c r="H578" i="5"/>
  <c r="I578" i="5" s="1"/>
  <c r="V578" i="5"/>
  <c r="W578" i="5" s="1"/>
  <c r="X578" i="5" s="1"/>
  <c r="Y578" i="5" s="1"/>
  <c r="Z578" i="5" s="1"/>
  <c r="AA578" i="5" s="1"/>
  <c r="AB578" i="5" s="1"/>
  <c r="E578" i="5"/>
  <c r="D578" i="5"/>
  <c r="H577" i="5"/>
  <c r="I577" i="5" s="1"/>
  <c r="V577" i="5"/>
  <c r="W577" i="5" s="1"/>
  <c r="X577" i="5" s="1"/>
  <c r="Y577" i="5" s="1"/>
  <c r="Z577" i="5" s="1"/>
  <c r="AA577" i="5" s="1"/>
  <c r="AB577" i="5" s="1"/>
  <c r="E577" i="5"/>
  <c r="D577" i="5"/>
  <c r="H576" i="5"/>
  <c r="I576" i="5" s="1"/>
  <c r="V576" i="5"/>
  <c r="W576" i="5" s="1"/>
  <c r="X576" i="5" s="1"/>
  <c r="Y576" i="5" s="1"/>
  <c r="Z576" i="5" s="1"/>
  <c r="AA576" i="5" s="1"/>
  <c r="AB576" i="5" s="1"/>
  <c r="E576" i="5"/>
  <c r="D576" i="5"/>
  <c r="H575" i="5"/>
  <c r="I575" i="5" s="1"/>
  <c r="V575" i="5"/>
  <c r="W575" i="5" s="1"/>
  <c r="X575" i="5" s="1"/>
  <c r="Y575" i="5" s="1"/>
  <c r="Z575" i="5" s="1"/>
  <c r="AA575" i="5" s="1"/>
  <c r="AB575" i="5" s="1"/>
  <c r="E575" i="5"/>
  <c r="D575" i="5"/>
  <c r="H574" i="5"/>
  <c r="I574" i="5" s="1"/>
  <c r="V574" i="5"/>
  <c r="W574" i="5" s="1"/>
  <c r="X574" i="5" s="1"/>
  <c r="Y574" i="5" s="1"/>
  <c r="Z574" i="5" s="1"/>
  <c r="AA574" i="5" s="1"/>
  <c r="AB574" i="5" s="1"/>
  <c r="E574" i="5"/>
  <c r="D574" i="5"/>
  <c r="H573" i="5"/>
  <c r="I573" i="5" s="1"/>
  <c r="V573" i="5"/>
  <c r="W573" i="5" s="1"/>
  <c r="X573" i="5" s="1"/>
  <c r="Y573" i="5" s="1"/>
  <c r="Z573" i="5" s="1"/>
  <c r="AA573" i="5" s="1"/>
  <c r="AB573" i="5" s="1"/>
  <c r="E573" i="5"/>
  <c r="D573" i="5"/>
  <c r="H572" i="5"/>
  <c r="I572" i="5" s="1"/>
  <c r="V572" i="5"/>
  <c r="W572" i="5" s="1"/>
  <c r="X572" i="5" s="1"/>
  <c r="Y572" i="5" s="1"/>
  <c r="Z572" i="5" s="1"/>
  <c r="AA572" i="5" s="1"/>
  <c r="AB572" i="5" s="1"/>
  <c r="E572" i="5"/>
  <c r="D572" i="5"/>
  <c r="H571" i="5"/>
  <c r="I571" i="5" s="1"/>
  <c r="V571" i="5"/>
  <c r="W571" i="5" s="1"/>
  <c r="X571" i="5" s="1"/>
  <c r="Y571" i="5" s="1"/>
  <c r="Z571" i="5" s="1"/>
  <c r="AA571" i="5" s="1"/>
  <c r="AB571" i="5" s="1"/>
  <c r="E571" i="5"/>
  <c r="D571" i="5"/>
  <c r="H570" i="5"/>
  <c r="I570" i="5" s="1"/>
  <c r="V570" i="5"/>
  <c r="W570" i="5" s="1"/>
  <c r="X570" i="5" s="1"/>
  <c r="Y570" i="5" s="1"/>
  <c r="Z570" i="5"/>
  <c r="AA570" i="5" s="1"/>
  <c r="AB570" i="5" s="1"/>
  <c r="E570" i="5"/>
  <c r="D570" i="5"/>
  <c r="H569" i="5"/>
  <c r="I569" i="5" s="1"/>
  <c r="V569" i="5"/>
  <c r="W569" i="5" s="1"/>
  <c r="X569" i="5" s="1"/>
  <c r="Y569" i="5" s="1"/>
  <c r="Z569" i="5"/>
  <c r="AA569" i="5" s="1"/>
  <c r="AB569" i="5" s="1"/>
  <c r="D569" i="5"/>
  <c r="E569" i="5"/>
  <c r="H568" i="5"/>
  <c r="I568" i="5" s="1"/>
  <c r="V568" i="5"/>
  <c r="W568" i="5" s="1"/>
  <c r="X568" i="5" s="1"/>
  <c r="Y568" i="5" s="1"/>
  <c r="Z568" i="5"/>
  <c r="AA568" i="5" s="1"/>
  <c r="AB568" i="5" s="1"/>
  <c r="E568" i="5"/>
  <c r="D568" i="5"/>
  <c r="H567" i="5"/>
  <c r="I567" i="5" s="1"/>
  <c r="V567" i="5"/>
  <c r="W567" i="5" s="1"/>
  <c r="X567" i="5" s="1"/>
  <c r="Y567" i="5" s="1"/>
  <c r="Z567" i="5" s="1"/>
  <c r="AA567" i="5" s="1"/>
  <c r="AB567" i="5" s="1"/>
  <c r="D567" i="5"/>
  <c r="E567" i="5"/>
  <c r="H566" i="5"/>
  <c r="I566" i="5" s="1"/>
  <c r="V566" i="5"/>
  <c r="W566" i="5" s="1"/>
  <c r="X566" i="5" s="1"/>
  <c r="Y566" i="5" s="1"/>
  <c r="Z566" i="5"/>
  <c r="AA566" i="5" s="1"/>
  <c r="AB566" i="5" s="1"/>
  <c r="E566" i="5"/>
  <c r="D566" i="5"/>
  <c r="H565" i="5"/>
  <c r="I565" i="5" s="1"/>
  <c r="V565" i="5"/>
  <c r="W565" i="5" s="1"/>
  <c r="X565" i="5" s="1"/>
  <c r="Y565" i="5" s="1"/>
  <c r="Z565" i="5"/>
  <c r="AA565" i="5" s="1"/>
  <c r="AB565" i="5" s="1"/>
  <c r="D565" i="5"/>
  <c r="E565" i="5"/>
  <c r="H564" i="5"/>
  <c r="I564" i="5" s="1"/>
  <c r="V564" i="5"/>
  <c r="W564" i="5" s="1"/>
  <c r="X564" i="5" s="1"/>
  <c r="Y564" i="5" s="1"/>
  <c r="Z564" i="5"/>
  <c r="AA564" i="5" s="1"/>
  <c r="AB564" i="5" s="1"/>
  <c r="D564" i="5"/>
  <c r="E564" i="5"/>
  <c r="H563" i="5"/>
  <c r="I563" i="5" s="1"/>
  <c r="V563" i="5"/>
  <c r="W563" i="5" s="1"/>
  <c r="X563" i="5" s="1"/>
  <c r="Y563" i="5" s="1"/>
  <c r="Z563" i="5"/>
  <c r="AA563" i="5" s="1"/>
  <c r="AB563" i="5" s="1"/>
  <c r="E563" i="5"/>
  <c r="D563" i="5"/>
  <c r="H562" i="5"/>
  <c r="I562" i="5" s="1"/>
  <c r="V562" i="5"/>
  <c r="W562" i="5" s="1"/>
  <c r="X562" i="5" s="1"/>
  <c r="Y562" i="5" s="1"/>
  <c r="Z562" i="5"/>
  <c r="AA562" i="5" s="1"/>
  <c r="AB562" i="5" s="1"/>
  <c r="E562" i="5"/>
  <c r="D562" i="5"/>
  <c r="H561" i="5"/>
  <c r="I561" i="5" s="1"/>
  <c r="V561" i="5"/>
  <c r="W561" i="5" s="1"/>
  <c r="X561" i="5" s="1"/>
  <c r="Y561" i="5" s="1"/>
  <c r="Z561" i="5"/>
  <c r="AA561" i="5" s="1"/>
  <c r="AB561" i="5" s="1"/>
  <c r="E561" i="5"/>
  <c r="D561" i="5"/>
  <c r="H560" i="5"/>
  <c r="I560" i="5" s="1"/>
  <c r="V560" i="5"/>
  <c r="W560" i="5" s="1"/>
  <c r="X560" i="5" s="1"/>
  <c r="Y560" i="5" s="1"/>
  <c r="Z560" i="5" s="1"/>
  <c r="AA560" i="5" s="1"/>
  <c r="AB560" i="5" s="1"/>
  <c r="D560" i="5"/>
  <c r="E560" i="5"/>
  <c r="H559" i="5"/>
  <c r="I559" i="5" s="1"/>
  <c r="V559" i="5"/>
  <c r="W559" i="5" s="1"/>
  <c r="X559" i="5" s="1"/>
  <c r="Y559" i="5" s="1"/>
  <c r="Z559" i="5" s="1"/>
  <c r="AA559" i="5" s="1"/>
  <c r="AB559" i="5" s="1"/>
  <c r="E559" i="5"/>
  <c r="D559" i="5"/>
  <c r="H558" i="5"/>
  <c r="I558" i="5" s="1"/>
  <c r="V558" i="5"/>
  <c r="W558" i="5" s="1"/>
  <c r="X558" i="5" s="1"/>
  <c r="Y558" i="5" s="1"/>
  <c r="Z558" i="5" s="1"/>
  <c r="AA558" i="5" s="1"/>
  <c r="AB558" i="5" s="1"/>
  <c r="E558" i="5"/>
  <c r="D558" i="5"/>
  <c r="H557" i="5"/>
  <c r="I557" i="5" s="1"/>
  <c r="V557" i="5"/>
  <c r="W557" i="5" s="1"/>
  <c r="X557" i="5" s="1"/>
  <c r="Y557" i="5" s="1"/>
  <c r="Z557" i="5" s="1"/>
  <c r="AA557" i="5" s="1"/>
  <c r="AB557" i="5" s="1"/>
  <c r="E557" i="5"/>
  <c r="D557" i="5"/>
  <c r="H556" i="5"/>
  <c r="I556" i="5" s="1"/>
  <c r="V556" i="5"/>
  <c r="W556" i="5" s="1"/>
  <c r="X556" i="5" s="1"/>
  <c r="Y556" i="5" s="1"/>
  <c r="Z556" i="5" s="1"/>
  <c r="AA556" i="5" s="1"/>
  <c r="AB556" i="5" s="1"/>
  <c r="D556" i="5"/>
  <c r="E556" i="5"/>
  <c r="H555" i="5"/>
  <c r="I555" i="5" s="1"/>
  <c r="V555" i="5"/>
  <c r="W555" i="5" s="1"/>
  <c r="X555" i="5" s="1"/>
  <c r="Y555" i="5" s="1"/>
  <c r="Z555" i="5" s="1"/>
  <c r="AA555" i="5" s="1"/>
  <c r="AB555" i="5" s="1"/>
  <c r="E555" i="5"/>
  <c r="D555" i="5"/>
  <c r="H554" i="5"/>
  <c r="I554" i="5" s="1"/>
  <c r="V554" i="5"/>
  <c r="W554" i="5" s="1"/>
  <c r="X554" i="5" s="1"/>
  <c r="Y554" i="5" s="1"/>
  <c r="Z554" i="5" s="1"/>
  <c r="AA554" i="5" s="1"/>
  <c r="AB554" i="5" s="1"/>
  <c r="E554" i="5"/>
  <c r="D554" i="5"/>
  <c r="H553" i="5"/>
  <c r="I553" i="5" s="1"/>
  <c r="V553" i="5"/>
  <c r="W553" i="5" s="1"/>
  <c r="X553" i="5" s="1"/>
  <c r="Y553" i="5" s="1"/>
  <c r="Z553" i="5" s="1"/>
  <c r="AA553" i="5" s="1"/>
  <c r="AB553" i="5" s="1"/>
  <c r="D553" i="5"/>
  <c r="E553" i="5"/>
  <c r="H552" i="5"/>
  <c r="I552" i="5" s="1"/>
  <c r="V552" i="5"/>
  <c r="W552" i="5" s="1"/>
  <c r="X552" i="5" s="1"/>
  <c r="Y552" i="5" s="1"/>
  <c r="Z552" i="5" s="1"/>
  <c r="AA552" i="5" s="1"/>
  <c r="AB552" i="5" s="1"/>
  <c r="D552" i="5"/>
  <c r="E552" i="5"/>
  <c r="H551" i="5"/>
  <c r="I551" i="5" s="1"/>
  <c r="V551" i="5"/>
  <c r="W551" i="5" s="1"/>
  <c r="X551" i="5" s="1"/>
  <c r="Y551" i="5" s="1"/>
  <c r="Z551" i="5" s="1"/>
  <c r="AA551" i="5" s="1"/>
  <c r="AB551" i="5" s="1"/>
  <c r="D551" i="5"/>
  <c r="E551" i="5"/>
  <c r="H550" i="5"/>
  <c r="I550" i="5" s="1"/>
  <c r="V550" i="5"/>
  <c r="W550" i="5" s="1"/>
  <c r="X550" i="5" s="1"/>
  <c r="Y550" i="5" s="1"/>
  <c r="Z550" i="5" s="1"/>
  <c r="AA550" i="5" s="1"/>
  <c r="AB550" i="5" s="1"/>
  <c r="E550" i="5"/>
  <c r="D550" i="5"/>
  <c r="H549" i="5"/>
  <c r="I549" i="5" s="1"/>
  <c r="V549" i="5"/>
  <c r="W549" i="5" s="1"/>
  <c r="X549" i="5" s="1"/>
  <c r="Y549" i="5" s="1"/>
  <c r="Z549" i="5" s="1"/>
  <c r="AA549" i="5" s="1"/>
  <c r="AB549" i="5" s="1"/>
  <c r="E549" i="5"/>
  <c r="D549" i="5"/>
  <c r="H548" i="5"/>
  <c r="I548" i="5" s="1"/>
  <c r="V548" i="5"/>
  <c r="W548" i="5" s="1"/>
  <c r="X548" i="5" s="1"/>
  <c r="Y548" i="5" s="1"/>
  <c r="Z548" i="5" s="1"/>
  <c r="AA548" i="5" s="1"/>
  <c r="AB548" i="5" s="1"/>
  <c r="D548" i="5"/>
  <c r="E548" i="5"/>
  <c r="H547" i="5"/>
  <c r="I547" i="5" s="1"/>
  <c r="V547" i="5"/>
  <c r="W547" i="5" s="1"/>
  <c r="X547" i="5" s="1"/>
  <c r="Y547" i="5" s="1"/>
  <c r="Z547" i="5" s="1"/>
  <c r="AA547" i="5" s="1"/>
  <c r="AB547" i="5" s="1"/>
  <c r="D547" i="5"/>
  <c r="E547" i="5"/>
  <c r="H546" i="5"/>
  <c r="I546" i="5" s="1"/>
  <c r="V546" i="5"/>
  <c r="W546" i="5" s="1"/>
  <c r="X546" i="5" s="1"/>
  <c r="Y546" i="5" s="1"/>
  <c r="Z546" i="5" s="1"/>
  <c r="AA546" i="5" s="1"/>
  <c r="AB546" i="5" s="1"/>
  <c r="D546" i="5"/>
  <c r="E546" i="5"/>
  <c r="H545" i="5"/>
  <c r="I545" i="5" s="1"/>
  <c r="V545" i="5"/>
  <c r="W545" i="5" s="1"/>
  <c r="X545" i="5" s="1"/>
  <c r="Y545" i="5" s="1"/>
  <c r="Z545" i="5" s="1"/>
  <c r="AA545" i="5" s="1"/>
  <c r="AB545" i="5" s="1"/>
  <c r="D545" i="5"/>
  <c r="E545" i="5"/>
  <c r="H544" i="5"/>
  <c r="I544" i="5" s="1"/>
  <c r="V544" i="5"/>
  <c r="W544" i="5" s="1"/>
  <c r="X544" i="5" s="1"/>
  <c r="Y544" i="5" s="1"/>
  <c r="Z544" i="5" s="1"/>
  <c r="AA544" i="5" s="1"/>
  <c r="AB544" i="5" s="1"/>
  <c r="D544" i="5"/>
  <c r="E544" i="5"/>
  <c r="H543" i="5"/>
  <c r="I543" i="5" s="1"/>
  <c r="V543" i="5"/>
  <c r="W543" i="5" s="1"/>
  <c r="X543" i="5" s="1"/>
  <c r="Y543" i="5" s="1"/>
  <c r="Z543" i="5" s="1"/>
  <c r="AA543" i="5" s="1"/>
  <c r="AB543" i="5" s="1"/>
  <c r="E543" i="5"/>
  <c r="D543" i="5"/>
  <c r="H542" i="5"/>
  <c r="I542" i="5" s="1"/>
  <c r="V542" i="5"/>
  <c r="W542" i="5" s="1"/>
  <c r="X542" i="5" s="1"/>
  <c r="Y542" i="5" s="1"/>
  <c r="Z542" i="5" s="1"/>
  <c r="AA542" i="5" s="1"/>
  <c r="AB542" i="5" s="1"/>
  <c r="E542" i="5"/>
  <c r="D542" i="5"/>
  <c r="H541" i="5"/>
  <c r="I541" i="5" s="1"/>
  <c r="V541" i="5"/>
  <c r="W541" i="5" s="1"/>
  <c r="X541" i="5" s="1"/>
  <c r="Y541" i="5" s="1"/>
  <c r="Z541" i="5" s="1"/>
  <c r="AA541" i="5" s="1"/>
  <c r="AB541" i="5" s="1"/>
  <c r="D541" i="5"/>
  <c r="E541" i="5"/>
  <c r="H540" i="5"/>
  <c r="I540" i="5" s="1"/>
  <c r="V540" i="5"/>
  <c r="W540" i="5" s="1"/>
  <c r="X540" i="5" s="1"/>
  <c r="Y540" i="5" s="1"/>
  <c r="Z540" i="5" s="1"/>
  <c r="AA540" i="5" s="1"/>
  <c r="AB540" i="5" s="1"/>
  <c r="E540" i="5"/>
  <c r="D540" i="5"/>
  <c r="H539" i="5"/>
  <c r="I539" i="5" s="1"/>
  <c r="V539" i="5"/>
  <c r="W539" i="5" s="1"/>
  <c r="X539" i="5" s="1"/>
  <c r="Y539" i="5" s="1"/>
  <c r="Z539" i="5" s="1"/>
  <c r="AA539" i="5" s="1"/>
  <c r="AB539" i="5" s="1"/>
  <c r="E539" i="5"/>
  <c r="D539" i="5"/>
  <c r="H538" i="5"/>
  <c r="I538" i="5" s="1"/>
  <c r="V538" i="5"/>
  <c r="W538" i="5" s="1"/>
  <c r="X538" i="5" s="1"/>
  <c r="Y538" i="5" s="1"/>
  <c r="Z538" i="5" s="1"/>
  <c r="AA538" i="5" s="1"/>
  <c r="AB538" i="5" s="1"/>
  <c r="E538" i="5"/>
  <c r="D538" i="5"/>
  <c r="H537" i="5"/>
  <c r="I537" i="5" s="1"/>
  <c r="V537" i="5"/>
  <c r="W537" i="5" s="1"/>
  <c r="X537" i="5" s="1"/>
  <c r="Y537" i="5" s="1"/>
  <c r="Z537" i="5" s="1"/>
  <c r="AA537" i="5" s="1"/>
  <c r="AB537" i="5" s="1"/>
  <c r="E537" i="5"/>
  <c r="D537" i="5"/>
  <c r="H536" i="5"/>
  <c r="I536" i="5" s="1"/>
  <c r="V536" i="5"/>
  <c r="W536" i="5" s="1"/>
  <c r="X536" i="5" s="1"/>
  <c r="Y536" i="5" s="1"/>
  <c r="Z536" i="5" s="1"/>
  <c r="AA536" i="5" s="1"/>
  <c r="AB536" i="5" s="1"/>
  <c r="E536" i="5"/>
  <c r="D536" i="5"/>
  <c r="J535" i="5"/>
  <c r="K535" i="5" s="1"/>
  <c r="L535" i="5" s="1"/>
  <c r="M535" i="5" s="1"/>
  <c r="D535" i="5"/>
  <c r="E535" i="5"/>
  <c r="H534" i="5"/>
  <c r="I534" i="5" s="1"/>
  <c r="V534" i="5"/>
  <c r="W534" i="5" s="1"/>
  <c r="X534" i="5" s="1"/>
  <c r="Y534" i="5" s="1"/>
  <c r="Z534" i="5" s="1"/>
  <c r="AA534" i="5" s="1"/>
  <c r="AB534" i="5" s="1"/>
  <c r="E534" i="5"/>
  <c r="D534" i="5"/>
  <c r="H533" i="5"/>
  <c r="I533" i="5" s="1"/>
  <c r="Z533" i="5"/>
  <c r="AA533" i="5" s="1"/>
  <c r="AB533" i="5" s="1"/>
  <c r="V533" i="5"/>
  <c r="W533" i="5" s="1"/>
  <c r="X533" i="5" s="1"/>
  <c r="Y533" i="5" s="1"/>
  <c r="E533" i="5"/>
  <c r="D533" i="5"/>
  <c r="H532" i="5"/>
  <c r="I532" i="5" s="1"/>
  <c r="V532" i="5"/>
  <c r="W532" i="5" s="1"/>
  <c r="X532" i="5" s="1"/>
  <c r="Y532" i="5" s="1"/>
  <c r="Z532" i="5"/>
  <c r="AA532" i="5" s="1"/>
  <c r="AB532" i="5" s="1"/>
  <c r="D532" i="5"/>
  <c r="E532" i="5"/>
  <c r="H531" i="5"/>
  <c r="I531" i="5" s="1"/>
  <c r="V531" i="5"/>
  <c r="W531" i="5" s="1"/>
  <c r="X531" i="5" s="1"/>
  <c r="Y531" i="5" s="1"/>
  <c r="Z531" i="5"/>
  <c r="AA531" i="5" s="1"/>
  <c r="AB531" i="5" s="1"/>
  <c r="D531" i="5"/>
  <c r="E531" i="5"/>
  <c r="H530" i="5"/>
  <c r="I530" i="5" s="1"/>
  <c r="V530" i="5"/>
  <c r="W530" i="5" s="1"/>
  <c r="X530" i="5" s="1"/>
  <c r="Y530" i="5" s="1"/>
  <c r="Z530" i="5"/>
  <c r="AA530" i="5" s="1"/>
  <c r="AB530" i="5" s="1"/>
  <c r="D530" i="5"/>
  <c r="E530" i="5"/>
  <c r="H529" i="5"/>
  <c r="I529" i="5" s="1"/>
  <c r="V529" i="5"/>
  <c r="W529" i="5" s="1"/>
  <c r="X529" i="5" s="1"/>
  <c r="Y529" i="5" s="1"/>
  <c r="Z529" i="5"/>
  <c r="AA529" i="5" s="1"/>
  <c r="AB529" i="5" s="1"/>
  <c r="E529" i="5"/>
  <c r="D529" i="5"/>
  <c r="H528" i="5"/>
  <c r="I528" i="5" s="1"/>
  <c r="V528" i="5"/>
  <c r="W528" i="5" s="1"/>
  <c r="X528" i="5" s="1"/>
  <c r="Y528" i="5" s="1"/>
  <c r="Z528" i="5"/>
  <c r="AA528" i="5" s="1"/>
  <c r="AB528" i="5" s="1"/>
  <c r="D528" i="5"/>
  <c r="E528" i="5"/>
  <c r="H527" i="5"/>
  <c r="I527" i="5" s="1"/>
  <c r="V527" i="5"/>
  <c r="W527" i="5" s="1"/>
  <c r="X527" i="5" s="1"/>
  <c r="Y527" i="5" s="1"/>
  <c r="Z527" i="5"/>
  <c r="AA527" i="5" s="1"/>
  <c r="AB527" i="5" s="1"/>
  <c r="E527" i="5"/>
  <c r="D527" i="5"/>
  <c r="H526" i="5"/>
  <c r="I526" i="5" s="1"/>
  <c r="V526" i="5"/>
  <c r="W526" i="5" s="1"/>
  <c r="X526" i="5" s="1"/>
  <c r="Y526" i="5" s="1"/>
  <c r="Z526" i="5" s="1"/>
  <c r="AA526" i="5" s="1"/>
  <c r="AB526" i="5" s="1"/>
  <c r="E526" i="5"/>
  <c r="D526" i="5"/>
  <c r="H525" i="5"/>
  <c r="I525" i="5" s="1"/>
  <c r="V525" i="5"/>
  <c r="W525" i="5" s="1"/>
  <c r="X525" i="5" s="1"/>
  <c r="Y525" i="5" s="1"/>
  <c r="Z525" i="5" s="1"/>
  <c r="AA525" i="5" s="1"/>
  <c r="AB525" i="5" s="1"/>
  <c r="D525" i="5"/>
  <c r="E525" i="5"/>
  <c r="H524" i="5"/>
  <c r="I524" i="5" s="1"/>
  <c r="V524" i="5"/>
  <c r="W524" i="5" s="1"/>
  <c r="X524" i="5" s="1"/>
  <c r="Y524" i="5" s="1"/>
  <c r="Z524" i="5"/>
  <c r="AA524" i="5" s="1"/>
  <c r="AB524" i="5" s="1"/>
  <c r="E524" i="5"/>
  <c r="D524" i="5"/>
  <c r="H523" i="5"/>
  <c r="I523" i="5" s="1"/>
  <c r="V523" i="5"/>
  <c r="W523" i="5" s="1"/>
  <c r="X523" i="5" s="1"/>
  <c r="Y523" i="5" s="1"/>
  <c r="Z523" i="5"/>
  <c r="AA523" i="5" s="1"/>
  <c r="AB523" i="5" s="1"/>
  <c r="D523" i="5"/>
  <c r="E523" i="5"/>
  <c r="H522" i="5"/>
  <c r="I522" i="5" s="1"/>
  <c r="V522" i="5"/>
  <c r="W522" i="5" s="1"/>
  <c r="X522" i="5" s="1"/>
  <c r="Y522" i="5" s="1"/>
  <c r="Z522" i="5"/>
  <c r="AA522" i="5" s="1"/>
  <c r="AB522" i="5" s="1"/>
  <c r="E522" i="5"/>
  <c r="D522" i="5"/>
  <c r="H521" i="5"/>
  <c r="I521" i="5" s="1"/>
  <c r="V521" i="5"/>
  <c r="W521" i="5" s="1"/>
  <c r="X521" i="5" s="1"/>
  <c r="Y521" i="5" s="1"/>
  <c r="Z521" i="5" s="1"/>
  <c r="AA521" i="5" s="1"/>
  <c r="AB521" i="5" s="1"/>
  <c r="E521" i="5"/>
  <c r="D521" i="5"/>
  <c r="H520" i="5"/>
  <c r="I520" i="5" s="1"/>
  <c r="V520" i="5"/>
  <c r="W520" i="5" s="1"/>
  <c r="X520" i="5" s="1"/>
  <c r="Y520" i="5" s="1"/>
  <c r="Z520" i="5" s="1"/>
  <c r="AA520" i="5" s="1"/>
  <c r="AB520" i="5" s="1"/>
  <c r="D520" i="5"/>
  <c r="E520" i="5"/>
  <c r="H519" i="5"/>
  <c r="I519" i="5" s="1"/>
  <c r="V519" i="5"/>
  <c r="W519" i="5" s="1"/>
  <c r="X519" i="5" s="1"/>
  <c r="Y519" i="5" s="1"/>
  <c r="Z519" i="5"/>
  <c r="AA519" i="5" s="1"/>
  <c r="AB519" i="5" s="1"/>
  <c r="D519" i="5"/>
  <c r="E519" i="5"/>
  <c r="H518" i="5"/>
  <c r="I518" i="5" s="1"/>
  <c r="V518" i="5"/>
  <c r="W518" i="5" s="1"/>
  <c r="X518" i="5" s="1"/>
  <c r="Y518" i="5" s="1"/>
  <c r="Z518" i="5" s="1"/>
  <c r="AA518" i="5" s="1"/>
  <c r="AB518" i="5" s="1"/>
  <c r="E518" i="5"/>
  <c r="D518" i="5"/>
  <c r="H517" i="5"/>
  <c r="I517" i="5" s="1"/>
  <c r="V517" i="5"/>
  <c r="W517" i="5" s="1"/>
  <c r="X517" i="5" s="1"/>
  <c r="Y517" i="5" s="1"/>
  <c r="Z517" i="5" s="1"/>
  <c r="AA517" i="5" s="1"/>
  <c r="AB517" i="5" s="1"/>
  <c r="E517" i="5"/>
  <c r="D517" i="5"/>
  <c r="H516" i="5"/>
  <c r="I516" i="5" s="1"/>
  <c r="V516" i="5"/>
  <c r="W516" i="5" s="1"/>
  <c r="X516" i="5" s="1"/>
  <c r="Y516" i="5" s="1"/>
  <c r="Z516" i="5" s="1"/>
  <c r="AA516" i="5" s="1"/>
  <c r="AB516" i="5" s="1"/>
  <c r="E516" i="5"/>
  <c r="D516" i="5"/>
  <c r="H515" i="5"/>
  <c r="I515" i="5" s="1"/>
  <c r="V515" i="5"/>
  <c r="W515" i="5" s="1"/>
  <c r="X515" i="5" s="1"/>
  <c r="Y515" i="5" s="1"/>
  <c r="Z515" i="5" s="1"/>
  <c r="AA515" i="5" s="1"/>
  <c r="AB515" i="5" s="1"/>
  <c r="E515" i="5"/>
  <c r="D515" i="5"/>
  <c r="H514" i="5"/>
  <c r="I514" i="5" s="1"/>
  <c r="V514" i="5"/>
  <c r="W514" i="5" s="1"/>
  <c r="X514" i="5" s="1"/>
  <c r="Y514" i="5" s="1"/>
  <c r="Z514" i="5"/>
  <c r="AA514" i="5" s="1"/>
  <c r="AB514" i="5" s="1"/>
  <c r="D514" i="5"/>
  <c r="E514" i="5"/>
  <c r="H513" i="5"/>
  <c r="I513" i="5" s="1"/>
  <c r="V513" i="5"/>
  <c r="W513" i="5" s="1"/>
  <c r="X513" i="5" s="1"/>
  <c r="Y513" i="5" s="1"/>
  <c r="Z513" i="5" s="1"/>
  <c r="AA513" i="5" s="1"/>
  <c r="AB513" i="5" s="1"/>
  <c r="E513" i="5"/>
  <c r="D513" i="5"/>
  <c r="H512" i="5"/>
  <c r="I512" i="5" s="1"/>
  <c r="V512" i="5"/>
  <c r="W512" i="5" s="1"/>
  <c r="X512" i="5" s="1"/>
  <c r="Y512" i="5" s="1"/>
  <c r="Z512" i="5" s="1"/>
  <c r="AA512" i="5" s="1"/>
  <c r="AB512" i="5" s="1"/>
  <c r="E512" i="5"/>
  <c r="D512" i="5"/>
  <c r="H511" i="5"/>
  <c r="I511" i="5" s="1"/>
  <c r="V511" i="5"/>
  <c r="W511" i="5" s="1"/>
  <c r="X511" i="5" s="1"/>
  <c r="Y511" i="5" s="1"/>
  <c r="Z511" i="5" s="1"/>
  <c r="AA511" i="5" s="1"/>
  <c r="AB511" i="5" s="1"/>
  <c r="E511" i="5"/>
  <c r="D511" i="5"/>
  <c r="H510" i="5"/>
  <c r="I510" i="5" s="1"/>
  <c r="V510" i="5"/>
  <c r="W510" i="5" s="1"/>
  <c r="X510" i="5" s="1"/>
  <c r="Y510" i="5" s="1"/>
  <c r="Z510" i="5" s="1"/>
  <c r="AA510" i="5" s="1"/>
  <c r="AB510" i="5" s="1"/>
  <c r="E510" i="5"/>
  <c r="D510" i="5"/>
  <c r="H509" i="5"/>
  <c r="I509" i="5" s="1"/>
  <c r="V509" i="5"/>
  <c r="W509" i="5" s="1"/>
  <c r="X509" i="5" s="1"/>
  <c r="Y509" i="5" s="1"/>
  <c r="Z509" i="5" s="1"/>
  <c r="AA509" i="5" s="1"/>
  <c r="AB509" i="5" s="1"/>
  <c r="E509" i="5"/>
  <c r="D509" i="5"/>
  <c r="H508" i="5"/>
  <c r="I508" i="5" s="1"/>
  <c r="V508" i="5"/>
  <c r="W508" i="5" s="1"/>
  <c r="X508" i="5" s="1"/>
  <c r="Y508" i="5" s="1"/>
  <c r="Z508" i="5" s="1"/>
  <c r="AA508" i="5" s="1"/>
  <c r="AB508" i="5" s="1"/>
  <c r="E508" i="5"/>
  <c r="D508" i="5"/>
  <c r="H507" i="5"/>
  <c r="I507" i="5" s="1"/>
  <c r="V507" i="5"/>
  <c r="W507" i="5" s="1"/>
  <c r="X507" i="5" s="1"/>
  <c r="Y507" i="5" s="1"/>
  <c r="Z507" i="5" s="1"/>
  <c r="AA507" i="5" s="1"/>
  <c r="AB507" i="5" s="1"/>
  <c r="E507" i="5"/>
  <c r="D507" i="5"/>
  <c r="H506" i="5"/>
  <c r="I506" i="5" s="1"/>
  <c r="V506" i="5"/>
  <c r="W506" i="5" s="1"/>
  <c r="X506" i="5" s="1"/>
  <c r="Y506" i="5" s="1"/>
  <c r="Z506" i="5" s="1"/>
  <c r="AA506" i="5" s="1"/>
  <c r="AB506" i="5" s="1"/>
  <c r="E506" i="5"/>
  <c r="D506" i="5"/>
  <c r="H505" i="5"/>
  <c r="I505" i="5" s="1"/>
  <c r="V505" i="5"/>
  <c r="W505" i="5" s="1"/>
  <c r="X505" i="5" s="1"/>
  <c r="Y505" i="5" s="1"/>
  <c r="Z505" i="5" s="1"/>
  <c r="AA505" i="5" s="1"/>
  <c r="AB505" i="5" s="1"/>
  <c r="E505" i="5"/>
  <c r="D505" i="5"/>
  <c r="H504" i="5"/>
  <c r="I504" i="5" s="1"/>
  <c r="V504" i="5"/>
  <c r="W504" i="5" s="1"/>
  <c r="X504" i="5" s="1"/>
  <c r="Y504" i="5" s="1"/>
  <c r="Z504" i="5" s="1"/>
  <c r="AA504" i="5" s="1"/>
  <c r="AB504" i="5" s="1"/>
  <c r="E504" i="5"/>
  <c r="D504" i="5"/>
  <c r="H503" i="5"/>
  <c r="I503" i="5" s="1"/>
  <c r="V503" i="5"/>
  <c r="W503" i="5" s="1"/>
  <c r="X503" i="5" s="1"/>
  <c r="Y503" i="5" s="1"/>
  <c r="Z503" i="5" s="1"/>
  <c r="AA503" i="5" s="1"/>
  <c r="AB503" i="5" s="1"/>
  <c r="E503" i="5"/>
  <c r="D503" i="5"/>
  <c r="H502" i="5"/>
  <c r="I502" i="5" s="1"/>
  <c r="V502" i="5"/>
  <c r="W502" i="5" s="1"/>
  <c r="X502" i="5" s="1"/>
  <c r="Y502" i="5" s="1"/>
  <c r="Z502" i="5" s="1"/>
  <c r="AA502" i="5" s="1"/>
  <c r="AB502" i="5" s="1"/>
  <c r="E502" i="5"/>
  <c r="D502" i="5"/>
  <c r="H501" i="5"/>
  <c r="I501" i="5" s="1"/>
  <c r="V501" i="5"/>
  <c r="W501" i="5" s="1"/>
  <c r="X501" i="5" s="1"/>
  <c r="Y501" i="5" s="1"/>
  <c r="Z501" i="5" s="1"/>
  <c r="AA501" i="5" s="1"/>
  <c r="AB501" i="5" s="1"/>
  <c r="D501" i="5"/>
  <c r="E501" i="5"/>
  <c r="H500" i="5"/>
  <c r="I500" i="5" s="1"/>
  <c r="V500" i="5"/>
  <c r="W500" i="5" s="1"/>
  <c r="X500" i="5" s="1"/>
  <c r="Y500" i="5" s="1"/>
  <c r="Z500" i="5" s="1"/>
  <c r="AA500" i="5" s="1"/>
  <c r="AB500" i="5" s="1"/>
  <c r="D500" i="5"/>
  <c r="E500" i="5"/>
  <c r="H499" i="5"/>
  <c r="I499" i="5" s="1"/>
  <c r="V499" i="5"/>
  <c r="W499" i="5" s="1"/>
  <c r="X499" i="5" s="1"/>
  <c r="Y499" i="5" s="1"/>
  <c r="Z499" i="5" s="1"/>
  <c r="AA499" i="5" s="1"/>
  <c r="AB499" i="5" s="1"/>
  <c r="E499" i="5"/>
  <c r="D499" i="5"/>
  <c r="H498" i="5"/>
  <c r="I498" i="5" s="1"/>
  <c r="V498" i="5"/>
  <c r="W498" i="5" s="1"/>
  <c r="X498" i="5" s="1"/>
  <c r="Y498" i="5" s="1"/>
  <c r="Z498" i="5" s="1"/>
  <c r="AA498" i="5" s="1"/>
  <c r="AB498" i="5" s="1"/>
  <c r="D498" i="5"/>
  <c r="E498" i="5"/>
  <c r="H497" i="5"/>
  <c r="I497" i="5" s="1"/>
  <c r="V497" i="5"/>
  <c r="W497" i="5" s="1"/>
  <c r="X497" i="5" s="1"/>
  <c r="Y497" i="5" s="1"/>
  <c r="Z497" i="5" s="1"/>
  <c r="AA497" i="5" s="1"/>
  <c r="AB497" i="5" s="1"/>
  <c r="D497" i="5"/>
  <c r="E497" i="5"/>
  <c r="H496" i="5"/>
  <c r="I496" i="5" s="1"/>
  <c r="V496" i="5"/>
  <c r="W496" i="5" s="1"/>
  <c r="X496" i="5" s="1"/>
  <c r="Y496" i="5" s="1"/>
  <c r="Z496" i="5" s="1"/>
  <c r="AA496" i="5" s="1"/>
  <c r="AB496" i="5" s="1"/>
  <c r="E496" i="5"/>
  <c r="D496" i="5"/>
  <c r="H495" i="5"/>
  <c r="I495" i="5" s="1"/>
  <c r="V495" i="5"/>
  <c r="W495" i="5" s="1"/>
  <c r="X495" i="5" s="1"/>
  <c r="Y495" i="5" s="1"/>
  <c r="Z495" i="5" s="1"/>
  <c r="AA495" i="5" s="1"/>
  <c r="AB495" i="5" s="1"/>
  <c r="D495" i="5"/>
  <c r="E495" i="5"/>
  <c r="H494" i="5"/>
  <c r="I494" i="5" s="1"/>
  <c r="V494" i="5"/>
  <c r="W494" i="5" s="1"/>
  <c r="X494" i="5" s="1"/>
  <c r="Y494" i="5" s="1"/>
  <c r="Z494" i="5" s="1"/>
  <c r="AA494" i="5" s="1"/>
  <c r="AB494" i="5" s="1"/>
  <c r="D494" i="5"/>
  <c r="E494" i="5"/>
  <c r="H493" i="5"/>
  <c r="I493" i="5" s="1"/>
  <c r="V493" i="5"/>
  <c r="W493" i="5" s="1"/>
  <c r="X493" i="5" s="1"/>
  <c r="Y493" i="5" s="1"/>
  <c r="Z493" i="5" s="1"/>
  <c r="AA493" i="5" s="1"/>
  <c r="AB493" i="5" s="1"/>
  <c r="E493" i="5"/>
  <c r="D493" i="5"/>
  <c r="H492" i="5"/>
  <c r="I492" i="5" s="1"/>
  <c r="V492" i="5"/>
  <c r="W492" i="5" s="1"/>
  <c r="X492" i="5" s="1"/>
  <c r="Y492" i="5" s="1"/>
  <c r="Z492" i="5" s="1"/>
  <c r="AA492" i="5" s="1"/>
  <c r="AB492" i="5" s="1"/>
  <c r="D492" i="5"/>
  <c r="E492" i="5"/>
  <c r="H491" i="5"/>
  <c r="I491" i="5" s="1"/>
  <c r="V491" i="5"/>
  <c r="W491" i="5" s="1"/>
  <c r="X491" i="5" s="1"/>
  <c r="Y491" i="5" s="1"/>
  <c r="Z491" i="5" s="1"/>
  <c r="AA491" i="5" s="1"/>
  <c r="AB491" i="5" s="1"/>
  <c r="D491" i="5"/>
  <c r="E491" i="5"/>
  <c r="H490" i="5"/>
  <c r="I490" i="5" s="1"/>
  <c r="V490" i="5"/>
  <c r="W490" i="5" s="1"/>
  <c r="X490" i="5" s="1"/>
  <c r="Y490" i="5" s="1"/>
  <c r="Z490" i="5" s="1"/>
  <c r="AA490" i="5" s="1"/>
  <c r="AB490" i="5" s="1"/>
  <c r="D490" i="5"/>
  <c r="E490" i="5"/>
  <c r="H489" i="5"/>
  <c r="I489" i="5" s="1"/>
  <c r="V489" i="5"/>
  <c r="W489" i="5" s="1"/>
  <c r="X489" i="5" s="1"/>
  <c r="Y489" i="5" s="1"/>
  <c r="Z489" i="5" s="1"/>
  <c r="AA489" i="5" s="1"/>
  <c r="AB489" i="5" s="1"/>
  <c r="E489" i="5"/>
  <c r="D489" i="5"/>
  <c r="H488" i="5"/>
  <c r="I488" i="5" s="1"/>
  <c r="V488" i="5"/>
  <c r="W488" i="5" s="1"/>
  <c r="X488" i="5" s="1"/>
  <c r="Y488" i="5" s="1"/>
  <c r="Z488" i="5" s="1"/>
  <c r="AA488" i="5" s="1"/>
  <c r="AB488" i="5" s="1"/>
  <c r="E488" i="5"/>
  <c r="D488" i="5"/>
  <c r="H487" i="5"/>
  <c r="I487" i="5" s="1"/>
  <c r="V487" i="5"/>
  <c r="W487" i="5" s="1"/>
  <c r="X487" i="5" s="1"/>
  <c r="Y487" i="5" s="1"/>
  <c r="Z487" i="5" s="1"/>
  <c r="AA487" i="5" s="1"/>
  <c r="AB487" i="5" s="1"/>
  <c r="D487" i="5"/>
  <c r="E487" i="5"/>
  <c r="H486" i="5"/>
  <c r="I486" i="5" s="1"/>
  <c r="V486" i="5"/>
  <c r="W486" i="5" s="1"/>
  <c r="X486" i="5" s="1"/>
  <c r="Y486" i="5" s="1"/>
  <c r="Z486" i="5" s="1"/>
  <c r="AA486" i="5" s="1"/>
  <c r="AB486" i="5" s="1"/>
  <c r="E486" i="5"/>
  <c r="D486" i="5"/>
  <c r="H485" i="5"/>
  <c r="I485" i="5" s="1"/>
  <c r="V485" i="5"/>
  <c r="W485" i="5" s="1"/>
  <c r="X485" i="5" s="1"/>
  <c r="Y485" i="5" s="1"/>
  <c r="Z485" i="5" s="1"/>
  <c r="AA485" i="5" s="1"/>
  <c r="AB485" i="5" s="1"/>
  <c r="E485" i="5"/>
  <c r="D485" i="5"/>
  <c r="H484" i="5"/>
  <c r="I484" i="5" s="1"/>
  <c r="V484" i="5"/>
  <c r="W484" i="5" s="1"/>
  <c r="X484" i="5" s="1"/>
  <c r="Y484" i="5" s="1"/>
  <c r="Z484" i="5" s="1"/>
  <c r="AA484" i="5" s="1"/>
  <c r="AB484" i="5" s="1"/>
  <c r="E484" i="5"/>
  <c r="D484" i="5"/>
  <c r="H483" i="5"/>
  <c r="I483" i="5" s="1"/>
  <c r="V483" i="5"/>
  <c r="W483" i="5" s="1"/>
  <c r="X483" i="5" s="1"/>
  <c r="Y483" i="5" s="1"/>
  <c r="Z483" i="5" s="1"/>
  <c r="AA483" i="5" s="1"/>
  <c r="AB483" i="5" s="1"/>
  <c r="D483" i="5"/>
  <c r="E483" i="5"/>
  <c r="H482" i="5"/>
  <c r="I482" i="5" s="1"/>
  <c r="V482" i="5"/>
  <c r="W482" i="5" s="1"/>
  <c r="X482" i="5" s="1"/>
  <c r="Y482" i="5" s="1"/>
  <c r="Z482" i="5" s="1"/>
  <c r="AA482" i="5" s="1"/>
  <c r="AB482" i="5" s="1"/>
  <c r="D482" i="5"/>
  <c r="E482" i="5"/>
  <c r="H481" i="5"/>
  <c r="I481" i="5" s="1"/>
  <c r="V481" i="5"/>
  <c r="W481" i="5" s="1"/>
  <c r="X481" i="5" s="1"/>
  <c r="Y481" i="5" s="1"/>
  <c r="Z481" i="5" s="1"/>
  <c r="AA481" i="5" s="1"/>
  <c r="AB481" i="5" s="1"/>
  <c r="E481" i="5"/>
  <c r="D481" i="5"/>
  <c r="H480" i="5"/>
  <c r="I480" i="5" s="1"/>
  <c r="V480" i="5"/>
  <c r="W480" i="5" s="1"/>
  <c r="X480" i="5" s="1"/>
  <c r="Y480" i="5" s="1"/>
  <c r="Z480" i="5" s="1"/>
  <c r="AA480" i="5" s="1"/>
  <c r="AB480" i="5" s="1"/>
  <c r="E480" i="5"/>
  <c r="D480" i="5"/>
  <c r="H479" i="5"/>
  <c r="I479" i="5" s="1"/>
  <c r="V479" i="5"/>
  <c r="W479" i="5" s="1"/>
  <c r="X479" i="5" s="1"/>
  <c r="Y479" i="5" s="1"/>
  <c r="Z479" i="5" s="1"/>
  <c r="AA479" i="5" s="1"/>
  <c r="AB479" i="5" s="1"/>
  <c r="E479" i="5"/>
  <c r="D479" i="5"/>
  <c r="H478" i="5"/>
  <c r="I478" i="5" s="1"/>
  <c r="V478" i="5"/>
  <c r="W478" i="5" s="1"/>
  <c r="X478" i="5" s="1"/>
  <c r="Y478" i="5" s="1"/>
  <c r="Z478" i="5" s="1"/>
  <c r="AA478" i="5" s="1"/>
  <c r="AB478" i="5" s="1"/>
  <c r="D478" i="5"/>
  <c r="E478" i="5"/>
  <c r="H477" i="5"/>
  <c r="I477" i="5" s="1"/>
  <c r="V477" i="5"/>
  <c r="W477" i="5" s="1"/>
  <c r="X477" i="5" s="1"/>
  <c r="Y477" i="5" s="1"/>
  <c r="Z477" i="5" s="1"/>
  <c r="AA477" i="5" s="1"/>
  <c r="AB477" i="5" s="1"/>
  <c r="D477" i="5"/>
  <c r="E477" i="5"/>
  <c r="H476" i="5"/>
  <c r="I476" i="5" s="1"/>
  <c r="V476" i="5"/>
  <c r="W476" i="5" s="1"/>
  <c r="X476" i="5" s="1"/>
  <c r="Y476" i="5" s="1"/>
  <c r="Z476" i="5" s="1"/>
  <c r="AA476" i="5" s="1"/>
  <c r="AB476" i="5" s="1"/>
  <c r="E476" i="5"/>
  <c r="D476" i="5"/>
  <c r="H475" i="5"/>
  <c r="I475" i="5" s="1"/>
  <c r="V475" i="5"/>
  <c r="W475" i="5" s="1"/>
  <c r="X475" i="5" s="1"/>
  <c r="Y475" i="5" s="1"/>
  <c r="Z475" i="5" s="1"/>
  <c r="AA475" i="5" s="1"/>
  <c r="AB475" i="5" s="1"/>
  <c r="D475" i="5"/>
  <c r="E475" i="5"/>
  <c r="H474" i="5"/>
  <c r="I474" i="5" s="1"/>
  <c r="Z474" i="5"/>
  <c r="AA474" i="5" s="1"/>
  <c r="AB474" i="5" s="1"/>
  <c r="V474" i="5"/>
  <c r="W474" i="5" s="1"/>
  <c r="X474" i="5" s="1"/>
  <c r="Y474" i="5" s="1"/>
  <c r="D474" i="5"/>
  <c r="E474" i="5"/>
  <c r="H473" i="5"/>
  <c r="I473" i="5" s="1"/>
  <c r="V473" i="5"/>
  <c r="W473" i="5" s="1"/>
  <c r="X473" i="5" s="1"/>
  <c r="Y473" i="5" s="1"/>
  <c r="Z473" i="5" s="1"/>
  <c r="AA473" i="5" s="1"/>
  <c r="AB473" i="5" s="1"/>
  <c r="E473" i="5"/>
  <c r="D473" i="5"/>
  <c r="H472" i="5"/>
  <c r="I472" i="5" s="1"/>
  <c r="V472" i="5"/>
  <c r="W472" i="5" s="1"/>
  <c r="X472" i="5" s="1"/>
  <c r="Y472" i="5" s="1"/>
  <c r="Z472" i="5"/>
  <c r="AA472" i="5" s="1"/>
  <c r="AB472" i="5" s="1"/>
  <c r="D472" i="5"/>
  <c r="E472" i="5"/>
  <c r="H471" i="5"/>
  <c r="I471" i="5" s="1"/>
  <c r="V471" i="5"/>
  <c r="W471" i="5" s="1"/>
  <c r="X471" i="5" s="1"/>
  <c r="Y471" i="5" s="1"/>
  <c r="Z471" i="5" s="1"/>
  <c r="AA471" i="5" s="1"/>
  <c r="AB471" i="5" s="1"/>
  <c r="D471" i="5"/>
  <c r="E471" i="5"/>
  <c r="H470" i="5"/>
  <c r="I470" i="5" s="1"/>
  <c r="V470" i="5"/>
  <c r="W470" i="5" s="1"/>
  <c r="X470" i="5" s="1"/>
  <c r="Y470" i="5" s="1"/>
  <c r="Z470" i="5"/>
  <c r="AA470" i="5" s="1"/>
  <c r="AB470" i="5" s="1"/>
  <c r="D470" i="5"/>
  <c r="E470" i="5"/>
  <c r="H469" i="5"/>
  <c r="I469" i="5" s="1"/>
  <c r="V469" i="5"/>
  <c r="W469" i="5" s="1"/>
  <c r="X469" i="5" s="1"/>
  <c r="Y469" i="5" s="1"/>
  <c r="Z469" i="5"/>
  <c r="AA469" i="5" s="1"/>
  <c r="AB469" i="5" s="1"/>
  <c r="D469" i="5"/>
  <c r="E469" i="5"/>
  <c r="H468" i="5"/>
  <c r="I468" i="5" s="1"/>
  <c r="V468" i="5"/>
  <c r="W468" i="5" s="1"/>
  <c r="X468" i="5" s="1"/>
  <c r="Y468" i="5" s="1"/>
  <c r="Z468" i="5" s="1"/>
  <c r="AA468" i="5" s="1"/>
  <c r="AB468" i="5" s="1"/>
  <c r="E468" i="5"/>
  <c r="D468" i="5"/>
  <c r="H467" i="5"/>
  <c r="I467" i="5" s="1"/>
  <c r="V467" i="5"/>
  <c r="W467" i="5" s="1"/>
  <c r="X467" i="5" s="1"/>
  <c r="Y467" i="5" s="1"/>
  <c r="Z467" i="5" s="1"/>
  <c r="AA467" i="5" s="1"/>
  <c r="AB467" i="5" s="1"/>
  <c r="E467" i="5"/>
  <c r="D467" i="5"/>
  <c r="H466" i="5"/>
  <c r="I466" i="5" s="1"/>
  <c r="V466" i="5"/>
  <c r="W466" i="5" s="1"/>
  <c r="X466" i="5" s="1"/>
  <c r="Y466" i="5" s="1"/>
  <c r="Z466" i="5" s="1"/>
  <c r="AA466" i="5" s="1"/>
  <c r="AB466" i="5" s="1"/>
  <c r="E466" i="5"/>
  <c r="D466" i="5"/>
  <c r="H465" i="5"/>
  <c r="I465" i="5" s="1"/>
  <c r="V465" i="5"/>
  <c r="W465" i="5" s="1"/>
  <c r="X465" i="5" s="1"/>
  <c r="Y465" i="5" s="1"/>
  <c r="Z465" i="5" s="1"/>
  <c r="AA465" i="5" s="1"/>
  <c r="AB465" i="5" s="1"/>
  <c r="E465" i="5"/>
  <c r="D465" i="5"/>
  <c r="H464" i="5"/>
  <c r="I464" i="5" s="1"/>
  <c r="V464" i="5"/>
  <c r="W464" i="5" s="1"/>
  <c r="X464" i="5" s="1"/>
  <c r="Y464" i="5" s="1"/>
  <c r="Z464" i="5" s="1"/>
  <c r="AA464" i="5" s="1"/>
  <c r="AB464" i="5" s="1"/>
  <c r="E464" i="5"/>
  <c r="D464" i="5"/>
  <c r="H463" i="5"/>
  <c r="I463" i="5" s="1"/>
  <c r="V463" i="5"/>
  <c r="W463" i="5" s="1"/>
  <c r="X463" i="5" s="1"/>
  <c r="Y463" i="5" s="1"/>
  <c r="Z463" i="5"/>
  <c r="AA463" i="5" s="1"/>
  <c r="AB463" i="5" s="1"/>
  <c r="E463" i="5"/>
  <c r="D463" i="5"/>
  <c r="H462" i="5"/>
  <c r="I462" i="5" s="1"/>
  <c r="V462" i="5"/>
  <c r="W462" i="5" s="1"/>
  <c r="X462" i="5" s="1"/>
  <c r="Y462" i="5" s="1"/>
  <c r="Z462" i="5"/>
  <c r="AA462" i="5" s="1"/>
  <c r="AB462" i="5" s="1"/>
  <c r="E462" i="5"/>
  <c r="D462" i="5"/>
  <c r="H461" i="5"/>
  <c r="I461" i="5" s="1"/>
  <c r="V461" i="5"/>
  <c r="W461" i="5" s="1"/>
  <c r="X461" i="5" s="1"/>
  <c r="Y461" i="5" s="1"/>
  <c r="Z461" i="5" s="1"/>
  <c r="AA461" i="5" s="1"/>
  <c r="AB461" i="5" s="1"/>
  <c r="E461" i="5"/>
  <c r="D461" i="5"/>
  <c r="H460" i="5"/>
  <c r="I460" i="5" s="1"/>
  <c r="V460" i="5"/>
  <c r="W460" i="5" s="1"/>
  <c r="X460" i="5" s="1"/>
  <c r="Y460" i="5" s="1"/>
  <c r="Z460" i="5" s="1"/>
  <c r="AA460" i="5" s="1"/>
  <c r="AB460" i="5" s="1"/>
  <c r="E460" i="5"/>
  <c r="D460" i="5"/>
  <c r="H459" i="5"/>
  <c r="I459" i="5" s="1"/>
  <c r="V459" i="5"/>
  <c r="W459" i="5" s="1"/>
  <c r="X459" i="5" s="1"/>
  <c r="Y459" i="5" s="1"/>
  <c r="Z459" i="5" s="1"/>
  <c r="AA459" i="5" s="1"/>
  <c r="AB459" i="5" s="1"/>
  <c r="D459" i="5"/>
  <c r="E459" i="5"/>
  <c r="H458" i="5"/>
  <c r="I458" i="5" s="1"/>
  <c r="V458" i="5"/>
  <c r="W458" i="5" s="1"/>
  <c r="X458" i="5" s="1"/>
  <c r="Y458" i="5" s="1"/>
  <c r="Z458" i="5"/>
  <c r="AA458" i="5" s="1"/>
  <c r="AB458" i="5" s="1"/>
  <c r="E458" i="5"/>
  <c r="D458" i="5"/>
  <c r="H457" i="5"/>
  <c r="I457" i="5" s="1"/>
  <c r="V457" i="5"/>
  <c r="W457" i="5" s="1"/>
  <c r="X457" i="5" s="1"/>
  <c r="Y457" i="5" s="1"/>
  <c r="Z457" i="5" s="1"/>
  <c r="AA457" i="5" s="1"/>
  <c r="AB457" i="5" s="1"/>
  <c r="E457" i="5"/>
  <c r="D457" i="5"/>
  <c r="H456" i="5"/>
  <c r="I456" i="5" s="1"/>
  <c r="V456" i="5"/>
  <c r="W456" i="5" s="1"/>
  <c r="X456" i="5" s="1"/>
  <c r="Y456" i="5" s="1"/>
  <c r="Z456" i="5" s="1"/>
  <c r="AA456" i="5" s="1"/>
  <c r="AB456" i="5" s="1"/>
  <c r="E456" i="5"/>
  <c r="D456" i="5"/>
  <c r="H455" i="5"/>
  <c r="I455" i="5" s="1"/>
  <c r="V455" i="5"/>
  <c r="W455" i="5" s="1"/>
  <c r="X455" i="5" s="1"/>
  <c r="Y455" i="5" s="1"/>
  <c r="Z455" i="5" s="1"/>
  <c r="AA455" i="5" s="1"/>
  <c r="AB455" i="5" s="1"/>
  <c r="D455" i="5"/>
  <c r="E455" i="5"/>
  <c r="H454" i="5"/>
  <c r="I454" i="5" s="1"/>
  <c r="V454" i="5"/>
  <c r="W454" i="5" s="1"/>
  <c r="X454" i="5" s="1"/>
  <c r="Y454" i="5" s="1"/>
  <c r="Z454" i="5"/>
  <c r="AA454" i="5" s="1"/>
  <c r="AB454" i="5" s="1"/>
  <c r="D454" i="5"/>
  <c r="E454" i="5"/>
  <c r="H453" i="5"/>
  <c r="I453" i="5" s="1"/>
  <c r="V453" i="5"/>
  <c r="W453" i="5" s="1"/>
  <c r="X453" i="5" s="1"/>
  <c r="Y453" i="5" s="1"/>
  <c r="Z453" i="5"/>
  <c r="AA453" i="5" s="1"/>
  <c r="AB453" i="5" s="1"/>
  <c r="D453" i="5"/>
  <c r="E453" i="5"/>
  <c r="H452" i="5"/>
  <c r="I452" i="5" s="1"/>
  <c r="V452" i="5"/>
  <c r="W452" i="5" s="1"/>
  <c r="X452" i="5" s="1"/>
  <c r="Y452" i="5" s="1"/>
  <c r="Z452" i="5" s="1"/>
  <c r="AA452" i="5" s="1"/>
  <c r="AB452" i="5" s="1"/>
  <c r="D452" i="5"/>
  <c r="E452" i="5"/>
  <c r="H451" i="5"/>
  <c r="I451" i="5" s="1"/>
  <c r="V451" i="5"/>
  <c r="W451" i="5" s="1"/>
  <c r="X451" i="5" s="1"/>
  <c r="Y451" i="5" s="1"/>
  <c r="Z451" i="5" s="1"/>
  <c r="AA451" i="5" s="1"/>
  <c r="AB451" i="5" s="1"/>
  <c r="D451" i="5"/>
  <c r="E451" i="5"/>
  <c r="H450" i="5"/>
  <c r="I450" i="5" s="1"/>
  <c r="V450" i="5"/>
  <c r="W450" i="5" s="1"/>
  <c r="X450" i="5" s="1"/>
  <c r="Y450" i="5" s="1"/>
  <c r="Z450" i="5"/>
  <c r="AA450" i="5" s="1"/>
  <c r="AB450" i="5" s="1"/>
  <c r="D450" i="5"/>
  <c r="E450" i="5"/>
  <c r="H449" i="5"/>
  <c r="I449" i="5" s="1"/>
  <c r="V449" i="5"/>
  <c r="W449" i="5" s="1"/>
  <c r="X449" i="5" s="1"/>
  <c r="Y449" i="5" s="1"/>
  <c r="Z449" i="5"/>
  <c r="AA449" i="5" s="1"/>
  <c r="AB449" i="5" s="1"/>
  <c r="E449" i="5"/>
  <c r="D449" i="5"/>
  <c r="H448" i="5"/>
  <c r="I448" i="5" s="1"/>
  <c r="V448" i="5"/>
  <c r="W448" i="5" s="1"/>
  <c r="X448" i="5" s="1"/>
  <c r="Y448" i="5" s="1"/>
  <c r="Z448" i="5"/>
  <c r="AA448" i="5" s="1"/>
  <c r="AB448" i="5" s="1"/>
  <c r="E448" i="5"/>
  <c r="D448" i="5"/>
  <c r="H447" i="5"/>
  <c r="I447" i="5" s="1"/>
  <c r="V447" i="5"/>
  <c r="W447" i="5" s="1"/>
  <c r="X447" i="5" s="1"/>
  <c r="Y447" i="5" s="1"/>
  <c r="Z447" i="5" s="1"/>
  <c r="AA447" i="5" s="1"/>
  <c r="AB447" i="5" s="1"/>
  <c r="D447" i="5"/>
  <c r="E447" i="5"/>
  <c r="H446" i="5"/>
  <c r="I446" i="5" s="1"/>
  <c r="V446" i="5"/>
  <c r="W446" i="5" s="1"/>
  <c r="X446" i="5" s="1"/>
  <c r="Y446" i="5" s="1"/>
  <c r="Z446" i="5"/>
  <c r="AA446" i="5" s="1"/>
  <c r="AB446" i="5" s="1"/>
  <c r="E446" i="5"/>
  <c r="D446" i="5"/>
  <c r="H445" i="5"/>
  <c r="I445" i="5" s="1"/>
  <c r="V445" i="5"/>
  <c r="W445" i="5" s="1"/>
  <c r="X445" i="5" s="1"/>
  <c r="Y445" i="5" s="1"/>
  <c r="Z445" i="5" s="1"/>
  <c r="AA445" i="5" s="1"/>
  <c r="AB445" i="5" s="1"/>
  <c r="D445" i="5"/>
  <c r="E445" i="5"/>
  <c r="H444" i="5"/>
  <c r="I444" i="5" s="1"/>
  <c r="V444" i="5"/>
  <c r="W444" i="5" s="1"/>
  <c r="X444" i="5" s="1"/>
  <c r="Y444" i="5" s="1"/>
  <c r="Z444" i="5" s="1"/>
  <c r="AA444" i="5" s="1"/>
  <c r="AB444" i="5" s="1"/>
  <c r="E444" i="5"/>
  <c r="D444" i="5"/>
  <c r="H443" i="5"/>
  <c r="I443" i="5" s="1"/>
  <c r="V443" i="5"/>
  <c r="W443" i="5" s="1"/>
  <c r="X443" i="5" s="1"/>
  <c r="Y443" i="5" s="1"/>
  <c r="Z443" i="5" s="1"/>
  <c r="AA443" i="5" s="1"/>
  <c r="AB443" i="5" s="1"/>
  <c r="E443" i="5"/>
  <c r="D443" i="5"/>
  <c r="H442" i="5"/>
  <c r="I442" i="5" s="1"/>
  <c r="V442" i="5"/>
  <c r="W442" i="5" s="1"/>
  <c r="X442" i="5" s="1"/>
  <c r="Y442" i="5" s="1"/>
  <c r="Z442" i="5"/>
  <c r="AA442" i="5" s="1"/>
  <c r="AB442" i="5" s="1"/>
  <c r="D442" i="5"/>
  <c r="E442" i="5"/>
  <c r="H441" i="5"/>
  <c r="I441" i="5" s="1"/>
  <c r="V441" i="5"/>
  <c r="W441" i="5" s="1"/>
  <c r="X441" i="5" s="1"/>
  <c r="Y441" i="5" s="1"/>
  <c r="Z441" i="5" s="1"/>
  <c r="AA441" i="5" s="1"/>
  <c r="AB441" i="5" s="1"/>
  <c r="E441" i="5"/>
  <c r="D441" i="5"/>
  <c r="H440" i="5"/>
  <c r="I440" i="5" s="1"/>
  <c r="V440" i="5"/>
  <c r="W440" i="5" s="1"/>
  <c r="X440" i="5" s="1"/>
  <c r="Y440" i="5" s="1"/>
  <c r="Z440" i="5" s="1"/>
  <c r="AA440" i="5" s="1"/>
  <c r="AB440" i="5" s="1"/>
  <c r="E440" i="5"/>
  <c r="D440" i="5"/>
  <c r="H439" i="5"/>
  <c r="I439" i="5" s="1"/>
  <c r="V439" i="5"/>
  <c r="W439" i="5" s="1"/>
  <c r="X439" i="5" s="1"/>
  <c r="Y439" i="5" s="1"/>
  <c r="Z439" i="5"/>
  <c r="AA439" i="5" s="1"/>
  <c r="AB439" i="5" s="1"/>
  <c r="E439" i="5"/>
  <c r="D439" i="5"/>
  <c r="H438" i="5"/>
  <c r="I438" i="5" s="1"/>
  <c r="V438" i="5"/>
  <c r="W438" i="5" s="1"/>
  <c r="X438" i="5" s="1"/>
  <c r="Y438" i="5" s="1"/>
  <c r="Z438" i="5" s="1"/>
  <c r="AA438" i="5" s="1"/>
  <c r="AB438" i="5" s="1"/>
  <c r="E438" i="5"/>
  <c r="D438" i="5"/>
  <c r="H437" i="5"/>
  <c r="I437" i="5" s="1"/>
  <c r="V437" i="5"/>
  <c r="W437" i="5" s="1"/>
  <c r="X437" i="5" s="1"/>
  <c r="Y437" i="5" s="1"/>
  <c r="Z437" i="5" s="1"/>
  <c r="AA437" i="5" s="1"/>
  <c r="AB437" i="5" s="1"/>
  <c r="E437" i="5"/>
  <c r="D437" i="5"/>
  <c r="H436" i="5"/>
  <c r="I436" i="5" s="1"/>
  <c r="V436" i="5"/>
  <c r="W436" i="5" s="1"/>
  <c r="X436" i="5" s="1"/>
  <c r="Y436" i="5" s="1"/>
  <c r="Z436" i="5" s="1"/>
  <c r="AA436" i="5" s="1"/>
  <c r="AB436" i="5" s="1"/>
  <c r="E436" i="5"/>
  <c r="D436" i="5"/>
  <c r="H435" i="5"/>
  <c r="I435" i="5" s="1"/>
  <c r="V435" i="5"/>
  <c r="W435" i="5" s="1"/>
  <c r="X435" i="5" s="1"/>
  <c r="Y435" i="5" s="1"/>
  <c r="Z435" i="5" s="1"/>
  <c r="AA435" i="5" s="1"/>
  <c r="AB435" i="5" s="1"/>
  <c r="D435" i="5"/>
  <c r="E435" i="5"/>
  <c r="H434" i="5"/>
  <c r="I434" i="5" s="1"/>
  <c r="V434" i="5"/>
  <c r="W434" i="5" s="1"/>
  <c r="X434" i="5" s="1"/>
  <c r="Y434" i="5" s="1"/>
  <c r="Z434" i="5" s="1"/>
  <c r="AA434" i="5" s="1"/>
  <c r="AB434" i="5" s="1"/>
  <c r="E434" i="5"/>
  <c r="D434" i="5"/>
  <c r="H433" i="5"/>
  <c r="I433" i="5" s="1"/>
  <c r="V433" i="5"/>
  <c r="W433" i="5" s="1"/>
  <c r="X433" i="5" s="1"/>
  <c r="Y433" i="5" s="1"/>
  <c r="Z433" i="5" s="1"/>
  <c r="AA433" i="5" s="1"/>
  <c r="AB433" i="5" s="1"/>
  <c r="E433" i="5"/>
  <c r="D433" i="5"/>
  <c r="H432" i="5"/>
  <c r="I432" i="5" s="1"/>
  <c r="V432" i="5"/>
  <c r="W432" i="5" s="1"/>
  <c r="X432" i="5" s="1"/>
  <c r="Y432" i="5" s="1"/>
  <c r="Z432" i="5" s="1"/>
  <c r="AA432" i="5" s="1"/>
  <c r="AB432" i="5" s="1"/>
  <c r="E432" i="5"/>
  <c r="D432" i="5"/>
  <c r="H431" i="5"/>
  <c r="I431" i="5" s="1"/>
  <c r="V431" i="5"/>
  <c r="W431" i="5" s="1"/>
  <c r="X431" i="5" s="1"/>
  <c r="Y431" i="5" s="1"/>
  <c r="Z431" i="5" s="1"/>
  <c r="AA431" i="5" s="1"/>
  <c r="AB431" i="5" s="1"/>
  <c r="D431" i="5"/>
  <c r="E431" i="5"/>
  <c r="H430" i="5"/>
  <c r="I430" i="5" s="1"/>
  <c r="V430" i="5"/>
  <c r="W430" i="5" s="1"/>
  <c r="X430" i="5" s="1"/>
  <c r="Y430" i="5" s="1"/>
  <c r="Z430" i="5" s="1"/>
  <c r="AA430" i="5" s="1"/>
  <c r="AB430" i="5" s="1"/>
  <c r="D430" i="5"/>
  <c r="E430" i="5"/>
  <c r="H429" i="5"/>
  <c r="I429" i="5" s="1"/>
  <c r="V429" i="5"/>
  <c r="W429" i="5" s="1"/>
  <c r="X429" i="5" s="1"/>
  <c r="Y429" i="5" s="1"/>
  <c r="Z429" i="5" s="1"/>
  <c r="AA429" i="5" s="1"/>
  <c r="AB429" i="5" s="1"/>
  <c r="E429" i="5"/>
  <c r="D429" i="5"/>
  <c r="H428" i="5"/>
  <c r="I428" i="5" s="1"/>
  <c r="V428" i="5"/>
  <c r="W428" i="5" s="1"/>
  <c r="X428" i="5" s="1"/>
  <c r="Y428" i="5" s="1"/>
  <c r="Z428" i="5" s="1"/>
  <c r="AA428" i="5" s="1"/>
  <c r="AB428" i="5" s="1"/>
  <c r="E428" i="5"/>
  <c r="D428" i="5"/>
  <c r="H427" i="5"/>
  <c r="I427" i="5" s="1"/>
  <c r="V427" i="5"/>
  <c r="W427" i="5" s="1"/>
  <c r="X427" i="5" s="1"/>
  <c r="Y427" i="5" s="1"/>
  <c r="Z427" i="5" s="1"/>
  <c r="AA427" i="5" s="1"/>
  <c r="AB427" i="5" s="1"/>
  <c r="D427" i="5"/>
  <c r="E427" i="5"/>
  <c r="H426" i="5"/>
  <c r="I426" i="5" s="1"/>
  <c r="V426" i="5"/>
  <c r="W426" i="5" s="1"/>
  <c r="X426" i="5" s="1"/>
  <c r="Y426" i="5" s="1"/>
  <c r="Z426" i="5" s="1"/>
  <c r="AA426" i="5" s="1"/>
  <c r="AB426" i="5" s="1"/>
  <c r="E426" i="5"/>
  <c r="D426" i="5"/>
  <c r="H425" i="5"/>
  <c r="I425" i="5" s="1"/>
  <c r="V425" i="5"/>
  <c r="W425" i="5" s="1"/>
  <c r="X425" i="5" s="1"/>
  <c r="Y425" i="5" s="1"/>
  <c r="Z425" i="5" s="1"/>
  <c r="AA425" i="5" s="1"/>
  <c r="AB425" i="5" s="1"/>
  <c r="D425" i="5"/>
  <c r="E425" i="5"/>
  <c r="H424" i="5"/>
  <c r="I424" i="5" s="1"/>
  <c r="V424" i="5"/>
  <c r="W424" i="5" s="1"/>
  <c r="X424" i="5" s="1"/>
  <c r="Y424" i="5" s="1"/>
  <c r="Z424" i="5" s="1"/>
  <c r="AA424" i="5" s="1"/>
  <c r="AB424" i="5" s="1"/>
  <c r="E424" i="5"/>
  <c r="D424" i="5"/>
  <c r="H423" i="5"/>
  <c r="I423" i="5" s="1"/>
  <c r="V423" i="5"/>
  <c r="W423" i="5" s="1"/>
  <c r="X423" i="5" s="1"/>
  <c r="Y423" i="5" s="1"/>
  <c r="Z423" i="5" s="1"/>
  <c r="AA423" i="5" s="1"/>
  <c r="AB423" i="5" s="1"/>
  <c r="E423" i="5"/>
  <c r="D423" i="5"/>
  <c r="H422" i="5"/>
  <c r="I422" i="5" s="1"/>
  <c r="V422" i="5"/>
  <c r="W422" i="5" s="1"/>
  <c r="X422" i="5" s="1"/>
  <c r="Y422" i="5" s="1"/>
  <c r="Z422" i="5" s="1"/>
  <c r="AA422" i="5" s="1"/>
  <c r="AB422" i="5" s="1"/>
  <c r="D422" i="5"/>
  <c r="E422" i="5"/>
  <c r="H421" i="5"/>
  <c r="I421" i="5" s="1"/>
  <c r="V421" i="5"/>
  <c r="W421" i="5" s="1"/>
  <c r="X421" i="5" s="1"/>
  <c r="Y421" i="5" s="1"/>
  <c r="Z421" i="5" s="1"/>
  <c r="AA421" i="5" s="1"/>
  <c r="AB421" i="5" s="1"/>
  <c r="E421" i="5"/>
  <c r="D421" i="5"/>
  <c r="H420" i="5"/>
  <c r="I420" i="5" s="1"/>
  <c r="V420" i="5"/>
  <c r="W420" i="5" s="1"/>
  <c r="X420" i="5" s="1"/>
  <c r="Y420" i="5" s="1"/>
  <c r="Z420" i="5" s="1"/>
  <c r="AA420" i="5" s="1"/>
  <c r="AB420" i="5" s="1"/>
  <c r="E420" i="5"/>
  <c r="D420" i="5"/>
  <c r="H419" i="5"/>
  <c r="I419" i="5" s="1"/>
  <c r="V419" i="5"/>
  <c r="W419" i="5" s="1"/>
  <c r="X419" i="5" s="1"/>
  <c r="Y419" i="5" s="1"/>
  <c r="Z419" i="5" s="1"/>
  <c r="AA419" i="5" s="1"/>
  <c r="AB419" i="5" s="1"/>
  <c r="D419" i="5"/>
  <c r="E419" i="5"/>
  <c r="H418" i="5"/>
  <c r="I418" i="5" s="1"/>
  <c r="V418" i="5"/>
  <c r="W418" i="5" s="1"/>
  <c r="X418" i="5" s="1"/>
  <c r="Y418" i="5" s="1"/>
  <c r="Z418" i="5" s="1"/>
  <c r="AA418" i="5" s="1"/>
  <c r="AB418" i="5" s="1"/>
  <c r="D418" i="5"/>
  <c r="E418" i="5"/>
  <c r="H417" i="5"/>
  <c r="I417" i="5" s="1"/>
  <c r="V417" i="5"/>
  <c r="W417" i="5" s="1"/>
  <c r="X417" i="5" s="1"/>
  <c r="Y417" i="5" s="1"/>
  <c r="Z417" i="5" s="1"/>
  <c r="AA417" i="5" s="1"/>
  <c r="AB417" i="5" s="1"/>
  <c r="E417" i="5"/>
  <c r="D417" i="5"/>
  <c r="H416" i="5"/>
  <c r="I416" i="5" s="1"/>
  <c r="E416" i="5"/>
  <c r="D416" i="5"/>
  <c r="H415" i="5"/>
  <c r="I415" i="5" s="1"/>
  <c r="V415" i="5"/>
  <c r="W415" i="5" s="1"/>
  <c r="X415" i="5" s="1"/>
  <c r="Y415" i="5" s="1"/>
  <c r="Z415" i="5" s="1"/>
  <c r="AA415" i="5" s="1"/>
  <c r="AB415" i="5" s="1"/>
  <c r="E415" i="5"/>
  <c r="D415" i="5"/>
  <c r="H414" i="5"/>
  <c r="I414" i="5" s="1"/>
  <c r="V414" i="5"/>
  <c r="W414" i="5" s="1"/>
  <c r="X414" i="5" s="1"/>
  <c r="Y414" i="5" s="1"/>
  <c r="Z414" i="5" s="1"/>
  <c r="AA414" i="5" s="1"/>
  <c r="AB414" i="5" s="1"/>
  <c r="E414" i="5"/>
  <c r="D414" i="5"/>
  <c r="H413" i="5"/>
  <c r="I413" i="5" s="1"/>
  <c r="V413" i="5"/>
  <c r="W413" i="5" s="1"/>
  <c r="X413" i="5" s="1"/>
  <c r="Y413" i="5" s="1"/>
  <c r="Z413" i="5" s="1"/>
  <c r="AA413" i="5" s="1"/>
  <c r="AB413" i="5" s="1"/>
  <c r="E413" i="5"/>
  <c r="D413" i="5"/>
  <c r="H412" i="5"/>
  <c r="I412" i="5" s="1"/>
  <c r="V412" i="5"/>
  <c r="W412" i="5" s="1"/>
  <c r="X412" i="5" s="1"/>
  <c r="Y412" i="5" s="1"/>
  <c r="Z412" i="5" s="1"/>
  <c r="AA412" i="5" s="1"/>
  <c r="AB412" i="5" s="1"/>
  <c r="D412" i="5"/>
  <c r="E412" i="5"/>
  <c r="H411" i="5"/>
  <c r="I411" i="5" s="1"/>
  <c r="V411" i="5"/>
  <c r="W411" i="5" s="1"/>
  <c r="X411" i="5" s="1"/>
  <c r="Y411" i="5" s="1"/>
  <c r="Z411" i="5" s="1"/>
  <c r="AA411" i="5" s="1"/>
  <c r="AB411" i="5" s="1"/>
  <c r="D411" i="5"/>
  <c r="E411" i="5"/>
  <c r="H410" i="5"/>
  <c r="I410" i="5" s="1"/>
  <c r="V410" i="5"/>
  <c r="W410" i="5" s="1"/>
  <c r="X410" i="5" s="1"/>
  <c r="Y410" i="5" s="1"/>
  <c r="Z410" i="5" s="1"/>
  <c r="AA410" i="5" s="1"/>
  <c r="AB410" i="5" s="1"/>
  <c r="D410" i="5"/>
  <c r="E410" i="5"/>
  <c r="H409" i="5"/>
  <c r="I409" i="5" s="1"/>
  <c r="V409" i="5"/>
  <c r="W409" i="5" s="1"/>
  <c r="X409" i="5" s="1"/>
  <c r="Y409" i="5" s="1"/>
  <c r="Z409" i="5"/>
  <c r="AA409" i="5" s="1"/>
  <c r="AB409" i="5" s="1"/>
  <c r="E409" i="5"/>
  <c r="D409" i="5"/>
  <c r="H408" i="5"/>
  <c r="I408" i="5" s="1"/>
  <c r="V408" i="5"/>
  <c r="W408" i="5" s="1"/>
  <c r="X408" i="5" s="1"/>
  <c r="Y408" i="5" s="1"/>
  <c r="Z408" i="5"/>
  <c r="AA408" i="5" s="1"/>
  <c r="AB408" i="5" s="1"/>
  <c r="D408" i="5"/>
  <c r="E408" i="5"/>
  <c r="H407" i="5"/>
  <c r="I407" i="5" s="1"/>
  <c r="V407" i="5"/>
  <c r="W407" i="5" s="1"/>
  <c r="X407" i="5" s="1"/>
  <c r="Y407" i="5" s="1"/>
  <c r="Z407" i="5"/>
  <c r="AA407" i="5" s="1"/>
  <c r="AB407" i="5" s="1"/>
  <c r="E407" i="5"/>
  <c r="D407" i="5"/>
  <c r="H406" i="5"/>
  <c r="I406" i="5" s="1"/>
  <c r="V406" i="5"/>
  <c r="W406" i="5" s="1"/>
  <c r="X406" i="5" s="1"/>
  <c r="Y406" i="5" s="1"/>
  <c r="Z406" i="5" s="1"/>
  <c r="AA406" i="5" s="1"/>
  <c r="AB406" i="5" s="1"/>
  <c r="E406" i="5"/>
  <c r="D406" i="5"/>
  <c r="H405" i="5"/>
  <c r="I405" i="5" s="1"/>
  <c r="V405" i="5"/>
  <c r="W405" i="5" s="1"/>
  <c r="X405" i="5" s="1"/>
  <c r="Y405" i="5" s="1"/>
  <c r="Z405" i="5"/>
  <c r="AA405" i="5" s="1"/>
  <c r="AB405" i="5" s="1"/>
  <c r="E405" i="5"/>
  <c r="D405" i="5"/>
  <c r="H404" i="5"/>
  <c r="I404" i="5" s="1"/>
  <c r="V404" i="5"/>
  <c r="W404" i="5" s="1"/>
  <c r="X404" i="5" s="1"/>
  <c r="Y404" i="5" s="1"/>
  <c r="Z404" i="5" s="1"/>
  <c r="AA404" i="5" s="1"/>
  <c r="AB404" i="5" s="1"/>
  <c r="E404" i="5"/>
  <c r="D404" i="5"/>
  <c r="H403" i="5"/>
  <c r="I403" i="5" s="1"/>
  <c r="V403" i="5"/>
  <c r="W403" i="5" s="1"/>
  <c r="X403" i="5" s="1"/>
  <c r="Y403" i="5" s="1"/>
  <c r="Z403" i="5"/>
  <c r="AA403" i="5" s="1"/>
  <c r="AB403" i="5" s="1"/>
  <c r="D403" i="5"/>
  <c r="E403" i="5"/>
  <c r="H402" i="5"/>
  <c r="I402" i="5" s="1"/>
  <c r="V402" i="5"/>
  <c r="W402" i="5" s="1"/>
  <c r="X402" i="5" s="1"/>
  <c r="Y402" i="5" s="1"/>
  <c r="Z402" i="5"/>
  <c r="AA402" i="5" s="1"/>
  <c r="AB402" i="5" s="1"/>
  <c r="E402" i="5"/>
  <c r="D402" i="5"/>
  <c r="H401" i="5"/>
  <c r="I401" i="5" s="1"/>
  <c r="V401" i="5"/>
  <c r="W401" i="5" s="1"/>
  <c r="X401" i="5" s="1"/>
  <c r="Y401" i="5" s="1"/>
  <c r="Z401" i="5"/>
  <c r="AA401" i="5" s="1"/>
  <c r="AB401" i="5" s="1"/>
  <c r="D401" i="5"/>
  <c r="E401" i="5"/>
  <c r="H400" i="5"/>
  <c r="I400" i="5" s="1"/>
  <c r="V400" i="5"/>
  <c r="W400" i="5" s="1"/>
  <c r="X400" i="5" s="1"/>
  <c r="Y400" i="5" s="1"/>
  <c r="Z400" i="5" s="1"/>
  <c r="AA400" i="5" s="1"/>
  <c r="AB400" i="5" s="1"/>
  <c r="E400" i="5"/>
  <c r="D400" i="5"/>
  <c r="H399" i="5"/>
  <c r="I399" i="5" s="1"/>
  <c r="V399" i="5"/>
  <c r="W399" i="5" s="1"/>
  <c r="X399" i="5" s="1"/>
  <c r="Y399" i="5" s="1"/>
  <c r="Z399" i="5"/>
  <c r="AA399" i="5" s="1"/>
  <c r="AB399" i="5" s="1"/>
  <c r="E399" i="5"/>
  <c r="D399" i="5"/>
  <c r="H398" i="5"/>
  <c r="I398" i="5" s="1"/>
  <c r="V398" i="5"/>
  <c r="W398" i="5" s="1"/>
  <c r="X398" i="5" s="1"/>
  <c r="Y398" i="5" s="1"/>
  <c r="Z398" i="5" s="1"/>
  <c r="AA398" i="5" s="1"/>
  <c r="AB398" i="5" s="1"/>
  <c r="E398" i="5"/>
  <c r="D398" i="5"/>
  <c r="H397" i="5"/>
  <c r="I397" i="5" s="1"/>
  <c r="V397" i="5"/>
  <c r="W397" i="5" s="1"/>
  <c r="X397" i="5" s="1"/>
  <c r="Y397" i="5" s="1"/>
  <c r="Z397" i="5" s="1"/>
  <c r="AA397" i="5" s="1"/>
  <c r="AB397" i="5" s="1"/>
  <c r="E397" i="5"/>
  <c r="D397" i="5"/>
  <c r="H396" i="5"/>
  <c r="I396" i="5" s="1"/>
  <c r="V396" i="5"/>
  <c r="W396" i="5" s="1"/>
  <c r="X396" i="5" s="1"/>
  <c r="Y396" i="5" s="1"/>
  <c r="Z396" i="5" s="1"/>
  <c r="AA396" i="5" s="1"/>
  <c r="AB396" i="5" s="1"/>
  <c r="D396" i="5"/>
  <c r="E396" i="5"/>
  <c r="H395" i="5"/>
  <c r="I395" i="5" s="1"/>
  <c r="V395" i="5"/>
  <c r="W395" i="5" s="1"/>
  <c r="X395" i="5" s="1"/>
  <c r="Y395" i="5" s="1"/>
  <c r="Z395" i="5" s="1"/>
  <c r="AA395" i="5" s="1"/>
  <c r="AB395" i="5" s="1"/>
  <c r="E395" i="5"/>
  <c r="D395" i="5"/>
  <c r="H394" i="5"/>
  <c r="I394" i="5" s="1"/>
  <c r="V394" i="5"/>
  <c r="W394" i="5" s="1"/>
  <c r="X394" i="5" s="1"/>
  <c r="Y394" i="5" s="1"/>
  <c r="Z394" i="5" s="1"/>
  <c r="AA394" i="5" s="1"/>
  <c r="AB394" i="5" s="1"/>
  <c r="E394" i="5"/>
  <c r="D394" i="5"/>
  <c r="H393" i="5"/>
  <c r="I393" i="5" s="1"/>
  <c r="V393" i="5"/>
  <c r="W393" i="5" s="1"/>
  <c r="X393" i="5" s="1"/>
  <c r="Y393" i="5" s="1"/>
  <c r="Z393" i="5" s="1"/>
  <c r="AA393" i="5" s="1"/>
  <c r="AB393" i="5" s="1"/>
  <c r="D393" i="5"/>
  <c r="E393" i="5"/>
  <c r="H392" i="5"/>
  <c r="I392" i="5" s="1"/>
  <c r="V392" i="5"/>
  <c r="W392" i="5" s="1"/>
  <c r="X392" i="5" s="1"/>
  <c r="Y392" i="5" s="1"/>
  <c r="Z392" i="5" s="1"/>
  <c r="AA392" i="5" s="1"/>
  <c r="AB392" i="5" s="1"/>
  <c r="E392" i="5"/>
  <c r="D392" i="5"/>
  <c r="H391" i="5"/>
  <c r="I391" i="5" s="1"/>
  <c r="V391" i="5"/>
  <c r="W391" i="5" s="1"/>
  <c r="X391" i="5" s="1"/>
  <c r="Y391" i="5" s="1"/>
  <c r="Z391" i="5" s="1"/>
  <c r="AA391" i="5" s="1"/>
  <c r="AB391" i="5" s="1"/>
  <c r="E391" i="5"/>
  <c r="D391" i="5"/>
  <c r="H390" i="5"/>
  <c r="I390" i="5" s="1"/>
  <c r="V390" i="5"/>
  <c r="W390" i="5" s="1"/>
  <c r="X390" i="5" s="1"/>
  <c r="Y390" i="5" s="1"/>
  <c r="Z390" i="5" s="1"/>
  <c r="AA390" i="5" s="1"/>
  <c r="AB390" i="5" s="1"/>
  <c r="D390" i="5"/>
  <c r="E390" i="5"/>
  <c r="H389" i="5"/>
  <c r="I389" i="5" s="1"/>
  <c r="V389" i="5"/>
  <c r="W389" i="5" s="1"/>
  <c r="X389" i="5" s="1"/>
  <c r="Y389" i="5" s="1"/>
  <c r="Z389" i="5"/>
  <c r="AA389" i="5" s="1"/>
  <c r="AB389" i="5" s="1"/>
  <c r="E389" i="5"/>
  <c r="D389" i="5"/>
  <c r="H388" i="5"/>
  <c r="I388" i="5" s="1"/>
  <c r="V388" i="5"/>
  <c r="W388" i="5" s="1"/>
  <c r="X388" i="5" s="1"/>
  <c r="Y388" i="5" s="1"/>
  <c r="Z388" i="5"/>
  <c r="AA388" i="5" s="1"/>
  <c r="AB388" i="5" s="1"/>
  <c r="D388" i="5"/>
  <c r="E388" i="5"/>
  <c r="H387" i="5"/>
  <c r="I387" i="5" s="1"/>
  <c r="V387" i="5"/>
  <c r="W387" i="5" s="1"/>
  <c r="X387" i="5" s="1"/>
  <c r="Y387" i="5" s="1"/>
  <c r="Z387" i="5"/>
  <c r="AA387" i="5" s="1"/>
  <c r="AB387" i="5" s="1"/>
  <c r="D387" i="5"/>
  <c r="E387" i="5"/>
  <c r="H386" i="5"/>
  <c r="I386" i="5" s="1"/>
  <c r="V386" i="5"/>
  <c r="W386" i="5" s="1"/>
  <c r="X386" i="5" s="1"/>
  <c r="Y386" i="5" s="1"/>
  <c r="Z386" i="5"/>
  <c r="AA386" i="5" s="1"/>
  <c r="AB386" i="5" s="1"/>
  <c r="D386" i="5"/>
  <c r="E386" i="5"/>
  <c r="H385" i="5"/>
  <c r="I385" i="5" s="1"/>
  <c r="V385" i="5"/>
  <c r="W385" i="5" s="1"/>
  <c r="X385" i="5" s="1"/>
  <c r="Y385" i="5" s="1"/>
  <c r="Z385" i="5"/>
  <c r="AA385" i="5" s="1"/>
  <c r="AB385" i="5" s="1"/>
  <c r="D385" i="5"/>
  <c r="E385" i="5"/>
  <c r="H384" i="5"/>
  <c r="I384" i="5" s="1"/>
  <c r="V384" i="5"/>
  <c r="W384" i="5" s="1"/>
  <c r="X384" i="5" s="1"/>
  <c r="Y384" i="5" s="1"/>
  <c r="Z384" i="5" s="1"/>
  <c r="AA384" i="5" s="1"/>
  <c r="AB384" i="5" s="1"/>
  <c r="E384" i="5"/>
  <c r="D384" i="5"/>
  <c r="H383" i="5"/>
  <c r="I383" i="5" s="1"/>
  <c r="V383" i="5"/>
  <c r="W383" i="5" s="1"/>
  <c r="X383" i="5" s="1"/>
  <c r="Y383" i="5" s="1"/>
  <c r="Z383" i="5" s="1"/>
  <c r="AA383" i="5" s="1"/>
  <c r="AB383" i="5" s="1"/>
  <c r="E383" i="5"/>
  <c r="D383" i="5"/>
  <c r="H382" i="5"/>
  <c r="I382" i="5" s="1"/>
  <c r="V382" i="5"/>
  <c r="W382" i="5" s="1"/>
  <c r="X382" i="5" s="1"/>
  <c r="Y382" i="5" s="1"/>
  <c r="Z382" i="5" s="1"/>
  <c r="AA382" i="5" s="1"/>
  <c r="AB382" i="5" s="1"/>
  <c r="D382" i="5"/>
  <c r="E382" i="5"/>
  <c r="H381" i="5"/>
  <c r="I381" i="5" s="1"/>
  <c r="V381" i="5"/>
  <c r="W381" i="5" s="1"/>
  <c r="X381" i="5" s="1"/>
  <c r="Y381" i="5" s="1"/>
  <c r="Z381" i="5" s="1"/>
  <c r="AA381" i="5" s="1"/>
  <c r="AB381" i="5" s="1"/>
  <c r="E381" i="5"/>
  <c r="D381" i="5"/>
  <c r="H380" i="5"/>
  <c r="I380" i="5" s="1"/>
  <c r="V380" i="5"/>
  <c r="W380" i="5" s="1"/>
  <c r="X380" i="5" s="1"/>
  <c r="Y380" i="5" s="1"/>
  <c r="Z380" i="5" s="1"/>
  <c r="AA380" i="5" s="1"/>
  <c r="AB380" i="5" s="1"/>
  <c r="E380" i="5"/>
  <c r="D380" i="5"/>
  <c r="H379" i="5"/>
  <c r="I379" i="5" s="1"/>
  <c r="V379" i="5"/>
  <c r="W379" i="5" s="1"/>
  <c r="X379" i="5" s="1"/>
  <c r="Y379" i="5" s="1"/>
  <c r="Z379" i="5" s="1"/>
  <c r="AA379" i="5" s="1"/>
  <c r="AB379" i="5" s="1"/>
  <c r="D379" i="5"/>
  <c r="E379" i="5"/>
  <c r="H378" i="5"/>
  <c r="I378" i="5" s="1"/>
  <c r="V378" i="5"/>
  <c r="W378" i="5" s="1"/>
  <c r="X378" i="5" s="1"/>
  <c r="Y378" i="5" s="1"/>
  <c r="Z378" i="5"/>
  <c r="AA378" i="5" s="1"/>
  <c r="AB378" i="5" s="1"/>
  <c r="D378" i="5"/>
  <c r="E378" i="5"/>
  <c r="H377" i="5"/>
  <c r="I377" i="5" s="1"/>
  <c r="V377" i="5"/>
  <c r="W377" i="5" s="1"/>
  <c r="X377" i="5" s="1"/>
  <c r="Y377" i="5" s="1"/>
  <c r="Z377" i="5" s="1"/>
  <c r="AA377" i="5" s="1"/>
  <c r="AB377" i="5" s="1"/>
  <c r="E377" i="5"/>
  <c r="D377" i="5"/>
  <c r="H376" i="5"/>
  <c r="I376" i="5" s="1"/>
  <c r="V376" i="5"/>
  <c r="W376" i="5" s="1"/>
  <c r="X376" i="5" s="1"/>
  <c r="Y376" i="5" s="1"/>
  <c r="Z376" i="5"/>
  <c r="AA376" i="5" s="1"/>
  <c r="AB376" i="5" s="1"/>
  <c r="E376" i="5"/>
  <c r="D376" i="5"/>
  <c r="H375" i="5"/>
  <c r="I375" i="5" s="1"/>
  <c r="V375" i="5"/>
  <c r="W375" i="5" s="1"/>
  <c r="X375" i="5" s="1"/>
  <c r="Y375" i="5" s="1"/>
  <c r="Z375" i="5"/>
  <c r="AA375" i="5" s="1"/>
  <c r="AB375" i="5" s="1"/>
  <c r="E375" i="5"/>
  <c r="D375" i="5"/>
  <c r="H374" i="5"/>
  <c r="I374" i="5" s="1"/>
  <c r="V374" i="5"/>
  <c r="W374" i="5" s="1"/>
  <c r="X374" i="5" s="1"/>
  <c r="Y374" i="5" s="1"/>
  <c r="Z374" i="5"/>
  <c r="AA374" i="5" s="1"/>
  <c r="AB374" i="5" s="1"/>
  <c r="E374" i="5"/>
  <c r="D374" i="5"/>
  <c r="H373" i="5"/>
  <c r="I373" i="5" s="1"/>
  <c r="V373" i="5"/>
  <c r="W373" i="5" s="1"/>
  <c r="X373" i="5" s="1"/>
  <c r="Y373" i="5" s="1"/>
  <c r="Z373" i="5"/>
  <c r="AA373" i="5" s="1"/>
  <c r="AB373" i="5" s="1"/>
  <c r="D373" i="5"/>
  <c r="E373" i="5"/>
  <c r="H372" i="5"/>
  <c r="I372" i="5" s="1"/>
  <c r="V372" i="5"/>
  <c r="W372" i="5" s="1"/>
  <c r="X372" i="5" s="1"/>
  <c r="Y372" i="5" s="1"/>
  <c r="Z372" i="5"/>
  <c r="AA372" i="5" s="1"/>
  <c r="AB372" i="5" s="1"/>
  <c r="E372" i="5"/>
  <c r="D372" i="5"/>
  <c r="H371" i="5"/>
  <c r="I371" i="5" s="1"/>
  <c r="V371" i="5"/>
  <c r="W371" i="5" s="1"/>
  <c r="X371" i="5" s="1"/>
  <c r="Y371" i="5" s="1"/>
  <c r="Z371" i="5" s="1"/>
  <c r="AA371" i="5" s="1"/>
  <c r="AB371" i="5" s="1"/>
  <c r="D371" i="5"/>
  <c r="E371" i="5"/>
  <c r="H370" i="5"/>
  <c r="I370" i="5" s="1"/>
  <c r="V370" i="5"/>
  <c r="W370" i="5" s="1"/>
  <c r="X370" i="5" s="1"/>
  <c r="Y370" i="5" s="1"/>
  <c r="Z370" i="5" s="1"/>
  <c r="AA370" i="5" s="1"/>
  <c r="AB370" i="5" s="1"/>
  <c r="D370" i="5"/>
  <c r="E370" i="5"/>
  <c r="H369" i="5"/>
  <c r="I369" i="5" s="1"/>
  <c r="V369" i="5"/>
  <c r="W369" i="5" s="1"/>
  <c r="X369" i="5" s="1"/>
  <c r="Y369" i="5" s="1"/>
  <c r="Z369" i="5" s="1"/>
  <c r="AA369" i="5" s="1"/>
  <c r="AB369" i="5" s="1"/>
  <c r="D369" i="5"/>
  <c r="E369" i="5"/>
  <c r="H368" i="5"/>
  <c r="I368" i="5" s="1"/>
  <c r="V368" i="5"/>
  <c r="W368" i="5" s="1"/>
  <c r="X368" i="5" s="1"/>
  <c r="Y368" i="5" s="1"/>
  <c r="Z368" i="5" s="1"/>
  <c r="AA368" i="5" s="1"/>
  <c r="AB368" i="5" s="1"/>
  <c r="E368" i="5"/>
  <c r="D368" i="5"/>
  <c r="H367" i="5"/>
  <c r="I367" i="5" s="1"/>
  <c r="V367" i="5"/>
  <c r="W367" i="5" s="1"/>
  <c r="X367" i="5" s="1"/>
  <c r="Y367" i="5" s="1"/>
  <c r="Z367" i="5"/>
  <c r="AA367" i="5" s="1"/>
  <c r="AB367" i="5" s="1"/>
  <c r="E367" i="5"/>
  <c r="D367" i="5"/>
  <c r="H366" i="5"/>
  <c r="I366" i="5" s="1"/>
  <c r="V366" i="5"/>
  <c r="W366" i="5" s="1"/>
  <c r="X366" i="5" s="1"/>
  <c r="Y366" i="5" s="1"/>
  <c r="Z366" i="5" s="1"/>
  <c r="AA366" i="5" s="1"/>
  <c r="AB366" i="5" s="1"/>
  <c r="E366" i="5"/>
  <c r="D366" i="5"/>
  <c r="H365" i="5"/>
  <c r="I365" i="5" s="1"/>
  <c r="V365" i="5"/>
  <c r="W365" i="5" s="1"/>
  <c r="X365" i="5" s="1"/>
  <c r="Y365" i="5" s="1"/>
  <c r="Z365" i="5" s="1"/>
  <c r="AA365" i="5" s="1"/>
  <c r="AB365" i="5" s="1"/>
  <c r="D365" i="5"/>
  <c r="E365" i="5"/>
  <c r="H364" i="5"/>
  <c r="I364" i="5" s="1"/>
  <c r="V364" i="5"/>
  <c r="W364" i="5" s="1"/>
  <c r="X364" i="5" s="1"/>
  <c r="Y364" i="5" s="1"/>
  <c r="Z364" i="5" s="1"/>
  <c r="AA364" i="5" s="1"/>
  <c r="AB364" i="5" s="1"/>
  <c r="D364" i="5"/>
  <c r="E364" i="5"/>
  <c r="H363" i="5"/>
  <c r="I363" i="5" s="1"/>
  <c r="V363" i="5"/>
  <c r="W363" i="5" s="1"/>
  <c r="X363" i="5" s="1"/>
  <c r="Y363" i="5" s="1"/>
  <c r="Z363" i="5"/>
  <c r="AA363" i="5" s="1"/>
  <c r="AB363" i="5" s="1"/>
  <c r="D363" i="5"/>
  <c r="E363" i="5"/>
  <c r="H362" i="5"/>
  <c r="I362" i="5" s="1"/>
  <c r="V362" i="5"/>
  <c r="W362" i="5" s="1"/>
  <c r="X362" i="5" s="1"/>
  <c r="Y362" i="5" s="1"/>
  <c r="Z362" i="5"/>
  <c r="AA362" i="5" s="1"/>
  <c r="AB362" i="5" s="1"/>
  <c r="E362" i="5"/>
  <c r="D362" i="5"/>
  <c r="H361" i="5"/>
  <c r="I361" i="5" s="1"/>
  <c r="V361" i="5"/>
  <c r="W361" i="5" s="1"/>
  <c r="X361" i="5" s="1"/>
  <c r="Y361" i="5" s="1"/>
  <c r="Z361" i="5" s="1"/>
  <c r="AA361" i="5" s="1"/>
  <c r="AB361" i="5" s="1"/>
  <c r="E361" i="5"/>
  <c r="D361" i="5"/>
  <c r="H360" i="5"/>
  <c r="I360" i="5" s="1"/>
  <c r="V360" i="5"/>
  <c r="W360" i="5" s="1"/>
  <c r="X360" i="5" s="1"/>
  <c r="Y360" i="5" s="1"/>
  <c r="Z360" i="5" s="1"/>
  <c r="AA360" i="5" s="1"/>
  <c r="AB360" i="5" s="1"/>
  <c r="D360" i="5"/>
  <c r="E360" i="5"/>
  <c r="H359" i="5"/>
  <c r="I359" i="5" s="1"/>
  <c r="V359" i="5"/>
  <c r="W359" i="5" s="1"/>
  <c r="X359" i="5" s="1"/>
  <c r="Y359" i="5" s="1"/>
  <c r="Z359" i="5"/>
  <c r="AA359" i="5" s="1"/>
  <c r="AB359" i="5" s="1"/>
  <c r="D359" i="5"/>
  <c r="E359" i="5"/>
  <c r="H358" i="5"/>
  <c r="I358" i="5" s="1"/>
  <c r="V358" i="5"/>
  <c r="W358" i="5" s="1"/>
  <c r="X358" i="5" s="1"/>
  <c r="Y358" i="5" s="1"/>
  <c r="Z358" i="5"/>
  <c r="AA358" i="5" s="1"/>
  <c r="AB358" i="5" s="1"/>
  <c r="D358" i="5"/>
  <c r="E358" i="5"/>
  <c r="H357" i="5"/>
  <c r="I357" i="5" s="1"/>
  <c r="V357" i="5"/>
  <c r="W357" i="5" s="1"/>
  <c r="X357" i="5" s="1"/>
  <c r="Y357" i="5" s="1"/>
  <c r="Z357" i="5" s="1"/>
  <c r="AA357" i="5" s="1"/>
  <c r="AB357" i="5" s="1"/>
  <c r="D357" i="5"/>
  <c r="E357" i="5"/>
  <c r="H356" i="5"/>
  <c r="I356" i="5" s="1"/>
  <c r="V356" i="5"/>
  <c r="W356" i="5" s="1"/>
  <c r="X356" i="5" s="1"/>
  <c r="Y356" i="5" s="1"/>
  <c r="Z356" i="5"/>
  <c r="AA356" i="5" s="1"/>
  <c r="AB356" i="5" s="1"/>
  <c r="D356" i="5"/>
  <c r="E356" i="5"/>
  <c r="H355" i="5"/>
  <c r="I355" i="5" s="1"/>
  <c r="V355" i="5"/>
  <c r="W355" i="5" s="1"/>
  <c r="X355" i="5" s="1"/>
  <c r="Y355" i="5" s="1"/>
  <c r="Z355" i="5"/>
  <c r="AA355" i="5" s="1"/>
  <c r="AB355" i="5" s="1"/>
  <c r="E355" i="5"/>
  <c r="D355" i="5"/>
  <c r="H354" i="5"/>
  <c r="I354" i="5" s="1"/>
  <c r="V354" i="5"/>
  <c r="W354" i="5" s="1"/>
  <c r="X354" i="5" s="1"/>
  <c r="Y354" i="5" s="1"/>
  <c r="Z354" i="5"/>
  <c r="AA354" i="5" s="1"/>
  <c r="AB354" i="5" s="1"/>
  <c r="D354" i="5"/>
  <c r="E354" i="5"/>
  <c r="H353" i="5"/>
  <c r="I353" i="5" s="1"/>
  <c r="V353" i="5"/>
  <c r="W353" i="5" s="1"/>
  <c r="X353" i="5" s="1"/>
  <c r="Y353" i="5" s="1"/>
  <c r="Z353" i="5"/>
  <c r="AA353" i="5" s="1"/>
  <c r="AB353" i="5" s="1"/>
  <c r="D353" i="5"/>
  <c r="E353" i="5"/>
  <c r="H352" i="5"/>
  <c r="I352" i="5" s="1"/>
  <c r="V352" i="5"/>
  <c r="W352" i="5" s="1"/>
  <c r="X352" i="5" s="1"/>
  <c r="Y352" i="5" s="1"/>
  <c r="Z352" i="5"/>
  <c r="AA352" i="5" s="1"/>
  <c r="AB352" i="5" s="1"/>
  <c r="E352" i="5"/>
  <c r="D352" i="5"/>
  <c r="H351" i="5"/>
  <c r="I351" i="5" s="1"/>
  <c r="V351" i="5"/>
  <c r="W351" i="5" s="1"/>
  <c r="X351" i="5" s="1"/>
  <c r="Y351" i="5" s="1"/>
  <c r="Z351" i="5" s="1"/>
  <c r="AA351" i="5" s="1"/>
  <c r="AB351" i="5" s="1"/>
  <c r="E351" i="5"/>
  <c r="D351" i="5"/>
  <c r="H350" i="5"/>
  <c r="I350" i="5" s="1"/>
  <c r="V350" i="5"/>
  <c r="W350" i="5" s="1"/>
  <c r="X350" i="5" s="1"/>
  <c r="Y350" i="5" s="1"/>
  <c r="Z350" i="5" s="1"/>
  <c r="AA350" i="5" s="1"/>
  <c r="AB350" i="5" s="1"/>
  <c r="E350" i="5"/>
  <c r="D350" i="5"/>
  <c r="H349" i="5"/>
  <c r="I349" i="5" s="1"/>
  <c r="V349" i="5"/>
  <c r="W349" i="5" s="1"/>
  <c r="X349" i="5" s="1"/>
  <c r="Y349" i="5" s="1"/>
  <c r="Z349" i="5" s="1"/>
  <c r="AA349" i="5" s="1"/>
  <c r="AB349" i="5" s="1"/>
  <c r="E349" i="5"/>
  <c r="D349" i="5"/>
  <c r="H348" i="5"/>
  <c r="I348" i="5" s="1"/>
  <c r="V348" i="5"/>
  <c r="W348" i="5" s="1"/>
  <c r="X348" i="5" s="1"/>
  <c r="Y348" i="5" s="1"/>
  <c r="Z348" i="5"/>
  <c r="AA348" i="5" s="1"/>
  <c r="AB348" i="5" s="1"/>
  <c r="D348" i="5"/>
  <c r="E348" i="5"/>
  <c r="H347" i="5"/>
  <c r="I347" i="5" s="1"/>
  <c r="V347" i="5"/>
  <c r="W347" i="5" s="1"/>
  <c r="X347" i="5" s="1"/>
  <c r="Y347" i="5" s="1"/>
  <c r="Z347" i="5" s="1"/>
  <c r="AA347" i="5" s="1"/>
  <c r="AB347" i="5" s="1"/>
  <c r="D347" i="5"/>
  <c r="E347" i="5"/>
  <c r="H346" i="5"/>
  <c r="I346" i="5" s="1"/>
  <c r="V346" i="5"/>
  <c r="W346" i="5" s="1"/>
  <c r="X346" i="5" s="1"/>
  <c r="Y346" i="5" s="1"/>
  <c r="Z346" i="5"/>
  <c r="AA346" i="5" s="1"/>
  <c r="AB346" i="5" s="1"/>
  <c r="E346" i="5"/>
  <c r="D346" i="5"/>
  <c r="H345" i="5"/>
  <c r="I345" i="5" s="1"/>
  <c r="V345" i="5"/>
  <c r="W345" i="5" s="1"/>
  <c r="X345" i="5" s="1"/>
  <c r="Y345" i="5" s="1"/>
  <c r="Z345" i="5" s="1"/>
  <c r="AA345" i="5" s="1"/>
  <c r="AB345" i="5" s="1"/>
  <c r="E345" i="5"/>
  <c r="D345" i="5"/>
  <c r="H344" i="5"/>
  <c r="I344" i="5" s="1"/>
  <c r="V344" i="5"/>
  <c r="W344" i="5" s="1"/>
  <c r="X344" i="5" s="1"/>
  <c r="Y344" i="5" s="1"/>
  <c r="Z344" i="5" s="1"/>
  <c r="AA344" i="5" s="1"/>
  <c r="AB344" i="5" s="1"/>
  <c r="E344" i="5"/>
  <c r="D344" i="5"/>
  <c r="H343" i="5"/>
  <c r="I343" i="5" s="1"/>
  <c r="V343" i="5"/>
  <c r="W343" i="5" s="1"/>
  <c r="X343" i="5" s="1"/>
  <c r="Y343" i="5" s="1"/>
  <c r="Z343" i="5" s="1"/>
  <c r="AA343" i="5" s="1"/>
  <c r="AB343" i="5" s="1"/>
  <c r="E343" i="5"/>
  <c r="D343" i="5"/>
  <c r="H342" i="5"/>
  <c r="I342" i="5" s="1"/>
  <c r="V342" i="5"/>
  <c r="W342" i="5" s="1"/>
  <c r="X342" i="5" s="1"/>
  <c r="Y342" i="5" s="1"/>
  <c r="Z342" i="5" s="1"/>
  <c r="AA342" i="5" s="1"/>
  <c r="AB342" i="5" s="1"/>
  <c r="E342" i="5"/>
  <c r="D342" i="5"/>
  <c r="H341" i="5"/>
  <c r="I341" i="5" s="1"/>
  <c r="V341" i="5"/>
  <c r="W341" i="5" s="1"/>
  <c r="X341" i="5" s="1"/>
  <c r="Y341" i="5" s="1"/>
  <c r="Z341" i="5" s="1"/>
  <c r="AA341" i="5" s="1"/>
  <c r="AB341" i="5" s="1"/>
  <c r="E341" i="5"/>
  <c r="D341" i="5"/>
  <c r="H340" i="5"/>
  <c r="I340" i="5" s="1"/>
  <c r="V340" i="5"/>
  <c r="W340" i="5" s="1"/>
  <c r="X340" i="5" s="1"/>
  <c r="Y340" i="5" s="1"/>
  <c r="Z340" i="5" s="1"/>
  <c r="AA340" i="5" s="1"/>
  <c r="AB340" i="5" s="1"/>
  <c r="E340" i="5"/>
  <c r="D340" i="5"/>
  <c r="H339" i="5"/>
  <c r="I339" i="5" s="1"/>
  <c r="V339" i="5"/>
  <c r="W339" i="5" s="1"/>
  <c r="X339" i="5" s="1"/>
  <c r="Y339" i="5" s="1"/>
  <c r="Z339" i="5" s="1"/>
  <c r="AA339" i="5" s="1"/>
  <c r="AB339" i="5" s="1"/>
  <c r="E339" i="5"/>
  <c r="D339" i="5"/>
  <c r="H338" i="5"/>
  <c r="I338" i="5" s="1"/>
  <c r="V338" i="5"/>
  <c r="W338" i="5" s="1"/>
  <c r="X338" i="5" s="1"/>
  <c r="Y338" i="5" s="1"/>
  <c r="Z338" i="5" s="1"/>
  <c r="AA338" i="5" s="1"/>
  <c r="AB338" i="5" s="1"/>
  <c r="E338" i="5"/>
  <c r="D338" i="5"/>
  <c r="H337" i="5"/>
  <c r="I337" i="5" s="1"/>
  <c r="V337" i="5"/>
  <c r="W337" i="5" s="1"/>
  <c r="X337" i="5" s="1"/>
  <c r="Y337" i="5" s="1"/>
  <c r="Z337" i="5" s="1"/>
  <c r="AA337" i="5" s="1"/>
  <c r="AB337" i="5" s="1"/>
  <c r="E337" i="5"/>
  <c r="D337" i="5"/>
  <c r="H336" i="5"/>
  <c r="I336" i="5" s="1"/>
  <c r="V336" i="5"/>
  <c r="W336" i="5" s="1"/>
  <c r="X336" i="5" s="1"/>
  <c r="Y336" i="5" s="1"/>
  <c r="Z336" i="5" s="1"/>
  <c r="AA336" i="5" s="1"/>
  <c r="AB336" i="5" s="1"/>
  <c r="E336" i="5"/>
  <c r="D336" i="5"/>
  <c r="H335" i="5"/>
  <c r="I335" i="5" s="1"/>
  <c r="V335" i="5"/>
  <c r="W335" i="5" s="1"/>
  <c r="X335" i="5" s="1"/>
  <c r="Y335" i="5" s="1"/>
  <c r="Z335" i="5" s="1"/>
  <c r="AA335" i="5" s="1"/>
  <c r="AB335" i="5" s="1"/>
  <c r="E335" i="5"/>
  <c r="D335" i="5"/>
  <c r="H334" i="5"/>
  <c r="I334" i="5" s="1"/>
  <c r="V334" i="5"/>
  <c r="W334" i="5" s="1"/>
  <c r="X334" i="5" s="1"/>
  <c r="Y334" i="5" s="1"/>
  <c r="Z334" i="5" s="1"/>
  <c r="AA334" i="5" s="1"/>
  <c r="AB334" i="5" s="1"/>
  <c r="E334" i="5"/>
  <c r="D334" i="5"/>
  <c r="H333" i="5"/>
  <c r="I333" i="5" s="1"/>
  <c r="V333" i="5"/>
  <c r="W333" i="5" s="1"/>
  <c r="X333" i="5" s="1"/>
  <c r="Y333" i="5" s="1"/>
  <c r="Z333" i="5" s="1"/>
  <c r="AA333" i="5" s="1"/>
  <c r="AB333" i="5" s="1"/>
  <c r="E333" i="5"/>
  <c r="D333" i="5"/>
  <c r="H332" i="5"/>
  <c r="I332" i="5" s="1"/>
  <c r="V332" i="5"/>
  <c r="W332" i="5" s="1"/>
  <c r="X332" i="5" s="1"/>
  <c r="Y332" i="5" s="1"/>
  <c r="Z332" i="5" s="1"/>
  <c r="AA332" i="5" s="1"/>
  <c r="AB332" i="5" s="1"/>
  <c r="E332" i="5"/>
  <c r="D332" i="5"/>
  <c r="H331" i="5"/>
  <c r="I331" i="5" s="1"/>
  <c r="V331" i="5"/>
  <c r="W331" i="5" s="1"/>
  <c r="X331" i="5" s="1"/>
  <c r="Y331" i="5" s="1"/>
  <c r="Z331" i="5" s="1"/>
  <c r="AA331" i="5" s="1"/>
  <c r="AB331" i="5" s="1"/>
  <c r="E331" i="5"/>
  <c r="D331" i="5"/>
  <c r="H330" i="5"/>
  <c r="I330" i="5" s="1"/>
  <c r="V330" i="5"/>
  <c r="W330" i="5" s="1"/>
  <c r="X330" i="5" s="1"/>
  <c r="Y330" i="5" s="1"/>
  <c r="Z330" i="5" s="1"/>
  <c r="AA330" i="5" s="1"/>
  <c r="AB330" i="5" s="1"/>
  <c r="E330" i="5"/>
  <c r="D330" i="5"/>
  <c r="H329" i="5"/>
  <c r="I329" i="5" s="1"/>
  <c r="V329" i="5"/>
  <c r="W329" i="5" s="1"/>
  <c r="X329" i="5" s="1"/>
  <c r="Y329" i="5" s="1"/>
  <c r="Z329" i="5"/>
  <c r="AA329" i="5" s="1"/>
  <c r="AB329" i="5" s="1"/>
  <c r="D329" i="5"/>
  <c r="E329" i="5"/>
  <c r="H328" i="5"/>
  <c r="I328" i="5" s="1"/>
  <c r="V328" i="5"/>
  <c r="W328" i="5" s="1"/>
  <c r="X328" i="5" s="1"/>
  <c r="Y328" i="5" s="1"/>
  <c r="Z328" i="5"/>
  <c r="AA328" i="5" s="1"/>
  <c r="AB328" i="5" s="1"/>
  <c r="E328" i="5"/>
  <c r="D328" i="5"/>
  <c r="H327" i="5"/>
  <c r="I327" i="5" s="1"/>
  <c r="V327" i="5"/>
  <c r="W327" i="5" s="1"/>
  <c r="X327" i="5" s="1"/>
  <c r="Y327" i="5" s="1"/>
  <c r="Z327" i="5" s="1"/>
  <c r="AA327" i="5" s="1"/>
  <c r="AB327" i="5" s="1"/>
  <c r="D327" i="5"/>
  <c r="E327" i="5"/>
  <c r="H326" i="5"/>
  <c r="I326" i="5" s="1"/>
  <c r="V326" i="5"/>
  <c r="W326" i="5" s="1"/>
  <c r="X326" i="5" s="1"/>
  <c r="Y326" i="5" s="1"/>
  <c r="Z326" i="5"/>
  <c r="AA326" i="5" s="1"/>
  <c r="AB326" i="5" s="1"/>
  <c r="E326" i="5"/>
  <c r="D326" i="5"/>
  <c r="H325" i="5"/>
  <c r="I325" i="5" s="1"/>
  <c r="V325" i="5"/>
  <c r="W325" i="5" s="1"/>
  <c r="X325" i="5" s="1"/>
  <c r="Y325" i="5" s="1"/>
  <c r="Z325" i="5" s="1"/>
  <c r="AA325" i="5" s="1"/>
  <c r="AB325" i="5" s="1"/>
  <c r="D325" i="5"/>
  <c r="E325" i="5"/>
  <c r="H324" i="5"/>
  <c r="I324" i="5" s="1"/>
  <c r="V324" i="5"/>
  <c r="W324" i="5" s="1"/>
  <c r="X324" i="5" s="1"/>
  <c r="Y324" i="5" s="1"/>
  <c r="Z324" i="5" s="1"/>
  <c r="AA324" i="5" s="1"/>
  <c r="AB324" i="5" s="1"/>
  <c r="E324" i="5"/>
  <c r="D324" i="5"/>
  <c r="H323" i="5"/>
  <c r="I323" i="5" s="1"/>
  <c r="V323" i="5"/>
  <c r="W323" i="5" s="1"/>
  <c r="X323" i="5" s="1"/>
  <c r="Y323" i="5" s="1"/>
  <c r="Z323" i="5" s="1"/>
  <c r="AA323" i="5" s="1"/>
  <c r="AB323" i="5" s="1"/>
  <c r="E323" i="5"/>
  <c r="D323" i="5"/>
  <c r="H322" i="5"/>
  <c r="I322" i="5" s="1"/>
  <c r="V322" i="5"/>
  <c r="W322" i="5" s="1"/>
  <c r="X322" i="5" s="1"/>
  <c r="Y322" i="5" s="1"/>
  <c r="Z322" i="5" s="1"/>
  <c r="AA322" i="5" s="1"/>
  <c r="AB322" i="5" s="1"/>
  <c r="E322" i="5"/>
  <c r="D322" i="5"/>
  <c r="H321" i="5"/>
  <c r="I321" i="5" s="1"/>
  <c r="V321" i="5"/>
  <c r="W321" i="5" s="1"/>
  <c r="X321" i="5" s="1"/>
  <c r="Y321" i="5" s="1"/>
  <c r="Z321" i="5" s="1"/>
  <c r="AA321" i="5" s="1"/>
  <c r="AB321" i="5" s="1"/>
  <c r="D321" i="5"/>
  <c r="E321" i="5"/>
  <c r="H320" i="5"/>
  <c r="I320" i="5" s="1"/>
  <c r="V320" i="5"/>
  <c r="W320" i="5" s="1"/>
  <c r="X320" i="5" s="1"/>
  <c r="Y320" i="5" s="1"/>
  <c r="Z320" i="5" s="1"/>
  <c r="AA320" i="5" s="1"/>
  <c r="AB320" i="5" s="1"/>
  <c r="E320" i="5"/>
  <c r="D320" i="5"/>
  <c r="H319" i="5"/>
  <c r="I319" i="5" s="1"/>
  <c r="V319" i="5"/>
  <c r="W319" i="5" s="1"/>
  <c r="X319" i="5" s="1"/>
  <c r="Y319" i="5" s="1"/>
  <c r="Z319" i="5"/>
  <c r="AA319" i="5" s="1"/>
  <c r="AB319" i="5" s="1"/>
  <c r="E319" i="5"/>
  <c r="D319" i="5"/>
  <c r="H318" i="5"/>
  <c r="I318" i="5" s="1"/>
  <c r="V318" i="5"/>
  <c r="W318" i="5" s="1"/>
  <c r="X318" i="5" s="1"/>
  <c r="Y318" i="5" s="1"/>
  <c r="Z318" i="5" s="1"/>
  <c r="AA318" i="5" s="1"/>
  <c r="AB318" i="5" s="1"/>
  <c r="D318" i="5"/>
  <c r="E318" i="5"/>
  <c r="H317" i="5"/>
  <c r="I317" i="5" s="1"/>
  <c r="V317" i="5"/>
  <c r="W317" i="5" s="1"/>
  <c r="X317" i="5" s="1"/>
  <c r="Y317" i="5" s="1"/>
  <c r="Z317" i="5"/>
  <c r="AA317" i="5" s="1"/>
  <c r="AB317" i="5" s="1"/>
  <c r="D317" i="5"/>
  <c r="E317" i="5"/>
  <c r="H316" i="5"/>
  <c r="I316" i="5" s="1"/>
  <c r="V316" i="5"/>
  <c r="W316" i="5" s="1"/>
  <c r="X316" i="5" s="1"/>
  <c r="Y316" i="5" s="1"/>
  <c r="Z316" i="5" s="1"/>
  <c r="AA316" i="5" s="1"/>
  <c r="AB316" i="5" s="1"/>
  <c r="E316" i="5"/>
  <c r="D316" i="5"/>
  <c r="H315" i="5"/>
  <c r="I315" i="5" s="1"/>
  <c r="V315" i="5"/>
  <c r="W315" i="5" s="1"/>
  <c r="X315" i="5" s="1"/>
  <c r="Y315" i="5" s="1"/>
  <c r="Z315" i="5" s="1"/>
  <c r="AA315" i="5" s="1"/>
  <c r="AB315" i="5" s="1"/>
  <c r="D315" i="5"/>
  <c r="E315" i="5"/>
  <c r="H314" i="5"/>
  <c r="I314" i="5" s="1"/>
  <c r="V314" i="5"/>
  <c r="W314" i="5" s="1"/>
  <c r="X314" i="5" s="1"/>
  <c r="Y314" i="5" s="1"/>
  <c r="Z314" i="5"/>
  <c r="AA314" i="5" s="1"/>
  <c r="AB314" i="5" s="1"/>
  <c r="E314" i="5"/>
  <c r="D314" i="5"/>
  <c r="H313" i="5"/>
  <c r="I313" i="5" s="1"/>
  <c r="V313" i="5"/>
  <c r="W313" i="5" s="1"/>
  <c r="X313" i="5" s="1"/>
  <c r="Y313" i="5" s="1"/>
  <c r="Z313" i="5" s="1"/>
  <c r="AA313" i="5" s="1"/>
  <c r="AB313" i="5" s="1"/>
  <c r="D313" i="5"/>
  <c r="E313" i="5"/>
  <c r="H312" i="5"/>
  <c r="I312" i="5" s="1"/>
  <c r="V312" i="5"/>
  <c r="W312" i="5" s="1"/>
  <c r="X312" i="5" s="1"/>
  <c r="Y312" i="5" s="1"/>
  <c r="Z312" i="5" s="1"/>
  <c r="AA312" i="5" s="1"/>
  <c r="AB312" i="5" s="1"/>
  <c r="E312" i="5"/>
  <c r="D312" i="5"/>
  <c r="H311" i="5"/>
  <c r="I311" i="5" s="1"/>
  <c r="V311" i="5"/>
  <c r="W311" i="5" s="1"/>
  <c r="X311" i="5" s="1"/>
  <c r="Y311" i="5" s="1"/>
  <c r="Z311" i="5"/>
  <c r="AA311" i="5" s="1"/>
  <c r="AB311" i="5" s="1"/>
  <c r="E311" i="5"/>
  <c r="D311" i="5"/>
  <c r="H310" i="5"/>
  <c r="I310" i="5" s="1"/>
  <c r="V310" i="5"/>
  <c r="W310" i="5" s="1"/>
  <c r="X310" i="5" s="1"/>
  <c r="Y310" i="5" s="1"/>
  <c r="Z310" i="5"/>
  <c r="AA310" i="5" s="1"/>
  <c r="AB310" i="5" s="1"/>
  <c r="D310" i="5"/>
  <c r="E310" i="5"/>
  <c r="H309" i="5"/>
  <c r="I309" i="5" s="1"/>
  <c r="V309" i="5"/>
  <c r="W309" i="5" s="1"/>
  <c r="X309" i="5" s="1"/>
  <c r="Y309" i="5" s="1"/>
  <c r="Z309" i="5" s="1"/>
  <c r="AA309" i="5" s="1"/>
  <c r="AB309" i="5" s="1"/>
  <c r="E309" i="5"/>
  <c r="D309" i="5"/>
  <c r="H308" i="5"/>
  <c r="I308" i="5" s="1"/>
  <c r="V308" i="5"/>
  <c r="W308" i="5" s="1"/>
  <c r="X308" i="5" s="1"/>
  <c r="Y308" i="5" s="1"/>
  <c r="Z308" i="5" s="1"/>
  <c r="AA308" i="5" s="1"/>
  <c r="AB308" i="5" s="1"/>
  <c r="D308" i="5"/>
  <c r="E308" i="5"/>
  <c r="H307" i="5"/>
  <c r="I307" i="5" s="1"/>
  <c r="V307" i="5"/>
  <c r="W307" i="5" s="1"/>
  <c r="X307" i="5" s="1"/>
  <c r="Y307" i="5" s="1"/>
  <c r="Z307" i="5" s="1"/>
  <c r="AA307" i="5" s="1"/>
  <c r="AB307" i="5" s="1"/>
  <c r="E307" i="5"/>
  <c r="D307" i="5"/>
  <c r="H306" i="5"/>
  <c r="I306" i="5" s="1"/>
  <c r="V306" i="5"/>
  <c r="W306" i="5" s="1"/>
  <c r="X306" i="5" s="1"/>
  <c r="Y306" i="5" s="1"/>
  <c r="Z306" i="5" s="1"/>
  <c r="AA306" i="5" s="1"/>
  <c r="AB306" i="5" s="1"/>
  <c r="D306" i="5"/>
  <c r="E306" i="5"/>
  <c r="H305" i="5"/>
  <c r="I305" i="5" s="1"/>
  <c r="V305" i="5"/>
  <c r="W305" i="5" s="1"/>
  <c r="X305" i="5" s="1"/>
  <c r="Y305" i="5" s="1"/>
  <c r="Z305" i="5" s="1"/>
  <c r="AA305" i="5" s="1"/>
  <c r="AB305" i="5" s="1"/>
  <c r="D305" i="5"/>
  <c r="E305" i="5"/>
  <c r="H304" i="5"/>
  <c r="I304" i="5" s="1"/>
  <c r="V304" i="5"/>
  <c r="W304" i="5" s="1"/>
  <c r="X304" i="5" s="1"/>
  <c r="Y304" i="5" s="1"/>
  <c r="Z304" i="5" s="1"/>
  <c r="AA304" i="5" s="1"/>
  <c r="AB304" i="5" s="1"/>
  <c r="D304" i="5"/>
  <c r="E304" i="5"/>
  <c r="H303" i="5"/>
  <c r="I303" i="5" s="1"/>
  <c r="V303" i="5"/>
  <c r="W303" i="5" s="1"/>
  <c r="X303" i="5" s="1"/>
  <c r="Y303" i="5" s="1"/>
  <c r="Z303" i="5" s="1"/>
  <c r="AA303" i="5" s="1"/>
  <c r="AB303" i="5" s="1"/>
  <c r="D303" i="5"/>
  <c r="E303" i="5"/>
  <c r="H302" i="5"/>
  <c r="I302" i="5" s="1"/>
  <c r="V302" i="5"/>
  <c r="W302" i="5" s="1"/>
  <c r="X302" i="5" s="1"/>
  <c r="Y302" i="5" s="1"/>
  <c r="Z302" i="5" s="1"/>
  <c r="AA302" i="5" s="1"/>
  <c r="AB302" i="5" s="1"/>
  <c r="D302" i="5"/>
  <c r="E302" i="5"/>
  <c r="H301" i="5"/>
  <c r="I301" i="5" s="1"/>
  <c r="V301" i="5"/>
  <c r="W301" i="5" s="1"/>
  <c r="X301" i="5" s="1"/>
  <c r="Y301" i="5" s="1"/>
  <c r="Z301" i="5" s="1"/>
  <c r="AA301" i="5" s="1"/>
  <c r="AB301" i="5" s="1"/>
  <c r="D301" i="5"/>
  <c r="E301" i="5"/>
  <c r="H300" i="5"/>
  <c r="I300" i="5" s="1"/>
  <c r="V300" i="5"/>
  <c r="W300" i="5" s="1"/>
  <c r="X300" i="5" s="1"/>
  <c r="Y300" i="5" s="1"/>
  <c r="Z300" i="5" s="1"/>
  <c r="AA300" i="5" s="1"/>
  <c r="AB300" i="5" s="1"/>
  <c r="E300" i="5"/>
  <c r="D300" i="5"/>
  <c r="H299" i="5"/>
  <c r="I299" i="5" s="1"/>
  <c r="V299" i="5"/>
  <c r="W299" i="5" s="1"/>
  <c r="X299" i="5" s="1"/>
  <c r="Y299" i="5" s="1"/>
  <c r="Z299" i="5" s="1"/>
  <c r="AA299" i="5" s="1"/>
  <c r="AB299" i="5" s="1"/>
  <c r="D299" i="5"/>
  <c r="E299" i="5"/>
  <c r="H298" i="5"/>
  <c r="I298" i="5" s="1"/>
  <c r="V298" i="5"/>
  <c r="W298" i="5" s="1"/>
  <c r="X298" i="5" s="1"/>
  <c r="Y298" i="5" s="1"/>
  <c r="Z298" i="5" s="1"/>
  <c r="AA298" i="5" s="1"/>
  <c r="AB298" i="5" s="1"/>
  <c r="D298" i="5"/>
  <c r="E298" i="5"/>
  <c r="H297" i="5"/>
  <c r="I297" i="5" s="1"/>
  <c r="D297" i="5"/>
  <c r="E297" i="5"/>
  <c r="H296" i="5"/>
  <c r="I296" i="5" s="1"/>
  <c r="Z296" i="5"/>
  <c r="AA296" i="5" s="1"/>
  <c r="AB296" i="5" s="1"/>
  <c r="V296" i="5"/>
  <c r="W296" i="5" s="1"/>
  <c r="X296" i="5" s="1"/>
  <c r="Y296" i="5" s="1"/>
  <c r="E296" i="5"/>
  <c r="D296" i="5"/>
  <c r="H295" i="5"/>
  <c r="I295" i="5" s="1"/>
  <c r="V295" i="5"/>
  <c r="W295" i="5" s="1"/>
  <c r="X295" i="5" s="1"/>
  <c r="Y295" i="5" s="1"/>
  <c r="Z295" i="5"/>
  <c r="AA295" i="5" s="1"/>
  <c r="AB295" i="5" s="1"/>
  <c r="E295" i="5"/>
  <c r="D295" i="5"/>
  <c r="H294" i="5"/>
  <c r="I294" i="5" s="1"/>
  <c r="V294" i="5"/>
  <c r="W294" i="5" s="1"/>
  <c r="X294" i="5" s="1"/>
  <c r="Y294" i="5" s="1"/>
  <c r="Z294" i="5" s="1"/>
  <c r="AA294" i="5" s="1"/>
  <c r="AB294" i="5" s="1"/>
  <c r="E294" i="5"/>
  <c r="D294" i="5"/>
  <c r="H293" i="5"/>
  <c r="I293" i="5" s="1"/>
  <c r="V293" i="5"/>
  <c r="W293" i="5" s="1"/>
  <c r="X293" i="5" s="1"/>
  <c r="Y293" i="5" s="1"/>
  <c r="Z293" i="5" s="1"/>
  <c r="AA293" i="5" s="1"/>
  <c r="AB293" i="5" s="1"/>
  <c r="E293" i="5"/>
  <c r="D293" i="5"/>
  <c r="H292" i="5"/>
  <c r="I292" i="5" s="1"/>
  <c r="V292" i="5"/>
  <c r="W292" i="5" s="1"/>
  <c r="X292" i="5" s="1"/>
  <c r="Y292" i="5" s="1"/>
  <c r="Z292" i="5"/>
  <c r="AA292" i="5" s="1"/>
  <c r="AB292" i="5" s="1"/>
  <c r="E292" i="5"/>
  <c r="D292" i="5"/>
  <c r="H291" i="5"/>
  <c r="I291" i="5" s="1"/>
  <c r="V291" i="5"/>
  <c r="W291" i="5" s="1"/>
  <c r="X291" i="5" s="1"/>
  <c r="Y291" i="5" s="1"/>
  <c r="Z291" i="5"/>
  <c r="AA291" i="5" s="1"/>
  <c r="AB291" i="5" s="1"/>
  <c r="D291" i="5"/>
  <c r="E291" i="5"/>
  <c r="H290" i="5"/>
  <c r="I290" i="5" s="1"/>
  <c r="V290" i="5"/>
  <c r="W290" i="5" s="1"/>
  <c r="X290" i="5" s="1"/>
  <c r="Y290" i="5" s="1"/>
  <c r="Z290" i="5"/>
  <c r="AA290" i="5" s="1"/>
  <c r="AB290" i="5" s="1"/>
  <c r="E290" i="5"/>
  <c r="D290" i="5"/>
  <c r="H289" i="5"/>
  <c r="I289" i="5" s="1"/>
  <c r="V289" i="5"/>
  <c r="W289" i="5" s="1"/>
  <c r="X289" i="5" s="1"/>
  <c r="Y289" i="5" s="1"/>
  <c r="Z289" i="5"/>
  <c r="AA289" i="5" s="1"/>
  <c r="AB289" i="5" s="1"/>
  <c r="D289" i="5"/>
  <c r="E289" i="5"/>
  <c r="H288" i="5"/>
  <c r="I288" i="5" s="1"/>
  <c r="V288" i="5"/>
  <c r="W288" i="5" s="1"/>
  <c r="X288" i="5" s="1"/>
  <c r="Y288" i="5" s="1"/>
  <c r="Z288" i="5" s="1"/>
  <c r="AA288" i="5" s="1"/>
  <c r="AB288" i="5" s="1"/>
  <c r="E288" i="5"/>
  <c r="D288" i="5"/>
  <c r="H287" i="5"/>
  <c r="I287" i="5" s="1"/>
  <c r="V287" i="5"/>
  <c r="W287" i="5" s="1"/>
  <c r="X287" i="5" s="1"/>
  <c r="Y287" i="5" s="1"/>
  <c r="Z287" i="5"/>
  <c r="AA287" i="5" s="1"/>
  <c r="AB287" i="5" s="1"/>
  <c r="E287" i="5"/>
  <c r="D287" i="5"/>
  <c r="H286" i="5"/>
  <c r="I286" i="5" s="1"/>
  <c r="V286" i="5"/>
  <c r="W286" i="5" s="1"/>
  <c r="X286" i="5" s="1"/>
  <c r="Y286" i="5" s="1"/>
  <c r="Z286" i="5" s="1"/>
  <c r="AA286" i="5" s="1"/>
  <c r="AB286" i="5" s="1"/>
  <c r="E286" i="5"/>
  <c r="D286" i="5"/>
  <c r="H285" i="5"/>
  <c r="I285" i="5" s="1"/>
  <c r="V285" i="5"/>
  <c r="W285" i="5" s="1"/>
  <c r="X285" i="5" s="1"/>
  <c r="Y285" i="5" s="1"/>
  <c r="Z285" i="5"/>
  <c r="AA285" i="5" s="1"/>
  <c r="AB285" i="5" s="1"/>
  <c r="D285" i="5"/>
  <c r="E285" i="5"/>
  <c r="H284" i="5"/>
  <c r="I284" i="5" s="1"/>
  <c r="V284" i="5"/>
  <c r="W284" i="5" s="1"/>
  <c r="X284" i="5" s="1"/>
  <c r="Y284" i="5" s="1"/>
  <c r="Z284" i="5"/>
  <c r="AA284" i="5" s="1"/>
  <c r="AB284" i="5" s="1"/>
  <c r="D284" i="5"/>
  <c r="E284" i="5"/>
  <c r="H283" i="5"/>
  <c r="I283" i="5" s="1"/>
  <c r="V283" i="5"/>
  <c r="W283" i="5" s="1"/>
  <c r="X283" i="5" s="1"/>
  <c r="Y283" i="5" s="1"/>
  <c r="Z283" i="5" s="1"/>
  <c r="AA283" i="5" s="1"/>
  <c r="AB283" i="5" s="1"/>
  <c r="E283" i="5"/>
  <c r="D283" i="5"/>
  <c r="H282" i="5"/>
  <c r="I282" i="5" s="1"/>
  <c r="V282" i="5"/>
  <c r="W282" i="5" s="1"/>
  <c r="X282" i="5" s="1"/>
  <c r="Y282" i="5" s="1"/>
  <c r="Z282" i="5"/>
  <c r="AA282" i="5" s="1"/>
  <c r="AB282" i="5" s="1"/>
  <c r="D282" i="5"/>
  <c r="E282" i="5"/>
  <c r="H281" i="5"/>
  <c r="I281" i="5" s="1"/>
  <c r="V281" i="5"/>
  <c r="W281" i="5" s="1"/>
  <c r="X281" i="5" s="1"/>
  <c r="Y281" i="5" s="1"/>
  <c r="Z281" i="5" s="1"/>
  <c r="AA281" i="5" s="1"/>
  <c r="AB281" i="5" s="1"/>
  <c r="E281" i="5"/>
  <c r="D281" i="5"/>
  <c r="H280" i="5"/>
  <c r="I280" i="5" s="1"/>
  <c r="V280" i="5"/>
  <c r="W280" i="5" s="1"/>
  <c r="X280" i="5" s="1"/>
  <c r="Y280" i="5" s="1"/>
  <c r="Z280" i="5" s="1"/>
  <c r="AA280" i="5" s="1"/>
  <c r="AB280" i="5" s="1"/>
  <c r="E280" i="5"/>
  <c r="D280" i="5"/>
  <c r="H279" i="5"/>
  <c r="I279" i="5" s="1"/>
  <c r="V279" i="5"/>
  <c r="W279" i="5" s="1"/>
  <c r="X279" i="5" s="1"/>
  <c r="Y279" i="5" s="1"/>
  <c r="Z279" i="5" s="1"/>
  <c r="AA279" i="5" s="1"/>
  <c r="AB279" i="5" s="1"/>
  <c r="E279" i="5"/>
  <c r="D279" i="5"/>
  <c r="H278" i="5"/>
  <c r="I278" i="5" s="1"/>
  <c r="V278" i="5"/>
  <c r="W278" i="5" s="1"/>
  <c r="X278" i="5" s="1"/>
  <c r="Y278" i="5" s="1"/>
  <c r="Z278" i="5" s="1"/>
  <c r="AA278" i="5" s="1"/>
  <c r="AB278" i="5" s="1"/>
  <c r="E278" i="5"/>
  <c r="D278" i="5"/>
  <c r="H277" i="5"/>
  <c r="I277" i="5" s="1"/>
  <c r="V277" i="5"/>
  <c r="W277" i="5" s="1"/>
  <c r="X277" i="5" s="1"/>
  <c r="Y277" i="5" s="1"/>
  <c r="Z277" i="5" s="1"/>
  <c r="AA277" i="5" s="1"/>
  <c r="AB277" i="5" s="1"/>
  <c r="E277" i="5"/>
  <c r="D277" i="5"/>
  <c r="H276" i="5"/>
  <c r="I276" i="5" s="1"/>
  <c r="V276" i="5"/>
  <c r="W276" i="5" s="1"/>
  <c r="X276" i="5" s="1"/>
  <c r="Y276" i="5" s="1"/>
  <c r="Z276" i="5" s="1"/>
  <c r="AA276" i="5" s="1"/>
  <c r="AB276" i="5" s="1"/>
  <c r="E276" i="5"/>
  <c r="D276" i="5"/>
  <c r="H275" i="5"/>
  <c r="I275" i="5" s="1"/>
  <c r="V275" i="5"/>
  <c r="W275" i="5" s="1"/>
  <c r="X275" i="5" s="1"/>
  <c r="Y275" i="5" s="1"/>
  <c r="Z275" i="5" s="1"/>
  <c r="AA275" i="5" s="1"/>
  <c r="AB275" i="5" s="1"/>
  <c r="E275" i="5"/>
  <c r="D275" i="5"/>
  <c r="H274" i="5"/>
  <c r="I274" i="5" s="1"/>
  <c r="V274" i="5"/>
  <c r="W274" i="5" s="1"/>
  <c r="X274" i="5" s="1"/>
  <c r="Y274" i="5" s="1"/>
  <c r="Z274" i="5" s="1"/>
  <c r="AA274" i="5" s="1"/>
  <c r="AB274" i="5" s="1"/>
  <c r="D274" i="5"/>
  <c r="E274" i="5"/>
  <c r="H273" i="5"/>
  <c r="I273" i="5" s="1"/>
  <c r="V273" i="5"/>
  <c r="W273" i="5" s="1"/>
  <c r="X273" i="5" s="1"/>
  <c r="Y273" i="5" s="1"/>
  <c r="Z273" i="5"/>
  <c r="AA273" i="5" s="1"/>
  <c r="AB273" i="5" s="1"/>
  <c r="D273" i="5"/>
  <c r="E273" i="5"/>
  <c r="H272" i="5"/>
  <c r="I272" i="5" s="1"/>
  <c r="V272" i="5"/>
  <c r="W272" i="5" s="1"/>
  <c r="X272" i="5" s="1"/>
  <c r="Y272" i="5" s="1"/>
  <c r="Z272" i="5" s="1"/>
  <c r="AA272" i="5" s="1"/>
  <c r="AB272" i="5" s="1"/>
  <c r="D272" i="5"/>
  <c r="E272" i="5"/>
  <c r="H271" i="5"/>
  <c r="I271" i="5" s="1"/>
  <c r="V271" i="5"/>
  <c r="W271" i="5" s="1"/>
  <c r="X271" i="5" s="1"/>
  <c r="Y271" i="5" s="1"/>
  <c r="Z271" i="5" s="1"/>
  <c r="AA271" i="5" s="1"/>
  <c r="AB271" i="5" s="1"/>
  <c r="E271" i="5"/>
  <c r="D271" i="5"/>
  <c r="H270" i="5"/>
  <c r="I270" i="5" s="1"/>
  <c r="V270" i="5"/>
  <c r="W270" i="5" s="1"/>
  <c r="X270" i="5" s="1"/>
  <c r="Y270" i="5" s="1"/>
  <c r="Z270" i="5" s="1"/>
  <c r="AA270" i="5" s="1"/>
  <c r="AB270" i="5" s="1"/>
  <c r="D270" i="5"/>
  <c r="E270" i="5"/>
  <c r="H269" i="5"/>
  <c r="I269" i="5" s="1"/>
  <c r="V269" i="5"/>
  <c r="W269" i="5" s="1"/>
  <c r="X269" i="5" s="1"/>
  <c r="Y269" i="5" s="1"/>
  <c r="Z269" i="5"/>
  <c r="AA269" i="5" s="1"/>
  <c r="AB269" i="5" s="1"/>
  <c r="E269" i="5"/>
  <c r="D269" i="5"/>
  <c r="H268" i="5"/>
  <c r="I268" i="5" s="1"/>
  <c r="V268" i="5"/>
  <c r="W268" i="5" s="1"/>
  <c r="X268" i="5" s="1"/>
  <c r="Y268" i="5" s="1"/>
  <c r="Z268" i="5" s="1"/>
  <c r="AA268" i="5" s="1"/>
  <c r="AB268" i="5" s="1"/>
  <c r="E268" i="5"/>
  <c r="D268" i="5"/>
  <c r="H267" i="5"/>
  <c r="I267" i="5" s="1"/>
  <c r="V267" i="5"/>
  <c r="W267" i="5" s="1"/>
  <c r="X267" i="5" s="1"/>
  <c r="Y267" i="5" s="1"/>
  <c r="Z267" i="5" s="1"/>
  <c r="AA267" i="5" s="1"/>
  <c r="AB267" i="5" s="1"/>
  <c r="D267" i="5"/>
  <c r="E267" i="5"/>
  <c r="H266" i="5"/>
  <c r="I266" i="5" s="1"/>
  <c r="V266" i="5"/>
  <c r="W266" i="5" s="1"/>
  <c r="X266" i="5" s="1"/>
  <c r="Y266" i="5" s="1"/>
  <c r="Z266" i="5" s="1"/>
  <c r="AA266" i="5" s="1"/>
  <c r="AB266" i="5" s="1"/>
  <c r="D266" i="5"/>
  <c r="E266" i="5"/>
  <c r="H265" i="5"/>
  <c r="I265" i="5" s="1"/>
  <c r="V265" i="5"/>
  <c r="W265" i="5" s="1"/>
  <c r="X265" i="5" s="1"/>
  <c r="Y265" i="5" s="1"/>
  <c r="Z265" i="5" s="1"/>
  <c r="AA265" i="5" s="1"/>
  <c r="AB265" i="5" s="1"/>
  <c r="E265" i="5"/>
  <c r="D265" i="5"/>
  <c r="H264" i="5"/>
  <c r="I264" i="5" s="1"/>
  <c r="V264" i="5"/>
  <c r="W264" i="5" s="1"/>
  <c r="X264" i="5" s="1"/>
  <c r="Y264" i="5" s="1"/>
  <c r="Z264" i="5" s="1"/>
  <c r="AA264" i="5" s="1"/>
  <c r="AB264" i="5" s="1"/>
  <c r="E264" i="5"/>
  <c r="D264" i="5"/>
  <c r="H263" i="5"/>
  <c r="I263" i="5" s="1"/>
  <c r="V263" i="5"/>
  <c r="W263" i="5" s="1"/>
  <c r="X263" i="5" s="1"/>
  <c r="Y263" i="5" s="1"/>
  <c r="Z263" i="5" s="1"/>
  <c r="AA263" i="5" s="1"/>
  <c r="AB263" i="5" s="1"/>
  <c r="E263" i="5"/>
  <c r="D263" i="5"/>
  <c r="H262" i="5"/>
  <c r="I262" i="5" s="1"/>
  <c r="V262" i="5"/>
  <c r="W262" i="5" s="1"/>
  <c r="X262" i="5" s="1"/>
  <c r="Y262" i="5" s="1"/>
  <c r="Z262" i="5" s="1"/>
  <c r="AA262" i="5" s="1"/>
  <c r="AB262" i="5" s="1"/>
  <c r="E262" i="5"/>
  <c r="D262" i="5"/>
  <c r="H261" i="5"/>
  <c r="I261" i="5" s="1"/>
  <c r="V261" i="5"/>
  <c r="W261" i="5" s="1"/>
  <c r="X261" i="5" s="1"/>
  <c r="Y261" i="5" s="1"/>
  <c r="Z261" i="5" s="1"/>
  <c r="AA261" i="5" s="1"/>
  <c r="AB261" i="5" s="1"/>
  <c r="E261" i="5"/>
  <c r="D261" i="5"/>
  <c r="H260" i="5"/>
  <c r="I260" i="5" s="1"/>
  <c r="V260" i="5"/>
  <c r="W260" i="5" s="1"/>
  <c r="X260" i="5" s="1"/>
  <c r="Y260" i="5" s="1"/>
  <c r="Z260" i="5" s="1"/>
  <c r="AA260" i="5" s="1"/>
  <c r="AB260" i="5" s="1"/>
  <c r="D260" i="5"/>
  <c r="E260" i="5"/>
  <c r="H259" i="5"/>
  <c r="I259" i="5" s="1"/>
  <c r="V259" i="5"/>
  <c r="W259" i="5" s="1"/>
  <c r="X259" i="5" s="1"/>
  <c r="Y259" i="5" s="1"/>
  <c r="Z259" i="5" s="1"/>
  <c r="AA259" i="5" s="1"/>
  <c r="AB259" i="5" s="1"/>
  <c r="E259" i="5"/>
  <c r="D259" i="5"/>
  <c r="H258" i="5"/>
  <c r="I258" i="5" s="1"/>
  <c r="V258" i="5"/>
  <c r="W258" i="5" s="1"/>
  <c r="X258" i="5" s="1"/>
  <c r="Y258" i="5" s="1"/>
  <c r="Z258" i="5" s="1"/>
  <c r="AA258" i="5" s="1"/>
  <c r="AB258" i="5" s="1"/>
  <c r="D258" i="5"/>
  <c r="E258" i="5"/>
  <c r="H257" i="5"/>
  <c r="I257" i="5" s="1"/>
  <c r="V257" i="5"/>
  <c r="W257" i="5" s="1"/>
  <c r="X257" i="5" s="1"/>
  <c r="Y257" i="5" s="1"/>
  <c r="Z257" i="5" s="1"/>
  <c r="AA257" i="5" s="1"/>
  <c r="AB257" i="5" s="1"/>
  <c r="D257" i="5"/>
  <c r="E257" i="5"/>
  <c r="H256" i="5"/>
  <c r="I256" i="5" s="1"/>
  <c r="V256" i="5"/>
  <c r="W256" i="5" s="1"/>
  <c r="X256" i="5" s="1"/>
  <c r="Y256" i="5" s="1"/>
  <c r="Z256" i="5" s="1"/>
  <c r="AA256" i="5" s="1"/>
  <c r="AB256" i="5" s="1"/>
  <c r="E256" i="5"/>
  <c r="D256" i="5"/>
  <c r="H255" i="5"/>
  <c r="I255" i="5" s="1"/>
  <c r="V255" i="5"/>
  <c r="W255" i="5" s="1"/>
  <c r="X255" i="5" s="1"/>
  <c r="Y255" i="5" s="1"/>
  <c r="Z255" i="5" s="1"/>
  <c r="AA255" i="5" s="1"/>
  <c r="AB255" i="5" s="1"/>
  <c r="D255" i="5"/>
  <c r="E255" i="5"/>
  <c r="H254" i="5"/>
  <c r="I254" i="5" s="1"/>
  <c r="V254" i="5"/>
  <c r="W254" i="5" s="1"/>
  <c r="X254" i="5" s="1"/>
  <c r="Y254" i="5" s="1"/>
  <c r="Z254" i="5" s="1"/>
  <c r="AA254" i="5" s="1"/>
  <c r="AB254" i="5" s="1"/>
  <c r="E254" i="5"/>
  <c r="D254" i="5"/>
  <c r="H253" i="5"/>
  <c r="I253" i="5" s="1"/>
  <c r="V253" i="5"/>
  <c r="W253" i="5" s="1"/>
  <c r="X253" i="5" s="1"/>
  <c r="Y253" i="5" s="1"/>
  <c r="Z253" i="5" s="1"/>
  <c r="AA253" i="5" s="1"/>
  <c r="AB253" i="5" s="1"/>
  <c r="E253" i="5"/>
  <c r="D253" i="5"/>
  <c r="H252" i="5"/>
  <c r="I252" i="5" s="1"/>
  <c r="V252" i="5"/>
  <c r="W252" i="5" s="1"/>
  <c r="X252" i="5" s="1"/>
  <c r="Y252" i="5" s="1"/>
  <c r="Z252" i="5" s="1"/>
  <c r="AA252" i="5" s="1"/>
  <c r="AB252" i="5" s="1"/>
  <c r="E252" i="5"/>
  <c r="D252" i="5"/>
  <c r="H251" i="5"/>
  <c r="I251" i="5" s="1"/>
  <c r="V251" i="5"/>
  <c r="W251" i="5" s="1"/>
  <c r="X251" i="5" s="1"/>
  <c r="Y251" i="5" s="1"/>
  <c r="Z251" i="5" s="1"/>
  <c r="AA251" i="5" s="1"/>
  <c r="AB251" i="5" s="1"/>
  <c r="D251" i="5"/>
  <c r="E251" i="5"/>
  <c r="H250" i="5"/>
  <c r="I250" i="5" s="1"/>
  <c r="V250" i="5"/>
  <c r="W250" i="5" s="1"/>
  <c r="X250" i="5" s="1"/>
  <c r="Y250" i="5" s="1"/>
  <c r="Z250" i="5" s="1"/>
  <c r="AA250" i="5" s="1"/>
  <c r="AB250" i="5" s="1"/>
  <c r="D250" i="5"/>
  <c r="E250" i="5"/>
  <c r="H249" i="5"/>
  <c r="I249" i="5" s="1"/>
  <c r="V249" i="5"/>
  <c r="W249" i="5" s="1"/>
  <c r="X249" i="5" s="1"/>
  <c r="Y249" i="5" s="1"/>
  <c r="Z249" i="5" s="1"/>
  <c r="AA249" i="5" s="1"/>
  <c r="AB249" i="5" s="1"/>
  <c r="D249" i="5"/>
  <c r="E249" i="5"/>
  <c r="H248" i="5"/>
  <c r="I248" i="5" s="1"/>
  <c r="V248" i="5"/>
  <c r="W248" i="5" s="1"/>
  <c r="X248" i="5" s="1"/>
  <c r="Y248" i="5" s="1"/>
  <c r="Z248" i="5" s="1"/>
  <c r="AA248" i="5" s="1"/>
  <c r="AB248" i="5" s="1"/>
  <c r="D248" i="5"/>
  <c r="E248" i="5"/>
  <c r="H247" i="5"/>
  <c r="I247" i="5" s="1"/>
  <c r="V247" i="5"/>
  <c r="W247" i="5" s="1"/>
  <c r="X247" i="5" s="1"/>
  <c r="Y247" i="5" s="1"/>
  <c r="Z247" i="5" s="1"/>
  <c r="AA247" i="5" s="1"/>
  <c r="AB247" i="5" s="1"/>
  <c r="D247" i="5"/>
  <c r="E247" i="5"/>
  <c r="H246" i="5"/>
  <c r="I246" i="5" s="1"/>
  <c r="V246" i="5"/>
  <c r="W246" i="5" s="1"/>
  <c r="X246" i="5" s="1"/>
  <c r="Y246" i="5" s="1"/>
  <c r="Z246" i="5" s="1"/>
  <c r="AA246" i="5" s="1"/>
  <c r="AB246" i="5" s="1"/>
  <c r="D246" i="5"/>
  <c r="E246" i="5"/>
  <c r="H245" i="5"/>
  <c r="I245" i="5" s="1"/>
  <c r="V245" i="5"/>
  <c r="W245" i="5" s="1"/>
  <c r="X245" i="5" s="1"/>
  <c r="Y245" i="5" s="1"/>
  <c r="Z245" i="5" s="1"/>
  <c r="AA245" i="5" s="1"/>
  <c r="AB245" i="5" s="1"/>
  <c r="D245" i="5"/>
  <c r="E245" i="5"/>
  <c r="H244" i="5"/>
  <c r="I244" i="5" s="1"/>
  <c r="V244" i="5"/>
  <c r="W244" i="5" s="1"/>
  <c r="X244" i="5" s="1"/>
  <c r="Y244" i="5" s="1"/>
  <c r="Z244" i="5" s="1"/>
  <c r="AA244" i="5" s="1"/>
  <c r="AB244" i="5" s="1"/>
  <c r="D244" i="5"/>
  <c r="E244" i="5"/>
  <c r="H243" i="5"/>
  <c r="I243" i="5" s="1"/>
  <c r="V243" i="5"/>
  <c r="W243" i="5" s="1"/>
  <c r="X243" i="5" s="1"/>
  <c r="Y243" i="5" s="1"/>
  <c r="Z243" i="5" s="1"/>
  <c r="AA243" i="5" s="1"/>
  <c r="AB243" i="5" s="1"/>
  <c r="E243" i="5"/>
  <c r="D243" i="5"/>
  <c r="H242" i="5"/>
  <c r="I242" i="5" s="1"/>
  <c r="V242" i="5"/>
  <c r="W242" i="5" s="1"/>
  <c r="X242" i="5" s="1"/>
  <c r="Y242" i="5" s="1"/>
  <c r="Z242" i="5" s="1"/>
  <c r="AA242" i="5" s="1"/>
  <c r="AB242" i="5" s="1"/>
  <c r="D242" i="5"/>
  <c r="E242" i="5"/>
  <c r="H241" i="5"/>
  <c r="I241" i="5" s="1"/>
  <c r="V241" i="5"/>
  <c r="W241" i="5" s="1"/>
  <c r="X241" i="5" s="1"/>
  <c r="Y241" i="5" s="1"/>
  <c r="Z241" i="5" s="1"/>
  <c r="AA241" i="5" s="1"/>
  <c r="AB241" i="5" s="1"/>
  <c r="E241" i="5"/>
  <c r="D241" i="5"/>
  <c r="H240" i="5"/>
  <c r="I240" i="5" s="1"/>
  <c r="V240" i="5"/>
  <c r="W240" i="5" s="1"/>
  <c r="X240" i="5" s="1"/>
  <c r="Y240" i="5" s="1"/>
  <c r="Z240" i="5" s="1"/>
  <c r="AA240" i="5" s="1"/>
  <c r="AB240" i="5" s="1"/>
  <c r="E240" i="5"/>
  <c r="D240" i="5"/>
  <c r="H239" i="5"/>
  <c r="I239" i="5" s="1"/>
  <c r="V239" i="5"/>
  <c r="W239" i="5" s="1"/>
  <c r="X239" i="5" s="1"/>
  <c r="Y239" i="5" s="1"/>
  <c r="Z239" i="5" s="1"/>
  <c r="AA239" i="5" s="1"/>
  <c r="AB239" i="5" s="1"/>
  <c r="E239" i="5"/>
  <c r="D239" i="5"/>
  <c r="H238" i="5"/>
  <c r="I238" i="5" s="1"/>
  <c r="E238" i="5"/>
  <c r="D238" i="5"/>
  <c r="H237" i="5"/>
  <c r="I237" i="5" s="1"/>
  <c r="V237" i="5"/>
  <c r="W237" i="5" s="1"/>
  <c r="X237" i="5" s="1"/>
  <c r="Y237" i="5" s="1"/>
  <c r="Z237" i="5" s="1"/>
  <c r="AA237" i="5" s="1"/>
  <c r="AB237" i="5" s="1"/>
  <c r="E237" i="5"/>
  <c r="D237" i="5"/>
  <c r="H236" i="5"/>
  <c r="I236" i="5" s="1"/>
  <c r="V236" i="5"/>
  <c r="W236" i="5" s="1"/>
  <c r="X236" i="5" s="1"/>
  <c r="Y236" i="5" s="1"/>
  <c r="Z236" i="5" s="1"/>
  <c r="AA236" i="5" s="1"/>
  <c r="AB236" i="5" s="1"/>
  <c r="D236" i="5"/>
  <c r="E236" i="5"/>
  <c r="H235" i="5"/>
  <c r="I235" i="5" s="1"/>
  <c r="V235" i="5"/>
  <c r="W235" i="5" s="1"/>
  <c r="X235" i="5" s="1"/>
  <c r="Y235" i="5" s="1"/>
  <c r="Z235" i="5" s="1"/>
  <c r="AA235" i="5" s="1"/>
  <c r="AB235" i="5" s="1"/>
  <c r="E235" i="5"/>
  <c r="D235" i="5"/>
  <c r="H234" i="5"/>
  <c r="I234" i="5" s="1"/>
  <c r="V234" i="5"/>
  <c r="W234" i="5" s="1"/>
  <c r="X234" i="5" s="1"/>
  <c r="Y234" i="5" s="1"/>
  <c r="Z234" i="5" s="1"/>
  <c r="AA234" i="5" s="1"/>
  <c r="AB234" i="5" s="1"/>
  <c r="D234" i="5"/>
  <c r="E234" i="5"/>
  <c r="H233" i="5"/>
  <c r="I233" i="5" s="1"/>
  <c r="V233" i="5"/>
  <c r="W233" i="5" s="1"/>
  <c r="X233" i="5" s="1"/>
  <c r="Y233" i="5" s="1"/>
  <c r="Z233" i="5"/>
  <c r="AA233" i="5" s="1"/>
  <c r="AB233" i="5" s="1"/>
  <c r="E233" i="5"/>
  <c r="D233" i="5"/>
  <c r="H232" i="5"/>
  <c r="I232" i="5" s="1"/>
  <c r="V232" i="5"/>
  <c r="W232" i="5" s="1"/>
  <c r="X232" i="5" s="1"/>
  <c r="Y232" i="5" s="1"/>
  <c r="Z232" i="5"/>
  <c r="AA232" i="5" s="1"/>
  <c r="AB232" i="5" s="1"/>
  <c r="D232" i="5"/>
  <c r="E232" i="5"/>
  <c r="H231" i="5"/>
  <c r="I231" i="5" s="1"/>
  <c r="V231" i="5"/>
  <c r="W231" i="5" s="1"/>
  <c r="X231" i="5" s="1"/>
  <c r="Y231" i="5" s="1"/>
  <c r="Z231" i="5"/>
  <c r="AA231" i="5" s="1"/>
  <c r="AB231" i="5" s="1"/>
  <c r="D231" i="5"/>
  <c r="E231" i="5"/>
  <c r="H230" i="5"/>
  <c r="I230" i="5" s="1"/>
  <c r="V230" i="5"/>
  <c r="W230" i="5" s="1"/>
  <c r="X230" i="5" s="1"/>
  <c r="Y230" i="5" s="1"/>
  <c r="Z230" i="5"/>
  <c r="AA230" i="5" s="1"/>
  <c r="AB230" i="5" s="1"/>
  <c r="E230" i="5"/>
  <c r="D230" i="5"/>
  <c r="H229" i="5"/>
  <c r="I229" i="5" s="1"/>
  <c r="V229" i="5"/>
  <c r="W229" i="5" s="1"/>
  <c r="X229" i="5" s="1"/>
  <c r="Y229" i="5" s="1"/>
  <c r="Z229" i="5"/>
  <c r="AA229" i="5" s="1"/>
  <c r="AB229" i="5" s="1"/>
  <c r="D229" i="5"/>
  <c r="E229" i="5"/>
  <c r="H228" i="5"/>
  <c r="I228" i="5" s="1"/>
  <c r="V228" i="5"/>
  <c r="W228" i="5" s="1"/>
  <c r="X228" i="5" s="1"/>
  <c r="Y228" i="5" s="1"/>
  <c r="Z228" i="5"/>
  <c r="AA228" i="5" s="1"/>
  <c r="AB228" i="5" s="1"/>
  <c r="E228" i="5"/>
  <c r="D228" i="5"/>
  <c r="H227" i="5"/>
  <c r="I227" i="5" s="1"/>
  <c r="V227" i="5"/>
  <c r="W227" i="5" s="1"/>
  <c r="X227" i="5" s="1"/>
  <c r="Y227" i="5" s="1"/>
  <c r="Z227" i="5" s="1"/>
  <c r="AA227" i="5" s="1"/>
  <c r="AB227" i="5" s="1"/>
  <c r="E227" i="5"/>
  <c r="D227" i="5"/>
  <c r="H226" i="5"/>
  <c r="I226" i="5" s="1"/>
  <c r="V226" i="5"/>
  <c r="W226" i="5" s="1"/>
  <c r="X226" i="5" s="1"/>
  <c r="Y226" i="5" s="1"/>
  <c r="Z226" i="5" s="1"/>
  <c r="AA226" i="5" s="1"/>
  <c r="AB226" i="5" s="1"/>
  <c r="D226" i="5"/>
  <c r="E226" i="5"/>
  <c r="H225" i="5"/>
  <c r="I225" i="5" s="1"/>
  <c r="V225" i="5"/>
  <c r="W225" i="5" s="1"/>
  <c r="X225" i="5" s="1"/>
  <c r="Y225" i="5" s="1"/>
  <c r="Z225" i="5"/>
  <c r="AA225" i="5" s="1"/>
  <c r="AB225" i="5" s="1"/>
  <c r="D225" i="5"/>
  <c r="E225" i="5"/>
  <c r="H224" i="5"/>
  <c r="I224" i="5" s="1"/>
  <c r="V224" i="5"/>
  <c r="W224" i="5" s="1"/>
  <c r="X224" i="5" s="1"/>
  <c r="Y224" i="5" s="1"/>
  <c r="Z224" i="5"/>
  <c r="AA224" i="5" s="1"/>
  <c r="AB224" i="5" s="1"/>
  <c r="E224" i="5"/>
  <c r="D224" i="5"/>
  <c r="H223" i="5"/>
  <c r="I223" i="5" s="1"/>
  <c r="V223" i="5"/>
  <c r="W223" i="5" s="1"/>
  <c r="X223" i="5" s="1"/>
  <c r="Y223" i="5" s="1"/>
  <c r="Z223" i="5"/>
  <c r="AA223" i="5" s="1"/>
  <c r="AB223" i="5" s="1"/>
  <c r="E223" i="5"/>
  <c r="D223" i="5"/>
  <c r="H222" i="5"/>
  <c r="I222" i="5" s="1"/>
  <c r="V222" i="5"/>
  <c r="W222" i="5" s="1"/>
  <c r="X222" i="5" s="1"/>
  <c r="Y222" i="5" s="1"/>
  <c r="Z222" i="5" s="1"/>
  <c r="AA222" i="5" s="1"/>
  <c r="AB222" i="5" s="1"/>
  <c r="D222" i="5"/>
  <c r="E222" i="5"/>
  <c r="H221" i="5"/>
  <c r="I221" i="5" s="1"/>
  <c r="V221" i="5"/>
  <c r="W221" i="5" s="1"/>
  <c r="X221" i="5" s="1"/>
  <c r="Y221" i="5" s="1"/>
  <c r="Z221" i="5"/>
  <c r="AA221" i="5" s="1"/>
  <c r="AB221" i="5" s="1"/>
  <c r="D221" i="5"/>
  <c r="E221" i="5"/>
  <c r="H220" i="5"/>
  <c r="I220" i="5" s="1"/>
  <c r="V220" i="5"/>
  <c r="W220" i="5" s="1"/>
  <c r="X220" i="5" s="1"/>
  <c r="Y220" i="5" s="1"/>
  <c r="Z220" i="5"/>
  <c r="AA220" i="5" s="1"/>
  <c r="AB220" i="5" s="1"/>
  <c r="D220" i="5"/>
  <c r="E220" i="5"/>
  <c r="H219" i="5"/>
  <c r="I219" i="5" s="1"/>
  <c r="V219" i="5"/>
  <c r="W219" i="5" s="1"/>
  <c r="X219" i="5" s="1"/>
  <c r="Y219" i="5" s="1"/>
  <c r="Z219" i="5"/>
  <c r="AA219" i="5" s="1"/>
  <c r="AB219" i="5" s="1"/>
  <c r="E219" i="5"/>
  <c r="D219" i="5"/>
  <c r="H218" i="5"/>
  <c r="I218" i="5" s="1"/>
  <c r="V218" i="5"/>
  <c r="W218" i="5" s="1"/>
  <c r="X218" i="5" s="1"/>
  <c r="Y218" i="5" s="1"/>
  <c r="Z218" i="5"/>
  <c r="AA218" i="5" s="1"/>
  <c r="AB218" i="5" s="1"/>
  <c r="D218" i="5"/>
  <c r="E218" i="5"/>
  <c r="H217" i="5"/>
  <c r="I217" i="5" s="1"/>
  <c r="V217" i="5"/>
  <c r="W217" i="5" s="1"/>
  <c r="X217" i="5" s="1"/>
  <c r="Y217" i="5" s="1"/>
  <c r="Z217" i="5"/>
  <c r="AA217" i="5" s="1"/>
  <c r="AB217" i="5" s="1"/>
  <c r="E217" i="5"/>
  <c r="D217" i="5"/>
  <c r="H216" i="5"/>
  <c r="I216" i="5" s="1"/>
  <c r="V216" i="5"/>
  <c r="W216" i="5" s="1"/>
  <c r="X216" i="5" s="1"/>
  <c r="Y216" i="5" s="1"/>
  <c r="Z216" i="5" s="1"/>
  <c r="AA216" i="5" s="1"/>
  <c r="AB216" i="5" s="1"/>
  <c r="E216" i="5"/>
  <c r="D216" i="5"/>
  <c r="H215" i="5"/>
  <c r="I215" i="5" s="1"/>
  <c r="V215" i="5"/>
  <c r="W215" i="5" s="1"/>
  <c r="X215" i="5" s="1"/>
  <c r="Y215" i="5" s="1"/>
  <c r="Z215" i="5" s="1"/>
  <c r="AA215" i="5" s="1"/>
  <c r="AB215" i="5" s="1"/>
  <c r="E215" i="5"/>
  <c r="D215" i="5"/>
  <c r="H214" i="5"/>
  <c r="I214" i="5" s="1"/>
  <c r="V214" i="5"/>
  <c r="W214" i="5" s="1"/>
  <c r="X214" i="5" s="1"/>
  <c r="Y214" i="5" s="1"/>
  <c r="Z214" i="5"/>
  <c r="AA214" i="5" s="1"/>
  <c r="AB214" i="5" s="1"/>
  <c r="E214" i="5"/>
  <c r="D214" i="5"/>
  <c r="H213" i="5"/>
  <c r="I213" i="5" s="1"/>
  <c r="V213" i="5"/>
  <c r="W213" i="5" s="1"/>
  <c r="X213" i="5" s="1"/>
  <c r="Y213" i="5" s="1"/>
  <c r="Z213" i="5" s="1"/>
  <c r="AA213" i="5" s="1"/>
  <c r="AB213" i="5" s="1"/>
  <c r="E213" i="5"/>
  <c r="D213" i="5"/>
  <c r="H212" i="5"/>
  <c r="I212" i="5" s="1"/>
  <c r="V212" i="5"/>
  <c r="W212" i="5" s="1"/>
  <c r="X212" i="5" s="1"/>
  <c r="Y212" i="5" s="1"/>
  <c r="Z212" i="5"/>
  <c r="AA212" i="5" s="1"/>
  <c r="AB212" i="5" s="1"/>
  <c r="E212" i="5"/>
  <c r="D212" i="5"/>
  <c r="H211" i="5"/>
  <c r="I211" i="5" s="1"/>
  <c r="V211" i="5"/>
  <c r="W211" i="5" s="1"/>
  <c r="X211" i="5" s="1"/>
  <c r="Y211" i="5" s="1"/>
  <c r="Z211" i="5"/>
  <c r="AA211" i="5" s="1"/>
  <c r="AB211" i="5" s="1"/>
  <c r="E211" i="5"/>
  <c r="D211" i="5"/>
  <c r="H210" i="5"/>
  <c r="I210" i="5" s="1"/>
  <c r="V210" i="5"/>
  <c r="W210" i="5" s="1"/>
  <c r="X210" i="5" s="1"/>
  <c r="Y210" i="5" s="1"/>
  <c r="Z210" i="5"/>
  <c r="AA210" i="5" s="1"/>
  <c r="AB210" i="5" s="1"/>
  <c r="E210" i="5"/>
  <c r="D210" i="5"/>
  <c r="H209" i="5"/>
  <c r="I209" i="5" s="1"/>
  <c r="V209" i="5"/>
  <c r="W209" i="5" s="1"/>
  <c r="X209" i="5" s="1"/>
  <c r="Y209" i="5" s="1"/>
  <c r="Z209" i="5" s="1"/>
  <c r="AA209" i="5" s="1"/>
  <c r="AB209" i="5" s="1"/>
  <c r="D209" i="5"/>
  <c r="E209" i="5"/>
  <c r="H208" i="5"/>
  <c r="I208" i="5" s="1"/>
  <c r="V208" i="5"/>
  <c r="W208" i="5" s="1"/>
  <c r="X208" i="5" s="1"/>
  <c r="Y208" i="5" s="1"/>
  <c r="Z208" i="5" s="1"/>
  <c r="AA208" i="5" s="1"/>
  <c r="AB208" i="5" s="1"/>
  <c r="D208" i="5"/>
  <c r="E208" i="5"/>
  <c r="H207" i="5"/>
  <c r="I207" i="5" s="1"/>
  <c r="V207" i="5"/>
  <c r="W207" i="5" s="1"/>
  <c r="X207" i="5" s="1"/>
  <c r="Y207" i="5" s="1"/>
  <c r="Z207" i="5"/>
  <c r="AA207" i="5" s="1"/>
  <c r="AB207" i="5" s="1"/>
  <c r="D207" i="5"/>
  <c r="E207" i="5"/>
  <c r="H206" i="5"/>
  <c r="I206" i="5" s="1"/>
  <c r="V206" i="5"/>
  <c r="W206" i="5" s="1"/>
  <c r="X206" i="5" s="1"/>
  <c r="Y206" i="5" s="1"/>
  <c r="Z206" i="5" s="1"/>
  <c r="AA206" i="5" s="1"/>
  <c r="AB206" i="5" s="1"/>
  <c r="D206" i="5"/>
  <c r="E206" i="5"/>
  <c r="H205" i="5"/>
  <c r="I205" i="5" s="1"/>
  <c r="V205" i="5"/>
  <c r="W205" i="5" s="1"/>
  <c r="X205" i="5" s="1"/>
  <c r="Y205" i="5" s="1"/>
  <c r="Z205" i="5"/>
  <c r="AA205" i="5" s="1"/>
  <c r="AB205" i="5" s="1"/>
  <c r="D205" i="5"/>
  <c r="E205" i="5"/>
  <c r="H204" i="5"/>
  <c r="I204" i="5" s="1"/>
  <c r="V204" i="5"/>
  <c r="W204" i="5" s="1"/>
  <c r="X204" i="5" s="1"/>
  <c r="Y204" i="5" s="1"/>
  <c r="Z204" i="5"/>
  <c r="AA204" i="5" s="1"/>
  <c r="AB204" i="5" s="1"/>
  <c r="E204" i="5"/>
  <c r="D204" i="5"/>
  <c r="H203" i="5"/>
  <c r="I203" i="5" s="1"/>
  <c r="V203" i="5"/>
  <c r="W203" i="5" s="1"/>
  <c r="X203" i="5" s="1"/>
  <c r="Y203" i="5" s="1"/>
  <c r="Z203" i="5" s="1"/>
  <c r="AA203" i="5" s="1"/>
  <c r="AB203" i="5" s="1"/>
  <c r="D203" i="5"/>
  <c r="E203" i="5"/>
  <c r="H202" i="5"/>
  <c r="I202" i="5" s="1"/>
  <c r="V202" i="5"/>
  <c r="W202" i="5" s="1"/>
  <c r="X202" i="5" s="1"/>
  <c r="Y202" i="5" s="1"/>
  <c r="Z202" i="5" s="1"/>
  <c r="AA202" i="5" s="1"/>
  <c r="AB202" i="5" s="1"/>
  <c r="D202" i="5"/>
  <c r="E202" i="5"/>
  <c r="H201" i="5"/>
  <c r="I201" i="5" s="1"/>
  <c r="V201" i="5"/>
  <c r="W201" i="5" s="1"/>
  <c r="X201" i="5" s="1"/>
  <c r="Y201" i="5" s="1"/>
  <c r="Z201" i="5" s="1"/>
  <c r="AA201" i="5" s="1"/>
  <c r="AB201" i="5" s="1"/>
  <c r="E201" i="5"/>
  <c r="D201" i="5"/>
  <c r="H200" i="5"/>
  <c r="I200" i="5" s="1"/>
  <c r="V200" i="5"/>
  <c r="W200" i="5" s="1"/>
  <c r="X200" i="5" s="1"/>
  <c r="Y200" i="5" s="1"/>
  <c r="Z200" i="5"/>
  <c r="AA200" i="5" s="1"/>
  <c r="AB200" i="5" s="1"/>
  <c r="D200" i="5"/>
  <c r="E200" i="5"/>
  <c r="H199" i="5"/>
  <c r="I199" i="5" s="1"/>
  <c r="V199" i="5"/>
  <c r="W199" i="5" s="1"/>
  <c r="X199" i="5" s="1"/>
  <c r="Y199" i="5" s="1"/>
  <c r="Z199" i="5" s="1"/>
  <c r="AA199" i="5" s="1"/>
  <c r="AB199" i="5" s="1"/>
  <c r="E199" i="5"/>
  <c r="D199" i="5"/>
  <c r="H198" i="5"/>
  <c r="I198" i="5" s="1"/>
  <c r="V198" i="5"/>
  <c r="W198" i="5" s="1"/>
  <c r="X198" i="5" s="1"/>
  <c r="Y198" i="5" s="1"/>
  <c r="Z198" i="5" s="1"/>
  <c r="AA198" i="5" s="1"/>
  <c r="AB198" i="5" s="1"/>
  <c r="E198" i="5"/>
  <c r="D198" i="5"/>
  <c r="H197" i="5"/>
  <c r="I197" i="5" s="1"/>
  <c r="V197" i="5"/>
  <c r="W197" i="5" s="1"/>
  <c r="X197" i="5" s="1"/>
  <c r="Y197" i="5" s="1"/>
  <c r="Z197" i="5" s="1"/>
  <c r="AA197" i="5" s="1"/>
  <c r="AB197" i="5" s="1"/>
  <c r="D197" i="5"/>
  <c r="E197" i="5"/>
  <c r="J196" i="5"/>
  <c r="K196" i="5" s="1"/>
  <c r="L196" i="5" s="1"/>
  <c r="M196" i="5" s="1"/>
  <c r="N196" i="5"/>
  <c r="V196" i="5"/>
  <c r="W196" i="5" s="1"/>
  <c r="X196" i="5" s="1"/>
  <c r="Y196" i="5" s="1"/>
  <c r="Z196" i="5" s="1"/>
  <c r="AA196" i="5" s="1"/>
  <c r="AB196" i="5" s="1"/>
  <c r="D196" i="5"/>
  <c r="E196" i="5"/>
  <c r="H195" i="5"/>
  <c r="I195" i="5" s="1"/>
  <c r="V195" i="5"/>
  <c r="W195" i="5" s="1"/>
  <c r="X195" i="5" s="1"/>
  <c r="Y195" i="5" s="1"/>
  <c r="Z195" i="5" s="1"/>
  <c r="AA195" i="5" s="1"/>
  <c r="AB195" i="5" s="1"/>
  <c r="E195" i="5"/>
  <c r="D195" i="5"/>
  <c r="H194" i="5"/>
  <c r="I194" i="5" s="1"/>
  <c r="V194" i="5"/>
  <c r="W194" i="5" s="1"/>
  <c r="X194" i="5" s="1"/>
  <c r="Y194" i="5" s="1"/>
  <c r="Z194" i="5" s="1"/>
  <c r="AA194" i="5" s="1"/>
  <c r="AB194" i="5" s="1"/>
  <c r="D194" i="5"/>
  <c r="E194" i="5"/>
  <c r="H193" i="5"/>
  <c r="I193" i="5" s="1"/>
  <c r="V193" i="5"/>
  <c r="W193" i="5" s="1"/>
  <c r="X193" i="5" s="1"/>
  <c r="Y193" i="5" s="1"/>
  <c r="Z193" i="5" s="1"/>
  <c r="AA193" i="5" s="1"/>
  <c r="AB193" i="5" s="1"/>
  <c r="E193" i="5"/>
  <c r="D193" i="5"/>
  <c r="H192" i="5"/>
  <c r="I192" i="5" s="1"/>
  <c r="V192" i="5"/>
  <c r="W192" i="5" s="1"/>
  <c r="X192" i="5" s="1"/>
  <c r="Y192" i="5" s="1"/>
  <c r="Z192" i="5" s="1"/>
  <c r="AA192" i="5" s="1"/>
  <c r="AB192" i="5" s="1"/>
  <c r="E192" i="5"/>
  <c r="D192" i="5"/>
  <c r="H191" i="5"/>
  <c r="I191" i="5" s="1"/>
  <c r="V191" i="5"/>
  <c r="W191" i="5" s="1"/>
  <c r="X191" i="5" s="1"/>
  <c r="Y191" i="5" s="1"/>
  <c r="Z191" i="5"/>
  <c r="AA191" i="5" s="1"/>
  <c r="AB191" i="5" s="1"/>
  <c r="E191" i="5"/>
  <c r="D191" i="5"/>
  <c r="H190" i="5"/>
  <c r="I190" i="5" s="1"/>
  <c r="V190" i="5"/>
  <c r="W190" i="5" s="1"/>
  <c r="X190" i="5" s="1"/>
  <c r="Y190" i="5" s="1"/>
  <c r="Z190" i="5"/>
  <c r="AA190" i="5" s="1"/>
  <c r="AB190" i="5" s="1"/>
  <c r="D190" i="5"/>
  <c r="E190" i="5"/>
  <c r="H189" i="5"/>
  <c r="I189" i="5" s="1"/>
  <c r="V189" i="5"/>
  <c r="W189" i="5" s="1"/>
  <c r="X189" i="5" s="1"/>
  <c r="Y189" i="5" s="1"/>
  <c r="Z189" i="5"/>
  <c r="AA189" i="5" s="1"/>
  <c r="AB189" i="5" s="1"/>
  <c r="E189" i="5"/>
  <c r="D189" i="5"/>
  <c r="H188" i="5"/>
  <c r="I188" i="5" s="1"/>
  <c r="V188" i="5"/>
  <c r="W188" i="5" s="1"/>
  <c r="X188" i="5" s="1"/>
  <c r="Y188" i="5" s="1"/>
  <c r="Z188" i="5"/>
  <c r="AA188" i="5" s="1"/>
  <c r="AB188" i="5" s="1"/>
  <c r="D188" i="5"/>
  <c r="E188" i="5"/>
  <c r="H187" i="5"/>
  <c r="I187" i="5" s="1"/>
  <c r="V187" i="5"/>
  <c r="W187" i="5" s="1"/>
  <c r="X187" i="5" s="1"/>
  <c r="Y187" i="5" s="1"/>
  <c r="Z187" i="5"/>
  <c r="AA187" i="5" s="1"/>
  <c r="AB187" i="5" s="1"/>
  <c r="E187" i="5"/>
  <c r="D187" i="5"/>
  <c r="H186" i="5"/>
  <c r="I186" i="5" s="1"/>
  <c r="V186" i="5"/>
  <c r="W186" i="5" s="1"/>
  <c r="X186" i="5" s="1"/>
  <c r="Y186" i="5" s="1"/>
  <c r="Z186" i="5"/>
  <c r="AA186" i="5" s="1"/>
  <c r="AB186" i="5" s="1"/>
  <c r="E186" i="5"/>
  <c r="D186" i="5"/>
  <c r="H185" i="5"/>
  <c r="I185" i="5" s="1"/>
  <c r="V185" i="5"/>
  <c r="W185" i="5" s="1"/>
  <c r="X185" i="5" s="1"/>
  <c r="Y185" i="5" s="1"/>
  <c r="Z185" i="5"/>
  <c r="AA185" i="5" s="1"/>
  <c r="AB185" i="5" s="1"/>
  <c r="O185" i="5"/>
  <c r="P185" i="5" s="1"/>
  <c r="Q185" i="5" s="1"/>
  <c r="R185" i="5" s="1"/>
  <c r="S185" i="5" s="1"/>
  <c r="T185" i="5" s="1"/>
  <c r="U185" i="5" s="1"/>
  <c r="H184" i="5"/>
  <c r="I184" i="5" s="1"/>
  <c r="V184" i="5"/>
  <c r="W184" i="5" s="1"/>
  <c r="X184" i="5" s="1"/>
  <c r="Y184" i="5" s="1"/>
  <c r="Z184" i="5"/>
  <c r="AA184" i="5" s="1"/>
  <c r="AB184" i="5" s="1"/>
  <c r="D184" i="5"/>
  <c r="E184" i="5"/>
  <c r="H183" i="5"/>
  <c r="I183" i="5" s="1"/>
  <c r="V183" i="5"/>
  <c r="W183" i="5" s="1"/>
  <c r="X183" i="5" s="1"/>
  <c r="Y183" i="5" s="1"/>
  <c r="Z183" i="5"/>
  <c r="AA183" i="5" s="1"/>
  <c r="AB183" i="5" s="1"/>
  <c r="D183" i="5"/>
  <c r="E183" i="5"/>
  <c r="H182" i="5"/>
  <c r="I182" i="5" s="1"/>
  <c r="V182" i="5"/>
  <c r="W182" i="5" s="1"/>
  <c r="X182" i="5" s="1"/>
  <c r="Y182" i="5" s="1"/>
  <c r="Z182" i="5" s="1"/>
  <c r="AA182" i="5" s="1"/>
  <c r="AB182" i="5" s="1"/>
  <c r="D182" i="5"/>
  <c r="E182" i="5"/>
  <c r="H181" i="5"/>
  <c r="I181" i="5" s="1"/>
  <c r="V181" i="5"/>
  <c r="W181" i="5" s="1"/>
  <c r="X181" i="5" s="1"/>
  <c r="Y181" i="5" s="1"/>
  <c r="Z181" i="5" s="1"/>
  <c r="AA181" i="5" s="1"/>
  <c r="AB181" i="5" s="1"/>
  <c r="D181" i="5"/>
  <c r="E181" i="5"/>
  <c r="H180" i="5"/>
  <c r="I180" i="5" s="1"/>
  <c r="V180" i="5"/>
  <c r="W180" i="5" s="1"/>
  <c r="X180" i="5" s="1"/>
  <c r="Y180" i="5" s="1"/>
  <c r="Z180" i="5"/>
  <c r="AA180" i="5" s="1"/>
  <c r="AB180" i="5" s="1"/>
  <c r="E180" i="5"/>
  <c r="D180" i="5"/>
  <c r="H179" i="5"/>
  <c r="I179" i="5" s="1"/>
  <c r="V179" i="5"/>
  <c r="W179" i="5" s="1"/>
  <c r="X179" i="5" s="1"/>
  <c r="Y179" i="5" s="1"/>
  <c r="Z179" i="5" s="1"/>
  <c r="AA179" i="5" s="1"/>
  <c r="AB179" i="5" s="1"/>
  <c r="D179" i="5"/>
  <c r="E179" i="5"/>
  <c r="H178" i="5"/>
  <c r="I178" i="5" s="1"/>
  <c r="E178" i="5"/>
  <c r="D178" i="5"/>
  <c r="H177" i="5"/>
  <c r="I177" i="5" s="1"/>
  <c r="V177" i="5"/>
  <c r="W177" i="5" s="1"/>
  <c r="X177" i="5" s="1"/>
  <c r="Y177" i="5" s="1"/>
  <c r="Z177" i="5" s="1"/>
  <c r="AA177" i="5" s="1"/>
  <c r="AB177" i="5" s="1"/>
  <c r="D177" i="5"/>
  <c r="E177" i="5"/>
  <c r="H176" i="5"/>
  <c r="I176" i="5" s="1"/>
  <c r="V176" i="5"/>
  <c r="W176" i="5" s="1"/>
  <c r="X176" i="5" s="1"/>
  <c r="Y176" i="5" s="1"/>
  <c r="Z176" i="5" s="1"/>
  <c r="AA176" i="5" s="1"/>
  <c r="AB176" i="5" s="1"/>
  <c r="D176" i="5"/>
  <c r="E176" i="5"/>
  <c r="H175" i="5"/>
  <c r="I175" i="5" s="1"/>
  <c r="V175" i="5"/>
  <c r="W175" i="5" s="1"/>
  <c r="X175" i="5" s="1"/>
  <c r="Y175" i="5" s="1"/>
  <c r="Z175" i="5" s="1"/>
  <c r="AA175" i="5" s="1"/>
  <c r="AB175" i="5" s="1"/>
  <c r="E175" i="5"/>
  <c r="D175" i="5"/>
  <c r="H174" i="5"/>
  <c r="I174" i="5" s="1"/>
  <c r="V174" i="5"/>
  <c r="W174" i="5" s="1"/>
  <c r="X174" i="5" s="1"/>
  <c r="Y174" i="5" s="1"/>
  <c r="Z174" i="5" s="1"/>
  <c r="AA174" i="5" s="1"/>
  <c r="AB174" i="5" s="1"/>
  <c r="E174" i="5"/>
  <c r="D174" i="5"/>
  <c r="H173" i="5"/>
  <c r="I173" i="5" s="1"/>
  <c r="V173" i="5"/>
  <c r="W173" i="5" s="1"/>
  <c r="X173" i="5" s="1"/>
  <c r="Y173" i="5" s="1"/>
  <c r="Z173" i="5" s="1"/>
  <c r="AA173" i="5" s="1"/>
  <c r="AB173" i="5" s="1"/>
  <c r="E173" i="5"/>
  <c r="D173" i="5"/>
  <c r="H172" i="5"/>
  <c r="I172" i="5" s="1"/>
  <c r="V172" i="5"/>
  <c r="W172" i="5" s="1"/>
  <c r="X172" i="5" s="1"/>
  <c r="Y172" i="5" s="1"/>
  <c r="Z172" i="5" s="1"/>
  <c r="AA172" i="5" s="1"/>
  <c r="AB172" i="5" s="1"/>
  <c r="E172" i="5"/>
  <c r="D172" i="5"/>
  <c r="H171" i="5"/>
  <c r="I171" i="5" s="1"/>
  <c r="V171" i="5"/>
  <c r="W171" i="5" s="1"/>
  <c r="X171" i="5" s="1"/>
  <c r="Y171" i="5" s="1"/>
  <c r="Z171" i="5"/>
  <c r="AA171" i="5" s="1"/>
  <c r="AB171" i="5" s="1"/>
  <c r="E171" i="5"/>
  <c r="D171" i="5"/>
  <c r="H170" i="5"/>
  <c r="I170" i="5" s="1"/>
  <c r="V170" i="5"/>
  <c r="W170" i="5" s="1"/>
  <c r="X170" i="5" s="1"/>
  <c r="Y170" i="5" s="1"/>
  <c r="Z170" i="5"/>
  <c r="AA170" i="5" s="1"/>
  <c r="AB170" i="5" s="1"/>
  <c r="E170" i="5"/>
  <c r="D170" i="5"/>
  <c r="H169" i="5"/>
  <c r="I169" i="5" s="1"/>
  <c r="V169" i="5"/>
  <c r="W169" i="5" s="1"/>
  <c r="X169" i="5" s="1"/>
  <c r="Y169" i="5" s="1"/>
  <c r="Z169" i="5" s="1"/>
  <c r="AA169" i="5" s="1"/>
  <c r="AB169" i="5" s="1"/>
  <c r="D169" i="5"/>
  <c r="E169" i="5"/>
  <c r="H168" i="5"/>
  <c r="I168" i="5" s="1"/>
  <c r="V168" i="5"/>
  <c r="W168" i="5" s="1"/>
  <c r="X168" i="5" s="1"/>
  <c r="Y168" i="5" s="1"/>
  <c r="Z168" i="5"/>
  <c r="AA168" i="5" s="1"/>
  <c r="AB168" i="5" s="1"/>
  <c r="D168" i="5"/>
  <c r="E168" i="5"/>
  <c r="H167" i="5"/>
  <c r="I167" i="5" s="1"/>
  <c r="V167" i="5"/>
  <c r="W167" i="5" s="1"/>
  <c r="X167" i="5" s="1"/>
  <c r="Y167" i="5" s="1"/>
  <c r="Z167" i="5" s="1"/>
  <c r="AA167" i="5" s="1"/>
  <c r="AB167" i="5" s="1"/>
  <c r="E167" i="5"/>
  <c r="D167" i="5"/>
  <c r="H166" i="5"/>
  <c r="I166" i="5" s="1"/>
  <c r="V166" i="5"/>
  <c r="W166" i="5" s="1"/>
  <c r="X166" i="5" s="1"/>
  <c r="Y166" i="5" s="1"/>
  <c r="Z166" i="5"/>
  <c r="AA166" i="5" s="1"/>
  <c r="AB166" i="5" s="1"/>
  <c r="D166" i="5"/>
  <c r="E166" i="5"/>
  <c r="H165" i="5"/>
  <c r="I165" i="5" s="1"/>
  <c r="V165" i="5"/>
  <c r="W165" i="5" s="1"/>
  <c r="X165" i="5" s="1"/>
  <c r="Y165" i="5" s="1"/>
  <c r="Z165" i="5" s="1"/>
  <c r="AA165" i="5" s="1"/>
  <c r="AB165" i="5" s="1"/>
  <c r="D165" i="5"/>
  <c r="E165" i="5"/>
  <c r="H164" i="5"/>
  <c r="I164" i="5" s="1"/>
  <c r="V164" i="5"/>
  <c r="W164" i="5" s="1"/>
  <c r="X164" i="5" s="1"/>
  <c r="Y164" i="5" s="1"/>
  <c r="Z164" i="5"/>
  <c r="AA164" i="5" s="1"/>
  <c r="AB164" i="5" s="1"/>
  <c r="E164" i="5"/>
  <c r="D164" i="5"/>
  <c r="H163" i="5"/>
  <c r="I163" i="5" s="1"/>
  <c r="V163" i="5"/>
  <c r="W163" i="5" s="1"/>
  <c r="X163" i="5" s="1"/>
  <c r="Y163" i="5" s="1"/>
  <c r="Z163" i="5"/>
  <c r="AA163" i="5" s="1"/>
  <c r="AB163" i="5" s="1"/>
  <c r="E163" i="5"/>
  <c r="D163" i="5"/>
  <c r="H162" i="5"/>
  <c r="I162" i="5" s="1"/>
  <c r="V162" i="5"/>
  <c r="W162" i="5" s="1"/>
  <c r="X162" i="5" s="1"/>
  <c r="Y162" i="5" s="1"/>
  <c r="Z162" i="5" s="1"/>
  <c r="AA162" i="5" s="1"/>
  <c r="AB162" i="5" s="1"/>
  <c r="E162" i="5"/>
  <c r="D162" i="5"/>
  <c r="H161" i="5"/>
  <c r="I161" i="5" s="1"/>
  <c r="V161" i="5"/>
  <c r="W161" i="5" s="1"/>
  <c r="X161" i="5" s="1"/>
  <c r="Y161" i="5" s="1"/>
  <c r="Z161" i="5"/>
  <c r="AA161" i="5" s="1"/>
  <c r="AB161" i="5" s="1"/>
  <c r="D161" i="5"/>
  <c r="E161" i="5"/>
  <c r="H160" i="5"/>
  <c r="I160" i="5" s="1"/>
  <c r="V160" i="5"/>
  <c r="W160" i="5" s="1"/>
  <c r="X160" i="5" s="1"/>
  <c r="Y160" i="5" s="1"/>
  <c r="Z160" i="5"/>
  <c r="AA160" i="5" s="1"/>
  <c r="AB160" i="5" s="1"/>
  <c r="D160" i="5"/>
  <c r="E160" i="5"/>
  <c r="H159" i="5"/>
  <c r="I159" i="5" s="1"/>
  <c r="V159" i="5"/>
  <c r="W159" i="5" s="1"/>
  <c r="X159" i="5" s="1"/>
  <c r="Y159" i="5" s="1"/>
  <c r="Z159" i="5" s="1"/>
  <c r="AA159" i="5" s="1"/>
  <c r="AB159" i="5" s="1"/>
  <c r="D159" i="5"/>
  <c r="E159" i="5"/>
  <c r="H158" i="5"/>
  <c r="I158" i="5" s="1"/>
  <c r="V158" i="5"/>
  <c r="W158" i="5" s="1"/>
  <c r="X158" i="5" s="1"/>
  <c r="Y158" i="5" s="1"/>
  <c r="Z158" i="5"/>
  <c r="AA158" i="5" s="1"/>
  <c r="AB158" i="5" s="1"/>
  <c r="D158" i="5"/>
  <c r="E158" i="5"/>
  <c r="H157" i="5"/>
  <c r="I157" i="5" s="1"/>
  <c r="V157" i="5"/>
  <c r="W157" i="5" s="1"/>
  <c r="X157" i="5" s="1"/>
  <c r="Y157" i="5" s="1"/>
  <c r="Z157" i="5" s="1"/>
  <c r="AA157" i="5" s="1"/>
  <c r="AB157" i="5" s="1"/>
  <c r="E157" i="5"/>
  <c r="D157" i="5"/>
  <c r="H156" i="5"/>
  <c r="I156" i="5" s="1"/>
  <c r="V156" i="5"/>
  <c r="W156" i="5" s="1"/>
  <c r="X156" i="5" s="1"/>
  <c r="Y156" i="5" s="1"/>
  <c r="Z156" i="5"/>
  <c r="AA156" i="5" s="1"/>
  <c r="AB156" i="5" s="1"/>
  <c r="D156" i="5"/>
  <c r="E156" i="5"/>
  <c r="H155" i="5"/>
  <c r="I155" i="5" s="1"/>
  <c r="V155" i="5"/>
  <c r="W155" i="5" s="1"/>
  <c r="X155" i="5" s="1"/>
  <c r="Y155" i="5" s="1"/>
  <c r="Z155" i="5"/>
  <c r="AA155" i="5" s="1"/>
  <c r="AB155" i="5" s="1"/>
  <c r="E155" i="5"/>
  <c r="D155" i="5"/>
  <c r="H154" i="5"/>
  <c r="I154" i="5" s="1"/>
  <c r="V154" i="5"/>
  <c r="W154" i="5" s="1"/>
  <c r="X154" i="5" s="1"/>
  <c r="Y154" i="5" s="1"/>
  <c r="Z154" i="5"/>
  <c r="AA154" i="5" s="1"/>
  <c r="AB154" i="5" s="1"/>
  <c r="D154" i="5"/>
  <c r="E154" i="5"/>
  <c r="H153" i="5"/>
  <c r="I153" i="5" s="1"/>
  <c r="V153" i="5"/>
  <c r="W153" i="5" s="1"/>
  <c r="X153" i="5" s="1"/>
  <c r="Y153" i="5" s="1"/>
  <c r="Z153" i="5"/>
  <c r="AA153" i="5" s="1"/>
  <c r="AB153" i="5" s="1"/>
  <c r="E153" i="5"/>
  <c r="D153" i="5"/>
  <c r="H152" i="5"/>
  <c r="I152" i="5" s="1"/>
  <c r="V152" i="5"/>
  <c r="W152" i="5" s="1"/>
  <c r="X152" i="5" s="1"/>
  <c r="Y152" i="5" s="1"/>
  <c r="Z152" i="5"/>
  <c r="AA152" i="5" s="1"/>
  <c r="AB152" i="5" s="1"/>
  <c r="D152" i="5"/>
  <c r="E152" i="5"/>
  <c r="H151" i="5"/>
  <c r="I151" i="5" s="1"/>
  <c r="V151" i="5"/>
  <c r="W151" i="5" s="1"/>
  <c r="X151" i="5" s="1"/>
  <c r="Y151" i="5" s="1"/>
  <c r="Z151" i="5" s="1"/>
  <c r="AA151" i="5" s="1"/>
  <c r="AB151" i="5" s="1"/>
  <c r="E151" i="5"/>
  <c r="D151" i="5"/>
  <c r="H150" i="5"/>
  <c r="I150" i="5" s="1"/>
  <c r="V150" i="5"/>
  <c r="W150" i="5" s="1"/>
  <c r="X150" i="5" s="1"/>
  <c r="Y150" i="5" s="1"/>
  <c r="Z150" i="5" s="1"/>
  <c r="AA150" i="5" s="1"/>
  <c r="AB150" i="5" s="1"/>
  <c r="D150" i="5"/>
  <c r="E150" i="5"/>
  <c r="H149" i="5"/>
  <c r="I149" i="5" s="1"/>
  <c r="V149" i="5"/>
  <c r="W149" i="5" s="1"/>
  <c r="X149" i="5" s="1"/>
  <c r="Y149" i="5" s="1"/>
  <c r="Z149" i="5" s="1"/>
  <c r="AA149" i="5" s="1"/>
  <c r="AB149" i="5" s="1"/>
  <c r="D149" i="5"/>
  <c r="E149" i="5"/>
  <c r="H148" i="5"/>
  <c r="I148" i="5" s="1"/>
  <c r="V148" i="5"/>
  <c r="W148" i="5" s="1"/>
  <c r="X148" i="5" s="1"/>
  <c r="Y148" i="5" s="1"/>
  <c r="Z148" i="5" s="1"/>
  <c r="AA148" i="5" s="1"/>
  <c r="AB148" i="5" s="1"/>
  <c r="D148" i="5"/>
  <c r="E148" i="5"/>
  <c r="H147" i="5"/>
  <c r="I147" i="5" s="1"/>
  <c r="V147" i="5"/>
  <c r="W147" i="5" s="1"/>
  <c r="X147" i="5" s="1"/>
  <c r="Y147" i="5" s="1"/>
  <c r="Z147" i="5"/>
  <c r="AA147" i="5" s="1"/>
  <c r="AB147" i="5" s="1"/>
  <c r="D147" i="5"/>
  <c r="E147" i="5"/>
  <c r="H146" i="5"/>
  <c r="I146" i="5" s="1"/>
  <c r="V146" i="5"/>
  <c r="W146" i="5" s="1"/>
  <c r="X146" i="5" s="1"/>
  <c r="Y146" i="5" s="1"/>
  <c r="Z146" i="5"/>
  <c r="AA146" i="5" s="1"/>
  <c r="AB146" i="5" s="1"/>
  <c r="D146" i="5"/>
  <c r="E146" i="5"/>
  <c r="H145" i="5"/>
  <c r="I145" i="5" s="1"/>
  <c r="V145" i="5"/>
  <c r="W145" i="5" s="1"/>
  <c r="X145" i="5" s="1"/>
  <c r="Y145" i="5" s="1"/>
  <c r="Z145" i="5"/>
  <c r="AA145" i="5" s="1"/>
  <c r="AB145" i="5" s="1"/>
  <c r="D145" i="5"/>
  <c r="E145" i="5"/>
  <c r="H144" i="5"/>
  <c r="I144" i="5" s="1"/>
  <c r="V144" i="5"/>
  <c r="W144" i="5" s="1"/>
  <c r="X144" i="5" s="1"/>
  <c r="Y144" i="5" s="1"/>
  <c r="Z144" i="5"/>
  <c r="AA144" i="5" s="1"/>
  <c r="AB144" i="5" s="1"/>
  <c r="D144" i="5"/>
  <c r="E144" i="5"/>
  <c r="H143" i="5"/>
  <c r="I143" i="5" s="1"/>
  <c r="V143" i="5"/>
  <c r="W143" i="5" s="1"/>
  <c r="X143" i="5" s="1"/>
  <c r="Y143" i="5" s="1"/>
  <c r="Z143" i="5"/>
  <c r="AA143" i="5" s="1"/>
  <c r="AB143" i="5" s="1"/>
  <c r="E143" i="5"/>
  <c r="D143" i="5"/>
  <c r="H142" i="5"/>
  <c r="I142" i="5" s="1"/>
  <c r="V142" i="5"/>
  <c r="W142" i="5" s="1"/>
  <c r="X142" i="5" s="1"/>
  <c r="Y142" i="5" s="1"/>
  <c r="Z142" i="5" s="1"/>
  <c r="AA142" i="5" s="1"/>
  <c r="AB142" i="5" s="1"/>
  <c r="E142" i="5"/>
  <c r="D142" i="5"/>
  <c r="H141" i="5"/>
  <c r="I141" i="5" s="1"/>
  <c r="V141" i="5"/>
  <c r="W141" i="5" s="1"/>
  <c r="X141" i="5" s="1"/>
  <c r="Y141" i="5" s="1"/>
  <c r="Z141" i="5" s="1"/>
  <c r="AA141" i="5" s="1"/>
  <c r="AB141" i="5" s="1"/>
  <c r="E141" i="5"/>
  <c r="D141" i="5"/>
  <c r="H140" i="5"/>
  <c r="I140" i="5" s="1"/>
  <c r="V140" i="5"/>
  <c r="W140" i="5" s="1"/>
  <c r="X140" i="5" s="1"/>
  <c r="Y140" i="5" s="1"/>
  <c r="Z140" i="5" s="1"/>
  <c r="AA140" i="5" s="1"/>
  <c r="AB140" i="5" s="1"/>
  <c r="D140" i="5"/>
  <c r="E140" i="5"/>
  <c r="H139" i="5"/>
  <c r="I139" i="5" s="1"/>
  <c r="V139" i="5"/>
  <c r="W139" i="5" s="1"/>
  <c r="X139" i="5" s="1"/>
  <c r="Y139" i="5" s="1"/>
  <c r="Z139" i="5"/>
  <c r="AA139" i="5" s="1"/>
  <c r="AB139" i="5" s="1"/>
  <c r="D139" i="5"/>
  <c r="E139" i="5"/>
  <c r="H138" i="5"/>
  <c r="I138" i="5" s="1"/>
  <c r="V138" i="5"/>
  <c r="W138" i="5" s="1"/>
  <c r="X138" i="5" s="1"/>
  <c r="Y138" i="5" s="1"/>
  <c r="Z138" i="5" s="1"/>
  <c r="AA138" i="5" s="1"/>
  <c r="AB138" i="5" s="1"/>
  <c r="E138" i="5"/>
  <c r="D138" i="5"/>
  <c r="H137" i="5"/>
  <c r="I137" i="5" s="1"/>
  <c r="V137" i="5"/>
  <c r="W137" i="5" s="1"/>
  <c r="X137" i="5" s="1"/>
  <c r="Y137" i="5" s="1"/>
  <c r="Z137" i="5" s="1"/>
  <c r="AA137" i="5" s="1"/>
  <c r="AB137" i="5" s="1"/>
  <c r="E137" i="5"/>
  <c r="D137" i="5"/>
  <c r="H136" i="5"/>
  <c r="I136" i="5" s="1"/>
  <c r="V136" i="5"/>
  <c r="W136" i="5" s="1"/>
  <c r="X136" i="5" s="1"/>
  <c r="Y136" i="5" s="1"/>
  <c r="Z136" i="5" s="1"/>
  <c r="AA136" i="5" s="1"/>
  <c r="AB136" i="5" s="1"/>
  <c r="D136" i="5"/>
  <c r="E136" i="5"/>
  <c r="H135" i="5"/>
  <c r="I135" i="5" s="1"/>
  <c r="V135" i="5"/>
  <c r="W135" i="5" s="1"/>
  <c r="X135" i="5" s="1"/>
  <c r="Y135" i="5" s="1"/>
  <c r="Z135" i="5" s="1"/>
  <c r="AA135" i="5" s="1"/>
  <c r="AB135" i="5" s="1"/>
  <c r="D135" i="5"/>
  <c r="E135" i="5"/>
  <c r="H134" i="5"/>
  <c r="I134" i="5" s="1"/>
  <c r="V134" i="5"/>
  <c r="W134" i="5" s="1"/>
  <c r="X134" i="5" s="1"/>
  <c r="Y134" i="5" s="1"/>
  <c r="Z134" i="5" s="1"/>
  <c r="AA134" i="5" s="1"/>
  <c r="AB134" i="5" s="1"/>
  <c r="E134" i="5"/>
  <c r="D134" i="5"/>
  <c r="H133" i="5"/>
  <c r="I133" i="5" s="1"/>
  <c r="V133" i="5"/>
  <c r="W133" i="5" s="1"/>
  <c r="X133" i="5" s="1"/>
  <c r="Y133" i="5" s="1"/>
  <c r="Z133" i="5" s="1"/>
  <c r="AA133" i="5" s="1"/>
  <c r="AB133" i="5" s="1"/>
  <c r="E133" i="5"/>
  <c r="D133" i="5"/>
  <c r="H132" i="5"/>
  <c r="I132" i="5" s="1"/>
  <c r="V132" i="5"/>
  <c r="W132" i="5" s="1"/>
  <c r="X132" i="5" s="1"/>
  <c r="Y132" i="5" s="1"/>
  <c r="Z132" i="5" s="1"/>
  <c r="AA132" i="5" s="1"/>
  <c r="AB132" i="5" s="1"/>
  <c r="E132" i="5"/>
  <c r="D132" i="5"/>
  <c r="H131" i="5"/>
  <c r="I131" i="5" s="1"/>
  <c r="V131" i="5"/>
  <c r="W131" i="5" s="1"/>
  <c r="X131" i="5" s="1"/>
  <c r="Y131" i="5" s="1"/>
  <c r="Z131" i="5" s="1"/>
  <c r="AA131" i="5" s="1"/>
  <c r="AB131" i="5" s="1"/>
  <c r="E131" i="5"/>
  <c r="D131" i="5"/>
  <c r="H130" i="5"/>
  <c r="I130" i="5" s="1"/>
  <c r="V130" i="5"/>
  <c r="W130" i="5" s="1"/>
  <c r="X130" i="5" s="1"/>
  <c r="Y130" i="5" s="1"/>
  <c r="Z130" i="5" s="1"/>
  <c r="AA130" i="5" s="1"/>
  <c r="AB130" i="5" s="1"/>
  <c r="E130" i="5"/>
  <c r="D130" i="5"/>
  <c r="H129" i="5"/>
  <c r="I129" i="5" s="1"/>
  <c r="V129" i="5"/>
  <c r="W129" i="5" s="1"/>
  <c r="X129" i="5" s="1"/>
  <c r="Y129" i="5" s="1"/>
  <c r="Z129" i="5" s="1"/>
  <c r="AA129" i="5" s="1"/>
  <c r="AB129" i="5" s="1"/>
  <c r="E129" i="5"/>
  <c r="D129" i="5"/>
  <c r="H128" i="5"/>
  <c r="I128" i="5" s="1"/>
  <c r="V128" i="5"/>
  <c r="W128" i="5" s="1"/>
  <c r="X128" i="5" s="1"/>
  <c r="Y128" i="5" s="1"/>
  <c r="Z128" i="5" s="1"/>
  <c r="AA128" i="5" s="1"/>
  <c r="AB128" i="5" s="1"/>
  <c r="D128" i="5"/>
  <c r="E128" i="5"/>
  <c r="H127" i="5"/>
  <c r="I127" i="5" s="1"/>
  <c r="V127" i="5"/>
  <c r="W127" i="5" s="1"/>
  <c r="X127" i="5" s="1"/>
  <c r="Y127" i="5" s="1"/>
  <c r="Z127" i="5" s="1"/>
  <c r="AA127" i="5" s="1"/>
  <c r="AB127" i="5" s="1"/>
  <c r="E127" i="5"/>
  <c r="D127" i="5"/>
  <c r="H126" i="5"/>
  <c r="I126" i="5" s="1"/>
  <c r="V126" i="5"/>
  <c r="W126" i="5" s="1"/>
  <c r="X126" i="5" s="1"/>
  <c r="Y126" i="5" s="1"/>
  <c r="Z126" i="5" s="1"/>
  <c r="AA126" i="5" s="1"/>
  <c r="AB126" i="5" s="1"/>
  <c r="D126" i="5"/>
  <c r="E126" i="5"/>
  <c r="H125" i="5"/>
  <c r="I125" i="5" s="1"/>
  <c r="V125" i="5"/>
  <c r="W125" i="5" s="1"/>
  <c r="X125" i="5" s="1"/>
  <c r="Y125" i="5" s="1"/>
  <c r="Z125" i="5" s="1"/>
  <c r="AA125" i="5" s="1"/>
  <c r="AB125" i="5" s="1"/>
  <c r="E125" i="5"/>
  <c r="D125" i="5"/>
  <c r="H124" i="5"/>
  <c r="I124" i="5" s="1"/>
  <c r="V124" i="5"/>
  <c r="W124" i="5" s="1"/>
  <c r="X124" i="5" s="1"/>
  <c r="Y124" i="5" s="1"/>
  <c r="Z124" i="5" s="1"/>
  <c r="AA124" i="5" s="1"/>
  <c r="AB124" i="5" s="1"/>
  <c r="D124" i="5"/>
  <c r="E124" i="5"/>
  <c r="H123" i="5"/>
  <c r="I123" i="5" s="1"/>
  <c r="V123" i="5"/>
  <c r="W123" i="5" s="1"/>
  <c r="X123" i="5" s="1"/>
  <c r="Y123" i="5" s="1"/>
  <c r="Z123" i="5" s="1"/>
  <c r="AA123" i="5" s="1"/>
  <c r="AB123" i="5" s="1"/>
  <c r="E123" i="5"/>
  <c r="D123" i="5"/>
  <c r="H122" i="5"/>
  <c r="I122" i="5" s="1"/>
  <c r="V122" i="5"/>
  <c r="W122" i="5" s="1"/>
  <c r="X122" i="5" s="1"/>
  <c r="Y122" i="5" s="1"/>
  <c r="Z122" i="5" s="1"/>
  <c r="AA122" i="5" s="1"/>
  <c r="AB122" i="5" s="1"/>
  <c r="E122" i="5"/>
  <c r="D122" i="5"/>
  <c r="H121" i="5"/>
  <c r="I121" i="5" s="1"/>
  <c r="V121" i="5"/>
  <c r="W121" i="5" s="1"/>
  <c r="X121" i="5" s="1"/>
  <c r="Y121" i="5" s="1"/>
  <c r="Z121" i="5" s="1"/>
  <c r="AA121" i="5" s="1"/>
  <c r="AB121" i="5" s="1"/>
  <c r="E121" i="5"/>
  <c r="D121" i="5"/>
  <c r="H120" i="5"/>
  <c r="I120" i="5" s="1"/>
  <c r="V120" i="5"/>
  <c r="W120" i="5" s="1"/>
  <c r="X120" i="5" s="1"/>
  <c r="Y120" i="5" s="1"/>
  <c r="Z120" i="5" s="1"/>
  <c r="AA120" i="5" s="1"/>
  <c r="AB120" i="5" s="1"/>
  <c r="D120" i="5"/>
  <c r="E120" i="5"/>
  <c r="J119" i="5"/>
  <c r="K119" i="5" s="1"/>
  <c r="L119" i="5" s="1"/>
  <c r="M119" i="5" s="1"/>
  <c r="E119" i="5"/>
  <c r="D119" i="5"/>
  <c r="H118" i="5"/>
  <c r="I118" i="5" s="1"/>
  <c r="V118" i="5"/>
  <c r="W118" i="5" s="1"/>
  <c r="X118" i="5" s="1"/>
  <c r="Y118" i="5" s="1"/>
  <c r="Z118" i="5" s="1"/>
  <c r="AA118" i="5" s="1"/>
  <c r="AB118" i="5" s="1"/>
  <c r="E118" i="5"/>
  <c r="D118" i="5"/>
  <c r="H117" i="5"/>
  <c r="I117" i="5" s="1"/>
  <c r="V117" i="5"/>
  <c r="W117" i="5" s="1"/>
  <c r="X117" i="5" s="1"/>
  <c r="Y117" i="5" s="1"/>
  <c r="Z117" i="5" s="1"/>
  <c r="AA117" i="5" s="1"/>
  <c r="AB117" i="5" s="1"/>
  <c r="D117" i="5"/>
  <c r="E117" i="5"/>
  <c r="H116" i="5"/>
  <c r="I116" i="5" s="1"/>
  <c r="V116" i="5"/>
  <c r="W116" i="5" s="1"/>
  <c r="X116" i="5" s="1"/>
  <c r="Y116" i="5" s="1"/>
  <c r="Z116" i="5"/>
  <c r="AA116" i="5" s="1"/>
  <c r="AB116" i="5" s="1"/>
  <c r="E116" i="5"/>
  <c r="D116" i="5"/>
  <c r="H115" i="5"/>
  <c r="I115" i="5" s="1"/>
  <c r="V115" i="5"/>
  <c r="W115" i="5" s="1"/>
  <c r="X115" i="5" s="1"/>
  <c r="Y115" i="5" s="1"/>
  <c r="Z115" i="5"/>
  <c r="AA115" i="5" s="1"/>
  <c r="AB115" i="5" s="1"/>
  <c r="D115" i="5"/>
  <c r="E115" i="5"/>
  <c r="H114" i="5"/>
  <c r="I114" i="5" s="1"/>
  <c r="V114" i="5"/>
  <c r="W114" i="5" s="1"/>
  <c r="X114" i="5" s="1"/>
  <c r="Y114" i="5" s="1"/>
  <c r="Z114" i="5" s="1"/>
  <c r="AA114" i="5" s="1"/>
  <c r="AB114" i="5" s="1"/>
  <c r="D114" i="5"/>
  <c r="E114" i="5"/>
  <c r="H113" i="5"/>
  <c r="I113" i="5" s="1"/>
  <c r="V113" i="5"/>
  <c r="W113" i="5" s="1"/>
  <c r="X113" i="5" s="1"/>
  <c r="Y113" i="5" s="1"/>
  <c r="Z113" i="5"/>
  <c r="AA113" i="5" s="1"/>
  <c r="AB113" i="5" s="1"/>
  <c r="E113" i="5"/>
  <c r="D113" i="5"/>
  <c r="H112" i="5"/>
  <c r="I112" i="5" s="1"/>
  <c r="V112" i="5"/>
  <c r="W112" i="5" s="1"/>
  <c r="X112" i="5" s="1"/>
  <c r="Y112" i="5" s="1"/>
  <c r="Z112" i="5" s="1"/>
  <c r="AA112" i="5" s="1"/>
  <c r="AB112" i="5" s="1"/>
  <c r="E112" i="5"/>
  <c r="D112" i="5"/>
  <c r="H111" i="5"/>
  <c r="I111" i="5" s="1"/>
  <c r="V111" i="5"/>
  <c r="W111" i="5" s="1"/>
  <c r="X111" i="5" s="1"/>
  <c r="Y111" i="5" s="1"/>
  <c r="Z111" i="5"/>
  <c r="AA111" i="5" s="1"/>
  <c r="AB111" i="5" s="1"/>
  <c r="D111" i="5"/>
  <c r="E111" i="5"/>
  <c r="H110" i="5"/>
  <c r="I110" i="5" s="1"/>
  <c r="V110" i="5"/>
  <c r="W110" i="5" s="1"/>
  <c r="X110" i="5" s="1"/>
  <c r="Y110" i="5" s="1"/>
  <c r="Z110" i="5" s="1"/>
  <c r="AA110" i="5" s="1"/>
  <c r="AB110" i="5" s="1"/>
  <c r="D110" i="5"/>
  <c r="E110" i="5"/>
  <c r="H109" i="5"/>
  <c r="I109" i="5" s="1"/>
  <c r="V109" i="5"/>
  <c r="W109" i="5" s="1"/>
  <c r="X109" i="5" s="1"/>
  <c r="Y109" i="5" s="1"/>
  <c r="Z109" i="5" s="1"/>
  <c r="AA109" i="5" s="1"/>
  <c r="AB109" i="5" s="1"/>
  <c r="D109" i="5"/>
  <c r="E109" i="5"/>
  <c r="H108" i="5"/>
  <c r="I108" i="5" s="1"/>
  <c r="V108" i="5"/>
  <c r="W108" i="5" s="1"/>
  <c r="X108" i="5" s="1"/>
  <c r="Y108" i="5" s="1"/>
  <c r="Z108" i="5"/>
  <c r="AA108" i="5" s="1"/>
  <c r="AB108" i="5" s="1"/>
  <c r="E108" i="5"/>
  <c r="D108" i="5"/>
  <c r="H107" i="5"/>
  <c r="I107" i="5" s="1"/>
  <c r="V107" i="5"/>
  <c r="W107" i="5" s="1"/>
  <c r="X107" i="5" s="1"/>
  <c r="Y107" i="5" s="1"/>
  <c r="Z107" i="5" s="1"/>
  <c r="AA107" i="5" s="1"/>
  <c r="AB107" i="5" s="1"/>
  <c r="E107" i="5"/>
  <c r="D107" i="5"/>
  <c r="H106" i="5"/>
  <c r="I106" i="5" s="1"/>
  <c r="V106" i="5"/>
  <c r="W106" i="5" s="1"/>
  <c r="X106" i="5" s="1"/>
  <c r="Y106" i="5" s="1"/>
  <c r="Z106" i="5"/>
  <c r="AA106" i="5" s="1"/>
  <c r="AB106" i="5" s="1"/>
  <c r="D106" i="5"/>
  <c r="E106" i="5"/>
  <c r="H105" i="5"/>
  <c r="I105" i="5" s="1"/>
  <c r="V105" i="5"/>
  <c r="W105" i="5" s="1"/>
  <c r="X105" i="5" s="1"/>
  <c r="Y105" i="5" s="1"/>
  <c r="Z105" i="5" s="1"/>
  <c r="AA105" i="5" s="1"/>
  <c r="AB105" i="5" s="1"/>
  <c r="D105" i="5"/>
  <c r="E105" i="5"/>
  <c r="H104" i="5"/>
  <c r="I104" i="5" s="1"/>
  <c r="V104" i="5"/>
  <c r="W104" i="5" s="1"/>
  <c r="X104" i="5" s="1"/>
  <c r="Y104" i="5" s="1"/>
  <c r="Z104" i="5" s="1"/>
  <c r="AA104" i="5" s="1"/>
  <c r="AB104" i="5" s="1"/>
  <c r="D104" i="5"/>
  <c r="E104" i="5"/>
  <c r="H103" i="5"/>
  <c r="I103" i="5" s="1"/>
  <c r="V103" i="5"/>
  <c r="W103" i="5" s="1"/>
  <c r="X103" i="5" s="1"/>
  <c r="Y103" i="5" s="1"/>
  <c r="Z103" i="5" s="1"/>
  <c r="AA103" i="5" s="1"/>
  <c r="AB103" i="5" s="1"/>
  <c r="E103" i="5"/>
  <c r="D103" i="5"/>
  <c r="H102" i="5"/>
  <c r="I102" i="5" s="1"/>
  <c r="V102" i="5"/>
  <c r="W102" i="5" s="1"/>
  <c r="X102" i="5" s="1"/>
  <c r="Y102" i="5" s="1"/>
  <c r="Z102" i="5" s="1"/>
  <c r="AA102" i="5" s="1"/>
  <c r="AB102" i="5" s="1"/>
  <c r="D102" i="5"/>
  <c r="E102" i="5"/>
  <c r="H101" i="5"/>
  <c r="I101" i="5" s="1"/>
  <c r="V101" i="5"/>
  <c r="W101" i="5" s="1"/>
  <c r="X101" i="5" s="1"/>
  <c r="Y101" i="5" s="1"/>
  <c r="Z101" i="5"/>
  <c r="AA101" i="5" s="1"/>
  <c r="AB101" i="5" s="1"/>
  <c r="D101" i="5"/>
  <c r="E101" i="5"/>
  <c r="H100" i="5"/>
  <c r="I100" i="5" s="1"/>
  <c r="V100" i="5"/>
  <c r="W100" i="5" s="1"/>
  <c r="X100" i="5" s="1"/>
  <c r="Y100" i="5" s="1"/>
  <c r="Z100" i="5" s="1"/>
  <c r="AA100" i="5" s="1"/>
  <c r="AB100" i="5" s="1"/>
  <c r="D100" i="5"/>
  <c r="E100" i="5"/>
  <c r="H99" i="5"/>
  <c r="I99" i="5" s="1"/>
  <c r="V99" i="5"/>
  <c r="W99" i="5" s="1"/>
  <c r="X99" i="5" s="1"/>
  <c r="Y99" i="5" s="1"/>
  <c r="Z99" i="5"/>
  <c r="AA99" i="5" s="1"/>
  <c r="AB99" i="5" s="1"/>
  <c r="D99" i="5"/>
  <c r="E99" i="5"/>
  <c r="H98" i="5"/>
  <c r="I98" i="5" s="1"/>
  <c r="V98" i="5"/>
  <c r="W98" i="5" s="1"/>
  <c r="X98" i="5" s="1"/>
  <c r="Y98" i="5" s="1"/>
  <c r="Z98" i="5" s="1"/>
  <c r="AA98" i="5" s="1"/>
  <c r="AB98" i="5" s="1"/>
  <c r="E98" i="5"/>
  <c r="D98" i="5"/>
  <c r="H97" i="5"/>
  <c r="I97" i="5" s="1"/>
  <c r="V97" i="5"/>
  <c r="W97" i="5" s="1"/>
  <c r="X97" i="5" s="1"/>
  <c r="Y97" i="5" s="1"/>
  <c r="Z97" i="5"/>
  <c r="AA97" i="5" s="1"/>
  <c r="AB97" i="5" s="1"/>
  <c r="D97" i="5"/>
  <c r="E97" i="5"/>
  <c r="H96" i="5"/>
  <c r="I96" i="5" s="1"/>
  <c r="V96" i="5"/>
  <c r="W96" i="5" s="1"/>
  <c r="X96" i="5" s="1"/>
  <c r="Y96" i="5" s="1"/>
  <c r="Z96" i="5" s="1"/>
  <c r="AA96" i="5" s="1"/>
  <c r="AB96" i="5" s="1"/>
  <c r="E96" i="5"/>
  <c r="D96" i="5"/>
  <c r="H95" i="5"/>
  <c r="I95" i="5" s="1"/>
  <c r="V95" i="5"/>
  <c r="W95" i="5" s="1"/>
  <c r="X95" i="5" s="1"/>
  <c r="Y95" i="5" s="1"/>
  <c r="Z95" i="5"/>
  <c r="AA95" i="5" s="1"/>
  <c r="AB95" i="5" s="1"/>
  <c r="D95" i="5"/>
  <c r="E95" i="5"/>
  <c r="H94" i="5"/>
  <c r="I94" i="5" s="1"/>
  <c r="V94" i="5"/>
  <c r="W94" i="5" s="1"/>
  <c r="X94" i="5" s="1"/>
  <c r="Y94" i="5" s="1"/>
  <c r="Z94" i="5"/>
  <c r="AA94" i="5" s="1"/>
  <c r="AB94" i="5" s="1"/>
  <c r="D94" i="5"/>
  <c r="E94" i="5"/>
  <c r="H93" i="5"/>
  <c r="I93" i="5" s="1"/>
  <c r="V93" i="5"/>
  <c r="W93" i="5" s="1"/>
  <c r="X93" i="5" s="1"/>
  <c r="Y93" i="5" s="1"/>
  <c r="Z93" i="5"/>
  <c r="AA93" i="5" s="1"/>
  <c r="AB93" i="5" s="1"/>
  <c r="D93" i="5"/>
  <c r="E93" i="5"/>
  <c r="H92" i="5"/>
  <c r="I92" i="5" s="1"/>
  <c r="V92" i="5"/>
  <c r="W92" i="5" s="1"/>
  <c r="X92" i="5" s="1"/>
  <c r="Y92" i="5" s="1"/>
  <c r="Z92" i="5"/>
  <c r="AA92" i="5" s="1"/>
  <c r="AB92" i="5" s="1"/>
  <c r="E92" i="5"/>
  <c r="D92" i="5"/>
  <c r="H91" i="5"/>
  <c r="I91" i="5" s="1"/>
  <c r="V91" i="5"/>
  <c r="W91" i="5" s="1"/>
  <c r="X91" i="5" s="1"/>
  <c r="Y91" i="5" s="1"/>
  <c r="Z91" i="5" s="1"/>
  <c r="AA91" i="5" s="1"/>
  <c r="AB91" i="5" s="1"/>
  <c r="E91" i="5"/>
  <c r="D91" i="5"/>
  <c r="H90" i="5"/>
  <c r="I90" i="5" s="1"/>
  <c r="V90" i="5"/>
  <c r="W90" i="5" s="1"/>
  <c r="X90" i="5" s="1"/>
  <c r="Y90" i="5" s="1"/>
  <c r="Z90" i="5" s="1"/>
  <c r="AA90" i="5" s="1"/>
  <c r="AB90" i="5" s="1"/>
  <c r="E90" i="5"/>
  <c r="D90" i="5"/>
  <c r="H89" i="5"/>
  <c r="I89" i="5" s="1"/>
  <c r="V89" i="5"/>
  <c r="W89" i="5" s="1"/>
  <c r="X89" i="5" s="1"/>
  <c r="Y89" i="5" s="1"/>
  <c r="Z89" i="5" s="1"/>
  <c r="AA89" i="5" s="1"/>
  <c r="AB89" i="5" s="1"/>
  <c r="E89" i="5"/>
  <c r="D89" i="5"/>
  <c r="H88" i="5"/>
  <c r="I88" i="5" s="1"/>
  <c r="V88" i="5"/>
  <c r="W88" i="5" s="1"/>
  <c r="X88" i="5" s="1"/>
  <c r="Y88" i="5" s="1"/>
  <c r="Z88" i="5" s="1"/>
  <c r="AA88" i="5" s="1"/>
  <c r="AB88" i="5" s="1"/>
  <c r="E88" i="5"/>
  <c r="D88" i="5"/>
  <c r="H87" i="5"/>
  <c r="I87" i="5" s="1"/>
  <c r="V87" i="5"/>
  <c r="W87" i="5" s="1"/>
  <c r="X87" i="5" s="1"/>
  <c r="Y87" i="5" s="1"/>
  <c r="Z87" i="5" s="1"/>
  <c r="AA87" i="5" s="1"/>
  <c r="AB87" i="5" s="1"/>
  <c r="E87" i="5"/>
  <c r="D87" i="5"/>
  <c r="H86" i="5"/>
  <c r="I86" i="5" s="1"/>
  <c r="V86" i="5"/>
  <c r="W86" i="5" s="1"/>
  <c r="X86" i="5" s="1"/>
  <c r="Y86" i="5" s="1"/>
  <c r="Z86" i="5" s="1"/>
  <c r="AA86" i="5" s="1"/>
  <c r="AB86" i="5" s="1"/>
  <c r="E86" i="5"/>
  <c r="D86" i="5"/>
  <c r="H85" i="5"/>
  <c r="I85" i="5" s="1"/>
  <c r="V85" i="5"/>
  <c r="W85" i="5" s="1"/>
  <c r="X85" i="5" s="1"/>
  <c r="Y85" i="5" s="1"/>
  <c r="Z85" i="5" s="1"/>
  <c r="AA85" i="5" s="1"/>
  <c r="AB85" i="5" s="1"/>
  <c r="E85" i="5"/>
  <c r="D85" i="5"/>
  <c r="H84" i="5"/>
  <c r="I84" i="5" s="1"/>
  <c r="V84" i="5"/>
  <c r="W84" i="5" s="1"/>
  <c r="X84" i="5" s="1"/>
  <c r="Y84" i="5" s="1"/>
  <c r="Z84" i="5" s="1"/>
  <c r="AA84" i="5" s="1"/>
  <c r="AB84" i="5" s="1"/>
  <c r="E84" i="5"/>
  <c r="D84" i="5"/>
  <c r="H83" i="5"/>
  <c r="I83" i="5" s="1"/>
  <c r="V83" i="5"/>
  <c r="W83" i="5" s="1"/>
  <c r="X83" i="5" s="1"/>
  <c r="Y83" i="5" s="1"/>
  <c r="Z83" i="5" s="1"/>
  <c r="AA83" i="5" s="1"/>
  <c r="AB83" i="5" s="1"/>
  <c r="E83" i="5"/>
  <c r="D83" i="5"/>
  <c r="H82" i="5"/>
  <c r="I82" i="5" s="1"/>
  <c r="V82" i="5"/>
  <c r="W82" i="5" s="1"/>
  <c r="X82" i="5" s="1"/>
  <c r="Y82" i="5" s="1"/>
  <c r="Z82" i="5"/>
  <c r="AA82" i="5" s="1"/>
  <c r="AB82" i="5" s="1"/>
  <c r="E82" i="5"/>
  <c r="D82" i="5"/>
  <c r="H81" i="5"/>
  <c r="I81" i="5" s="1"/>
  <c r="V81" i="5"/>
  <c r="W81" i="5" s="1"/>
  <c r="X81" i="5" s="1"/>
  <c r="Y81" i="5" s="1"/>
  <c r="Z81" i="5"/>
  <c r="AA81" i="5" s="1"/>
  <c r="AB81" i="5" s="1"/>
  <c r="E81" i="5"/>
  <c r="D81" i="5"/>
  <c r="H80" i="5"/>
  <c r="I80" i="5" s="1"/>
  <c r="V80" i="5"/>
  <c r="W80" i="5" s="1"/>
  <c r="X80" i="5" s="1"/>
  <c r="Y80" i="5" s="1"/>
  <c r="Z80" i="5"/>
  <c r="AA80" i="5" s="1"/>
  <c r="AB80" i="5" s="1"/>
  <c r="D80" i="5"/>
  <c r="E80" i="5"/>
  <c r="H79" i="5"/>
  <c r="I79" i="5" s="1"/>
  <c r="V79" i="5"/>
  <c r="W79" i="5" s="1"/>
  <c r="X79" i="5" s="1"/>
  <c r="Y79" i="5" s="1"/>
  <c r="Z79" i="5" s="1"/>
  <c r="AA79" i="5" s="1"/>
  <c r="AB79" i="5" s="1"/>
  <c r="E79" i="5"/>
  <c r="D79" i="5"/>
  <c r="H78" i="5"/>
  <c r="I78" i="5" s="1"/>
  <c r="V78" i="5"/>
  <c r="W78" i="5" s="1"/>
  <c r="X78" i="5" s="1"/>
  <c r="Y78" i="5" s="1"/>
  <c r="Z78" i="5" s="1"/>
  <c r="AA78" i="5" s="1"/>
  <c r="AB78" i="5" s="1"/>
  <c r="D78" i="5"/>
  <c r="E78" i="5"/>
  <c r="H77" i="5"/>
  <c r="I77" i="5" s="1"/>
  <c r="V77" i="5"/>
  <c r="W77" i="5" s="1"/>
  <c r="X77" i="5" s="1"/>
  <c r="Y77" i="5" s="1"/>
  <c r="Z77" i="5" s="1"/>
  <c r="AA77" i="5" s="1"/>
  <c r="AB77" i="5" s="1"/>
  <c r="D77" i="5"/>
  <c r="E77" i="5"/>
  <c r="H76" i="5"/>
  <c r="I76" i="5" s="1"/>
  <c r="V76" i="5"/>
  <c r="W76" i="5" s="1"/>
  <c r="X76" i="5" s="1"/>
  <c r="Y76" i="5" s="1"/>
  <c r="Z76" i="5"/>
  <c r="AA76" i="5" s="1"/>
  <c r="AB76" i="5" s="1"/>
  <c r="E76" i="5"/>
  <c r="D76" i="5"/>
  <c r="H75" i="5"/>
  <c r="I75" i="5" s="1"/>
  <c r="V75" i="5"/>
  <c r="W75" i="5" s="1"/>
  <c r="X75" i="5" s="1"/>
  <c r="Y75" i="5" s="1"/>
  <c r="Z75" i="5" s="1"/>
  <c r="AA75" i="5" s="1"/>
  <c r="AB75" i="5" s="1"/>
  <c r="E75" i="5"/>
  <c r="D75" i="5"/>
  <c r="H74" i="5"/>
  <c r="I74" i="5" s="1"/>
  <c r="V74" i="5"/>
  <c r="W74" i="5" s="1"/>
  <c r="X74" i="5" s="1"/>
  <c r="Y74" i="5" s="1"/>
  <c r="Z74" i="5"/>
  <c r="AA74" i="5" s="1"/>
  <c r="AB74" i="5" s="1"/>
  <c r="E74" i="5"/>
  <c r="D74" i="5"/>
  <c r="H73" i="5"/>
  <c r="I73" i="5" s="1"/>
  <c r="V73" i="5"/>
  <c r="W73" i="5" s="1"/>
  <c r="X73" i="5" s="1"/>
  <c r="Y73" i="5" s="1"/>
  <c r="Z73" i="5" s="1"/>
  <c r="AA73" i="5" s="1"/>
  <c r="AB73" i="5" s="1"/>
  <c r="E73" i="5"/>
  <c r="D73" i="5"/>
  <c r="H72" i="5"/>
  <c r="I72" i="5" s="1"/>
  <c r="V72" i="5"/>
  <c r="W72" i="5" s="1"/>
  <c r="X72" i="5" s="1"/>
  <c r="Y72" i="5" s="1"/>
  <c r="Z72" i="5"/>
  <c r="AA72" i="5" s="1"/>
  <c r="AB72" i="5" s="1"/>
  <c r="E72" i="5"/>
  <c r="D72" i="5"/>
  <c r="H71" i="5"/>
  <c r="I71" i="5" s="1"/>
  <c r="V71" i="5"/>
  <c r="W71" i="5" s="1"/>
  <c r="X71" i="5" s="1"/>
  <c r="Y71" i="5" s="1"/>
  <c r="Z71" i="5" s="1"/>
  <c r="AA71" i="5" s="1"/>
  <c r="AB71" i="5" s="1"/>
  <c r="E71" i="5"/>
  <c r="D71" i="5"/>
  <c r="H70" i="5"/>
  <c r="I70" i="5" s="1"/>
  <c r="V70" i="5"/>
  <c r="W70" i="5" s="1"/>
  <c r="X70" i="5" s="1"/>
  <c r="Y70" i="5" s="1"/>
  <c r="Z70" i="5" s="1"/>
  <c r="AA70" i="5" s="1"/>
  <c r="AB70" i="5" s="1"/>
  <c r="E70" i="5"/>
  <c r="D70" i="5"/>
  <c r="H69" i="5"/>
  <c r="I69" i="5" s="1"/>
  <c r="V69" i="5"/>
  <c r="W69" i="5" s="1"/>
  <c r="X69" i="5" s="1"/>
  <c r="Y69" i="5" s="1"/>
  <c r="Z69" i="5"/>
  <c r="AA69" i="5" s="1"/>
  <c r="AB69" i="5" s="1"/>
  <c r="D69" i="5"/>
  <c r="E69" i="5"/>
  <c r="H68" i="5"/>
  <c r="I68" i="5" s="1"/>
  <c r="V68" i="5"/>
  <c r="W68" i="5" s="1"/>
  <c r="X68" i="5" s="1"/>
  <c r="Y68" i="5" s="1"/>
  <c r="Z68" i="5"/>
  <c r="AA68" i="5" s="1"/>
  <c r="AB68" i="5" s="1"/>
  <c r="E68" i="5"/>
  <c r="D68" i="5"/>
  <c r="H67" i="5"/>
  <c r="I67" i="5" s="1"/>
  <c r="V67" i="5"/>
  <c r="W67" i="5" s="1"/>
  <c r="X67" i="5" s="1"/>
  <c r="Y67" i="5" s="1"/>
  <c r="Z67" i="5" s="1"/>
  <c r="AA67" i="5" s="1"/>
  <c r="AB67" i="5" s="1"/>
  <c r="E67" i="5"/>
  <c r="D67" i="5"/>
  <c r="H66" i="5"/>
  <c r="I66" i="5" s="1"/>
  <c r="V66" i="5"/>
  <c r="W66" i="5" s="1"/>
  <c r="X66" i="5" s="1"/>
  <c r="Y66" i="5" s="1"/>
  <c r="Z66" i="5" s="1"/>
  <c r="AA66" i="5" s="1"/>
  <c r="AB66" i="5" s="1"/>
  <c r="E66" i="5"/>
  <c r="D66" i="5"/>
  <c r="H65" i="5"/>
  <c r="I65" i="5" s="1"/>
  <c r="V65" i="5"/>
  <c r="W65" i="5" s="1"/>
  <c r="X65" i="5" s="1"/>
  <c r="Y65" i="5" s="1"/>
  <c r="Z65" i="5" s="1"/>
  <c r="AA65" i="5" s="1"/>
  <c r="AB65" i="5" s="1"/>
  <c r="D65" i="5"/>
  <c r="E65" i="5"/>
  <c r="H64" i="5"/>
  <c r="I64" i="5" s="1"/>
  <c r="V64" i="5"/>
  <c r="W64" i="5" s="1"/>
  <c r="X64" i="5" s="1"/>
  <c r="Y64" i="5" s="1"/>
  <c r="Z64" i="5" s="1"/>
  <c r="AA64" i="5" s="1"/>
  <c r="AB64" i="5" s="1"/>
  <c r="O64" i="5"/>
  <c r="P64" i="5" s="1"/>
  <c r="Q64" i="5" s="1"/>
  <c r="R64" i="5" s="1"/>
  <c r="S64" i="5"/>
  <c r="T64" i="5" s="1"/>
  <c r="U64" i="5" s="1"/>
  <c r="H63" i="5"/>
  <c r="I63" i="5" s="1"/>
  <c r="V63" i="5"/>
  <c r="W63" i="5" s="1"/>
  <c r="X63" i="5" s="1"/>
  <c r="Y63" i="5" s="1"/>
  <c r="Z63" i="5" s="1"/>
  <c r="AA63" i="5" s="1"/>
  <c r="AB63" i="5" s="1"/>
  <c r="D63" i="5"/>
  <c r="E63" i="5"/>
  <c r="H62" i="5"/>
  <c r="I62" i="5" s="1"/>
  <c r="V62" i="5"/>
  <c r="W62" i="5" s="1"/>
  <c r="X62" i="5" s="1"/>
  <c r="Y62" i="5" s="1"/>
  <c r="Z62" i="5"/>
  <c r="AA62" i="5" s="1"/>
  <c r="AB62" i="5" s="1"/>
  <c r="E62" i="5"/>
  <c r="D62" i="5"/>
  <c r="H61" i="5"/>
  <c r="I61" i="5" s="1"/>
  <c r="V61" i="5"/>
  <c r="W61" i="5" s="1"/>
  <c r="X61" i="5" s="1"/>
  <c r="Y61" i="5" s="1"/>
  <c r="Z61" i="5" s="1"/>
  <c r="AA61" i="5" s="1"/>
  <c r="AB61" i="5" s="1"/>
  <c r="D61" i="5"/>
  <c r="E61" i="5"/>
  <c r="H60" i="5"/>
  <c r="I60" i="5" s="1"/>
  <c r="Z60" i="5"/>
  <c r="AA60" i="5" s="1"/>
  <c r="AB60" i="5" s="1"/>
  <c r="V60" i="5"/>
  <c r="W60" i="5" s="1"/>
  <c r="X60" i="5" s="1"/>
  <c r="Y60" i="5" s="1"/>
  <c r="D60" i="5"/>
  <c r="E60" i="5"/>
  <c r="H59" i="5"/>
  <c r="I59" i="5" s="1"/>
  <c r="V59" i="5"/>
  <c r="W59" i="5" s="1"/>
  <c r="X59" i="5" s="1"/>
  <c r="Y59" i="5" s="1"/>
  <c r="Z59" i="5" s="1"/>
  <c r="AA59" i="5" s="1"/>
  <c r="AB59" i="5" s="1"/>
  <c r="E59" i="5"/>
  <c r="D59" i="5"/>
  <c r="H58" i="5"/>
  <c r="I58" i="5" s="1"/>
  <c r="V58" i="5"/>
  <c r="W58" i="5" s="1"/>
  <c r="X58" i="5" s="1"/>
  <c r="Y58" i="5" s="1"/>
  <c r="Z58" i="5" s="1"/>
  <c r="AA58" i="5" s="1"/>
  <c r="AB58" i="5" s="1"/>
  <c r="D58" i="5"/>
  <c r="E58" i="5"/>
  <c r="H57" i="5"/>
  <c r="I57" i="5" s="1"/>
  <c r="V57" i="5"/>
  <c r="W57" i="5" s="1"/>
  <c r="X57" i="5" s="1"/>
  <c r="Y57" i="5" s="1"/>
  <c r="Z57" i="5" s="1"/>
  <c r="AA57" i="5" s="1"/>
  <c r="AB57" i="5" s="1"/>
  <c r="D57" i="5"/>
  <c r="E57" i="5"/>
  <c r="H56" i="5"/>
  <c r="I56" i="5" s="1"/>
  <c r="V56" i="5"/>
  <c r="W56" i="5" s="1"/>
  <c r="X56" i="5" s="1"/>
  <c r="Y56" i="5" s="1"/>
  <c r="Z56" i="5"/>
  <c r="AA56" i="5" s="1"/>
  <c r="AB56" i="5" s="1"/>
  <c r="E56" i="5"/>
  <c r="D56" i="5"/>
  <c r="H55" i="5"/>
  <c r="I55" i="5" s="1"/>
  <c r="V55" i="5"/>
  <c r="W55" i="5" s="1"/>
  <c r="X55" i="5" s="1"/>
  <c r="Y55" i="5" s="1"/>
  <c r="Z55" i="5" s="1"/>
  <c r="AA55" i="5" s="1"/>
  <c r="AB55" i="5" s="1"/>
  <c r="E55" i="5"/>
  <c r="D55" i="5"/>
  <c r="H54" i="5"/>
  <c r="I54" i="5" s="1"/>
  <c r="V54" i="5"/>
  <c r="W54" i="5" s="1"/>
  <c r="X54" i="5" s="1"/>
  <c r="Y54" i="5" s="1"/>
  <c r="Z54" i="5" s="1"/>
  <c r="AA54" i="5" s="1"/>
  <c r="AB54" i="5" s="1"/>
  <c r="D54" i="5"/>
  <c r="E54" i="5"/>
  <c r="H53" i="5"/>
  <c r="I53" i="5" s="1"/>
  <c r="V53" i="5"/>
  <c r="W53" i="5" s="1"/>
  <c r="X53" i="5" s="1"/>
  <c r="Y53" i="5" s="1"/>
  <c r="Z53" i="5"/>
  <c r="AA53" i="5" s="1"/>
  <c r="AB53" i="5" s="1"/>
  <c r="D53" i="5"/>
  <c r="E53" i="5"/>
  <c r="H52" i="5"/>
  <c r="I52" i="5" s="1"/>
  <c r="V52" i="5"/>
  <c r="W52" i="5" s="1"/>
  <c r="X52" i="5" s="1"/>
  <c r="Y52" i="5" s="1"/>
  <c r="Z52" i="5"/>
  <c r="AA52" i="5" s="1"/>
  <c r="AB52" i="5" s="1"/>
  <c r="D52" i="5"/>
  <c r="E52" i="5"/>
  <c r="H51" i="5"/>
  <c r="I51" i="5" s="1"/>
  <c r="V51" i="5"/>
  <c r="W51" i="5" s="1"/>
  <c r="X51" i="5" s="1"/>
  <c r="Y51" i="5" s="1"/>
  <c r="Z51" i="5"/>
  <c r="AA51" i="5" s="1"/>
  <c r="AB51" i="5" s="1"/>
  <c r="E51" i="5"/>
  <c r="D51" i="5"/>
  <c r="H50" i="5"/>
  <c r="I50" i="5" s="1"/>
  <c r="V50" i="5"/>
  <c r="W50" i="5" s="1"/>
  <c r="X50" i="5" s="1"/>
  <c r="Y50" i="5" s="1"/>
  <c r="Z50" i="5"/>
  <c r="AA50" i="5" s="1"/>
  <c r="AB50" i="5" s="1"/>
  <c r="E50" i="5"/>
  <c r="D50" i="5"/>
  <c r="H49" i="5"/>
  <c r="I49" i="5" s="1"/>
  <c r="V49" i="5"/>
  <c r="W49" i="5" s="1"/>
  <c r="X49" i="5" s="1"/>
  <c r="Y49" i="5" s="1"/>
  <c r="Z49" i="5"/>
  <c r="AA49" i="5" s="1"/>
  <c r="AB49" i="5" s="1"/>
  <c r="D49" i="5"/>
  <c r="E49" i="5"/>
  <c r="H48" i="5"/>
  <c r="I48" i="5" s="1"/>
  <c r="V48" i="5"/>
  <c r="W48" i="5" s="1"/>
  <c r="X48" i="5" s="1"/>
  <c r="Y48" i="5" s="1"/>
  <c r="Z48" i="5" s="1"/>
  <c r="AA48" i="5" s="1"/>
  <c r="AB48" i="5" s="1"/>
  <c r="D48" i="5"/>
  <c r="E48" i="5"/>
  <c r="H47" i="5"/>
  <c r="I47" i="5" s="1"/>
  <c r="V47" i="5"/>
  <c r="W47" i="5" s="1"/>
  <c r="X47" i="5" s="1"/>
  <c r="Y47" i="5" s="1"/>
  <c r="Z47" i="5"/>
  <c r="AA47" i="5" s="1"/>
  <c r="AB47" i="5" s="1"/>
  <c r="D47" i="5"/>
  <c r="E47" i="5"/>
  <c r="H46" i="5"/>
  <c r="I46" i="5" s="1"/>
  <c r="V46" i="5"/>
  <c r="W46" i="5" s="1"/>
  <c r="X46" i="5" s="1"/>
  <c r="Y46" i="5" s="1"/>
  <c r="Z46" i="5"/>
  <c r="AA46" i="5" s="1"/>
  <c r="AB46" i="5" s="1"/>
  <c r="O46" i="5"/>
  <c r="P46" i="5" s="1"/>
  <c r="Q46" i="5" s="1"/>
  <c r="R46" i="5" s="1"/>
  <c r="S46" i="5"/>
  <c r="T46" i="5" s="1"/>
  <c r="U46" i="5" s="1"/>
  <c r="H45" i="5"/>
  <c r="I45" i="5" s="1"/>
  <c r="V45" i="5"/>
  <c r="W45" i="5" s="1"/>
  <c r="X45" i="5" s="1"/>
  <c r="Y45" i="5" s="1"/>
  <c r="Z45" i="5" s="1"/>
  <c r="AA45" i="5" s="1"/>
  <c r="AB45" i="5" s="1"/>
  <c r="E45" i="5"/>
  <c r="D45" i="5"/>
  <c r="H44" i="5"/>
  <c r="I44" i="5" s="1"/>
  <c r="V44" i="5"/>
  <c r="W44" i="5" s="1"/>
  <c r="X44" i="5" s="1"/>
  <c r="Y44" i="5" s="1"/>
  <c r="Z44" i="5" s="1"/>
  <c r="AA44" i="5" s="1"/>
  <c r="AB44" i="5" s="1"/>
  <c r="E44" i="5"/>
  <c r="D44" i="5"/>
  <c r="H43" i="5"/>
  <c r="I43" i="5" s="1"/>
  <c r="V43" i="5"/>
  <c r="W43" i="5" s="1"/>
  <c r="X43" i="5" s="1"/>
  <c r="Y43" i="5" s="1"/>
  <c r="Z43" i="5"/>
  <c r="AA43" i="5" s="1"/>
  <c r="AB43" i="5" s="1"/>
  <c r="E43" i="5"/>
  <c r="D43" i="5"/>
  <c r="H42" i="5"/>
  <c r="I42" i="5" s="1"/>
  <c r="V42" i="5"/>
  <c r="W42" i="5" s="1"/>
  <c r="X42" i="5" s="1"/>
  <c r="Y42" i="5" s="1"/>
  <c r="Z42" i="5"/>
  <c r="AA42" i="5" s="1"/>
  <c r="AB42" i="5" s="1"/>
  <c r="E42" i="5"/>
  <c r="D42" i="5"/>
  <c r="H41" i="5"/>
  <c r="I41" i="5" s="1"/>
  <c r="V41" i="5"/>
  <c r="W41" i="5" s="1"/>
  <c r="X41" i="5" s="1"/>
  <c r="Y41" i="5" s="1"/>
  <c r="Z41" i="5"/>
  <c r="AA41" i="5" s="1"/>
  <c r="AB41" i="5" s="1"/>
  <c r="D41" i="5"/>
  <c r="E41" i="5"/>
  <c r="H40" i="5"/>
  <c r="I40" i="5" s="1"/>
  <c r="V40" i="5"/>
  <c r="W40" i="5" s="1"/>
  <c r="X40" i="5" s="1"/>
  <c r="Y40" i="5" s="1"/>
  <c r="Z40" i="5"/>
  <c r="AA40" i="5" s="1"/>
  <c r="AB40" i="5" s="1"/>
  <c r="D40" i="5"/>
  <c r="E40" i="5"/>
  <c r="H39" i="5"/>
  <c r="I39" i="5" s="1"/>
  <c r="V39" i="5"/>
  <c r="W39" i="5" s="1"/>
  <c r="X39" i="5" s="1"/>
  <c r="Y39" i="5" s="1"/>
  <c r="Z39" i="5"/>
  <c r="AA39" i="5" s="1"/>
  <c r="AB39" i="5" s="1"/>
  <c r="D39" i="5"/>
  <c r="E39" i="5"/>
  <c r="H38" i="5"/>
  <c r="I38" i="5" s="1"/>
  <c r="V38" i="5"/>
  <c r="W38" i="5" s="1"/>
  <c r="X38" i="5" s="1"/>
  <c r="Y38" i="5" s="1"/>
  <c r="Z38" i="5"/>
  <c r="AA38" i="5" s="1"/>
  <c r="AB38" i="5" s="1"/>
  <c r="E38" i="5"/>
  <c r="D38" i="5"/>
  <c r="H37" i="5"/>
  <c r="I37" i="5" s="1"/>
  <c r="V37" i="5"/>
  <c r="W37" i="5" s="1"/>
  <c r="X37" i="5" s="1"/>
  <c r="Y37" i="5" s="1"/>
  <c r="Z37" i="5" s="1"/>
  <c r="AA37" i="5" s="1"/>
  <c r="AB37" i="5" s="1"/>
  <c r="E37" i="5"/>
  <c r="D37" i="5"/>
  <c r="H36" i="5"/>
  <c r="I36" i="5" s="1"/>
  <c r="V36" i="5"/>
  <c r="W36" i="5" s="1"/>
  <c r="X36" i="5" s="1"/>
  <c r="Y36" i="5" s="1"/>
  <c r="Z36" i="5"/>
  <c r="AA36" i="5" s="1"/>
  <c r="AB36" i="5" s="1"/>
  <c r="E36" i="5"/>
  <c r="D36" i="5"/>
  <c r="H35" i="5"/>
  <c r="I35" i="5" s="1"/>
  <c r="V35" i="5"/>
  <c r="W35" i="5" s="1"/>
  <c r="X35" i="5" s="1"/>
  <c r="Y35" i="5" s="1"/>
  <c r="Z35" i="5" s="1"/>
  <c r="AA35" i="5" s="1"/>
  <c r="AB35" i="5" s="1"/>
  <c r="E35" i="5"/>
  <c r="D35" i="5"/>
  <c r="H34" i="5"/>
  <c r="I34" i="5" s="1"/>
  <c r="V34" i="5"/>
  <c r="W34" i="5" s="1"/>
  <c r="X34" i="5" s="1"/>
  <c r="Y34" i="5" s="1"/>
  <c r="Z34" i="5" s="1"/>
  <c r="AA34" i="5" s="1"/>
  <c r="AB34" i="5" s="1"/>
  <c r="E34" i="5"/>
  <c r="D34" i="5"/>
  <c r="H33" i="5"/>
  <c r="I33" i="5" s="1"/>
  <c r="V33" i="5"/>
  <c r="W33" i="5" s="1"/>
  <c r="X33" i="5" s="1"/>
  <c r="Y33" i="5" s="1"/>
  <c r="Z33" i="5" s="1"/>
  <c r="AA33" i="5" s="1"/>
  <c r="AB33" i="5" s="1"/>
  <c r="E33" i="5"/>
  <c r="D33" i="5"/>
  <c r="H32" i="5"/>
  <c r="I32" i="5" s="1"/>
  <c r="V32" i="5"/>
  <c r="W32" i="5" s="1"/>
  <c r="X32" i="5" s="1"/>
  <c r="Y32" i="5" s="1"/>
  <c r="Z32" i="5"/>
  <c r="AA32" i="5" s="1"/>
  <c r="AB32" i="5" s="1"/>
  <c r="D32" i="5"/>
  <c r="E32" i="5"/>
  <c r="H31" i="5"/>
  <c r="I31" i="5" s="1"/>
  <c r="V31" i="5"/>
  <c r="W31" i="5" s="1"/>
  <c r="X31" i="5" s="1"/>
  <c r="Y31" i="5" s="1"/>
  <c r="Z31" i="5" s="1"/>
  <c r="AA31" i="5" s="1"/>
  <c r="AB31" i="5" s="1"/>
  <c r="E31" i="5"/>
  <c r="D31" i="5"/>
  <c r="H30" i="5"/>
  <c r="I30" i="5" s="1"/>
  <c r="V30" i="5"/>
  <c r="W30" i="5" s="1"/>
  <c r="X30" i="5" s="1"/>
  <c r="Y30" i="5" s="1"/>
  <c r="Z30" i="5" s="1"/>
  <c r="AA30" i="5" s="1"/>
  <c r="AB30" i="5" s="1"/>
  <c r="E30" i="5"/>
  <c r="D30" i="5"/>
  <c r="H29" i="5"/>
  <c r="I29" i="5" s="1"/>
  <c r="V29" i="5"/>
  <c r="W29" i="5" s="1"/>
  <c r="X29" i="5" s="1"/>
  <c r="Y29" i="5" s="1"/>
  <c r="Z29" i="5"/>
  <c r="AA29" i="5" s="1"/>
  <c r="AB29" i="5" s="1"/>
  <c r="E29" i="5"/>
  <c r="D29" i="5"/>
  <c r="H28" i="5"/>
  <c r="I28" i="5" s="1"/>
  <c r="V28" i="5"/>
  <c r="W28" i="5" s="1"/>
  <c r="X28" i="5" s="1"/>
  <c r="Y28" i="5" s="1"/>
  <c r="Z28" i="5"/>
  <c r="AA28" i="5" s="1"/>
  <c r="AB28" i="5" s="1"/>
  <c r="D28" i="5"/>
  <c r="E28" i="5"/>
  <c r="H27" i="5"/>
  <c r="I27" i="5" s="1"/>
  <c r="V27" i="5"/>
  <c r="W27" i="5" s="1"/>
  <c r="X27" i="5" s="1"/>
  <c r="Y27" i="5" s="1"/>
  <c r="Z27" i="5" s="1"/>
  <c r="AA27" i="5" s="1"/>
  <c r="AB27" i="5" s="1"/>
  <c r="E27" i="5"/>
  <c r="D27" i="5"/>
  <c r="H26" i="5"/>
  <c r="I26" i="5" s="1"/>
  <c r="V26" i="5"/>
  <c r="W26" i="5" s="1"/>
  <c r="X26" i="5" s="1"/>
  <c r="Y26" i="5" s="1"/>
  <c r="Z26" i="5" s="1"/>
  <c r="AA26" i="5" s="1"/>
  <c r="AB26" i="5" s="1"/>
  <c r="E26" i="5"/>
  <c r="D26" i="5"/>
  <c r="H25" i="5"/>
  <c r="I25" i="5" s="1"/>
  <c r="V25" i="5"/>
  <c r="W25" i="5" s="1"/>
  <c r="X25" i="5" s="1"/>
  <c r="Y25" i="5" s="1"/>
  <c r="Z25" i="5" s="1"/>
  <c r="AA25" i="5" s="1"/>
  <c r="AB25" i="5" s="1"/>
  <c r="D25" i="5"/>
  <c r="E25" i="5"/>
  <c r="H24" i="5"/>
  <c r="I24" i="5" s="1"/>
  <c r="V24" i="5"/>
  <c r="W24" i="5" s="1"/>
  <c r="X24" i="5" s="1"/>
  <c r="Y24" i="5" s="1"/>
  <c r="Z24" i="5"/>
  <c r="AA24" i="5" s="1"/>
  <c r="AB24" i="5" s="1"/>
  <c r="D24" i="5"/>
  <c r="E24" i="5"/>
  <c r="H23" i="5"/>
  <c r="I23" i="5" s="1"/>
  <c r="V23" i="5"/>
  <c r="W23" i="5" s="1"/>
  <c r="X23" i="5" s="1"/>
  <c r="Y23" i="5" s="1"/>
  <c r="Z23" i="5" s="1"/>
  <c r="AA23" i="5" s="1"/>
  <c r="AB23" i="5" s="1"/>
  <c r="E23" i="5"/>
  <c r="D23" i="5"/>
  <c r="H22" i="5"/>
  <c r="I22" i="5" s="1"/>
  <c r="V22" i="5"/>
  <c r="W22" i="5" s="1"/>
  <c r="X22" i="5" s="1"/>
  <c r="Y22" i="5" s="1"/>
  <c r="Z22" i="5" s="1"/>
  <c r="AA22" i="5" s="1"/>
  <c r="AB22" i="5" s="1"/>
  <c r="E22" i="5"/>
  <c r="D22" i="5"/>
  <c r="H21" i="5"/>
  <c r="I21" i="5" s="1"/>
  <c r="V21" i="5"/>
  <c r="W21" i="5" s="1"/>
  <c r="X21" i="5" s="1"/>
  <c r="Y21" i="5" s="1"/>
  <c r="Z21" i="5" s="1"/>
  <c r="AA21" i="5" s="1"/>
  <c r="AB21" i="5" s="1"/>
  <c r="D21" i="5"/>
  <c r="E21" i="5"/>
  <c r="H20" i="5"/>
  <c r="I20" i="5" s="1"/>
  <c r="V20" i="5"/>
  <c r="W20" i="5" s="1"/>
  <c r="X20" i="5" s="1"/>
  <c r="Y20" i="5" s="1"/>
  <c r="Z20" i="5" s="1"/>
  <c r="AA20" i="5" s="1"/>
  <c r="AB20" i="5" s="1"/>
  <c r="E20" i="5"/>
  <c r="D20" i="5"/>
  <c r="H19" i="5"/>
  <c r="I19" i="5" s="1"/>
  <c r="V19" i="5"/>
  <c r="W19" i="5" s="1"/>
  <c r="X19" i="5" s="1"/>
  <c r="Y19" i="5" s="1"/>
  <c r="Z19" i="5" s="1"/>
  <c r="AA19" i="5" s="1"/>
  <c r="AB19" i="5" s="1"/>
  <c r="E19" i="5"/>
  <c r="D19" i="5"/>
  <c r="H18" i="5"/>
  <c r="I18" i="5" s="1"/>
  <c r="V18" i="5"/>
  <c r="W18" i="5" s="1"/>
  <c r="X18" i="5" s="1"/>
  <c r="Y18" i="5" s="1"/>
  <c r="Z18" i="5" s="1"/>
  <c r="AA18" i="5" s="1"/>
  <c r="AB18" i="5" s="1"/>
  <c r="E18" i="5"/>
  <c r="D18" i="5"/>
  <c r="H17" i="5"/>
  <c r="I17" i="5" s="1"/>
  <c r="V17" i="5"/>
  <c r="W17" i="5" s="1"/>
  <c r="X17" i="5" s="1"/>
  <c r="Y17" i="5" s="1"/>
  <c r="Z17" i="5"/>
  <c r="AA17" i="5" s="1"/>
  <c r="AB17" i="5" s="1"/>
  <c r="D17" i="5"/>
  <c r="E17" i="5"/>
  <c r="H16" i="5"/>
  <c r="I16" i="5" s="1"/>
  <c r="V16" i="5"/>
  <c r="W16" i="5" s="1"/>
  <c r="X16" i="5" s="1"/>
  <c r="Y16" i="5" s="1"/>
  <c r="Z16" i="5"/>
  <c r="AA16" i="5" s="1"/>
  <c r="AB16" i="5" s="1"/>
  <c r="D16" i="5"/>
  <c r="E16" i="5"/>
  <c r="H15" i="5"/>
  <c r="I15" i="5" s="1"/>
  <c r="V15" i="5"/>
  <c r="W15" i="5" s="1"/>
  <c r="X15" i="5" s="1"/>
  <c r="Y15" i="5" s="1"/>
  <c r="Z15" i="5"/>
  <c r="AA15" i="5" s="1"/>
  <c r="AB15" i="5" s="1"/>
  <c r="E15" i="5"/>
  <c r="D15" i="5"/>
  <c r="H14" i="5"/>
  <c r="I14" i="5" s="1"/>
  <c r="V14" i="5"/>
  <c r="W14" i="5" s="1"/>
  <c r="X14" i="5" s="1"/>
  <c r="Y14" i="5" s="1"/>
  <c r="Z14" i="5" s="1"/>
  <c r="AA14" i="5" s="1"/>
  <c r="AB14" i="5" s="1"/>
  <c r="D14" i="5"/>
  <c r="E14" i="5"/>
  <c r="H13" i="5"/>
  <c r="I13" i="5" s="1"/>
  <c r="V13" i="5"/>
  <c r="W13" i="5" s="1"/>
  <c r="X13" i="5" s="1"/>
  <c r="Y13" i="5" s="1"/>
  <c r="Z13" i="5"/>
  <c r="AA13" i="5" s="1"/>
  <c r="AB13" i="5" s="1"/>
  <c r="D13" i="5"/>
  <c r="E13" i="5"/>
  <c r="H12" i="5"/>
  <c r="I12" i="5" s="1"/>
  <c r="V12" i="5"/>
  <c r="W12" i="5" s="1"/>
  <c r="X12" i="5" s="1"/>
  <c r="Y12" i="5" s="1"/>
  <c r="Z12" i="5" s="1"/>
  <c r="AA12" i="5" s="1"/>
  <c r="AB12" i="5" s="1"/>
  <c r="D12" i="5"/>
  <c r="E12" i="5"/>
  <c r="H11" i="5"/>
  <c r="I11" i="5" s="1"/>
  <c r="V11" i="5"/>
  <c r="W11" i="5" s="1"/>
  <c r="X11" i="5" s="1"/>
  <c r="Y11" i="5" s="1"/>
  <c r="Z11" i="5" s="1"/>
  <c r="AA11" i="5" s="1"/>
  <c r="AB11" i="5" s="1"/>
  <c r="E11" i="5"/>
  <c r="D11" i="5"/>
  <c r="H10" i="5"/>
  <c r="I10" i="5" s="1"/>
  <c r="V10" i="5"/>
  <c r="W10" i="5" s="1"/>
  <c r="X10" i="5" s="1"/>
  <c r="Y10" i="5" s="1"/>
  <c r="Z10" i="5"/>
  <c r="AA10" i="5" s="1"/>
  <c r="AB10" i="5" s="1"/>
  <c r="D10" i="5"/>
  <c r="E10" i="5"/>
  <c r="H9" i="5"/>
  <c r="I9" i="5" s="1"/>
  <c r="V9" i="5"/>
  <c r="W9" i="5" s="1"/>
  <c r="X9" i="5" s="1"/>
  <c r="Y9" i="5" s="1"/>
  <c r="Z9" i="5"/>
  <c r="AA9" i="5" s="1"/>
  <c r="AB9" i="5" s="1"/>
  <c r="E9" i="5"/>
  <c r="D9" i="5"/>
  <c r="H8" i="5"/>
  <c r="I8" i="5" s="1"/>
  <c r="V8" i="5"/>
  <c r="W8" i="5" s="1"/>
  <c r="X8" i="5" s="1"/>
  <c r="Y8" i="5" s="1"/>
  <c r="Z8" i="5" s="1"/>
  <c r="AA8" i="5" s="1"/>
  <c r="AB8" i="5" s="1"/>
  <c r="D8" i="5"/>
  <c r="E8" i="5"/>
  <c r="H7" i="5"/>
  <c r="I7" i="5" s="1"/>
  <c r="V7" i="5"/>
  <c r="W7" i="5" s="1"/>
  <c r="X7" i="5" s="1"/>
  <c r="Y7" i="5" s="1"/>
  <c r="Z7" i="5"/>
  <c r="AA7" i="5" s="1"/>
  <c r="AB7" i="5" s="1"/>
  <c r="D7" i="5"/>
  <c r="E7" i="5"/>
  <c r="H6" i="5"/>
  <c r="I6" i="5" s="1"/>
  <c r="V6" i="5"/>
  <c r="W6" i="5" s="1"/>
  <c r="X6" i="5" s="1"/>
  <c r="Y6" i="5" s="1"/>
  <c r="Z6" i="5"/>
  <c r="AA6" i="5" s="1"/>
  <c r="AB6" i="5" s="1"/>
  <c r="E6" i="5"/>
  <c r="D6" i="5"/>
  <c r="H5" i="5"/>
  <c r="I5" i="5" s="1"/>
  <c r="V5" i="5"/>
  <c r="W5" i="5" s="1"/>
  <c r="X5" i="5" s="1"/>
  <c r="Y5" i="5" s="1"/>
  <c r="Z5" i="5" s="1"/>
  <c r="AA5" i="5" s="1"/>
  <c r="AB5" i="5" s="1"/>
  <c r="D5" i="5"/>
  <c r="E5" i="5"/>
  <c r="D19" i="4"/>
  <c r="D20" i="4" s="1"/>
  <c r="D22" i="4" s="1"/>
  <c r="D23" i="4" s="1"/>
  <c r="D10" i="4"/>
  <c r="D11" i="4" s="1"/>
  <c r="D13" i="4" s="1"/>
  <c r="D14" i="4" s="1"/>
  <c r="D28" i="4"/>
  <c r="D29" i="4" s="1"/>
  <c r="D31" i="4" s="1"/>
  <c r="D32" i="4" s="1"/>
  <c r="C11" i="4"/>
  <c r="C13" i="4" s="1"/>
  <c r="C28" i="4"/>
  <c r="C29" i="4" s="1"/>
  <c r="C31" i="4" s="1"/>
  <c r="C19" i="4"/>
  <c r="C20" i="4" s="1"/>
  <c r="C22" i="4" s="1"/>
  <c r="B19" i="4"/>
  <c r="B20" i="4" s="1"/>
  <c r="B22" i="4" s="1"/>
  <c r="B23" i="4" s="1"/>
  <c r="B10" i="4"/>
  <c r="B11" i="4" s="1"/>
  <c r="B13" i="4" s="1"/>
  <c r="B14" i="4" s="1"/>
  <c r="B28" i="4"/>
  <c r="B29" i="4" s="1"/>
  <c r="B31" i="4" s="1"/>
  <c r="B32" i="4" s="1"/>
  <c r="E40" i="4"/>
  <c r="E41" i="4"/>
  <c r="J946" i="5" l="1"/>
  <c r="K946" i="5" s="1"/>
  <c r="L946" i="5" s="1"/>
  <c r="M946" i="5" s="1"/>
  <c r="N946" i="5"/>
  <c r="O946" i="5"/>
  <c r="P946" i="5" s="1"/>
  <c r="S946" i="5"/>
  <c r="T946" i="5" s="1"/>
  <c r="J945" i="5"/>
  <c r="K945" i="5" s="1"/>
  <c r="L945" i="5" s="1"/>
  <c r="M945" i="5" s="1"/>
  <c r="N945" i="5"/>
  <c r="O945" i="5"/>
  <c r="P945" i="5" s="1"/>
  <c r="S945" i="5"/>
  <c r="T945" i="5" s="1"/>
  <c r="O944" i="5"/>
  <c r="P944" i="5" s="1"/>
  <c r="J943" i="5"/>
  <c r="K943" i="5" s="1"/>
  <c r="L943" i="5" s="1"/>
  <c r="M943" i="5" s="1"/>
  <c r="O943" i="5"/>
  <c r="P943" i="5" s="1"/>
  <c r="S943" i="5"/>
  <c r="T943" i="5" s="1"/>
  <c r="U943" i="5" s="1"/>
  <c r="J942" i="5"/>
  <c r="K942" i="5" s="1"/>
  <c r="L942" i="5" s="1"/>
  <c r="M942" i="5" s="1"/>
  <c r="N942" i="5"/>
  <c r="O942" i="5"/>
  <c r="P942" i="5" s="1"/>
  <c r="J941" i="5"/>
  <c r="K941" i="5" s="1"/>
  <c r="L941" i="5" s="1"/>
  <c r="M941" i="5" s="1"/>
  <c r="N941" i="5"/>
  <c r="O941" i="5"/>
  <c r="P941" i="5" s="1"/>
  <c r="S941" i="5"/>
  <c r="T941" i="5" s="1"/>
  <c r="J940" i="5"/>
  <c r="K940" i="5" s="1"/>
  <c r="L940" i="5" s="1"/>
  <c r="M940" i="5" s="1"/>
  <c r="N940" i="5"/>
  <c r="O940" i="5"/>
  <c r="P940" i="5" s="1"/>
  <c r="S940" i="5"/>
  <c r="T940" i="5" s="1"/>
  <c r="J939" i="5"/>
  <c r="K939" i="5" s="1"/>
  <c r="L939" i="5" s="1"/>
  <c r="M939" i="5" s="1"/>
  <c r="O939" i="5"/>
  <c r="P939" i="5" s="1"/>
  <c r="J938" i="5"/>
  <c r="K938" i="5" s="1"/>
  <c r="L938" i="5" s="1"/>
  <c r="M938" i="5" s="1"/>
  <c r="N938" i="5"/>
  <c r="O938" i="5"/>
  <c r="P938" i="5" s="1"/>
  <c r="S938" i="5"/>
  <c r="T938" i="5" s="1"/>
  <c r="J937" i="5"/>
  <c r="K937" i="5" s="1"/>
  <c r="L937" i="5" s="1"/>
  <c r="M937" i="5" s="1"/>
  <c r="N937" i="5"/>
  <c r="O937" i="5"/>
  <c r="P937" i="5" s="1"/>
  <c r="S937" i="5"/>
  <c r="T937" i="5" s="1"/>
  <c r="J936" i="5"/>
  <c r="K936" i="5" s="1"/>
  <c r="L936" i="5" s="1"/>
  <c r="M936" i="5" s="1"/>
  <c r="O936" i="5"/>
  <c r="P936" i="5" s="1"/>
  <c r="S936" i="5"/>
  <c r="T936" i="5" s="1"/>
  <c r="U936" i="5" s="1"/>
  <c r="J935" i="5"/>
  <c r="K935" i="5" s="1"/>
  <c r="L935" i="5" s="1"/>
  <c r="M935" i="5" s="1"/>
  <c r="O935" i="5"/>
  <c r="P935" i="5" s="1"/>
  <c r="S935" i="5"/>
  <c r="T935" i="5" s="1"/>
  <c r="U935" i="5" s="1"/>
  <c r="J934" i="5"/>
  <c r="K934" i="5" s="1"/>
  <c r="L934" i="5" s="1"/>
  <c r="M934" i="5" s="1"/>
  <c r="O934" i="5"/>
  <c r="P934" i="5" s="1"/>
  <c r="J933" i="5"/>
  <c r="K933" i="5" s="1"/>
  <c r="L933" i="5" s="1"/>
  <c r="M933" i="5" s="1"/>
  <c r="O933" i="5"/>
  <c r="P933" i="5" s="1"/>
  <c r="S933" i="5"/>
  <c r="T933" i="5" s="1"/>
  <c r="U933" i="5" s="1"/>
  <c r="J932" i="5"/>
  <c r="K932" i="5" s="1"/>
  <c r="L932" i="5" s="1"/>
  <c r="M932" i="5" s="1"/>
  <c r="O932" i="5"/>
  <c r="P932" i="5" s="1"/>
  <c r="S932" i="5"/>
  <c r="T932" i="5" s="1"/>
  <c r="U932" i="5" s="1"/>
  <c r="J931" i="5"/>
  <c r="K931" i="5" s="1"/>
  <c r="L931" i="5" s="1"/>
  <c r="M931" i="5" s="1"/>
  <c r="O931" i="5"/>
  <c r="P931" i="5" s="1"/>
  <c r="J930" i="5"/>
  <c r="K930" i="5" s="1"/>
  <c r="L930" i="5" s="1"/>
  <c r="M930" i="5" s="1"/>
  <c r="N930" i="5"/>
  <c r="O930" i="5"/>
  <c r="P930" i="5" s="1"/>
  <c r="J929" i="5"/>
  <c r="K929" i="5" s="1"/>
  <c r="L929" i="5" s="1"/>
  <c r="M929" i="5" s="1"/>
  <c r="N929" i="5"/>
  <c r="O929" i="5"/>
  <c r="P929" i="5" s="1"/>
  <c r="S929" i="5"/>
  <c r="T929" i="5" s="1"/>
  <c r="J928" i="5"/>
  <c r="K928" i="5" s="1"/>
  <c r="L928" i="5" s="1"/>
  <c r="M928" i="5" s="1"/>
  <c r="O928" i="5"/>
  <c r="P928" i="5" s="1"/>
  <c r="J927" i="5"/>
  <c r="K927" i="5" s="1"/>
  <c r="L927" i="5" s="1"/>
  <c r="M927" i="5" s="1"/>
  <c r="N927" i="5"/>
  <c r="O927" i="5"/>
  <c r="P927" i="5" s="1"/>
  <c r="S927" i="5"/>
  <c r="T927" i="5" s="1"/>
  <c r="J926" i="5"/>
  <c r="K926" i="5" s="1"/>
  <c r="L926" i="5" s="1"/>
  <c r="M926" i="5" s="1"/>
  <c r="O926" i="5"/>
  <c r="P926" i="5" s="1"/>
  <c r="S926" i="5"/>
  <c r="T926" i="5" s="1"/>
  <c r="U926" i="5" s="1"/>
  <c r="J925" i="5"/>
  <c r="K925" i="5" s="1"/>
  <c r="L925" i="5" s="1"/>
  <c r="M925" i="5" s="1"/>
  <c r="O925" i="5"/>
  <c r="P925" i="5" s="1"/>
  <c r="S925" i="5"/>
  <c r="T925" i="5" s="1"/>
  <c r="U925" i="5" s="1"/>
  <c r="J924" i="5"/>
  <c r="K924" i="5" s="1"/>
  <c r="L924" i="5" s="1"/>
  <c r="M924" i="5" s="1"/>
  <c r="O924" i="5"/>
  <c r="P924" i="5" s="1"/>
  <c r="S924" i="5"/>
  <c r="T924" i="5" s="1"/>
  <c r="U924" i="5" s="1"/>
  <c r="J923" i="5"/>
  <c r="K923" i="5" s="1"/>
  <c r="L923" i="5" s="1"/>
  <c r="M923" i="5" s="1"/>
  <c r="N923" i="5"/>
  <c r="O923" i="5"/>
  <c r="P923" i="5" s="1"/>
  <c r="J922" i="5"/>
  <c r="K922" i="5" s="1"/>
  <c r="L922" i="5" s="1"/>
  <c r="M922" i="5" s="1"/>
  <c r="O922" i="5"/>
  <c r="P922" i="5" s="1"/>
  <c r="J921" i="5"/>
  <c r="K921" i="5" s="1"/>
  <c r="L921" i="5" s="1"/>
  <c r="M921" i="5" s="1"/>
  <c r="O921" i="5"/>
  <c r="P921" i="5" s="1"/>
  <c r="S921" i="5"/>
  <c r="T921" i="5" s="1"/>
  <c r="U921" i="5" s="1"/>
  <c r="J920" i="5"/>
  <c r="K920" i="5" s="1"/>
  <c r="L920" i="5" s="1"/>
  <c r="M920" i="5" s="1"/>
  <c r="N920" i="5"/>
  <c r="O920" i="5"/>
  <c r="P920" i="5" s="1"/>
  <c r="S920" i="5"/>
  <c r="T920" i="5" s="1"/>
  <c r="J919" i="5"/>
  <c r="K919" i="5" s="1"/>
  <c r="L919" i="5" s="1"/>
  <c r="M919" i="5" s="1"/>
  <c r="O919" i="5"/>
  <c r="P919" i="5" s="1"/>
  <c r="S919" i="5"/>
  <c r="T919" i="5" s="1"/>
  <c r="U919" i="5" s="1"/>
  <c r="J918" i="5"/>
  <c r="K918" i="5" s="1"/>
  <c r="L918" i="5" s="1"/>
  <c r="M918" i="5" s="1"/>
  <c r="O918" i="5"/>
  <c r="P918" i="5" s="1"/>
  <c r="S918" i="5"/>
  <c r="T918" i="5" s="1"/>
  <c r="U918" i="5" s="1"/>
  <c r="J917" i="5"/>
  <c r="K917" i="5" s="1"/>
  <c r="L917" i="5" s="1"/>
  <c r="M917" i="5" s="1"/>
  <c r="O917" i="5"/>
  <c r="P917" i="5" s="1"/>
  <c r="S917" i="5"/>
  <c r="T917" i="5" s="1"/>
  <c r="U917" i="5" s="1"/>
  <c r="J916" i="5"/>
  <c r="K916" i="5" s="1"/>
  <c r="L916" i="5" s="1"/>
  <c r="M916" i="5" s="1"/>
  <c r="O916" i="5"/>
  <c r="P916" i="5" s="1"/>
  <c r="J915" i="5"/>
  <c r="K915" i="5" s="1"/>
  <c r="L915" i="5" s="1"/>
  <c r="M915" i="5" s="1"/>
  <c r="O915" i="5"/>
  <c r="P915" i="5" s="1"/>
  <c r="J914" i="5"/>
  <c r="K914" i="5" s="1"/>
  <c r="L914" i="5" s="1"/>
  <c r="M914" i="5" s="1"/>
  <c r="N914" i="5"/>
  <c r="O914" i="5"/>
  <c r="P914" i="5" s="1"/>
  <c r="S914" i="5"/>
  <c r="T914" i="5" s="1"/>
  <c r="J913" i="5"/>
  <c r="K913" i="5" s="1"/>
  <c r="L913" i="5" s="1"/>
  <c r="M913" i="5" s="1"/>
  <c r="N913" i="5"/>
  <c r="O913" i="5"/>
  <c r="P913" i="5" s="1"/>
  <c r="S913" i="5"/>
  <c r="T913" i="5" s="1"/>
  <c r="J912" i="5"/>
  <c r="K912" i="5" s="1"/>
  <c r="L912" i="5" s="1"/>
  <c r="M912" i="5" s="1"/>
  <c r="O912" i="5"/>
  <c r="P912" i="5" s="1"/>
  <c r="J911" i="5"/>
  <c r="K911" i="5" s="1"/>
  <c r="L911" i="5" s="1"/>
  <c r="M911" i="5" s="1"/>
  <c r="N911" i="5"/>
  <c r="O911" i="5"/>
  <c r="P911" i="5" s="1"/>
  <c r="J910" i="5"/>
  <c r="K910" i="5" s="1"/>
  <c r="L910" i="5" s="1"/>
  <c r="M910" i="5" s="1"/>
  <c r="O910" i="5"/>
  <c r="P910" i="5" s="1"/>
  <c r="S910" i="5"/>
  <c r="T910" i="5" s="1"/>
  <c r="U910" i="5" s="1"/>
  <c r="J909" i="5"/>
  <c r="K909" i="5" s="1"/>
  <c r="L909" i="5" s="1"/>
  <c r="M909" i="5" s="1"/>
  <c r="N909" i="5"/>
  <c r="O909" i="5"/>
  <c r="P909" i="5" s="1"/>
  <c r="J908" i="5"/>
  <c r="K908" i="5" s="1"/>
  <c r="L908" i="5" s="1"/>
  <c r="M908" i="5" s="1"/>
  <c r="O908" i="5"/>
  <c r="P908" i="5" s="1"/>
  <c r="S908" i="5"/>
  <c r="T908" i="5" s="1"/>
  <c r="U908" i="5" s="1"/>
  <c r="O907" i="5"/>
  <c r="P907" i="5" s="1"/>
  <c r="J906" i="5"/>
  <c r="K906" i="5" s="1"/>
  <c r="L906" i="5" s="1"/>
  <c r="M906" i="5" s="1"/>
  <c r="N906" i="5"/>
  <c r="O906" i="5"/>
  <c r="P906" i="5" s="1"/>
  <c r="J905" i="5"/>
  <c r="K905" i="5" s="1"/>
  <c r="L905" i="5" s="1"/>
  <c r="M905" i="5" s="1"/>
  <c r="N905" i="5"/>
  <c r="O905" i="5"/>
  <c r="P905" i="5" s="1"/>
  <c r="J904" i="5"/>
  <c r="K904" i="5" s="1"/>
  <c r="L904" i="5" s="1"/>
  <c r="M904" i="5" s="1"/>
  <c r="O904" i="5"/>
  <c r="P904" i="5" s="1"/>
  <c r="J903" i="5"/>
  <c r="K903" i="5" s="1"/>
  <c r="L903" i="5" s="1"/>
  <c r="M903" i="5" s="1"/>
  <c r="N903" i="5"/>
  <c r="O903" i="5"/>
  <c r="P903" i="5" s="1"/>
  <c r="S903" i="5"/>
  <c r="T903" i="5" s="1"/>
  <c r="J902" i="5"/>
  <c r="K902" i="5" s="1"/>
  <c r="L902" i="5" s="1"/>
  <c r="M902" i="5" s="1"/>
  <c r="O902" i="5"/>
  <c r="P902" i="5" s="1"/>
  <c r="J901" i="5"/>
  <c r="K901" i="5" s="1"/>
  <c r="L901" i="5" s="1"/>
  <c r="M901" i="5" s="1"/>
  <c r="N901" i="5"/>
  <c r="O901" i="5"/>
  <c r="P901" i="5" s="1"/>
  <c r="S901" i="5"/>
  <c r="T901" i="5" s="1"/>
  <c r="J900" i="5"/>
  <c r="K900" i="5" s="1"/>
  <c r="L900" i="5" s="1"/>
  <c r="M900" i="5" s="1"/>
  <c r="N900" i="5"/>
  <c r="O900" i="5"/>
  <c r="P900" i="5" s="1"/>
  <c r="S900" i="5"/>
  <c r="T900" i="5" s="1"/>
  <c r="J899" i="5"/>
  <c r="K899" i="5" s="1"/>
  <c r="L899" i="5" s="1"/>
  <c r="M899" i="5" s="1"/>
  <c r="N899" i="5"/>
  <c r="O899" i="5"/>
  <c r="P899" i="5" s="1"/>
  <c r="S899" i="5"/>
  <c r="T899" i="5" s="1"/>
  <c r="J898" i="5"/>
  <c r="K898" i="5" s="1"/>
  <c r="L898" i="5" s="1"/>
  <c r="M898" i="5" s="1"/>
  <c r="N898" i="5"/>
  <c r="O898" i="5"/>
  <c r="P898" i="5" s="1"/>
  <c r="S898" i="5"/>
  <c r="T898" i="5" s="1"/>
  <c r="J897" i="5"/>
  <c r="K897" i="5" s="1"/>
  <c r="L897" i="5" s="1"/>
  <c r="M897" i="5" s="1"/>
  <c r="O897" i="5"/>
  <c r="P897" i="5" s="1"/>
  <c r="J896" i="5"/>
  <c r="K896" i="5" s="1"/>
  <c r="L896" i="5" s="1"/>
  <c r="M896" i="5" s="1"/>
  <c r="O896" i="5"/>
  <c r="P896" i="5" s="1"/>
  <c r="J895" i="5"/>
  <c r="K895" i="5" s="1"/>
  <c r="L895" i="5" s="1"/>
  <c r="M895" i="5" s="1"/>
  <c r="O895" i="5"/>
  <c r="P895" i="5" s="1"/>
  <c r="J894" i="5"/>
  <c r="K894" i="5" s="1"/>
  <c r="L894" i="5" s="1"/>
  <c r="M894" i="5" s="1"/>
  <c r="N894" i="5"/>
  <c r="O894" i="5"/>
  <c r="P894" i="5" s="1"/>
  <c r="S894" i="5"/>
  <c r="T894" i="5" s="1"/>
  <c r="J893" i="5"/>
  <c r="K893" i="5" s="1"/>
  <c r="L893" i="5" s="1"/>
  <c r="M893" i="5" s="1"/>
  <c r="O893" i="5"/>
  <c r="P893" i="5" s="1"/>
  <c r="J892" i="5"/>
  <c r="K892" i="5" s="1"/>
  <c r="L892" i="5" s="1"/>
  <c r="M892" i="5" s="1"/>
  <c r="O892" i="5"/>
  <c r="P892" i="5" s="1"/>
  <c r="J891" i="5"/>
  <c r="K891" i="5" s="1"/>
  <c r="L891" i="5" s="1"/>
  <c r="M891" i="5" s="1"/>
  <c r="O891" i="5"/>
  <c r="P891" i="5" s="1"/>
  <c r="J890" i="5"/>
  <c r="K890" i="5" s="1"/>
  <c r="L890" i="5" s="1"/>
  <c r="M890" i="5" s="1"/>
  <c r="O890" i="5"/>
  <c r="P890" i="5" s="1"/>
  <c r="J889" i="5"/>
  <c r="K889" i="5" s="1"/>
  <c r="L889" i="5" s="1"/>
  <c r="M889" i="5" s="1"/>
  <c r="O889" i="5"/>
  <c r="P889" i="5" s="1"/>
  <c r="J888" i="5"/>
  <c r="K888" i="5" s="1"/>
  <c r="L888" i="5" s="1"/>
  <c r="M888" i="5" s="1"/>
  <c r="O888" i="5"/>
  <c r="P888" i="5" s="1"/>
  <c r="J887" i="5"/>
  <c r="K887" i="5" s="1"/>
  <c r="L887" i="5" s="1"/>
  <c r="M887" i="5" s="1"/>
  <c r="O887" i="5"/>
  <c r="P887" i="5" s="1"/>
  <c r="J886" i="5"/>
  <c r="K886" i="5" s="1"/>
  <c r="L886" i="5" s="1"/>
  <c r="M886" i="5" s="1"/>
  <c r="N886" i="5"/>
  <c r="O886" i="5"/>
  <c r="P886" i="5" s="1"/>
  <c r="S886" i="5"/>
  <c r="T886" i="5" s="1"/>
  <c r="J885" i="5"/>
  <c r="K885" i="5" s="1"/>
  <c r="L885" i="5" s="1"/>
  <c r="M885" i="5" s="1"/>
  <c r="O885" i="5"/>
  <c r="P885" i="5" s="1"/>
  <c r="S885" i="5"/>
  <c r="T885" i="5" s="1"/>
  <c r="U885" i="5" s="1"/>
  <c r="J884" i="5"/>
  <c r="K884" i="5" s="1"/>
  <c r="L884" i="5" s="1"/>
  <c r="M884" i="5" s="1"/>
  <c r="O884" i="5"/>
  <c r="P884" i="5" s="1"/>
  <c r="S884" i="5"/>
  <c r="T884" i="5" s="1"/>
  <c r="U884" i="5" s="1"/>
  <c r="J883" i="5"/>
  <c r="K883" i="5" s="1"/>
  <c r="L883" i="5" s="1"/>
  <c r="M883" i="5" s="1"/>
  <c r="N883" i="5"/>
  <c r="O883" i="5"/>
  <c r="P883" i="5" s="1"/>
  <c r="S883" i="5"/>
  <c r="T883" i="5" s="1"/>
  <c r="J882" i="5"/>
  <c r="K882" i="5" s="1"/>
  <c r="L882" i="5" s="1"/>
  <c r="M882" i="5" s="1"/>
  <c r="N882" i="5"/>
  <c r="O882" i="5"/>
  <c r="P882" i="5" s="1"/>
  <c r="S882" i="5"/>
  <c r="T882" i="5" s="1"/>
  <c r="J881" i="5"/>
  <c r="K881" i="5" s="1"/>
  <c r="L881" i="5" s="1"/>
  <c r="M881" i="5" s="1"/>
  <c r="N881" i="5"/>
  <c r="O881" i="5"/>
  <c r="P881" i="5" s="1"/>
  <c r="S881" i="5"/>
  <c r="T881" i="5" s="1"/>
  <c r="J880" i="5"/>
  <c r="K880" i="5" s="1"/>
  <c r="L880" i="5" s="1"/>
  <c r="M880" i="5" s="1"/>
  <c r="O880" i="5"/>
  <c r="P880" i="5" s="1"/>
  <c r="S880" i="5"/>
  <c r="T880" i="5" s="1"/>
  <c r="U880" i="5" s="1"/>
  <c r="J879" i="5"/>
  <c r="K879" i="5" s="1"/>
  <c r="L879" i="5" s="1"/>
  <c r="M879" i="5" s="1"/>
  <c r="N879" i="5"/>
  <c r="O879" i="5"/>
  <c r="P879" i="5" s="1"/>
  <c r="S879" i="5"/>
  <c r="T879" i="5" s="1"/>
  <c r="J878" i="5"/>
  <c r="K878" i="5" s="1"/>
  <c r="L878" i="5" s="1"/>
  <c r="M878" i="5" s="1"/>
  <c r="O878" i="5"/>
  <c r="P878" i="5" s="1"/>
  <c r="S878" i="5"/>
  <c r="T878" i="5" s="1"/>
  <c r="U878" i="5" s="1"/>
  <c r="J877" i="5"/>
  <c r="K877" i="5" s="1"/>
  <c r="L877" i="5" s="1"/>
  <c r="M877" i="5" s="1"/>
  <c r="N877" i="5"/>
  <c r="O877" i="5"/>
  <c r="P877" i="5" s="1"/>
  <c r="S877" i="5"/>
  <c r="T877" i="5" s="1"/>
  <c r="J876" i="5"/>
  <c r="K876" i="5" s="1"/>
  <c r="L876" i="5" s="1"/>
  <c r="M876" i="5" s="1"/>
  <c r="O876" i="5"/>
  <c r="P876" i="5" s="1"/>
  <c r="S876" i="5"/>
  <c r="T876" i="5" s="1"/>
  <c r="U876" i="5" s="1"/>
  <c r="J875" i="5"/>
  <c r="K875" i="5" s="1"/>
  <c r="L875" i="5" s="1"/>
  <c r="M875" i="5" s="1"/>
  <c r="O875" i="5"/>
  <c r="P875" i="5" s="1"/>
  <c r="S875" i="5"/>
  <c r="T875" i="5" s="1"/>
  <c r="U875" i="5" s="1"/>
  <c r="J874" i="5"/>
  <c r="K874" i="5" s="1"/>
  <c r="L874" i="5" s="1"/>
  <c r="M874" i="5" s="1"/>
  <c r="O874" i="5"/>
  <c r="P874" i="5" s="1"/>
  <c r="S874" i="5"/>
  <c r="T874" i="5" s="1"/>
  <c r="U874" i="5" s="1"/>
  <c r="J873" i="5"/>
  <c r="K873" i="5" s="1"/>
  <c r="L873" i="5" s="1"/>
  <c r="M873" i="5" s="1"/>
  <c r="O873" i="5"/>
  <c r="P873" i="5" s="1"/>
  <c r="S873" i="5"/>
  <c r="T873" i="5" s="1"/>
  <c r="U873" i="5" s="1"/>
  <c r="J872" i="5"/>
  <c r="K872" i="5" s="1"/>
  <c r="L872" i="5" s="1"/>
  <c r="M872" i="5" s="1"/>
  <c r="N872" i="5"/>
  <c r="O872" i="5"/>
  <c r="P872" i="5" s="1"/>
  <c r="S872" i="5"/>
  <c r="T872" i="5" s="1"/>
  <c r="J871" i="5"/>
  <c r="K871" i="5" s="1"/>
  <c r="L871" i="5" s="1"/>
  <c r="M871" i="5" s="1"/>
  <c r="N871" i="5"/>
  <c r="O871" i="5"/>
  <c r="P871" i="5" s="1"/>
  <c r="S871" i="5"/>
  <c r="T871" i="5" s="1"/>
  <c r="J870" i="5"/>
  <c r="K870" i="5" s="1"/>
  <c r="L870" i="5" s="1"/>
  <c r="M870" i="5" s="1"/>
  <c r="N870" i="5"/>
  <c r="O870" i="5"/>
  <c r="P870" i="5" s="1"/>
  <c r="S870" i="5"/>
  <c r="T870" i="5" s="1"/>
  <c r="J869" i="5"/>
  <c r="K869" i="5" s="1"/>
  <c r="L869" i="5" s="1"/>
  <c r="M869" i="5" s="1"/>
  <c r="O869" i="5"/>
  <c r="P869" i="5" s="1"/>
  <c r="S869" i="5"/>
  <c r="T869" i="5" s="1"/>
  <c r="U869" i="5" s="1"/>
  <c r="J868" i="5"/>
  <c r="K868" i="5" s="1"/>
  <c r="L868" i="5" s="1"/>
  <c r="M868" i="5" s="1"/>
  <c r="O868" i="5"/>
  <c r="P868" i="5" s="1"/>
  <c r="S868" i="5"/>
  <c r="T868" i="5" s="1"/>
  <c r="U868" i="5" s="1"/>
  <c r="J867" i="5"/>
  <c r="K867" i="5" s="1"/>
  <c r="L867" i="5" s="1"/>
  <c r="M867" i="5" s="1"/>
  <c r="O867" i="5"/>
  <c r="P867" i="5" s="1"/>
  <c r="S867" i="5"/>
  <c r="T867" i="5" s="1"/>
  <c r="U867" i="5" s="1"/>
  <c r="J866" i="5"/>
  <c r="K866" i="5" s="1"/>
  <c r="L866" i="5" s="1"/>
  <c r="M866" i="5" s="1"/>
  <c r="O866" i="5"/>
  <c r="P866" i="5" s="1"/>
  <c r="S866" i="5"/>
  <c r="T866" i="5" s="1"/>
  <c r="U866" i="5" s="1"/>
  <c r="J865" i="5"/>
  <c r="K865" i="5" s="1"/>
  <c r="L865" i="5" s="1"/>
  <c r="M865" i="5" s="1"/>
  <c r="O865" i="5"/>
  <c r="P865" i="5" s="1"/>
  <c r="S865" i="5"/>
  <c r="T865" i="5" s="1"/>
  <c r="U865" i="5" s="1"/>
  <c r="J864" i="5"/>
  <c r="K864" i="5" s="1"/>
  <c r="L864" i="5" s="1"/>
  <c r="M864" i="5" s="1"/>
  <c r="O864" i="5"/>
  <c r="P864" i="5" s="1"/>
  <c r="S864" i="5"/>
  <c r="T864" i="5" s="1"/>
  <c r="U864" i="5" s="1"/>
  <c r="J863" i="5"/>
  <c r="K863" i="5" s="1"/>
  <c r="L863" i="5" s="1"/>
  <c r="M863" i="5" s="1"/>
  <c r="O863" i="5"/>
  <c r="P863" i="5" s="1"/>
  <c r="S863" i="5"/>
  <c r="T863" i="5" s="1"/>
  <c r="U863" i="5" s="1"/>
  <c r="J862" i="5"/>
  <c r="K862" i="5" s="1"/>
  <c r="L862" i="5" s="1"/>
  <c r="M862" i="5" s="1"/>
  <c r="O862" i="5"/>
  <c r="P862" i="5" s="1"/>
  <c r="S862" i="5"/>
  <c r="T862" i="5" s="1"/>
  <c r="U862" i="5" s="1"/>
  <c r="J861" i="5"/>
  <c r="K861" i="5" s="1"/>
  <c r="L861" i="5" s="1"/>
  <c r="M861" i="5" s="1"/>
  <c r="O861" i="5"/>
  <c r="P861" i="5" s="1"/>
  <c r="S861" i="5"/>
  <c r="T861" i="5" s="1"/>
  <c r="U861" i="5" s="1"/>
  <c r="J860" i="5"/>
  <c r="K860" i="5" s="1"/>
  <c r="L860" i="5" s="1"/>
  <c r="M860" i="5" s="1"/>
  <c r="N860" i="5"/>
  <c r="O860" i="5"/>
  <c r="P860" i="5" s="1"/>
  <c r="S860" i="5"/>
  <c r="T860" i="5" s="1"/>
  <c r="J859" i="5"/>
  <c r="K859" i="5" s="1"/>
  <c r="L859" i="5" s="1"/>
  <c r="M859" i="5" s="1"/>
  <c r="N859" i="5"/>
  <c r="O859" i="5"/>
  <c r="P859" i="5" s="1"/>
  <c r="S859" i="5"/>
  <c r="T859" i="5" s="1"/>
  <c r="J858" i="5"/>
  <c r="K858" i="5" s="1"/>
  <c r="L858" i="5" s="1"/>
  <c r="M858" i="5" s="1"/>
  <c r="O858" i="5"/>
  <c r="P858" i="5" s="1"/>
  <c r="S858" i="5"/>
  <c r="T858" i="5" s="1"/>
  <c r="U858" i="5" s="1"/>
  <c r="J857" i="5"/>
  <c r="K857" i="5" s="1"/>
  <c r="L857" i="5" s="1"/>
  <c r="M857" i="5" s="1"/>
  <c r="O857" i="5"/>
  <c r="P857" i="5" s="1"/>
  <c r="S857" i="5"/>
  <c r="T857" i="5" s="1"/>
  <c r="U857" i="5" s="1"/>
  <c r="J856" i="5"/>
  <c r="K856" i="5" s="1"/>
  <c r="L856" i="5" s="1"/>
  <c r="M856" i="5" s="1"/>
  <c r="O856" i="5"/>
  <c r="P856" i="5" s="1"/>
  <c r="S856" i="5"/>
  <c r="T856" i="5" s="1"/>
  <c r="U856" i="5" s="1"/>
  <c r="J855" i="5"/>
  <c r="K855" i="5" s="1"/>
  <c r="L855" i="5" s="1"/>
  <c r="M855" i="5" s="1"/>
  <c r="O855" i="5"/>
  <c r="P855" i="5" s="1"/>
  <c r="S855" i="5"/>
  <c r="T855" i="5" s="1"/>
  <c r="U855" i="5" s="1"/>
  <c r="J854" i="5"/>
  <c r="K854" i="5" s="1"/>
  <c r="L854" i="5" s="1"/>
  <c r="M854" i="5" s="1"/>
  <c r="O854" i="5"/>
  <c r="P854" i="5" s="1"/>
  <c r="S854" i="5"/>
  <c r="T854" i="5" s="1"/>
  <c r="U854" i="5" s="1"/>
  <c r="J853" i="5"/>
  <c r="K853" i="5" s="1"/>
  <c r="L853" i="5" s="1"/>
  <c r="M853" i="5" s="1"/>
  <c r="N853" i="5"/>
  <c r="O853" i="5"/>
  <c r="P853" i="5" s="1"/>
  <c r="S853" i="5"/>
  <c r="T853" i="5" s="1"/>
  <c r="J852" i="5"/>
  <c r="K852" i="5" s="1"/>
  <c r="L852" i="5" s="1"/>
  <c r="M852" i="5" s="1"/>
  <c r="N852" i="5"/>
  <c r="O852" i="5"/>
  <c r="P852" i="5" s="1"/>
  <c r="S852" i="5"/>
  <c r="T852" i="5" s="1"/>
  <c r="J851" i="5"/>
  <c r="K851" i="5" s="1"/>
  <c r="L851" i="5" s="1"/>
  <c r="M851" i="5" s="1"/>
  <c r="N851" i="5"/>
  <c r="O851" i="5"/>
  <c r="P851" i="5" s="1"/>
  <c r="S851" i="5"/>
  <c r="T851" i="5" s="1"/>
  <c r="J850" i="5"/>
  <c r="K850" i="5" s="1"/>
  <c r="L850" i="5" s="1"/>
  <c r="M850" i="5" s="1"/>
  <c r="N850" i="5"/>
  <c r="O850" i="5"/>
  <c r="P850" i="5" s="1"/>
  <c r="S850" i="5"/>
  <c r="T850" i="5" s="1"/>
  <c r="J849" i="5"/>
  <c r="K849" i="5" s="1"/>
  <c r="L849" i="5" s="1"/>
  <c r="M849" i="5" s="1"/>
  <c r="N849" i="5"/>
  <c r="O849" i="5"/>
  <c r="P849" i="5" s="1"/>
  <c r="S849" i="5"/>
  <c r="T849" i="5" s="1"/>
  <c r="J848" i="5"/>
  <c r="K848" i="5" s="1"/>
  <c r="L848" i="5" s="1"/>
  <c r="M848" i="5" s="1"/>
  <c r="O848" i="5"/>
  <c r="P848" i="5" s="1"/>
  <c r="S848" i="5"/>
  <c r="T848" i="5" s="1"/>
  <c r="U848" i="5" s="1"/>
  <c r="J847" i="5"/>
  <c r="K847" i="5" s="1"/>
  <c r="L847" i="5" s="1"/>
  <c r="M847" i="5" s="1"/>
  <c r="O847" i="5"/>
  <c r="P847" i="5" s="1"/>
  <c r="S847" i="5"/>
  <c r="T847" i="5" s="1"/>
  <c r="U847" i="5" s="1"/>
  <c r="J846" i="5"/>
  <c r="K846" i="5" s="1"/>
  <c r="L846" i="5" s="1"/>
  <c r="M846" i="5" s="1"/>
  <c r="O846" i="5"/>
  <c r="P846" i="5" s="1"/>
  <c r="S846" i="5"/>
  <c r="T846" i="5" s="1"/>
  <c r="U846" i="5" s="1"/>
  <c r="J845" i="5"/>
  <c r="K845" i="5" s="1"/>
  <c r="L845" i="5" s="1"/>
  <c r="M845" i="5" s="1"/>
  <c r="O845" i="5"/>
  <c r="P845" i="5" s="1"/>
  <c r="S845" i="5"/>
  <c r="T845" i="5" s="1"/>
  <c r="U845" i="5" s="1"/>
  <c r="J844" i="5"/>
  <c r="K844" i="5" s="1"/>
  <c r="L844" i="5" s="1"/>
  <c r="M844" i="5" s="1"/>
  <c r="N844" i="5"/>
  <c r="O844" i="5"/>
  <c r="P844" i="5" s="1"/>
  <c r="S844" i="5"/>
  <c r="T844" i="5" s="1"/>
  <c r="J843" i="5"/>
  <c r="K843" i="5" s="1"/>
  <c r="L843" i="5" s="1"/>
  <c r="M843" i="5" s="1"/>
  <c r="N843" i="5"/>
  <c r="O843" i="5"/>
  <c r="P843" i="5" s="1"/>
  <c r="S843" i="5"/>
  <c r="T843" i="5" s="1"/>
  <c r="J842" i="5"/>
  <c r="K842" i="5" s="1"/>
  <c r="L842" i="5" s="1"/>
  <c r="M842" i="5" s="1"/>
  <c r="N842" i="5"/>
  <c r="O842" i="5"/>
  <c r="P842" i="5" s="1"/>
  <c r="S842" i="5"/>
  <c r="T842" i="5" s="1"/>
  <c r="J841" i="5"/>
  <c r="K841" i="5" s="1"/>
  <c r="L841" i="5" s="1"/>
  <c r="M841" i="5" s="1"/>
  <c r="N841" i="5"/>
  <c r="O841" i="5"/>
  <c r="P841" i="5" s="1"/>
  <c r="S841" i="5"/>
  <c r="T841" i="5" s="1"/>
  <c r="J840" i="5"/>
  <c r="K840" i="5" s="1"/>
  <c r="L840" i="5" s="1"/>
  <c r="M840" i="5" s="1"/>
  <c r="O840" i="5"/>
  <c r="P840" i="5" s="1"/>
  <c r="S840" i="5"/>
  <c r="T840" i="5" s="1"/>
  <c r="U840" i="5" s="1"/>
  <c r="J839" i="5"/>
  <c r="K839" i="5" s="1"/>
  <c r="L839" i="5" s="1"/>
  <c r="M839" i="5" s="1"/>
  <c r="O839" i="5"/>
  <c r="P839" i="5" s="1"/>
  <c r="S839" i="5"/>
  <c r="T839" i="5" s="1"/>
  <c r="U839" i="5" s="1"/>
  <c r="J838" i="5"/>
  <c r="K838" i="5" s="1"/>
  <c r="L838" i="5" s="1"/>
  <c r="M838" i="5" s="1"/>
  <c r="O838" i="5"/>
  <c r="P838" i="5" s="1"/>
  <c r="S838" i="5"/>
  <c r="T838" i="5" s="1"/>
  <c r="U838" i="5" s="1"/>
  <c r="J837" i="5"/>
  <c r="K837" i="5" s="1"/>
  <c r="L837" i="5" s="1"/>
  <c r="M837" i="5" s="1"/>
  <c r="N837" i="5"/>
  <c r="O837" i="5"/>
  <c r="P837" i="5" s="1"/>
  <c r="S837" i="5"/>
  <c r="T837" i="5" s="1"/>
  <c r="J836" i="5"/>
  <c r="K836" i="5" s="1"/>
  <c r="L836" i="5" s="1"/>
  <c r="M836" i="5" s="1"/>
  <c r="N836" i="5"/>
  <c r="O836" i="5"/>
  <c r="P836" i="5" s="1"/>
  <c r="S836" i="5"/>
  <c r="T836" i="5" s="1"/>
  <c r="J835" i="5"/>
  <c r="K835" i="5" s="1"/>
  <c r="L835" i="5" s="1"/>
  <c r="M835" i="5" s="1"/>
  <c r="N835" i="5"/>
  <c r="O835" i="5"/>
  <c r="P835" i="5" s="1"/>
  <c r="S835" i="5"/>
  <c r="T835" i="5" s="1"/>
  <c r="J834" i="5"/>
  <c r="K834" i="5" s="1"/>
  <c r="L834" i="5" s="1"/>
  <c r="M834" i="5" s="1"/>
  <c r="N834" i="5"/>
  <c r="O834" i="5"/>
  <c r="P834" i="5" s="1"/>
  <c r="S834" i="5"/>
  <c r="T834" i="5" s="1"/>
  <c r="J833" i="5"/>
  <c r="K833" i="5" s="1"/>
  <c r="L833" i="5" s="1"/>
  <c r="M833" i="5" s="1"/>
  <c r="O833" i="5"/>
  <c r="P833" i="5" s="1"/>
  <c r="S833" i="5"/>
  <c r="T833" i="5" s="1"/>
  <c r="U833" i="5" s="1"/>
  <c r="J832" i="5"/>
  <c r="K832" i="5" s="1"/>
  <c r="L832" i="5" s="1"/>
  <c r="M832" i="5" s="1"/>
  <c r="N832" i="5"/>
  <c r="O832" i="5"/>
  <c r="P832" i="5" s="1"/>
  <c r="S832" i="5"/>
  <c r="T832" i="5" s="1"/>
  <c r="J831" i="5"/>
  <c r="K831" i="5" s="1"/>
  <c r="L831" i="5" s="1"/>
  <c r="M831" i="5" s="1"/>
  <c r="N831" i="5"/>
  <c r="O831" i="5"/>
  <c r="P831" i="5" s="1"/>
  <c r="S831" i="5"/>
  <c r="T831" i="5" s="1"/>
  <c r="J830" i="5"/>
  <c r="K830" i="5" s="1"/>
  <c r="L830" i="5" s="1"/>
  <c r="M830" i="5" s="1"/>
  <c r="N830" i="5"/>
  <c r="O830" i="5"/>
  <c r="P830" i="5" s="1"/>
  <c r="S830" i="5"/>
  <c r="T830" i="5" s="1"/>
  <c r="J829" i="5"/>
  <c r="K829" i="5" s="1"/>
  <c r="L829" i="5" s="1"/>
  <c r="M829" i="5" s="1"/>
  <c r="N829" i="5"/>
  <c r="O829" i="5"/>
  <c r="P829" i="5" s="1"/>
  <c r="S829" i="5"/>
  <c r="T829" i="5" s="1"/>
  <c r="J828" i="5"/>
  <c r="K828" i="5" s="1"/>
  <c r="L828" i="5" s="1"/>
  <c r="M828" i="5" s="1"/>
  <c r="O828" i="5"/>
  <c r="P828" i="5" s="1"/>
  <c r="S828" i="5"/>
  <c r="T828" i="5" s="1"/>
  <c r="U828" i="5" s="1"/>
  <c r="J827" i="5"/>
  <c r="K827" i="5" s="1"/>
  <c r="L827" i="5" s="1"/>
  <c r="M827" i="5" s="1"/>
  <c r="N827" i="5"/>
  <c r="O827" i="5"/>
  <c r="P827" i="5" s="1"/>
  <c r="S827" i="5"/>
  <c r="T827" i="5" s="1"/>
  <c r="J826" i="5"/>
  <c r="K826" i="5" s="1"/>
  <c r="L826" i="5" s="1"/>
  <c r="M826" i="5" s="1"/>
  <c r="N826" i="5"/>
  <c r="O826" i="5"/>
  <c r="P826" i="5" s="1"/>
  <c r="S826" i="5"/>
  <c r="T826" i="5" s="1"/>
  <c r="J825" i="5"/>
  <c r="K825" i="5" s="1"/>
  <c r="L825" i="5" s="1"/>
  <c r="M825" i="5" s="1"/>
  <c r="N825" i="5"/>
  <c r="O825" i="5"/>
  <c r="P825" i="5" s="1"/>
  <c r="S825" i="5"/>
  <c r="T825" i="5" s="1"/>
  <c r="J824" i="5"/>
  <c r="K824" i="5" s="1"/>
  <c r="L824" i="5" s="1"/>
  <c r="M824" i="5" s="1"/>
  <c r="N824" i="5"/>
  <c r="O824" i="5"/>
  <c r="P824" i="5" s="1"/>
  <c r="S824" i="5"/>
  <c r="T824" i="5" s="1"/>
  <c r="J823" i="5"/>
  <c r="K823" i="5" s="1"/>
  <c r="L823" i="5" s="1"/>
  <c r="M823" i="5" s="1"/>
  <c r="N823" i="5"/>
  <c r="O823" i="5"/>
  <c r="P823" i="5" s="1"/>
  <c r="S823" i="5"/>
  <c r="T823" i="5" s="1"/>
  <c r="J822" i="5"/>
  <c r="K822" i="5" s="1"/>
  <c r="L822" i="5" s="1"/>
  <c r="M822" i="5" s="1"/>
  <c r="N822" i="5"/>
  <c r="O822" i="5"/>
  <c r="P822" i="5" s="1"/>
  <c r="S822" i="5"/>
  <c r="T822" i="5" s="1"/>
  <c r="J821" i="5"/>
  <c r="K821" i="5" s="1"/>
  <c r="L821" i="5" s="1"/>
  <c r="M821" i="5" s="1"/>
  <c r="N821" i="5"/>
  <c r="O821" i="5"/>
  <c r="P821" i="5" s="1"/>
  <c r="S821" i="5"/>
  <c r="T821" i="5" s="1"/>
  <c r="J820" i="5"/>
  <c r="K820" i="5" s="1"/>
  <c r="L820" i="5" s="1"/>
  <c r="M820" i="5" s="1"/>
  <c r="O820" i="5"/>
  <c r="P820" i="5" s="1"/>
  <c r="S820" i="5"/>
  <c r="T820" i="5" s="1"/>
  <c r="U820" i="5" s="1"/>
  <c r="J819" i="5"/>
  <c r="K819" i="5" s="1"/>
  <c r="L819" i="5" s="1"/>
  <c r="M819" i="5" s="1"/>
  <c r="O819" i="5"/>
  <c r="P819" i="5" s="1"/>
  <c r="S819" i="5"/>
  <c r="T819" i="5" s="1"/>
  <c r="U819" i="5" s="1"/>
  <c r="J818" i="5"/>
  <c r="K818" i="5" s="1"/>
  <c r="L818" i="5" s="1"/>
  <c r="M818" i="5" s="1"/>
  <c r="O818" i="5"/>
  <c r="P818" i="5" s="1"/>
  <c r="S818" i="5"/>
  <c r="T818" i="5" s="1"/>
  <c r="U818" i="5" s="1"/>
  <c r="J817" i="5"/>
  <c r="K817" i="5" s="1"/>
  <c r="L817" i="5" s="1"/>
  <c r="M817" i="5" s="1"/>
  <c r="O817" i="5"/>
  <c r="P817" i="5" s="1"/>
  <c r="S817" i="5"/>
  <c r="T817" i="5" s="1"/>
  <c r="U817" i="5" s="1"/>
  <c r="J816" i="5"/>
  <c r="K816" i="5" s="1"/>
  <c r="L816" i="5" s="1"/>
  <c r="M816" i="5" s="1"/>
  <c r="N816" i="5"/>
  <c r="O816" i="5"/>
  <c r="P816" i="5" s="1"/>
  <c r="S816" i="5"/>
  <c r="T816" i="5" s="1"/>
  <c r="J815" i="5"/>
  <c r="K815" i="5" s="1"/>
  <c r="L815" i="5" s="1"/>
  <c r="M815" i="5" s="1"/>
  <c r="N815" i="5"/>
  <c r="O815" i="5"/>
  <c r="P815" i="5" s="1"/>
  <c r="S815" i="5"/>
  <c r="T815" i="5" s="1"/>
  <c r="J814" i="5"/>
  <c r="K814" i="5" s="1"/>
  <c r="L814" i="5" s="1"/>
  <c r="M814" i="5" s="1"/>
  <c r="N814" i="5"/>
  <c r="O814" i="5"/>
  <c r="P814" i="5" s="1"/>
  <c r="S814" i="5"/>
  <c r="T814" i="5" s="1"/>
  <c r="J813" i="5"/>
  <c r="K813" i="5" s="1"/>
  <c r="L813" i="5" s="1"/>
  <c r="M813" i="5" s="1"/>
  <c r="N813" i="5"/>
  <c r="O813" i="5"/>
  <c r="P813" i="5" s="1"/>
  <c r="S813" i="5"/>
  <c r="T813" i="5" s="1"/>
  <c r="J812" i="5"/>
  <c r="K812" i="5" s="1"/>
  <c r="L812" i="5" s="1"/>
  <c r="M812" i="5" s="1"/>
  <c r="N812" i="5"/>
  <c r="O812" i="5"/>
  <c r="P812" i="5" s="1"/>
  <c r="S812" i="5"/>
  <c r="T812" i="5" s="1"/>
  <c r="J811" i="5"/>
  <c r="K811" i="5" s="1"/>
  <c r="L811" i="5" s="1"/>
  <c r="M811" i="5" s="1"/>
  <c r="O811" i="5"/>
  <c r="P811" i="5" s="1"/>
  <c r="S811" i="5"/>
  <c r="T811" i="5" s="1"/>
  <c r="U811" i="5" s="1"/>
  <c r="J810" i="5"/>
  <c r="K810" i="5" s="1"/>
  <c r="L810" i="5" s="1"/>
  <c r="M810" i="5" s="1"/>
  <c r="O810" i="5"/>
  <c r="P810" i="5" s="1"/>
  <c r="S810" i="5"/>
  <c r="T810" i="5" s="1"/>
  <c r="U810" i="5" s="1"/>
  <c r="J809" i="5"/>
  <c r="K809" i="5" s="1"/>
  <c r="L809" i="5" s="1"/>
  <c r="M809" i="5" s="1"/>
  <c r="O809" i="5"/>
  <c r="P809" i="5" s="1"/>
  <c r="S809" i="5"/>
  <c r="T809" i="5" s="1"/>
  <c r="U809" i="5" s="1"/>
  <c r="J808" i="5"/>
  <c r="K808" i="5" s="1"/>
  <c r="L808" i="5" s="1"/>
  <c r="M808" i="5" s="1"/>
  <c r="N808" i="5"/>
  <c r="O808" i="5"/>
  <c r="P808" i="5" s="1"/>
  <c r="S808" i="5"/>
  <c r="T808" i="5" s="1"/>
  <c r="J807" i="5"/>
  <c r="K807" i="5" s="1"/>
  <c r="L807" i="5" s="1"/>
  <c r="M807" i="5" s="1"/>
  <c r="O807" i="5"/>
  <c r="P807" i="5" s="1"/>
  <c r="S807" i="5"/>
  <c r="T807" i="5" s="1"/>
  <c r="U807" i="5" s="1"/>
  <c r="J806" i="5"/>
  <c r="K806" i="5" s="1"/>
  <c r="L806" i="5" s="1"/>
  <c r="M806" i="5" s="1"/>
  <c r="O806" i="5"/>
  <c r="P806" i="5" s="1"/>
  <c r="S806" i="5"/>
  <c r="T806" i="5" s="1"/>
  <c r="U806" i="5" s="1"/>
  <c r="J805" i="5"/>
  <c r="K805" i="5" s="1"/>
  <c r="L805" i="5" s="1"/>
  <c r="M805" i="5" s="1"/>
  <c r="N805" i="5"/>
  <c r="O805" i="5"/>
  <c r="P805" i="5" s="1"/>
  <c r="S805" i="5"/>
  <c r="T805" i="5" s="1"/>
  <c r="J804" i="5"/>
  <c r="K804" i="5" s="1"/>
  <c r="L804" i="5" s="1"/>
  <c r="M804" i="5" s="1"/>
  <c r="O804" i="5"/>
  <c r="P804" i="5" s="1"/>
  <c r="S804" i="5"/>
  <c r="T804" i="5" s="1"/>
  <c r="U804" i="5" s="1"/>
  <c r="J803" i="5"/>
  <c r="K803" i="5" s="1"/>
  <c r="L803" i="5" s="1"/>
  <c r="M803" i="5" s="1"/>
  <c r="O803" i="5"/>
  <c r="P803" i="5" s="1"/>
  <c r="S803" i="5"/>
  <c r="T803" i="5" s="1"/>
  <c r="U803" i="5" s="1"/>
  <c r="J802" i="5"/>
  <c r="K802" i="5" s="1"/>
  <c r="L802" i="5" s="1"/>
  <c r="M802" i="5" s="1"/>
  <c r="O802" i="5"/>
  <c r="P802" i="5" s="1"/>
  <c r="S802" i="5"/>
  <c r="T802" i="5" s="1"/>
  <c r="U802" i="5" s="1"/>
  <c r="J801" i="5"/>
  <c r="K801" i="5" s="1"/>
  <c r="L801" i="5" s="1"/>
  <c r="M801" i="5" s="1"/>
  <c r="O801" i="5"/>
  <c r="P801" i="5" s="1"/>
  <c r="S801" i="5"/>
  <c r="T801" i="5" s="1"/>
  <c r="U801" i="5" s="1"/>
  <c r="J800" i="5"/>
  <c r="K800" i="5" s="1"/>
  <c r="L800" i="5" s="1"/>
  <c r="M800" i="5" s="1"/>
  <c r="O800" i="5"/>
  <c r="P800" i="5" s="1"/>
  <c r="S800" i="5"/>
  <c r="T800" i="5" s="1"/>
  <c r="U800" i="5" s="1"/>
  <c r="J799" i="5"/>
  <c r="K799" i="5" s="1"/>
  <c r="L799" i="5" s="1"/>
  <c r="M799" i="5" s="1"/>
  <c r="N799" i="5"/>
  <c r="O799" i="5"/>
  <c r="P799" i="5" s="1"/>
  <c r="S799" i="5"/>
  <c r="T799" i="5" s="1"/>
  <c r="J798" i="5"/>
  <c r="K798" i="5" s="1"/>
  <c r="L798" i="5" s="1"/>
  <c r="M798" i="5" s="1"/>
  <c r="O798" i="5"/>
  <c r="P798" i="5" s="1"/>
  <c r="S798" i="5"/>
  <c r="T798" i="5" s="1"/>
  <c r="U798" i="5" s="1"/>
  <c r="J797" i="5"/>
  <c r="K797" i="5" s="1"/>
  <c r="L797" i="5" s="1"/>
  <c r="M797" i="5" s="1"/>
  <c r="O797" i="5"/>
  <c r="P797" i="5" s="1"/>
  <c r="S797" i="5"/>
  <c r="T797" i="5" s="1"/>
  <c r="U797" i="5" s="1"/>
  <c r="J796" i="5"/>
  <c r="K796" i="5" s="1"/>
  <c r="L796" i="5" s="1"/>
  <c r="M796" i="5" s="1"/>
  <c r="O796" i="5"/>
  <c r="P796" i="5" s="1"/>
  <c r="S796" i="5"/>
  <c r="T796" i="5" s="1"/>
  <c r="U796" i="5" s="1"/>
  <c r="J795" i="5"/>
  <c r="K795" i="5" s="1"/>
  <c r="L795" i="5" s="1"/>
  <c r="M795" i="5" s="1"/>
  <c r="O795" i="5"/>
  <c r="P795" i="5" s="1"/>
  <c r="S795" i="5"/>
  <c r="T795" i="5" s="1"/>
  <c r="U795" i="5" s="1"/>
  <c r="J794" i="5"/>
  <c r="K794" i="5" s="1"/>
  <c r="L794" i="5" s="1"/>
  <c r="M794" i="5" s="1"/>
  <c r="O794" i="5"/>
  <c r="P794" i="5" s="1"/>
  <c r="S794" i="5"/>
  <c r="T794" i="5" s="1"/>
  <c r="U794" i="5" s="1"/>
  <c r="J793" i="5"/>
  <c r="K793" i="5" s="1"/>
  <c r="L793" i="5" s="1"/>
  <c r="M793" i="5" s="1"/>
  <c r="O793" i="5"/>
  <c r="P793" i="5" s="1"/>
  <c r="S793" i="5"/>
  <c r="T793" i="5" s="1"/>
  <c r="U793" i="5" s="1"/>
  <c r="J792" i="5"/>
  <c r="K792" i="5" s="1"/>
  <c r="L792" i="5" s="1"/>
  <c r="M792" i="5" s="1"/>
  <c r="N792" i="5"/>
  <c r="O792" i="5"/>
  <c r="P792" i="5" s="1"/>
  <c r="S792" i="5"/>
  <c r="T792" i="5" s="1"/>
  <c r="J791" i="5"/>
  <c r="K791" i="5" s="1"/>
  <c r="L791" i="5" s="1"/>
  <c r="M791" i="5" s="1"/>
  <c r="N791" i="5"/>
  <c r="O791" i="5"/>
  <c r="P791" i="5" s="1"/>
  <c r="S791" i="5"/>
  <c r="T791" i="5" s="1"/>
  <c r="J790" i="5"/>
  <c r="K790" i="5" s="1"/>
  <c r="L790" i="5" s="1"/>
  <c r="M790" i="5" s="1"/>
  <c r="N790" i="5"/>
  <c r="O790" i="5"/>
  <c r="P790" i="5" s="1"/>
  <c r="S790" i="5"/>
  <c r="T790" i="5" s="1"/>
  <c r="J789" i="5"/>
  <c r="K789" i="5" s="1"/>
  <c r="L789" i="5" s="1"/>
  <c r="M789" i="5" s="1"/>
  <c r="O789" i="5"/>
  <c r="P789" i="5" s="1"/>
  <c r="S789" i="5"/>
  <c r="T789" i="5" s="1"/>
  <c r="U789" i="5" s="1"/>
  <c r="J788" i="5"/>
  <c r="K788" i="5" s="1"/>
  <c r="L788" i="5" s="1"/>
  <c r="M788" i="5" s="1"/>
  <c r="O788" i="5"/>
  <c r="P788" i="5" s="1"/>
  <c r="S788" i="5"/>
  <c r="T788" i="5" s="1"/>
  <c r="U788" i="5" s="1"/>
  <c r="J787" i="5"/>
  <c r="K787" i="5" s="1"/>
  <c r="L787" i="5" s="1"/>
  <c r="M787" i="5" s="1"/>
  <c r="O787" i="5"/>
  <c r="P787" i="5" s="1"/>
  <c r="S787" i="5"/>
  <c r="T787" i="5" s="1"/>
  <c r="U787" i="5" s="1"/>
  <c r="J786" i="5"/>
  <c r="K786" i="5" s="1"/>
  <c r="L786" i="5" s="1"/>
  <c r="M786" i="5" s="1"/>
  <c r="O786" i="5"/>
  <c r="P786" i="5" s="1"/>
  <c r="S786" i="5"/>
  <c r="T786" i="5" s="1"/>
  <c r="U786" i="5" s="1"/>
  <c r="J785" i="5"/>
  <c r="K785" i="5" s="1"/>
  <c r="L785" i="5" s="1"/>
  <c r="M785" i="5" s="1"/>
  <c r="N785" i="5"/>
  <c r="O785" i="5"/>
  <c r="P785" i="5" s="1"/>
  <c r="S785" i="5"/>
  <c r="T785" i="5" s="1"/>
  <c r="J784" i="5"/>
  <c r="K784" i="5" s="1"/>
  <c r="L784" i="5" s="1"/>
  <c r="M784" i="5" s="1"/>
  <c r="N784" i="5"/>
  <c r="O784" i="5"/>
  <c r="P784" i="5" s="1"/>
  <c r="S784" i="5"/>
  <c r="T784" i="5" s="1"/>
  <c r="J783" i="5"/>
  <c r="K783" i="5" s="1"/>
  <c r="L783" i="5" s="1"/>
  <c r="M783" i="5" s="1"/>
  <c r="N783" i="5"/>
  <c r="O783" i="5"/>
  <c r="P783" i="5" s="1"/>
  <c r="S783" i="5"/>
  <c r="T783" i="5" s="1"/>
  <c r="J782" i="5"/>
  <c r="K782" i="5" s="1"/>
  <c r="L782" i="5" s="1"/>
  <c r="M782" i="5" s="1"/>
  <c r="O782" i="5"/>
  <c r="P782" i="5" s="1"/>
  <c r="S782" i="5"/>
  <c r="T782" i="5" s="1"/>
  <c r="U782" i="5" s="1"/>
  <c r="J781" i="5"/>
  <c r="K781" i="5" s="1"/>
  <c r="L781" i="5" s="1"/>
  <c r="M781" i="5" s="1"/>
  <c r="O781" i="5"/>
  <c r="P781" i="5" s="1"/>
  <c r="S781" i="5"/>
  <c r="T781" i="5" s="1"/>
  <c r="U781" i="5" s="1"/>
  <c r="J780" i="5"/>
  <c r="K780" i="5" s="1"/>
  <c r="L780" i="5" s="1"/>
  <c r="M780" i="5" s="1"/>
  <c r="N780" i="5"/>
  <c r="O780" i="5"/>
  <c r="P780" i="5" s="1"/>
  <c r="S780" i="5"/>
  <c r="T780" i="5" s="1"/>
  <c r="J779" i="5"/>
  <c r="K779" i="5" s="1"/>
  <c r="L779" i="5" s="1"/>
  <c r="M779" i="5" s="1"/>
  <c r="O779" i="5"/>
  <c r="P779" i="5" s="1"/>
  <c r="S779" i="5"/>
  <c r="T779" i="5" s="1"/>
  <c r="U779" i="5" s="1"/>
  <c r="J778" i="5"/>
  <c r="K778" i="5" s="1"/>
  <c r="L778" i="5" s="1"/>
  <c r="M778" i="5" s="1"/>
  <c r="N778" i="5"/>
  <c r="O778" i="5"/>
  <c r="P778" i="5" s="1"/>
  <c r="S778" i="5"/>
  <c r="T778" i="5" s="1"/>
  <c r="J777" i="5"/>
  <c r="K777" i="5" s="1"/>
  <c r="L777" i="5" s="1"/>
  <c r="M777" i="5" s="1"/>
  <c r="N777" i="5"/>
  <c r="O777" i="5"/>
  <c r="P777" i="5" s="1"/>
  <c r="S777" i="5"/>
  <c r="T777" i="5" s="1"/>
  <c r="J776" i="5"/>
  <c r="K776" i="5" s="1"/>
  <c r="L776" i="5" s="1"/>
  <c r="M776" i="5" s="1"/>
  <c r="O776" i="5"/>
  <c r="P776" i="5" s="1"/>
  <c r="S776" i="5"/>
  <c r="T776" i="5" s="1"/>
  <c r="U776" i="5" s="1"/>
  <c r="J775" i="5"/>
  <c r="K775" i="5" s="1"/>
  <c r="L775" i="5" s="1"/>
  <c r="M775" i="5" s="1"/>
  <c r="N775" i="5"/>
  <c r="O775" i="5"/>
  <c r="P775" i="5" s="1"/>
  <c r="S775" i="5"/>
  <c r="T775" i="5" s="1"/>
  <c r="J774" i="5"/>
  <c r="K774" i="5" s="1"/>
  <c r="L774" i="5" s="1"/>
  <c r="M774" i="5" s="1"/>
  <c r="O774" i="5"/>
  <c r="P774" i="5" s="1"/>
  <c r="S774" i="5"/>
  <c r="T774" i="5" s="1"/>
  <c r="U774" i="5" s="1"/>
  <c r="J773" i="5"/>
  <c r="K773" i="5" s="1"/>
  <c r="L773" i="5" s="1"/>
  <c r="M773" i="5" s="1"/>
  <c r="O773" i="5"/>
  <c r="P773" i="5" s="1"/>
  <c r="S773" i="5"/>
  <c r="T773" i="5" s="1"/>
  <c r="U773" i="5" s="1"/>
  <c r="J772" i="5"/>
  <c r="K772" i="5" s="1"/>
  <c r="L772" i="5" s="1"/>
  <c r="M772" i="5" s="1"/>
  <c r="O772" i="5"/>
  <c r="P772" i="5" s="1"/>
  <c r="S772" i="5"/>
  <c r="T772" i="5" s="1"/>
  <c r="U772" i="5" s="1"/>
  <c r="J771" i="5"/>
  <c r="K771" i="5" s="1"/>
  <c r="L771" i="5" s="1"/>
  <c r="M771" i="5" s="1"/>
  <c r="N771" i="5"/>
  <c r="O771" i="5"/>
  <c r="P771" i="5" s="1"/>
  <c r="J770" i="5"/>
  <c r="K770" i="5" s="1"/>
  <c r="L770" i="5" s="1"/>
  <c r="M770" i="5" s="1"/>
  <c r="O770" i="5"/>
  <c r="P770" i="5" s="1"/>
  <c r="J769" i="5"/>
  <c r="K769" i="5" s="1"/>
  <c r="L769" i="5" s="1"/>
  <c r="M769" i="5" s="1"/>
  <c r="N769" i="5"/>
  <c r="O769" i="5"/>
  <c r="P769" i="5" s="1"/>
  <c r="S769" i="5"/>
  <c r="T769" i="5" s="1"/>
  <c r="J768" i="5"/>
  <c r="K768" i="5" s="1"/>
  <c r="L768" i="5" s="1"/>
  <c r="M768" i="5" s="1"/>
  <c r="N768" i="5"/>
  <c r="O768" i="5"/>
  <c r="P768" i="5" s="1"/>
  <c r="S768" i="5"/>
  <c r="T768" i="5" s="1"/>
  <c r="J767" i="5"/>
  <c r="K767" i="5" s="1"/>
  <c r="L767" i="5" s="1"/>
  <c r="M767" i="5" s="1"/>
  <c r="O767" i="5"/>
  <c r="P767" i="5" s="1"/>
  <c r="S767" i="5"/>
  <c r="T767" i="5" s="1"/>
  <c r="U767" i="5" s="1"/>
  <c r="J766" i="5"/>
  <c r="K766" i="5" s="1"/>
  <c r="L766" i="5" s="1"/>
  <c r="M766" i="5" s="1"/>
  <c r="N766" i="5"/>
  <c r="O766" i="5"/>
  <c r="P766" i="5" s="1"/>
  <c r="S766" i="5"/>
  <c r="T766" i="5" s="1"/>
  <c r="J765" i="5"/>
  <c r="K765" i="5" s="1"/>
  <c r="L765" i="5" s="1"/>
  <c r="M765" i="5" s="1"/>
  <c r="O765" i="5"/>
  <c r="P765" i="5" s="1"/>
  <c r="S765" i="5"/>
  <c r="T765" i="5" s="1"/>
  <c r="U765" i="5" s="1"/>
  <c r="J764" i="5"/>
  <c r="K764" i="5" s="1"/>
  <c r="L764" i="5" s="1"/>
  <c r="M764" i="5" s="1"/>
  <c r="O764" i="5"/>
  <c r="P764" i="5" s="1"/>
  <c r="S764" i="5"/>
  <c r="T764" i="5" s="1"/>
  <c r="U764" i="5" s="1"/>
  <c r="J763" i="5"/>
  <c r="K763" i="5" s="1"/>
  <c r="L763" i="5" s="1"/>
  <c r="M763" i="5" s="1"/>
  <c r="N763" i="5"/>
  <c r="O763" i="5"/>
  <c r="P763" i="5" s="1"/>
  <c r="S763" i="5"/>
  <c r="T763" i="5" s="1"/>
  <c r="J762" i="5"/>
  <c r="K762" i="5" s="1"/>
  <c r="L762" i="5" s="1"/>
  <c r="M762" i="5" s="1"/>
  <c r="N762" i="5"/>
  <c r="O762" i="5"/>
  <c r="P762" i="5" s="1"/>
  <c r="S762" i="5"/>
  <c r="T762" i="5" s="1"/>
  <c r="J761" i="5"/>
  <c r="K761" i="5" s="1"/>
  <c r="L761" i="5" s="1"/>
  <c r="M761" i="5" s="1"/>
  <c r="N761" i="5"/>
  <c r="O761" i="5"/>
  <c r="P761" i="5" s="1"/>
  <c r="S761" i="5"/>
  <c r="T761" i="5" s="1"/>
  <c r="J760" i="5"/>
  <c r="K760" i="5" s="1"/>
  <c r="L760" i="5" s="1"/>
  <c r="M760" i="5" s="1"/>
  <c r="N760" i="5"/>
  <c r="O760" i="5"/>
  <c r="P760" i="5" s="1"/>
  <c r="S760" i="5"/>
  <c r="T760" i="5" s="1"/>
  <c r="J759" i="5"/>
  <c r="K759" i="5" s="1"/>
  <c r="L759" i="5" s="1"/>
  <c r="M759" i="5" s="1"/>
  <c r="N759" i="5"/>
  <c r="O759" i="5"/>
  <c r="P759" i="5" s="1"/>
  <c r="S759" i="5"/>
  <c r="T759" i="5" s="1"/>
  <c r="J758" i="5"/>
  <c r="K758" i="5" s="1"/>
  <c r="L758" i="5" s="1"/>
  <c r="M758" i="5" s="1"/>
  <c r="N758" i="5"/>
  <c r="O758" i="5"/>
  <c r="P758" i="5" s="1"/>
  <c r="S758" i="5"/>
  <c r="T758" i="5" s="1"/>
  <c r="J757" i="5"/>
  <c r="K757" i="5" s="1"/>
  <c r="L757" i="5" s="1"/>
  <c r="M757" i="5" s="1"/>
  <c r="N757" i="5"/>
  <c r="O757" i="5"/>
  <c r="P757" i="5" s="1"/>
  <c r="S757" i="5"/>
  <c r="T757" i="5" s="1"/>
  <c r="J756" i="5"/>
  <c r="K756" i="5" s="1"/>
  <c r="L756" i="5" s="1"/>
  <c r="M756" i="5" s="1"/>
  <c r="O756" i="5"/>
  <c r="P756" i="5" s="1"/>
  <c r="S756" i="5"/>
  <c r="T756" i="5" s="1"/>
  <c r="U756" i="5" s="1"/>
  <c r="J755" i="5"/>
  <c r="K755" i="5" s="1"/>
  <c r="L755" i="5" s="1"/>
  <c r="M755" i="5" s="1"/>
  <c r="O755" i="5"/>
  <c r="P755" i="5" s="1"/>
  <c r="S755" i="5"/>
  <c r="T755" i="5" s="1"/>
  <c r="U755" i="5" s="1"/>
  <c r="J754" i="5"/>
  <c r="K754" i="5" s="1"/>
  <c r="L754" i="5" s="1"/>
  <c r="M754" i="5" s="1"/>
  <c r="N754" i="5"/>
  <c r="O754" i="5"/>
  <c r="P754" i="5" s="1"/>
  <c r="S754" i="5"/>
  <c r="T754" i="5" s="1"/>
  <c r="J753" i="5"/>
  <c r="K753" i="5" s="1"/>
  <c r="L753" i="5" s="1"/>
  <c r="M753" i="5" s="1"/>
  <c r="N753" i="5"/>
  <c r="O753" i="5"/>
  <c r="P753" i="5" s="1"/>
  <c r="S753" i="5"/>
  <c r="T753" i="5" s="1"/>
  <c r="J752" i="5"/>
  <c r="K752" i="5" s="1"/>
  <c r="L752" i="5" s="1"/>
  <c r="M752" i="5" s="1"/>
  <c r="O752" i="5"/>
  <c r="P752" i="5" s="1"/>
  <c r="S752" i="5"/>
  <c r="T752" i="5" s="1"/>
  <c r="U752" i="5" s="1"/>
  <c r="J751" i="5"/>
  <c r="K751" i="5" s="1"/>
  <c r="L751" i="5" s="1"/>
  <c r="M751" i="5" s="1"/>
  <c r="O751" i="5"/>
  <c r="P751" i="5" s="1"/>
  <c r="J750" i="5"/>
  <c r="K750" i="5" s="1"/>
  <c r="L750" i="5" s="1"/>
  <c r="M750" i="5" s="1"/>
  <c r="O750" i="5"/>
  <c r="P750" i="5" s="1"/>
  <c r="J749" i="5"/>
  <c r="K749" i="5" s="1"/>
  <c r="L749" i="5" s="1"/>
  <c r="M749" i="5" s="1"/>
  <c r="O749" i="5"/>
  <c r="P749" i="5" s="1"/>
  <c r="J748" i="5"/>
  <c r="K748" i="5" s="1"/>
  <c r="L748" i="5" s="1"/>
  <c r="M748" i="5" s="1"/>
  <c r="O748" i="5"/>
  <c r="P748" i="5" s="1"/>
  <c r="J747" i="5"/>
  <c r="K747" i="5" s="1"/>
  <c r="L747" i="5" s="1"/>
  <c r="M747" i="5" s="1"/>
  <c r="O747" i="5"/>
  <c r="P747" i="5" s="1"/>
  <c r="J746" i="5"/>
  <c r="K746" i="5" s="1"/>
  <c r="L746" i="5" s="1"/>
  <c r="M746" i="5" s="1"/>
  <c r="O746" i="5"/>
  <c r="P746" i="5" s="1"/>
  <c r="J745" i="5"/>
  <c r="K745" i="5" s="1"/>
  <c r="L745" i="5" s="1"/>
  <c r="M745" i="5" s="1"/>
  <c r="O745" i="5"/>
  <c r="P745" i="5" s="1"/>
  <c r="J744" i="5"/>
  <c r="K744" i="5" s="1"/>
  <c r="L744" i="5" s="1"/>
  <c r="M744" i="5" s="1"/>
  <c r="O744" i="5"/>
  <c r="P744" i="5" s="1"/>
  <c r="J743" i="5"/>
  <c r="K743" i="5" s="1"/>
  <c r="L743" i="5" s="1"/>
  <c r="M743" i="5" s="1"/>
  <c r="O743" i="5"/>
  <c r="P743" i="5" s="1"/>
  <c r="J742" i="5"/>
  <c r="K742" i="5" s="1"/>
  <c r="L742" i="5" s="1"/>
  <c r="M742" i="5" s="1"/>
  <c r="O742" i="5"/>
  <c r="P742" i="5" s="1"/>
  <c r="J741" i="5"/>
  <c r="K741" i="5" s="1"/>
  <c r="L741" i="5" s="1"/>
  <c r="M741" i="5" s="1"/>
  <c r="O741" i="5"/>
  <c r="P741" i="5" s="1"/>
  <c r="J740" i="5"/>
  <c r="K740" i="5" s="1"/>
  <c r="L740" i="5" s="1"/>
  <c r="M740" i="5" s="1"/>
  <c r="O740" i="5"/>
  <c r="P740" i="5" s="1"/>
  <c r="J739" i="5"/>
  <c r="K739" i="5" s="1"/>
  <c r="L739" i="5" s="1"/>
  <c r="M739" i="5" s="1"/>
  <c r="O739" i="5"/>
  <c r="P739" i="5" s="1"/>
  <c r="J738" i="5"/>
  <c r="K738" i="5" s="1"/>
  <c r="L738" i="5" s="1"/>
  <c r="M738" i="5" s="1"/>
  <c r="O738" i="5"/>
  <c r="P738" i="5" s="1"/>
  <c r="J737" i="5"/>
  <c r="K737" i="5" s="1"/>
  <c r="L737" i="5" s="1"/>
  <c r="M737" i="5" s="1"/>
  <c r="O737" i="5"/>
  <c r="P737" i="5" s="1"/>
  <c r="J736" i="5"/>
  <c r="K736" i="5" s="1"/>
  <c r="L736" i="5" s="1"/>
  <c r="M736" i="5" s="1"/>
  <c r="O736" i="5"/>
  <c r="P736" i="5" s="1"/>
  <c r="J735" i="5"/>
  <c r="K735" i="5" s="1"/>
  <c r="L735" i="5" s="1"/>
  <c r="M735" i="5" s="1"/>
  <c r="O735" i="5"/>
  <c r="P735" i="5" s="1"/>
  <c r="J734" i="5"/>
  <c r="K734" i="5" s="1"/>
  <c r="L734" i="5" s="1"/>
  <c r="M734" i="5" s="1"/>
  <c r="O734" i="5"/>
  <c r="P734" i="5" s="1"/>
  <c r="J733" i="5"/>
  <c r="K733" i="5" s="1"/>
  <c r="L733" i="5" s="1"/>
  <c r="M733" i="5" s="1"/>
  <c r="O733" i="5"/>
  <c r="P733" i="5" s="1"/>
  <c r="J732" i="5"/>
  <c r="K732" i="5" s="1"/>
  <c r="L732" i="5" s="1"/>
  <c r="M732" i="5" s="1"/>
  <c r="O732" i="5"/>
  <c r="P732" i="5" s="1"/>
  <c r="J731" i="5"/>
  <c r="K731" i="5" s="1"/>
  <c r="L731" i="5" s="1"/>
  <c r="M731" i="5" s="1"/>
  <c r="O731" i="5"/>
  <c r="P731" i="5" s="1"/>
  <c r="J730" i="5"/>
  <c r="K730" i="5" s="1"/>
  <c r="L730" i="5" s="1"/>
  <c r="M730" i="5" s="1"/>
  <c r="O730" i="5"/>
  <c r="P730" i="5" s="1"/>
  <c r="J729" i="5"/>
  <c r="K729" i="5" s="1"/>
  <c r="L729" i="5" s="1"/>
  <c r="M729" i="5" s="1"/>
  <c r="O729" i="5"/>
  <c r="P729" i="5" s="1"/>
  <c r="J728" i="5"/>
  <c r="K728" i="5" s="1"/>
  <c r="L728" i="5" s="1"/>
  <c r="M728" i="5" s="1"/>
  <c r="O728" i="5"/>
  <c r="P728" i="5" s="1"/>
  <c r="J727" i="5"/>
  <c r="K727" i="5" s="1"/>
  <c r="L727" i="5" s="1"/>
  <c r="M727" i="5" s="1"/>
  <c r="O727" i="5"/>
  <c r="P727" i="5" s="1"/>
  <c r="J726" i="5"/>
  <c r="K726" i="5" s="1"/>
  <c r="L726" i="5" s="1"/>
  <c r="M726" i="5" s="1"/>
  <c r="O726" i="5"/>
  <c r="P726" i="5" s="1"/>
  <c r="J725" i="5"/>
  <c r="K725" i="5" s="1"/>
  <c r="L725" i="5" s="1"/>
  <c r="M725" i="5" s="1"/>
  <c r="O725" i="5"/>
  <c r="P725" i="5" s="1"/>
  <c r="J724" i="5"/>
  <c r="K724" i="5" s="1"/>
  <c r="L724" i="5" s="1"/>
  <c r="M724" i="5" s="1"/>
  <c r="O724" i="5"/>
  <c r="P724" i="5" s="1"/>
  <c r="J723" i="5"/>
  <c r="K723" i="5" s="1"/>
  <c r="L723" i="5" s="1"/>
  <c r="M723" i="5" s="1"/>
  <c r="O723" i="5"/>
  <c r="P723" i="5" s="1"/>
  <c r="J722" i="5"/>
  <c r="K722" i="5" s="1"/>
  <c r="L722" i="5" s="1"/>
  <c r="M722" i="5" s="1"/>
  <c r="O722" i="5"/>
  <c r="P722" i="5" s="1"/>
  <c r="J721" i="5"/>
  <c r="K721" i="5" s="1"/>
  <c r="L721" i="5" s="1"/>
  <c r="M721" i="5" s="1"/>
  <c r="O721" i="5"/>
  <c r="P721" i="5" s="1"/>
  <c r="J720" i="5"/>
  <c r="K720" i="5" s="1"/>
  <c r="L720" i="5" s="1"/>
  <c r="M720" i="5" s="1"/>
  <c r="O720" i="5"/>
  <c r="P720" i="5" s="1"/>
  <c r="S720" i="5"/>
  <c r="T720" i="5" s="1"/>
  <c r="U720" i="5" s="1"/>
  <c r="J719" i="5"/>
  <c r="K719" i="5" s="1"/>
  <c r="L719" i="5" s="1"/>
  <c r="M719" i="5" s="1"/>
  <c r="O719" i="5"/>
  <c r="P719" i="5" s="1"/>
  <c r="J718" i="5"/>
  <c r="K718" i="5" s="1"/>
  <c r="L718" i="5" s="1"/>
  <c r="M718" i="5" s="1"/>
  <c r="O718" i="5"/>
  <c r="P718" i="5" s="1"/>
  <c r="J717" i="5"/>
  <c r="K717" i="5" s="1"/>
  <c r="L717" i="5" s="1"/>
  <c r="M717" i="5" s="1"/>
  <c r="O717" i="5"/>
  <c r="P717" i="5" s="1"/>
  <c r="J716" i="5"/>
  <c r="K716" i="5" s="1"/>
  <c r="L716" i="5" s="1"/>
  <c r="M716" i="5" s="1"/>
  <c r="O716" i="5"/>
  <c r="P716" i="5" s="1"/>
  <c r="J715" i="5"/>
  <c r="K715" i="5" s="1"/>
  <c r="L715" i="5" s="1"/>
  <c r="M715" i="5" s="1"/>
  <c r="O715" i="5"/>
  <c r="P715" i="5" s="1"/>
  <c r="J714" i="5"/>
  <c r="K714" i="5" s="1"/>
  <c r="L714" i="5" s="1"/>
  <c r="M714" i="5" s="1"/>
  <c r="O714" i="5"/>
  <c r="P714" i="5" s="1"/>
  <c r="J713" i="5"/>
  <c r="K713" i="5" s="1"/>
  <c r="L713" i="5" s="1"/>
  <c r="M713" i="5" s="1"/>
  <c r="O713" i="5"/>
  <c r="P713" i="5" s="1"/>
  <c r="S713" i="5"/>
  <c r="T713" i="5" s="1"/>
  <c r="U713" i="5" s="1"/>
  <c r="J712" i="5"/>
  <c r="K712" i="5" s="1"/>
  <c r="L712" i="5" s="1"/>
  <c r="M712" i="5" s="1"/>
  <c r="AE712" i="5"/>
  <c r="AF712" i="5" s="1"/>
  <c r="AG712" i="5" s="1"/>
  <c r="O712" i="5"/>
  <c r="P712" i="5" s="1"/>
  <c r="Q712" i="5" s="1"/>
  <c r="R712" i="5" s="1"/>
  <c r="S712" i="5"/>
  <c r="T712" i="5" s="1"/>
  <c r="U712" i="5" s="1"/>
  <c r="J711" i="5"/>
  <c r="K711" i="5" s="1"/>
  <c r="L711" i="5" s="1"/>
  <c r="M711" i="5" s="1"/>
  <c r="N711" i="5"/>
  <c r="O711" i="5"/>
  <c r="P711" i="5" s="1"/>
  <c r="S711" i="5"/>
  <c r="T711" i="5" s="1"/>
  <c r="J710" i="5"/>
  <c r="K710" i="5" s="1"/>
  <c r="L710" i="5" s="1"/>
  <c r="M710" i="5" s="1"/>
  <c r="O710" i="5"/>
  <c r="P710" i="5" s="1"/>
  <c r="S710" i="5"/>
  <c r="T710" i="5" s="1"/>
  <c r="U710" i="5" s="1"/>
  <c r="J709" i="5"/>
  <c r="K709" i="5" s="1"/>
  <c r="L709" i="5" s="1"/>
  <c r="M709" i="5" s="1"/>
  <c r="N709" i="5"/>
  <c r="O709" i="5"/>
  <c r="P709" i="5" s="1"/>
  <c r="S709" i="5"/>
  <c r="T709" i="5" s="1"/>
  <c r="J708" i="5"/>
  <c r="K708" i="5" s="1"/>
  <c r="L708" i="5" s="1"/>
  <c r="M708" i="5" s="1"/>
  <c r="N708" i="5"/>
  <c r="O708" i="5"/>
  <c r="P708" i="5" s="1"/>
  <c r="S708" i="5"/>
  <c r="T708" i="5" s="1"/>
  <c r="J707" i="5"/>
  <c r="K707" i="5" s="1"/>
  <c r="L707" i="5" s="1"/>
  <c r="M707" i="5" s="1"/>
  <c r="N707" i="5"/>
  <c r="O707" i="5"/>
  <c r="P707" i="5" s="1"/>
  <c r="S707" i="5"/>
  <c r="T707" i="5" s="1"/>
  <c r="J706" i="5"/>
  <c r="K706" i="5" s="1"/>
  <c r="L706" i="5" s="1"/>
  <c r="M706" i="5" s="1"/>
  <c r="N706" i="5"/>
  <c r="O706" i="5"/>
  <c r="P706" i="5" s="1"/>
  <c r="S706" i="5"/>
  <c r="T706" i="5" s="1"/>
  <c r="J705" i="5"/>
  <c r="K705" i="5" s="1"/>
  <c r="L705" i="5" s="1"/>
  <c r="M705" i="5" s="1"/>
  <c r="N705" i="5"/>
  <c r="O705" i="5"/>
  <c r="P705" i="5" s="1"/>
  <c r="S705" i="5"/>
  <c r="T705" i="5" s="1"/>
  <c r="J704" i="5"/>
  <c r="K704" i="5" s="1"/>
  <c r="L704" i="5" s="1"/>
  <c r="M704" i="5" s="1"/>
  <c r="O704" i="5"/>
  <c r="P704" i="5" s="1"/>
  <c r="S704" i="5"/>
  <c r="T704" i="5" s="1"/>
  <c r="U704" i="5" s="1"/>
  <c r="J703" i="5"/>
  <c r="K703" i="5" s="1"/>
  <c r="L703" i="5" s="1"/>
  <c r="M703" i="5" s="1"/>
  <c r="N703" i="5"/>
  <c r="O703" i="5"/>
  <c r="P703" i="5" s="1"/>
  <c r="S703" i="5"/>
  <c r="T703" i="5" s="1"/>
  <c r="J702" i="5"/>
  <c r="K702" i="5" s="1"/>
  <c r="L702" i="5" s="1"/>
  <c r="M702" i="5" s="1"/>
  <c r="N702" i="5"/>
  <c r="O702" i="5"/>
  <c r="P702" i="5" s="1"/>
  <c r="S702" i="5"/>
  <c r="T702" i="5" s="1"/>
  <c r="J701" i="5"/>
  <c r="K701" i="5" s="1"/>
  <c r="L701" i="5" s="1"/>
  <c r="M701" i="5" s="1"/>
  <c r="O701" i="5"/>
  <c r="P701" i="5" s="1"/>
  <c r="S701" i="5"/>
  <c r="T701" i="5" s="1"/>
  <c r="U701" i="5" s="1"/>
  <c r="J700" i="5"/>
  <c r="K700" i="5" s="1"/>
  <c r="L700" i="5" s="1"/>
  <c r="M700" i="5" s="1"/>
  <c r="O700" i="5"/>
  <c r="P700" i="5" s="1"/>
  <c r="S700" i="5"/>
  <c r="T700" i="5" s="1"/>
  <c r="U700" i="5" s="1"/>
  <c r="J699" i="5"/>
  <c r="K699" i="5" s="1"/>
  <c r="L699" i="5" s="1"/>
  <c r="M699" i="5" s="1"/>
  <c r="N699" i="5"/>
  <c r="O699" i="5"/>
  <c r="P699" i="5" s="1"/>
  <c r="S699" i="5"/>
  <c r="T699" i="5" s="1"/>
  <c r="J698" i="5"/>
  <c r="K698" i="5" s="1"/>
  <c r="L698" i="5" s="1"/>
  <c r="M698" i="5" s="1"/>
  <c r="N698" i="5"/>
  <c r="O698" i="5"/>
  <c r="P698" i="5" s="1"/>
  <c r="S698" i="5"/>
  <c r="T698" i="5" s="1"/>
  <c r="J697" i="5"/>
  <c r="K697" i="5" s="1"/>
  <c r="L697" i="5" s="1"/>
  <c r="M697" i="5" s="1"/>
  <c r="N697" i="5"/>
  <c r="O697" i="5"/>
  <c r="P697" i="5" s="1"/>
  <c r="S697" i="5"/>
  <c r="T697" i="5" s="1"/>
  <c r="J696" i="5"/>
  <c r="K696" i="5" s="1"/>
  <c r="L696" i="5" s="1"/>
  <c r="M696" i="5" s="1"/>
  <c r="O696" i="5"/>
  <c r="P696" i="5" s="1"/>
  <c r="S696" i="5"/>
  <c r="T696" i="5" s="1"/>
  <c r="U696" i="5" s="1"/>
  <c r="J695" i="5"/>
  <c r="K695" i="5" s="1"/>
  <c r="L695" i="5" s="1"/>
  <c r="M695" i="5" s="1"/>
  <c r="N695" i="5"/>
  <c r="O695" i="5"/>
  <c r="P695" i="5" s="1"/>
  <c r="S695" i="5"/>
  <c r="T695" i="5" s="1"/>
  <c r="J694" i="5"/>
  <c r="K694" i="5" s="1"/>
  <c r="L694" i="5" s="1"/>
  <c r="M694" i="5" s="1"/>
  <c r="O694" i="5"/>
  <c r="P694" i="5" s="1"/>
  <c r="S694" i="5"/>
  <c r="T694" i="5" s="1"/>
  <c r="U694" i="5" s="1"/>
  <c r="J693" i="5"/>
  <c r="K693" i="5" s="1"/>
  <c r="L693" i="5" s="1"/>
  <c r="M693" i="5" s="1"/>
  <c r="N693" i="5"/>
  <c r="O693" i="5"/>
  <c r="P693" i="5" s="1"/>
  <c r="S693" i="5"/>
  <c r="T693" i="5" s="1"/>
  <c r="J692" i="5"/>
  <c r="K692" i="5" s="1"/>
  <c r="L692" i="5" s="1"/>
  <c r="M692" i="5" s="1"/>
  <c r="N692" i="5"/>
  <c r="O692" i="5"/>
  <c r="P692" i="5" s="1"/>
  <c r="S692" i="5"/>
  <c r="T692" i="5" s="1"/>
  <c r="J691" i="5"/>
  <c r="K691" i="5" s="1"/>
  <c r="L691" i="5" s="1"/>
  <c r="M691" i="5" s="1"/>
  <c r="N691" i="5"/>
  <c r="O691" i="5"/>
  <c r="P691" i="5" s="1"/>
  <c r="S691" i="5"/>
  <c r="T691" i="5" s="1"/>
  <c r="J690" i="5"/>
  <c r="K690" i="5" s="1"/>
  <c r="L690" i="5" s="1"/>
  <c r="M690" i="5" s="1"/>
  <c r="N690" i="5"/>
  <c r="O690" i="5"/>
  <c r="P690" i="5" s="1"/>
  <c r="S690" i="5"/>
  <c r="T690" i="5" s="1"/>
  <c r="J689" i="5"/>
  <c r="K689" i="5" s="1"/>
  <c r="L689" i="5" s="1"/>
  <c r="M689" i="5" s="1"/>
  <c r="O689" i="5"/>
  <c r="P689" i="5" s="1"/>
  <c r="S689" i="5"/>
  <c r="T689" i="5" s="1"/>
  <c r="U689" i="5" s="1"/>
  <c r="J688" i="5"/>
  <c r="K688" i="5" s="1"/>
  <c r="L688" i="5" s="1"/>
  <c r="M688" i="5" s="1"/>
  <c r="N688" i="5"/>
  <c r="O688" i="5"/>
  <c r="P688" i="5" s="1"/>
  <c r="S688" i="5"/>
  <c r="T688" i="5" s="1"/>
  <c r="J687" i="5"/>
  <c r="K687" i="5" s="1"/>
  <c r="L687" i="5" s="1"/>
  <c r="M687" i="5" s="1"/>
  <c r="N687" i="5"/>
  <c r="O687" i="5"/>
  <c r="P687" i="5" s="1"/>
  <c r="S687" i="5"/>
  <c r="T687" i="5" s="1"/>
  <c r="J686" i="5"/>
  <c r="K686" i="5" s="1"/>
  <c r="L686" i="5" s="1"/>
  <c r="M686" i="5" s="1"/>
  <c r="N686" i="5"/>
  <c r="O686" i="5"/>
  <c r="P686" i="5" s="1"/>
  <c r="J685" i="5"/>
  <c r="K685" i="5" s="1"/>
  <c r="L685" i="5" s="1"/>
  <c r="M685" i="5" s="1"/>
  <c r="O685" i="5"/>
  <c r="P685" i="5" s="1"/>
  <c r="J684" i="5"/>
  <c r="K684" i="5" s="1"/>
  <c r="L684" i="5" s="1"/>
  <c r="M684" i="5" s="1"/>
  <c r="O684" i="5"/>
  <c r="P684" i="5" s="1"/>
  <c r="J683" i="5"/>
  <c r="K683" i="5" s="1"/>
  <c r="L683" i="5" s="1"/>
  <c r="M683" i="5" s="1"/>
  <c r="O683" i="5"/>
  <c r="P683" i="5" s="1"/>
  <c r="J682" i="5"/>
  <c r="K682" i="5" s="1"/>
  <c r="L682" i="5" s="1"/>
  <c r="M682" i="5" s="1"/>
  <c r="O682" i="5"/>
  <c r="P682" i="5" s="1"/>
  <c r="J681" i="5"/>
  <c r="K681" i="5" s="1"/>
  <c r="L681" i="5" s="1"/>
  <c r="M681" i="5" s="1"/>
  <c r="O681" i="5"/>
  <c r="P681" i="5" s="1"/>
  <c r="J680" i="5"/>
  <c r="K680" i="5" s="1"/>
  <c r="L680" i="5" s="1"/>
  <c r="M680" i="5" s="1"/>
  <c r="O680" i="5"/>
  <c r="P680" i="5" s="1"/>
  <c r="J679" i="5"/>
  <c r="K679" i="5" s="1"/>
  <c r="L679" i="5" s="1"/>
  <c r="M679" i="5" s="1"/>
  <c r="O679" i="5"/>
  <c r="P679" i="5" s="1"/>
  <c r="J678" i="5"/>
  <c r="K678" i="5" s="1"/>
  <c r="L678" i="5" s="1"/>
  <c r="M678" i="5" s="1"/>
  <c r="O678" i="5"/>
  <c r="P678" i="5" s="1"/>
  <c r="J677" i="5"/>
  <c r="K677" i="5" s="1"/>
  <c r="L677" i="5" s="1"/>
  <c r="M677" i="5" s="1"/>
  <c r="O677" i="5"/>
  <c r="P677" i="5" s="1"/>
  <c r="J676" i="5"/>
  <c r="K676" i="5" s="1"/>
  <c r="L676" i="5" s="1"/>
  <c r="M676" i="5" s="1"/>
  <c r="O676" i="5"/>
  <c r="P676" i="5" s="1"/>
  <c r="J675" i="5"/>
  <c r="K675" i="5" s="1"/>
  <c r="L675" i="5" s="1"/>
  <c r="M675" i="5" s="1"/>
  <c r="O675" i="5"/>
  <c r="P675" i="5" s="1"/>
  <c r="J674" i="5"/>
  <c r="K674" i="5" s="1"/>
  <c r="L674" i="5" s="1"/>
  <c r="M674" i="5" s="1"/>
  <c r="O674" i="5"/>
  <c r="P674" i="5" s="1"/>
  <c r="J673" i="5"/>
  <c r="K673" i="5" s="1"/>
  <c r="L673" i="5" s="1"/>
  <c r="M673" i="5" s="1"/>
  <c r="O673" i="5"/>
  <c r="P673" i="5" s="1"/>
  <c r="J672" i="5"/>
  <c r="K672" i="5" s="1"/>
  <c r="L672" i="5" s="1"/>
  <c r="M672" i="5" s="1"/>
  <c r="O672" i="5"/>
  <c r="P672" i="5" s="1"/>
  <c r="J671" i="5"/>
  <c r="K671" i="5" s="1"/>
  <c r="L671" i="5" s="1"/>
  <c r="M671" i="5" s="1"/>
  <c r="O671" i="5"/>
  <c r="P671" i="5" s="1"/>
  <c r="J670" i="5"/>
  <c r="K670" i="5" s="1"/>
  <c r="L670" i="5" s="1"/>
  <c r="M670" i="5" s="1"/>
  <c r="O670" i="5"/>
  <c r="P670" i="5" s="1"/>
  <c r="J669" i="5"/>
  <c r="K669" i="5" s="1"/>
  <c r="L669" i="5" s="1"/>
  <c r="M669" i="5" s="1"/>
  <c r="O669" i="5"/>
  <c r="P669" i="5" s="1"/>
  <c r="J668" i="5"/>
  <c r="K668" i="5" s="1"/>
  <c r="L668" i="5" s="1"/>
  <c r="M668" i="5" s="1"/>
  <c r="O668" i="5"/>
  <c r="P668" i="5" s="1"/>
  <c r="J667" i="5"/>
  <c r="K667" i="5" s="1"/>
  <c r="L667" i="5" s="1"/>
  <c r="M667" i="5" s="1"/>
  <c r="O667" i="5"/>
  <c r="P667" i="5" s="1"/>
  <c r="J666" i="5"/>
  <c r="K666" i="5" s="1"/>
  <c r="L666" i="5" s="1"/>
  <c r="M666" i="5" s="1"/>
  <c r="O666" i="5"/>
  <c r="P666" i="5" s="1"/>
  <c r="J665" i="5"/>
  <c r="K665" i="5" s="1"/>
  <c r="L665" i="5" s="1"/>
  <c r="M665" i="5" s="1"/>
  <c r="O665" i="5"/>
  <c r="P665" i="5" s="1"/>
  <c r="J664" i="5"/>
  <c r="K664" i="5" s="1"/>
  <c r="L664" i="5" s="1"/>
  <c r="M664" i="5" s="1"/>
  <c r="O664" i="5"/>
  <c r="P664" i="5" s="1"/>
  <c r="J663" i="5"/>
  <c r="K663" i="5" s="1"/>
  <c r="L663" i="5" s="1"/>
  <c r="M663" i="5" s="1"/>
  <c r="O663" i="5"/>
  <c r="P663" i="5" s="1"/>
  <c r="J662" i="5"/>
  <c r="K662" i="5" s="1"/>
  <c r="L662" i="5" s="1"/>
  <c r="M662" i="5" s="1"/>
  <c r="O662" i="5"/>
  <c r="P662" i="5" s="1"/>
  <c r="J661" i="5"/>
  <c r="K661" i="5" s="1"/>
  <c r="L661" i="5" s="1"/>
  <c r="M661" i="5" s="1"/>
  <c r="O661" i="5"/>
  <c r="P661" i="5" s="1"/>
  <c r="J660" i="5"/>
  <c r="K660" i="5" s="1"/>
  <c r="L660" i="5" s="1"/>
  <c r="M660" i="5" s="1"/>
  <c r="O660" i="5"/>
  <c r="P660" i="5" s="1"/>
  <c r="J659" i="5"/>
  <c r="K659" i="5" s="1"/>
  <c r="L659" i="5" s="1"/>
  <c r="M659" i="5" s="1"/>
  <c r="O659" i="5"/>
  <c r="P659" i="5" s="1"/>
  <c r="J658" i="5"/>
  <c r="K658" i="5" s="1"/>
  <c r="L658" i="5" s="1"/>
  <c r="M658" i="5" s="1"/>
  <c r="O658" i="5"/>
  <c r="P658" i="5" s="1"/>
  <c r="J657" i="5"/>
  <c r="K657" i="5" s="1"/>
  <c r="L657" i="5" s="1"/>
  <c r="M657" i="5" s="1"/>
  <c r="O657" i="5"/>
  <c r="P657" i="5" s="1"/>
  <c r="J656" i="5"/>
  <c r="K656" i="5" s="1"/>
  <c r="L656" i="5" s="1"/>
  <c r="M656" i="5" s="1"/>
  <c r="O656" i="5"/>
  <c r="P656" i="5" s="1"/>
  <c r="J655" i="5"/>
  <c r="K655" i="5" s="1"/>
  <c r="L655" i="5" s="1"/>
  <c r="M655" i="5" s="1"/>
  <c r="O655" i="5"/>
  <c r="P655" i="5" s="1"/>
  <c r="J654" i="5"/>
  <c r="K654" i="5" s="1"/>
  <c r="L654" i="5" s="1"/>
  <c r="M654" i="5" s="1"/>
  <c r="O654" i="5"/>
  <c r="P654" i="5" s="1"/>
  <c r="S654" i="5"/>
  <c r="T654" i="5" s="1"/>
  <c r="U654" i="5" s="1"/>
  <c r="J653" i="5"/>
  <c r="K653" i="5" s="1"/>
  <c r="L653" i="5" s="1"/>
  <c r="M653" i="5" s="1"/>
  <c r="N653" i="5"/>
  <c r="O653" i="5"/>
  <c r="P653" i="5" s="1"/>
  <c r="S653" i="5"/>
  <c r="T653" i="5" s="1"/>
  <c r="J652" i="5"/>
  <c r="K652" i="5" s="1"/>
  <c r="L652" i="5" s="1"/>
  <c r="M652" i="5" s="1"/>
  <c r="O652" i="5"/>
  <c r="P652" i="5" s="1"/>
  <c r="S652" i="5"/>
  <c r="T652" i="5" s="1"/>
  <c r="U652" i="5" s="1"/>
  <c r="J651" i="5"/>
  <c r="K651" i="5" s="1"/>
  <c r="L651" i="5" s="1"/>
  <c r="M651" i="5" s="1"/>
  <c r="O651" i="5"/>
  <c r="P651" i="5" s="1"/>
  <c r="S651" i="5"/>
  <c r="T651" i="5" s="1"/>
  <c r="U651" i="5" s="1"/>
  <c r="J650" i="5"/>
  <c r="K650" i="5" s="1"/>
  <c r="L650" i="5" s="1"/>
  <c r="M650" i="5" s="1"/>
  <c r="O650" i="5"/>
  <c r="P650" i="5" s="1"/>
  <c r="S650" i="5"/>
  <c r="T650" i="5" s="1"/>
  <c r="U650" i="5" s="1"/>
  <c r="J649" i="5"/>
  <c r="K649" i="5" s="1"/>
  <c r="L649" i="5" s="1"/>
  <c r="M649" i="5" s="1"/>
  <c r="O649" i="5"/>
  <c r="P649" i="5" s="1"/>
  <c r="S649" i="5"/>
  <c r="T649" i="5" s="1"/>
  <c r="U649" i="5" s="1"/>
  <c r="J648" i="5"/>
  <c r="K648" i="5" s="1"/>
  <c r="L648" i="5" s="1"/>
  <c r="M648" i="5" s="1"/>
  <c r="O648" i="5"/>
  <c r="P648" i="5" s="1"/>
  <c r="S648" i="5"/>
  <c r="T648" i="5" s="1"/>
  <c r="U648" i="5" s="1"/>
  <c r="J647" i="5"/>
  <c r="K647" i="5" s="1"/>
  <c r="L647" i="5" s="1"/>
  <c r="M647" i="5" s="1"/>
  <c r="O647" i="5"/>
  <c r="P647" i="5" s="1"/>
  <c r="S647" i="5"/>
  <c r="T647" i="5" s="1"/>
  <c r="U647" i="5" s="1"/>
  <c r="J646" i="5"/>
  <c r="K646" i="5" s="1"/>
  <c r="L646" i="5" s="1"/>
  <c r="M646" i="5" s="1"/>
  <c r="O646" i="5"/>
  <c r="P646" i="5" s="1"/>
  <c r="S646" i="5"/>
  <c r="T646" i="5" s="1"/>
  <c r="U646" i="5" s="1"/>
  <c r="J645" i="5"/>
  <c r="K645" i="5" s="1"/>
  <c r="L645" i="5" s="1"/>
  <c r="M645" i="5" s="1"/>
  <c r="O645" i="5"/>
  <c r="P645" i="5" s="1"/>
  <c r="S645" i="5"/>
  <c r="T645" i="5" s="1"/>
  <c r="U645" i="5" s="1"/>
  <c r="J644" i="5"/>
  <c r="K644" i="5" s="1"/>
  <c r="L644" i="5" s="1"/>
  <c r="M644" i="5" s="1"/>
  <c r="O644" i="5"/>
  <c r="P644" i="5" s="1"/>
  <c r="S644" i="5"/>
  <c r="T644" i="5" s="1"/>
  <c r="U644" i="5" s="1"/>
  <c r="J643" i="5"/>
  <c r="K643" i="5" s="1"/>
  <c r="L643" i="5" s="1"/>
  <c r="M643" i="5" s="1"/>
  <c r="O643" i="5"/>
  <c r="P643" i="5" s="1"/>
  <c r="S643" i="5"/>
  <c r="T643" i="5" s="1"/>
  <c r="U643" i="5" s="1"/>
  <c r="J642" i="5"/>
  <c r="K642" i="5" s="1"/>
  <c r="L642" i="5" s="1"/>
  <c r="M642" i="5" s="1"/>
  <c r="N642" i="5"/>
  <c r="O642" i="5"/>
  <c r="P642" i="5" s="1"/>
  <c r="S642" i="5"/>
  <c r="T642" i="5" s="1"/>
  <c r="J641" i="5"/>
  <c r="K641" i="5" s="1"/>
  <c r="L641" i="5" s="1"/>
  <c r="M641" i="5" s="1"/>
  <c r="O641" i="5"/>
  <c r="P641" i="5" s="1"/>
  <c r="S641" i="5"/>
  <c r="T641" i="5" s="1"/>
  <c r="U641" i="5" s="1"/>
  <c r="J640" i="5"/>
  <c r="K640" i="5" s="1"/>
  <c r="L640" i="5" s="1"/>
  <c r="M640" i="5" s="1"/>
  <c r="O640" i="5"/>
  <c r="P640" i="5" s="1"/>
  <c r="S640" i="5"/>
  <c r="T640" i="5" s="1"/>
  <c r="U640" i="5" s="1"/>
  <c r="J639" i="5"/>
  <c r="K639" i="5" s="1"/>
  <c r="L639" i="5" s="1"/>
  <c r="M639" i="5" s="1"/>
  <c r="O639" i="5"/>
  <c r="P639" i="5" s="1"/>
  <c r="S639" i="5"/>
  <c r="T639" i="5" s="1"/>
  <c r="U639" i="5" s="1"/>
  <c r="J638" i="5"/>
  <c r="K638" i="5" s="1"/>
  <c r="L638" i="5" s="1"/>
  <c r="M638" i="5" s="1"/>
  <c r="O638" i="5"/>
  <c r="P638" i="5" s="1"/>
  <c r="S638" i="5"/>
  <c r="T638" i="5" s="1"/>
  <c r="U638" i="5" s="1"/>
  <c r="J637" i="5"/>
  <c r="K637" i="5" s="1"/>
  <c r="L637" i="5" s="1"/>
  <c r="M637" i="5" s="1"/>
  <c r="O637" i="5"/>
  <c r="P637" i="5" s="1"/>
  <c r="S637" i="5"/>
  <c r="T637" i="5" s="1"/>
  <c r="U637" i="5" s="1"/>
  <c r="J636" i="5"/>
  <c r="K636" i="5" s="1"/>
  <c r="L636" i="5" s="1"/>
  <c r="M636" i="5" s="1"/>
  <c r="O636" i="5"/>
  <c r="P636" i="5" s="1"/>
  <c r="S636" i="5"/>
  <c r="T636" i="5" s="1"/>
  <c r="U636" i="5" s="1"/>
  <c r="J635" i="5"/>
  <c r="K635" i="5" s="1"/>
  <c r="L635" i="5" s="1"/>
  <c r="M635" i="5" s="1"/>
  <c r="N635" i="5"/>
  <c r="O635" i="5"/>
  <c r="P635" i="5" s="1"/>
  <c r="S635" i="5"/>
  <c r="T635" i="5" s="1"/>
  <c r="J634" i="5"/>
  <c r="K634" i="5" s="1"/>
  <c r="L634" i="5" s="1"/>
  <c r="M634" i="5" s="1"/>
  <c r="O634" i="5"/>
  <c r="P634" i="5" s="1"/>
  <c r="S634" i="5"/>
  <c r="T634" i="5" s="1"/>
  <c r="U634" i="5" s="1"/>
  <c r="J633" i="5"/>
  <c r="K633" i="5" s="1"/>
  <c r="L633" i="5" s="1"/>
  <c r="M633" i="5" s="1"/>
  <c r="N633" i="5"/>
  <c r="O633" i="5"/>
  <c r="P633" i="5" s="1"/>
  <c r="S633" i="5"/>
  <c r="T633" i="5" s="1"/>
  <c r="J632" i="5"/>
  <c r="K632" i="5" s="1"/>
  <c r="L632" i="5" s="1"/>
  <c r="M632" i="5" s="1"/>
  <c r="O632" i="5"/>
  <c r="P632" i="5" s="1"/>
  <c r="S632" i="5"/>
  <c r="T632" i="5" s="1"/>
  <c r="U632" i="5" s="1"/>
  <c r="J631" i="5"/>
  <c r="K631" i="5" s="1"/>
  <c r="L631" i="5" s="1"/>
  <c r="M631" i="5" s="1"/>
  <c r="O631" i="5"/>
  <c r="P631" i="5" s="1"/>
  <c r="S631" i="5"/>
  <c r="T631" i="5" s="1"/>
  <c r="U631" i="5" s="1"/>
  <c r="J630" i="5"/>
  <c r="K630" i="5" s="1"/>
  <c r="L630" i="5" s="1"/>
  <c r="M630" i="5" s="1"/>
  <c r="O630" i="5"/>
  <c r="P630" i="5" s="1"/>
  <c r="S630" i="5"/>
  <c r="T630" i="5" s="1"/>
  <c r="U630" i="5" s="1"/>
  <c r="J629" i="5"/>
  <c r="K629" i="5" s="1"/>
  <c r="L629" i="5" s="1"/>
  <c r="M629" i="5" s="1"/>
  <c r="O629" i="5"/>
  <c r="P629" i="5" s="1"/>
  <c r="S629" i="5"/>
  <c r="T629" i="5" s="1"/>
  <c r="U629" i="5" s="1"/>
  <c r="J628" i="5"/>
  <c r="K628" i="5" s="1"/>
  <c r="L628" i="5" s="1"/>
  <c r="M628" i="5" s="1"/>
  <c r="O628" i="5"/>
  <c r="P628" i="5" s="1"/>
  <c r="S628" i="5"/>
  <c r="T628" i="5" s="1"/>
  <c r="U628" i="5" s="1"/>
  <c r="J627" i="5"/>
  <c r="K627" i="5" s="1"/>
  <c r="L627" i="5" s="1"/>
  <c r="M627" i="5" s="1"/>
  <c r="N627" i="5"/>
  <c r="O627" i="5"/>
  <c r="P627" i="5" s="1"/>
  <c r="S627" i="5"/>
  <c r="T627" i="5" s="1"/>
  <c r="J626" i="5"/>
  <c r="K626" i="5" s="1"/>
  <c r="L626" i="5" s="1"/>
  <c r="M626" i="5" s="1"/>
  <c r="N626" i="5"/>
  <c r="O626" i="5"/>
  <c r="P626" i="5" s="1"/>
  <c r="S626" i="5"/>
  <c r="T626" i="5" s="1"/>
  <c r="J625" i="5"/>
  <c r="K625" i="5" s="1"/>
  <c r="L625" i="5" s="1"/>
  <c r="M625" i="5" s="1"/>
  <c r="N625" i="5"/>
  <c r="O625" i="5"/>
  <c r="P625" i="5" s="1"/>
  <c r="S625" i="5"/>
  <c r="T625" i="5" s="1"/>
  <c r="J624" i="5"/>
  <c r="K624" i="5" s="1"/>
  <c r="L624" i="5" s="1"/>
  <c r="M624" i="5" s="1"/>
  <c r="N624" i="5"/>
  <c r="O624" i="5"/>
  <c r="P624" i="5" s="1"/>
  <c r="S624" i="5"/>
  <c r="T624" i="5" s="1"/>
  <c r="J623" i="5"/>
  <c r="K623" i="5" s="1"/>
  <c r="L623" i="5" s="1"/>
  <c r="M623" i="5" s="1"/>
  <c r="O623" i="5"/>
  <c r="P623" i="5" s="1"/>
  <c r="S623" i="5"/>
  <c r="T623" i="5" s="1"/>
  <c r="U623" i="5" s="1"/>
  <c r="J622" i="5"/>
  <c r="K622" i="5" s="1"/>
  <c r="L622" i="5" s="1"/>
  <c r="M622" i="5" s="1"/>
  <c r="O622" i="5"/>
  <c r="P622" i="5" s="1"/>
  <c r="S622" i="5"/>
  <c r="T622" i="5" s="1"/>
  <c r="U622" i="5" s="1"/>
  <c r="J621" i="5"/>
  <c r="K621" i="5" s="1"/>
  <c r="L621" i="5" s="1"/>
  <c r="M621" i="5" s="1"/>
  <c r="O621" i="5"/>
  <c r="P621" i="5" s="1"/>
  <c r="S621" i="5"/>
  <c r="T621" i="5" s="1"/>
  <c r="U621" i="5" s="1"/>
  <c r="J620" i="5"/>
  <c r="K620" i="5" s="1"/>
  <c r="L620" i="5" s="1"/>
  <c r="M620" i="5" s="1"/>
  <c r="N620" i="5"/>
  <c r="O620" i="5"/>
  <c r="P620" i="5" s="1"/>
  <c r="S620" i="5"/>
  <c r="T620" i="5" s="1"/>
  <c r="J619" i="5"/>
  <c r="K619" i="5" s="1"/>
  <c r="L619" i="5" s="1"/>
  <c r="M619" i="5" s="1"/>
  <c r="O619" i="5"/>
  <c r="P619" i="5" s="1"/>
  <c r="S619" i="5"/>
  <c r="T619" i="5" s="1"/>
  <c r="U619" i="5" s="1"/>
  <c r="J618" i="5"/>
  <c r="K618" i="5" s="1"/>
  <c r="L618" i="5" s="1"/>
  <c r="M618" i="5" s="1"/>
  <c r="O618" i="5"/>
  <c r="P618" i="5" s="1"/>
  <c r="S618" i="5"/>
  <c r="T618" i="5" s="1"/>
  <c r="U618" i="5" s="1"/>
  <c r="J617" i="5"/>
  <c r="K617" i="5" s="1"/>
  <c r="L617" i="5" s="1"/>
  <c r="M617" i="5" s="1"/>
  <c r="N617" i="5"/>
  <c r="O617" i="5"/>
  <c r="P617" i="5" s="1"/>
  <c r="S617" i="5"/>
  <c r="T617" i="5" s="1"/>
  <c r="J616" i="5"/>
  <c r="K616" i="5" s="1"/>
  <c r="L616" i="5" s="1"/>
  <c r="M616" i="5" s="1"/>
  <c r="N616" i="5"/>
  <c r="O616" i="5"/>
  <c r="P616" i="5" s="1"/>
  <c r="S616" i="5"/>
  <c r="T616" i="5" s="1"/>
  <c r="J615" i="5"/>
  <c r="K615" i="5" s="1"/>
  <c r="L615" i="5" s="1"/>
  <c r="M615" i="5" s="1"/>
  <c r="N615" i="5"/>
  <c r="O615" i="5"/>
  <c r="P615" i="5" s="1"/>
  <c r="S615" i="5"/>
  <c r="T615" i="5" s="1"/>
  <c r="J614" i="5"/>
  <c r="K614" i="5" s="1"/>
  <c r="L614" i="5" s="1"/>
  <c r="M614" i="5" s="1"/>
  <c r="O614" i="5"/>
  <c r="P614" i="5" s="1"/>
  <c r="S614" i="5"/>
  <c r="T614" i="5" s="1"/>
  <c r="U614" i="5" s="1"/>
  <c r="J613" i="5"/>
  <c r="K613" i="5" s="1"/>
  <c r="L613" i="5" s="1"/>
  <c r="M613" i="5" s="1"/>
  <c r="O613" i="5"/>
  <c r="P613" i="5" s="1"/>
  <c r="S613" i="5"/>
  <c r="T613" i="5" s="1"/>
  <c r="U613" i="5" s="1"/>
  <c r="J612" i="5"/>
  <c r="K612" i="5" s="1"/>
  <c r="L612" i="5" s="1"/>
  <c r="M612" i="5" s="1"/>
  <c r="N612" i="5"/>
  <c r="O612" i="5"/>
  <c r="P612" i="5" s="1"/>
  <c r="S612" i="5"/>
  <c r="T612" i="5" s="1"/>
  <c r="J611" i="5"/>
  <c r="K611" i="5" s="1"/>
  <c r="L611" i="5" s="1"/>
  <c r="M611" i="5" s="1"/>
  <c r="O611" i="5"/>
  <c r="P611" i="5" s="1"/>
  <c r="S611" i="5"/>
  <c r="T611" i="5" s="1"/>
  <c r="U611" i="5" s="1"/>
  <c r="J610" i="5"/>
  <c r="K610" i="5" s="1"/>
  <c r="L610" i="5" s="1"/>
  <c r="M610" i="5" s="1"/>
  <c r="N610" i="5"/>
  <c r="O610" i="5"/>
  <c r="P610" i="5" s="1"/>
  <c r="S610" i="5"/>
  <c r="T610" i="5" s="1"/>
  <c r="J609" i="5"/>
  <c r="K609" i="5" s="1"/>
  <c r="L609" i="5" s="1"/>
  <c r="M609" i="5" s="1"/>
  <c r="N609" i="5"/>
  <c r="O609" i="5"/>
  <c r="P609" i="5" s="1"/>
  <c r="S609" i="5"/>
  <c r="T609" i="5" s="1"/>
  <c r="J608" i="5"/>
  <c r="K608" i="5" s="1"/>
  <c r="L608" i="5" s="1"/>
  <c r="M608" i="5" s="1"/>
  <c r="N608" i="5"/>
  <c r="O608" i="5"/>
  <c r="P608" i="5" s="1"/>
  <c r="S608" i="5"/>
  <c r="T608" i="5" s="1"/>
  <c r="J607" i="5"/>
  <c r="K607" i="5" s="1"/>
  <c r="L607" i="5" s="1"/>
  <c r="M607" i="5" s="1"/>
  <c r="O607" i="5"/>
  <c r="P607" i="5" s="1"/>
  <c r="S607" i="5"/>
  <c r="T607" i="5" s="1"/>
  <c r="U607" i="5" s="1"/>
  <c r="J606" i="5"/>
  <c r="K606" i="5" s="1"/>
  <c r="L606" i="5" s="1"/>
  <c r="M606" i="5" s="1"/>
  <c r="O606" i="5"/>
  <c r="P606" i="5" s="1"/>
  <c r="S606" i="5"/>
  <c r="T606" i="5" s="1"/>
  <c r="U606" i="5" s="1"/>
  <c r="J605" i="5"/>
  <c r="K605" i="5" s="1"/>
  <c r="L605" i="5" s="1"/>
  <c r="M605" i="5" s="1"/>
  <c r="N605" i="5"/>
  <c r="O605" i="5"/>
  <c r="P605" i="5" s="1"/>
  <c r="S605" i="5"/>
  <c r="T605" i="5" s="1"/>
  <c r="J604" i="5"/>
  <c r="K604" i="5" s="1"/>
  <c r="L604" i="5" s="1"/>
  <c r="M604" i="5" s="1"/>
  <c r="N604" i="5"/>
  <c r="O604" i="5"/>
  <c r="P604" i="5" s="1"/>
  <c r="S604" i="5"/>
  <c r="T604" i="5" s="1"/>
  <c r="J603" i="5"/>
  <c r="K603" i="5" s="1"/>
  <c r="L603" i="5" s="1"/>
  <c r="M603" i="5" s="1"/>
  <c r="N603" i="5"/>
  <c r="O603" i="5"/>
  <c r="P603" i="5" s="1"/>
  <c r="S603" i="5"/>
  <c r="T603" i="5" s="1"/>
  <c r="J602" i="5"/>
  <c r="K602" i="5" s="1"/>
  <c r="L602" i="5" s="1"/>
  <c r="M602" i="5" s="1"/>
  <c r="N602" i="5"/>
  <c r="O602" i="5"/>
  <c r="P602" i="5" s="1"/>
  <c r="S602" i="5"/>
  <c r="T602" i="5" s="1"/>
  <c r="J601" i="5"/>
  <c r="K601" i="5" s="1"/>
  <c r="L601" i="5" s="1"/>
  <c r="M601" i="5" s="1"/>
  <c r="N601" i="5"/>
  <c r="O601" i="5"/>
  <c r="P601" i="5" s="1"/>
  <c r="S601" i="5"/>
  <c r="T601" i="5" s="1"/>
  <c r="J600" i="5"/>
  <c r="K600" i="5" s="1"/>
  <c r="L600" i="5" s="1"/>
  <c r="M600" i="5" s="1"/>
  <c r="N600" i="5"/>
  <c r="O600" i="5"/>
  <c r="P600" i="5" s="1"/>
  <c r="S600" i="5"/>
  <c r="T600" i="5" s="1"/>
  <c r="J599" i="5"/>
  <c r="K599" i="5" s="1"/>
  <c r="L599" i="5" s="1"/>
  <c r="M599" i="5" s="1"/>
  <c r="O599" i="5"/>
  <c r="P599" i="5" s="1"/>
  <c r="S599" i="5"/>
  <c r="T599" i="5" s="1"/>
  <c r="U599" i="5" s="1"/>
  <c r="J598" i="5"/>
  <c r="K598" i="5" s="1"/>
  <c r="L598" i="5" s="1"/>
  <c r="M598" i="5" s="1"/>
  <c r="O598" i="5"/>
  <c r="P598" i="5" s="1"/>
  <c r="S598" i="5"/>
  <c r="T598" i="5" s="1"/>
  <c r="U598" i="5" s="1"/>
  <c r="J597" i="5"/>
  <c r="K597" i="5" s="1"/>
  <c r="L597" i="5" s="1"/>
  <c r="M597" i="5" s="1"/>
  <c r="N597" i="5"/>
  <c r="O597" i="5"/>
  <c r="P597" i="5" s="1"/>
  <c r="S597" i="5"/>
  <c r="T597" i="5" s="1"/>
  <c r="J596" i="5"/>
  <c r="K596" i="5" s="1"/>
  <c r="L596" i="5" s="1"/>
  <c r="M596" i="5" s="1"/>
  <c r="O596" i="5"/>
  <c r="P596" i="5" s="1"/>
  <c r="S596" i="5"/>
  <c r="T596" i="5" s="1"/>
  <c r="U596" i="5" s="1"/>
  <c r="J595" i="5"/>
  <c r="K595" i="5" s="1"/>
  <c r="L595" i="5" s="1"/>
  <c r="M595" i="5" s="1"/>
  <c r="AE595" i="5"/>
  <c r="AF595" i="5" s="1"/>
  <c r="O595" i="5"/>
  <c r="P595" i="5" s="1"/>
  <c r="Q595" i="5" s="1"/>
  <c r="R595" i="5" s="1"/>
  <c r="S595" i="5" s="1"/>
  <c r="T595" i="5" s="1"/>
  <c r="U595" i="5" s="1"/>
  <c r="J594" i="5"/>
  <c r="K594" i="5" s="1"/>
  <c r="L594" i="5" s="1"/>
  <c r="M594" i="5" s="1"/>
  <c r="N594" i="5"/>
  <c r="O594" i="5"/>
  <c r="P594" i="5" s="1"/>
  <c r="S594" i="5"/>
  <c r="T594" i="5" s="1"/>
  <c r="J593" i="5"/>
  <c r="K593" i="5" s="1"/>
  <c r="L593" i="5" s="1"/>
  <c r="M593" i="5" s="1"/>
  <c r="N593" i="5"/>
  <c r="O593" i="5"/>
  <c r="P593" i="5" s="1"/>
  <c r="S593" i="5"/>
  <c r="T593" i="5" s="1"/>
  <c r="J592" i="5"/>
  <c r="K592" i="5" s="1"/>
  <c r="L592" i="5" s="1"/>
  <c r="M592" i="5" s="1"/>
  <c r="N592" i="5"/>
  <c r="O592" i="5"/>
  <c r="P592" i="5" s="1"/>
  <c r="S592" i="5"/>
  <c r="T592" i="5" s="1"/>
  <c r="J591" i="5"/>
  <c r="K591" i="5" s="1"/>
  <c r="L591" i="5" s="1"/>
  <c r="M591" i="5" s="1"/>
  <c r="O591" i="5"/>
  <c r="P591" i="5" s="1"/>
  <c r="S591" i="5"/>
  <c r="T591" i="5" s="1"/>
  <c r="U591" i="5" s="1"/>
  <c r="J590" i="5"/>
  <c r="K590" i="5" s="1"/>
  <c r="L590" i="5" s="1"/>
  <c r="M590" i="5" s="1"/>
  <c r="O590" i="5"/>
  <c r="P590" i="5" s="1"/>
  <c r="S590" i="5"/>
  <c r="T590" i="5" s="1"/>
  <c r="U590" i="5" s="1"/>
  <c r="J589" i="5"/>
  <c r="K589" i="5" s="1"/>
  <c r="L589" i="5" s="1"/>
  <c r="M589" i="5" s="1"/>
  <c r="O589" i="5"/>
  <c r="P589" i="5" s="1"/>
  <c r="S589" i="5"/>
  <c r="T589" i="5" s="1"/>
  <c r="U589" i="5" s="1"/>
  <c r="J588" i="5"/>
  <c r="K588" i="5" s="1"/>
  <c r="L588" i="5" s="1"/>
  <c r="M588" i="5" s="1"/>
  <c r="N588" i="5"/>
  <c r="O588" i="5"/>
  <c r="P588" i="5" s="1"/>
  <c r="S588" i="5"/>
  <c r="T588" i="5" s="1"/>
  <c r="J587" i="5"/>
  <c r="K587" i="5" s="1"/>
  <c r="L587" i="5" s="1"/>
  <c r="M587" i="5" s="1"/>
  <c r="N587" i="5"/>
  <c r="O587" i="5"/>
  <c r="P587" i="5" s="1"/>
  <c r="S587" i="5"/>
  <c r="T587" i="5" s="1"/>
  <c r="J586" i="5"/>
  <c r="K586" i="5" s="1"/>
  <c r="L586" i="5" s="1"/>
  <c r="M586" i="5" s="1"/>
  <c r="N586" i="5"/>
  <c r="O586" i="5"/>
  <c r="P586" i="5" s="1"/>
  <c r="S586" i="5"/>
  <c r="T586" i="5" s="1"/>
  <c r="J585" i="5"/>
  <c r="K585" i="5" s="1"/>
  <c r="L585" i="5" s="1"/>
  <c r="M585" i="5" s="1"/>
  <c r="N585" i="5"/>
  <c r="O585" i="5"/>
  <c r="P585" i="5" s="1"/>
  <c r="S585" i="5"/>
  <c r="T585" i="5" s="1"/>
  <c r="J584" i="5"/>
  <c r="K584" i="5" s="1"/>
  <c r="L584" i="5" s="1"/>
  <c r="M584" i="5" s="1"/>
  <c r="O584" i="5"/>
  <c r="P584" i="5" s="1"/>
  <c r="S584" i="5"/>
  <c r="T584" i="5" s="1"/>
  <c r="U584" i="5" s="1"/>
  <c r="J583" i="5"/>
  <c r="K583" i="5" s="1"/>
  <c r="L583" i="5" s="1"/>
  <c r="M583" i="5" s="1"/>
  <c r="O583" i="5"/>
  <c r="P583" i="5" s="1"/>
  <c r="S583" i="5"/>
  <c r="T583" i="5" s="1"/>
  <c r="U583" i="5" s="1"/>
  <c r="J582" i="5"/>
  <c r="K582" i="5" s="1"/>
  <c r="L582" i="5" s="1"/>
  <c r="M582" i="5" s="1"/>
  <c r="O582" i="5"/>
  <c r="P582" i="5" s="1"/>
  <c r="S582" i="5"/>
  <c r="T582" i="5" s="1"/>
  <c r="U582" i="5" s="1"/>
  <c r="J581" i="5"/>
  <c r="K581" i="5" s="1"/>
  <c r="L581" i="5" s="1"/>
  <c r="M581" i="5" s="1"/>
  <c r="O581" i="5"/>
  <c r="P581" i="5" s="1"/>
  <c r="S581" i="5"/>
  <c r="T581" i="5" s="1"/>
  <c r="U581" i="5" s="1"/>
  <c r="J580" i="5"/>
  <c r="K580" i="5" s="1"/>
  <c r="L580" i="5" s="1"/>
  <c r="M580" i="5" s="1"/>
  <c r="O580" i="5"/>
  <c r="P580" i="5" s="1"/>
  <c r="S580" i="5"/>
  <c r="T580" i="5" s="1"/>
  <c r="U580" i="5" s="1"/>
  <c r="J579" i="5"/>
  <c r="K579" i="5" s="1"/>
  <c r="L579" i="5" s="1"/>
  <c r="M579" i="5" s="1"/>
  <c r="O579" i="5"/>
  <c r="P579" i="5" s="1"/>
  <c r="S579" i="5"/>
  <c r="T579" i="5" s="1"/>
  <c r="U579" i="5" s="1"/>
  <c r="J578" i="5"/>
  <c r="K578" i="5" s="1"/>
  <c r="L578" i="5" s="1"/>
  <c r="M578" i="5" s="1"/>
  <c r="O578" i="5"/>
  <c r="P578" i="5" s="1"/>
  <c r="S578" i="5"/>
  <c r="T578" i="5" s="1"/>
  <c r="U578" i="5" s="1"/>
  <c r="J577" i="5"/>
  <c r="K577" i="5" s="1"/>
  <c r="L577" i="5" s="1"/>
  <c r="M577" i="5" s="1"/>
  <c r="O577" i="5"/>
  <c r="P577" i="5" s="1"/>
  <c r="S577" i="5"/>
  <c r="T577" i="5" s="1"/>
  <c r="U577" i="5" s="1"/>
  <c r="J576" i="5"/>
  <c r="K576" i="5" s="1"/>
  <c r="L576" i="5" s="1"/>
  <c r="M576" i="5" s="1"/>
  <c r="O576" i="5"/>
  <c r="P576" i="5" s="1"/>
  <c r="S576" i="5"/>
  <c r="T576" i="5" s="1"/>
  <c r="U576" i="5" s="1"/>
  <c r="J575" i="5"/>
  <c r="K575" i="5" s="1"/>
  <c r="L575" i="5" s="1"/>
  <c r="M575" i="5" s="1"/>
  <c r="O575" i="5"/>
  <c r="P575" i="5" s="1"/>
  <c r="S575" i="5"/>
  <c r="T575" i="5" s="1"/>
  <c r="U575" i="5" s="1"/>
  <c r="J574" i="5"/>
  <c r="K574" i="5" s="1"/>
  <c r="L574" i="5" s="1"/>
  <c r="M574" i="5" s="1"/>
  <c r="O574" i="5"/>
  <c r="P574" i="5" s="1"/>
  <c r="S574" i="5"/>
  <c r="T574" i="5" s="1"/>
  <c r="U574" i="5" s="1"/>
  <c r="J573" i="5"/>
  <c r="K573" i="5" s="1"/>
  <c r="L573" i="5" s="1"/>
  <c r="M573" i="5" s="1"/>
  <c r="O573" i="5"/>
  <c r="P573" i="5" s="1"/>
  <c r="S573" i="5"/>
  <c r="T573" i="5" s="1"/>
  <c r="U573" i="5" s="1"/>
  <c r="J572" i="5"/>
  <c r="K572" i="5" s="1"/>
  <c r="L572" i="5" s="1"/>
  <c r="M572" i="5" s="1"/>
  <c r="O572" i="5"/>
  <c r="P572" i="5" s="1"/>
  <c r="S572" i="5"/>
  <c r="T572" i="5" s="1"/>
  <c r="U572" i="5" s="1"/>
  <c r="J571" i="5"/>
  <c r="K571" i="5" s="1"/>
  <c r="L571" i="5" s="1"/>
  <c r="M571" i="5" s="1"/>
  <c r="O571" i="5"/>
  <c r="P571" i="5" s="1"/>
  <c r="S571" i="5"/>
  <c r="T571" i="5" s="1"/>
  <c r="U571" i="5" s="1"/>
  <c r="J570" i="5"/>
  <c r="K570" i="5" s="1"/>
  <c r="L570" i="5" s="1"/>
  <c r="M570" i="5" s="1"/>
  <c r="N570" i="5"/>
  <c r="O570" i="5"/>
  <c r="P570" i="5" s="1"/>
  <c r="S570" i="5"/>
  <c r="T570" i="5" s="1"/>
  <c r="J569" i="5"/>
  <c r="K569" i="5" s="1"/>
  <c r="L569" i="5" s="1"/>
  <c r="M569" i="5" s="1"/>
  <c r="O569" i="5"/>
  <c r="P569" i="5" s="1"/>
  <c r="S569" i="5"/>
  <c r="T569" i="5" s="1"/>
  <c r="U569" i="5" s="1"/>
  <c r="J568" i="5"/>
  <c r="K568" i="5" s="1"/>
  <c r="L568" i="5" s="1"/>
  <c r="M568" i="5" s="1"/>
  <c r="O568" i="5"/>
  <c r="P568" i="5" s="1"/>
  <c r="S568" i="5"/>
  <c r="T568" i="5" s="1"/>
  <c r="U568" i="5" s="1"/>
  <c r="J567" i="5"/>
  <c r="K567" i="5" s="1"/>
  <c r="L567" i="5" s="1"/>
  <c r="M567" i="5" s="1"/>
  <c r="O567" i="5"/>
  <c r="P567" i="5" s="1"/>
  <c r="S567" i="5"/>
  <c r="T567" i="5" s="1"/>
  <c r="U567" i="5" s="1"/>
  <c r="J566" i="5"/>
  <c r="K566" i="5" s="1"/>
  <c r="L566" i="5" s="1"/>
  <c r="M566" i="5" s="1"/>
  <c r="O566" i="5"/>
  <c r="P566" i="5" s="1"/>
  <c r="S566" i="5"/>
  <c r="T566" i="5" s="1"/>
  <c r="U566" i="5" s="1"/>
  <c r="J565" i="5"/>
  <c r="K565" i="5" s="1"/>
  <c r="L565" i="5" s="1"/>
  <c r="M565" i="5" s="1"/>
  <c r="N565" i="5"/>
  <c r="O565" i="5"/>
  <c r="P565" i="5" s="1"/>
  <c r="S565" i="5"/>
  <c r="T565" i="5" s="1"/>
  <c r="J564" i="5"/>
  <c r="K564" i="5" s="1"/>
  <c r="L564" i="5" s="1"/>
  <c r="M564" i="5" s="1"/>
  <c r="N564" i="5"/>
  <c r="O564" i="5"/>
  <c r="P564" i="5" s="1"/>
  <c r="S564" i="5"/>
  <c r="T564" i="5" s="1"/>
  <c r="J563" i="5"/>
  <c r="K563" i="5" s="1"/>
  <c r="L563" i="5" s="1"/>
  <c r="M563" i="5" s="1"/>
  <c r="N563" i="5"/>
  <c r="O563" i="5"/>
  <c r="P563" i="5" s="1"/>
  <c r="S563" i="5"/>
  <c r="T563" i="5" s="1"/>
  <c r="J562" i="5"/>
  <c r="K562" i="5" s="1"/>
  <c r="L562" i="5" s="1"/>
  <c r="M562" i="5" s="1"/>
  <c r="O562" i="5"/>
  <c r="P562" i="5" s="1"/>
  <c r="S562" i="5"/>
  <c r="T562" i="5" s="1"/>
  <c r="U562" i="5" s="1"/>
  <c r="J561" i="5"/>
  <c r="K561" i="5" s="1"/>
  <c r="L561" i="5" s="1"/>
  <c r="M561" i="5" s="1"/>
  <c r="O561" i="5"/>
  <c r="P561" i="5" s="1"/>
  <c r="S561" i="5"/>
  <c r="T561" i="5" s="1"/>
  <c r="U561" i="5" s="1"/>
  <c r="J560" i="5"/>
  <c r="K560" i="5" s="1"/>
  <c r="L560" i="5" s="1"/>
  <c r="M560" i="5" s="1"/>
  <c r="N560" i="5"/>
  <c r="O560" i="5"/>
  <c r="P560" i="5" s="1"/>
  <c r="S560" i="5"/>
  <c r="T560" i="5" s="1"/>
  <c r="J559" i="5"/>
  <c r="K559" i="5" s="1"/>
  <c r="L559" i="5" s="1"/>
  <c r="M559" i="5" s="1"/>
  <c r="N559" i="5"/>
  <c r="O559" i="5"/>
  <c r="P559" i="5" s="1"/>
  <c r="S559" i="5"/>
  <c r="T559" i="5" s="1"/>
  <c r="J558" i="5"/>
  <c r="K558" i="5" s="1"/>
  <c r="L558" i="5" s="1"/>
  <c r="M558" i="5" s="1"/>
  <c r="O558" i="5"/>
  <c r="P558" i="5" s="1"/>
  <c r="S558" i="5"/>
  <c r="T558" i="5" s="1"/>
  <c r="U558" i="5" s="1"/>
  <c r="J557" i="5"/>
  <c r="K557" i="5" s="1"/>
  <c r="L557" i="5" s="1"/>
  <c r="M557" i="5" s="1"/>
  <c r="O557" i="5"/>
  <c r="P557" i="5" s="1"/>
  <c r="S557" i="5"/>
  <c r="T557" i="5" s="1"/>
  <c r="U557" i="5" s="1"/>
  <c r="J556" i="5"/>
  <c r="K556" i="5" s="1"/>
  <c r="L556" i="5" s="1"/>
  <c r="M556" i="5" s="1"/>
  <c r="O556" i="5"/>
  <c r="P556" i="5" s="1"/>
  <c r="S556" i="5"/>
  <c r="T556" i="5" s="1"/>
  <c r="U556" i="5" s="1"/>
  <c r="J555" i="5"/>
  <c r="K555" i="5" s="1"/>
  <c r="L555" i="5" s="1"/>
  <c r="M555" i="5" s="1"/>
  <c r="N555" i="5"/>
  <c r="O555" i="5"/>
  <c r="P555" i="5" s="1"/>
  <c r="S555" i="5"/>
  <c r="T555" i="5" s="1"/>
  <c r="J554" i="5"/>
  <c r="K554" i="5" s="1"/>
  <c r="L554" i="5" s="1"/>
  <c r="M554" i="5" s="1"/>
  <c r="N554" i="5"/>
  <c r="O554" i="5"/>
  <c r="P554" i="5" s="1"/>
  <c r="S554" i="5"/>
  <c r="T554" i="5" s="1"/>
  <c r="J553" i="5"/>
  <c r="K553" i="5" s="1"/>
  <c r="L553" i="5" s="1"/>
  <c r="M553" i="5" s="1"/>
  <c r="N553" i="5"/>
  <c r="O553" i="5"/>
  <c r="P553" i="5" s="1"/>
  <c r="S553" i="5"/>
  <c r="T553" i="5" s="1"/>
  <c r="J552" i="5"/>
  <c r="K552" i="5" s="1"/>
  <c r="L552" i="5" s="1"/>
  <c r="M552" i="5" s="1"/>
  <c r="N552" i="5"/>
  <c r="O552" i="5"/>
  <c r="P552" i="5" s="1"/>
  <c r="S552" i="5"/>
  <c r="T552" i="5" s="1"/>
  <c r="J551" i="5"/>
  <c r="K551" i="5" s="1"/>
  <c r="L551" i="5" s="1"/>
  <c r="M551" i="5" s="1"/>
  <c r="O551" i="5"/>
  <c r="P551" i="5" s="1"/>
  <c r="S551" i="5"/>
  <c r="T551" i="5" s="1"/>
  <c r="U551" i="5" s="1"/>
  <c r="J550" i="5"/>
  <c r="K550" i="5" s="1"/>
  <c r="L550" i="5" s="1"/>
  <c r="M550" i="5" s="1"/>
  <c r="O550" i="5"/>
  <c r="P550" i="5" s="1"/>
  <c r="S550" i="5"/>
  <c r="T550" i="5" s="1"/>
  <c r="U550" i="5" s="1"/>
  <c r="J549" i="5"/>
  <c r="K549" i="5" s="1"/>
  <c r="L549" i="5" s="1"/>
  <c r="M549" i="5" s="1"/>
  <c r="O549" i="5"/>
  <c r="P549" i="5" s="1"/>
  <c r="S549" i="5"/>
  <c r="T549" i="5" s="1"/>
  <c r="U549" i="5" s="1"/>
  <c r="J548" i="5"/>
  <c r="K548" i="5" s="1"/>
  <c r="L548" i="5" s="1"/>
  <c r="M548" i="5" s="1"/>
  <c r="O548" i="5"/>
  <c r="P548" i="5" s="1"/>
  <c r="S548" i="5"/>
  <c r="T548" i="5" s="1"/>
  <c r="U548" i="5" s="1"/>
  <c r="J547" i="5"/>
  <c r="K547" i="5" s="1"/>
  <c r="L547" i="5" s="1"/>
  <c r="M547" i="5" s="1"/>
  <c r="N547" i="5"/>
  <c r="O547" i="5"/>
  <c r="P547" i="5" s="1"/>
  <c r="S547" i="5"/>
  <c r="T547" i="5" s="1"/>
  <c r="J546" i="5"/>
  <c r="K546" i="5" s="1"/>
  <c r="L546" i="5" s="1"/>
  <c r="M546" i="5" s="1"/>
  <c r="N546" i="5"/>
  <c r="O546" i="5"/>
  <c r="P546" i="5" s="1"/>
  <c r="S546" i="5"/>
  <c r="T546" i="5" s="1"/>
  <c r="J545" i="5"/>
  <c r="K545" i="5" s="1"/>
  <c r="L545" i="5" s="1"/>
  <c r="M545" i="5" s="1"/>
  <c r="N545" i="5"/>
  <c r="O545" i="5"/>
  <c r="P545" i="5" s="1"/>
  <c r="S545" i="5"/>
  <c r="T545" i="5" s="1"/>
  <c r="J544" i="5"/>
  <c r="K544" i="5" s="1"/>
  <c r="L544" i="5" s="1"/>
  <c r="M544" i="5" s="1"/>
  <c r="N544" i="5"/>
  <c r="O544" i="5"/>
  <c r="P544" i="5" s="1"/>
  <c r="S544" i="5"/>
  <c r="T544" i="5" s="1"/>
  <c r="J543" i="5"/>
  <c r="K543" i="5" s="1"/>
  <c r="L543" i="5" s="1"/>
  <c r="M543" i="5" s="1"/>
  <c r="O543" i="5"/>
  <c r="P543" i="5" s="1"/>
  <c r="S543" i="5"/>
  <c r="T543" i="5" s="1"/>
  <c r="U543" i="5" s="1"/>
  <c r="J542" i="5"/>
  <c r="K542" i="5" s="1"/>
  <c r="L542" i="5" s="1"/>
  <c r="M542" i="5" s="1"/>
  <c r="O542" i="5"/>
  <c r="P542" i="5" s="1"/>
  <c r="S542" i="5"/>
  <c r="T542" i="5" s="1"/>
  <c r="U542" i="5" s="1"/>
  <c r="J541" i="5"/>
  <c r="K541" i="5" s="1"/>
  <c r="L541" i="5" s="1"/>
  <c r="M541" i="5" s="1"/>
  <c r="O541" i="5"/>
  <c r="P541" i="5" s="1"/>
  <c r="J540" i="5"/>
  <c r="K540" i="5" s="1"/>
  <c r="L540" i="5" s="1"/>
  <c r="M540" i="5" s="1"/>
  <c r="O540" i="5"/>
  <c r="P540" i="5" s="1"/>
  <c r="J539" i="5"/>
  <c r="K539" i="5" s="1"/>
  <c r="L539" i="5" s="1"/>
  <c r="M539" i="5" s="1"/>
  <c r="O539" i="5"/>
  <c r="P539" i="5" s="1"/>
  <c r="J538" i="5"/>
  <c r="K538" i="5" s="1"/>
  <c r="L538" i="5" s="1"/>
  <c r="M538" i="5" s="1"/>
  <c r="O538" i="5"/>
  <c r="P538" i="5" s="1"/>
  <c r="J537" i="5"/>
  <c r="K537" i="5" s="1"/>
  <c r="L537" i="5" s="1"/>
  <c r="M537" i="5" s="1"/>
  <c r="O537" i="5"/>
  <c r="P537" i="5" s="1"/>
  <c r="J536" i="5"/>
  <c r="K536" i="5" s="1"/>
  <c r="L536" i="5" s="1"/>
  <c r="M536" i="5" s="1"/>
  <c r="O536" i="5"/>
  <c r="P536" i="5" s="1"/>
  <c r="N535" i="5"/>
  <c r="O535" i="5"/>
  <c r="P535" i="5" s="1"/>
  <c r="J534" i="5"/>
  <c r="K534" i="5" s="1"/>
  <c r="L534" i="5" s="1"/>
  <c r="M534" i="5" s="1"/>
  <c r="O534" i="5"/>
  <c r="P534" i="5" s="1"/>
  <c r="S534" i="5"/>
  <c r="T534" i="5" s="1"/>
  <c r="U534" i="5" s="1"/>
  <c r="J533" i="5"/>
  <c r="K533" i="5" s="1"/>
  <c r="L533" i="5" s="1"/>
  <c r="M533" i="5" s="1"/>
  <c r="N533" i="5"/>
  <c r="O533" i="5"/>
  <c r="P533" i="5" s="1"/>
  <c r="S533" i="5"/>
  <c r="T533" i="5" s="1"/>
  <c r="J532" i="5"/>
  <c r="K532" i="5" s="1"/>
  <c r="L532" i="5" s="1"/>
  <c r="M532" i="5" s="1"/>
  <c r="O532" i="5"/>
  <c r="P532" i="5" s="1"/>
  <c r="S532" i="5"/>
  <c r="T532" i="5" s="1"/>
  <c r="U532" i="5" s="1"/>
  <c r="J531" i="5"/>
  <c r="K531" i="5" s="1"/>
  <c r="L531" i="5" s="1"/>
  <c r="M531" i="5" s="1"/>
  <c r="N531" i="5"/>
  <c r="O531" i="5"/>
  <c r="P531" i="5" s="1"/>
  <c r="S531" i="5"/>
  <c r="T531" i="5" s="1"/>
  <c r="J530" i="5"/>
  <c r="K530" i="5" s="1"/>
  <c r="L530" i="5" s="1"/>
  <c r="M530" i="5" s="1"/>
  <c r="N530" i="5"/>
  <c r="O530" i="5"/>
  <c r="P530" i="5" s="1"/>
  <c r="S530" i="5"/>
  <c r="T530" i="5" s="1"/>
  <c r="J529" i="5"/>
  <c r="K529" i="5" s="1"/>
  <c r="L529" i="5" s="1"/>
  <c r="M529" i="5" s="1"/>
  <c r="O529" i="5"/>
  <c r="P529" i="5" s="1"/>
  <c r="S529" i="5"/>
  <c r="T529" i="5" s="1"/>
  <c r="U529" i="5" s="1"/>
  <c r="J528" i="5"/>
  <c r="K528" i="5" s="1"/>
  <c r="L528" i="5" s="1"/>
  <c r="M528" i="5" s="1"/>
  <c r="O528" i="5"/>
  <c r="P528" i="5" s="1"/>
  <c r="S528" i="5"/>
  <c r="T528" i="5" s="1"/>
  <c r="U528" i="5" s="1"/>
  <c r="J527" i="5"/>
  <c r="K527" i="5" s="1"/>
  <c r="L527" i="5" s="1"/>
  <c r="M527" i="5" s="1"/>
  <c r="O527" i="5"/>
  <c r="P527" i="5" s="1"/>
  <c r="S527" i="5"/>
  <c r="T527" i="5" s="1"/>
  <c r="U527" i="5" s="1"/>
  <c r="J526" i="5"/>
  <c r="K526" i="5" s="1"/>
  <c r="L526" i="5" s="1"/>
  <c r="M526" i="5" s="1"/>
  <c r="N526" i="5"/>
  <c r="O526" i="5"/>
  <c r="P526" i="5" s="1"/>
  <c r="S526" i="5"/>
  <c r="T526" i="5" s="1"/>
  <c r="J525" i="5"/>
  <c r="K525" i="5" s="1"/>
  <c r="L525" i="5" s="1"/>
  <c r="M525" i="5" s="1"/>
  <c r="N525" i="5"/>
  <c r="O525" i="5"/>
  <c r="P525" i="5" s="1"/>
  <c r="S525" i="5"/>
  <c r="T525" i="5" s="1"/>
  <c r="J524" i="5"/>
  <c r="K524" i="5" s="1"/>
  <c r="L524" i="5" s="1"/>
  <c r="M524" i="5" s="1"/>
  <c r="N524" i="5"/>
  <c r="O524" i="5"/>
  <c r="P524" i="5" s="1"/>
  <c r="S524" i="5"/>
  <c r="T524" i="5" s="1"/>
  <c r="J523" i="5"/>
  <c r="K523" i="5" s="1"/>
  <c r="L523" i="5" s="1"/>
  <c r="M523" i="5" s="1"/>
  <c r="N523" i="5"/>
  <c r="O523" i="5"/>
  <c r="P523" i="5" s="1"/>
  <c r="S523" i="5"/>
  <c r="T523" i="5" s="1"/>
  <c r="J522" i="5"/>
  <c r="K522" i="5" s="1"/>
  <c r="L522" i="5" s="1"/>
  <c r="M522" i="5" s="1"/>
  <c r="N522" i="5"/>
  <c r="O522" i="5"/>
  <c r="P522" i="5" s="1"/>
  <c r="S522" i="5"/>
  <c r="T522" i="5" s="1"/>
  <c r="J521" i="5"/>
  <c r="K521" i="5" s="1"/>
  <c r="L521" i="5" s="1"/>
  <c r="M521" i="5" s="1"/>
  <c r="N521" i="5"/>
  <c r="O521" i="5"/>
  <c r="P521" i="5" s="1"/>
  <c r="S521" i="5"/>
  <c r="T521" i="5" s="1"/>
  <c r="J520" i="5"/>
  <c r="K520" i="5" s="1"/>
  <c r="L520" i="5" s="1"/>
  <c r="M520" i="5" s="1"/>
  <c r="O520" i="5"/>
  <c r="P520" i="5" s="1"/>
  <c r="S520" i="5"/>
  <c r="T520" i="5" s="1"/>
  <c r="U520" i="5" s="1"/>
  <c r="J519" i="5"/>
  <c r="K519" i="5" s="1"/>
  <c r="L519" i="5" s="1"/>
  <c r="M519" i="5" s="1"/>
  <c r="N519" i="5"/>
  <c r="O519" i="5"/>
  <c r="P519" i="5" s="1"/>
  <c r="S519" i="5"/>
  <c r="T519" i="5" s="1"/>
  <c r="J518" i="5"/>
  <c r="K518" i="5" s="1"/>
  <c r="L518" i="5" s="1"/>
  <c r="M518" i="5" s="1"/>
  <c r="O518" i="5"/>
  <c r="P518" i="5" s="1"/>
  <c r="S518" i="5"/>
  <c r="T518" i="5" s="1"/>
  <c r="U518" i="5" s="1"/>
  <c r="J517" i="5"/>
  <c r="K517" i="5" s="1"/>
  <c r="L517" i="5" s="1"/>
  <c r="M517" i="5" s="1"/>
  <c r="O517" i="5"/>
  <c r="P517" i="5" s="1"/>
  <c r="S517" i="5"/>
  <c r="T517" i="5" s="1"/>
  <c r="U517" i="5" s="1"/>
  <c r="J516" i="5"/>
  <c r="K516" i="5" s="1"/>
  <c r="L516" i="5" s="1"/>
  <c r="M516" i="5" s="1"/>
  <c r="O516" i="5"/>
  <c r="P516" i="5" s="1"/>
  <c r="S516" i="5"/>
  <c r="T516" i="5" s="1"/>
  <c r="U516" i="5" s="1"/>
  <c r="J515" i="5"/>
  <c r="K515" i="5" s="1"/>
  <c r="L515" i="5" s="1"/>
  <c r="M515" i="5" s="1"/>
  <c r="O515" i="5"/>
  <c r="P515" i="5" s="1"/>
  <c r="S515" i="5"/>
  <c r="T515" i="5" s="1"/>
  <c r="U515" i="5" s="1"/>
  <c r="J514" i="5"/>
  <c r="K514" i="5" s="1"/>
  <c r="L514" i="5" s="1"/>
  <c r="M514" i="5" s="1"/>
  <c r="O514" i="5"/>
  <c r="P514" i="5" s="1"/>
  <c r="J513" i="5"/>
  <c r="K513" i="5" s="1"/>
  <c r="L513" i="5" s="1"/>
  <c r="M513" i="5" s="1"/>
  <c r="O513" i="5"/>
  <c r="P513" i="5" s="1"/>
  <c r="J512" i="5"/>
  <c r="K512" i="5" s="1"/>
  <c r="L512" i="5" s="1"/>
  <c r="M512" i="5" s="1"/>
  <c r="O512" i="5"/>
  <c r="P512" i="5" s="1"/>
  <c r="J511" i="5"/>
  <c r="K511" i="5" s="1"/>
  <c r="L511" i="5" s="1"/>
  <c r="M511" i="5" s="1"/>
  <c r="O511" i="5"/>
  <c r="P511" i="5" s="1"/>
  <c r="J510" i="5"/>
  <c r="K510" i="5" s="1"/>
  <c r="L510" i="5" s="1"/>
  <c r="M510" i="5" s="1"/>
  <c r="O510" i="5"/>
  <c r="P510" i="5" s="1"/>
  <c r="J509" i="5"/>
  <c r="K509" i="5" s="1"/>
  <c r="L509" i="5" s="1"/>
  <c r="M509" i="5" s="1"/>
  <c r="O509" i="5"/>
  <c r="P509" i="5" s="1"/>
  <c r="J508" i="5"/>
  <c r="K508" i="5" s="1"/>
  <c r="L508" i="5" s="1"/>
  <c r="M508" i="5" s="1"/>
  <c r="O508" i="5"/>
  <c r="P508" i="5" s="1"/>
  <c r="J507" i="5"/>
  <c r="K507" i="5" s="1"/>
  <c r="L507" i="5" s="1"/>
  <c r="M507" i="5" s="1"/>
  <c r="O507" i="5"/>
  <c r="P507" i="5" s="1"/>
  <c r="J506" i="5"/>
  <c r="K506" i="5" s="1"/>
  <c r="L506" i="5" s="1"/>
  <c r="M506" i="5" s="1"/>
  <c r="O506" i="5"/>
  <c r="P506" i="5" s="1"/>
  <c r="J505" i="5"/>
  <c r="K505" i="5" s="1"/>
  <c r="L505" i="5" s="1"/>
  <c r="M505" i="5" s="1"/>
  <c r="O505" i="5"/>
  <c r="P505" i="5" s="1"/>
  <c r="J504" i="5"/>
  <c r="K504" i="5" s="1"/>
  <c r="L504" i="5" s="1"/>
  <c r="M504" i="5" s="1"/>
  <c r="O504" i="5"/>
  <c r="P504" i="5" s="1"/>
  <c r="J503" i="5"/>
  <c r="K503" i="5" s="1"/>
  <c r="L503" i="5" s="1"/>
  <c r="M503" i="5" s="1"/>
  <c r="O503" i="5"/>
  <c r="P503" i="5" s="1"/>
  <c r="J502" i="5"/>
  <c r="K502" i="5" s="1"/>
  <c r="L502" i="5" s="1"/>
  <c r="M502" i="5" s="1"/>
  <c r="O502" i="5"/>
  <c r="P502" i="5" s="1"/>
  <c r="J501" i="5"/>
  <c r="K501" i="5" s="1"/>
  <c r="L501" i="5" s="1"/>
  <c r="M501" i="5" s="1"/>
  <c r="O501" i="5"/>
  <c r="P501" i="5" s="1"/>
  <c r="J500" i="5"/>
  <c r="K500" i="5" s="1"/>
  <c r="L500" i="5" s="1"/>
  <c r="M500" i="5" s="1"/>
  <c r="O500" i="5"/>
  <c r="P500" i="5" s="1"/>
  <c r="J499" i="5"/>
  <c r="K499" i="5" s="1"/>
  <c r="L499" i="5" s="1"/>
  <c r="M499" i="5" s="1"/>
  <c r="O499" i="5"/>
  <c r="P499" i="5" s="1"/>
  <c r="J498" i="5"/>
  <c r="K498" i="5" s="1"/>
  <c r="L498" i="5" s="1"/>
  <c r="M498" i="5" s="1"/>
  <c r="O498" i="5"/>
  <c r="P498" i="5" s="1"/>
  <c r="J497" i="5"/>
  <c r="K497" i="5" s="1"/>
  <c r="L497" i="5" s="1"/>
  <c r="M497" i="5" s="1"/>
  <c r="O497" i="5"/>
  <c r="P497" i="5" s="1"/>
  <c r="J496" i="5"/>
  <c r="K496" i="5" s="1"/>
  <c r="L496" i="5" s="1"/>
  <c r="M496" i="5" s="1"/>
  <c r="O496" i="5"/>
  <c r="P496" i="5" s="1"/>
  <c r="J495" i="5"/>
  <c r="K495" i="5" s="1"/>
  <c r="L495" i="5" s="1"/>
  <c r="M495" i="5" s="1"/>
  <c r="O495" i="5"/>
  <c r="P495" i="5" s="1"/>
  <c r="J494" i="5"/>
  <c r="K494" i="5" s="1"/>
  <c r="L494" i="5" s="1"/>
  <c r="M494" i="5" s="1"/>
  <c r="O494" i="5"/>
  <c r="P494" i="5" s="1"/>
  <c r="J493" i="5"/>
  <c r="K493" i="5" s="1"/>
  <c r="L493" i="5" s="1"/>
  <c r="M493" i="5" s="1"/>
  <c r="O493" i="5"/>
  <c r="P493" i="5" s="1"/>
  <c r="J492" i="5"/>
  <c r="K492" i="5" s="1"/>
  <c r="L492" i="5" s="1"/>
  <c r="M492" i="5" s="1"/>
  <c r="O492" i="5"/>
  <c r="P492" i="5" s="1"/>
  <c r="J491" i="5"/>
  <c r="K491" i="5" s="1"/>
  <c r="L491" i="5" s="1"/>
  <c r="M491" i="5" s="1"/>
  <c r="O491" i="5"/>
  <c r="P491" i="5" s="1"/>
  <c r="J490" i="5"/>
  <c r="K490" i="5" s="1"/>
  <c r="L490" i="5" s="1"/>
  <c r="M490" i="5" s="1"/>
  <c r="O490" i="5"/>
  <c r="P490" i="5" s="1"/>
  <c r="J489" i="5"/>
  <c r="K489" i="5" s="1"/>
  <c r="L489" i="5" s="1"/>
  <c r="M489" i="5" s="1"/>
  <c r="O489" i="5"/>
  <c r="P489" i="5" s="1"/>
  <c r="J488" i="5"/>
  <c r="K488" i="5" s="1"/>
  <c r="L488" i="5" s="1"/>
  <c r="M488" i="5" s="1"/>
  <c r="O488" i="5"/>
  <c r="P488" i="5" s="1"/>
  <c r="J487" i="5"/>
  <c r="K487" i="5" s="1"/>
  <c r="L487" i="5" s="1"/>
  <c r="M487" i="5" s="1"/>
  <c r="O487" i="5"/>
  <c r="P487" i="5" s="1"/>
  <c r="J486" i="5"/>
  <c r="K486" i="5" s="1"/>
  <c r="L486" i="5" s="1"/>
  <c r="M486" i="5" s="1"/>
  <c r="O486" i="5"/>
  <c r="P486" i="5" s="1"/>
  <c r="J485" i="5"/>
  <c r="K485" i="5" s="1"/>
  <c r="L485" i="5" s="1"/>
  <c r="M485" i="5" s="1"/>
  <c r="O485" i="5"/>
  <c r="P485" i="5" s="1"/>
  <c r="J484" i="5"/>
  <c r="K484" i="5" s="1"/>
  <c r="L484" i="5" s="1"/>
  <c r="M484" i="5" s="1"/>
  <c r="O484" i="5"/>
  <c r="P484" i="5" s="1"/>
  <c r="J483" i="5"/>
  <c r="K483" i="5" s="1"/>
  <c r="L483" i="5" s="1"/>
  <c r="M483" i="5" s="1"/>
  <c r="O483" i="5"/>
  <c r="P483" i="5" s="1"/>
  <c r="J482" i="5"/>
  <c r="K482" i="5" s="1"/>
  <c r="L482" i="5" s="1"/>
  <c r="M482" i="5" s="1"/>
  <c r="O482" i="5"/>
  <c r="P482" i="5" s="1"/>
  <c r="J481" i="5"/>
  <c r="K481" i="5" s="1"/>
  <c r="L481" i="5" s="1"/>
  <c r="M481" i="5" s="1"/>
  <c r="O481" i="5"/>
  <c r="P481" i="5" s="1"/>
  <c r="J480" i="5"/>
  <c r="K480" i="5" s="1"/>
  <c r="L480" i="5" s="1"/>
  <c r="M480" i="5" s="1"/>
  <c r="O480" i="5"/>
  <c r="P480" i="5" s="1"/>
  <c r="J479" i="5"/>
  <c r="K479" i="5" s="1"/>
  <c r="L479" i="5" s="1"/>
  <c r="M479" i="5" s="1"/>
  <c r="O479" i="5"/>
  <c r="P479" i="5" s="1"/>
  <c r="J478" i="5"/>
  <c r="K478" i="5" s="1"/>
  <c r="L478" i="5" s="1"/>
  <c r="M478" i="5" s="1"/>
  <c r="O478" i="5"/>
  <c r="P478" i="5" s="1"/>
  <c r="S478" i="5"/>
  <c r="T478" i="5" s="1"/>
  <c r="U478" i="5" s="1"/>
  <c r="J477" i="5"/>
  <c r="K477" i="5" s="1"/>
  <c r="L477" i="5" s="1"/>
  <c r="M477" i="5" s="1"/>
  <c r="O477" i="5"/>
  <c r="P477" i="5" s="1"/>
  <c r="J476" i="5"/>
  <c r="K476" i="5" s="1"/>
  <c r="L476" i="5" s="1"/>
  <c r="M476" i="5" s="1"/>
  <c r="O476" i="5"/>
  <c r="P476" i="5" s="1"/>
  <c r="S476" i="5"/>
  <c r="T476" i="5" s="1"/>
  <c r="U476" i="5" s="1"/>
  <c r="J475" i="5"/>
  <c r="K475" i="5" s="1"/>
  <c r="L475" i="5" s="1"/>
  <c r="M475" i="5" s="1"/>
  <c r="O475" i="5"/>
  <c r="P475" i="5" s="1"/>
  <c r="S475" i="5"/>
  <c r="T475" i="5" s="1"/>
  <c r="U475" i="5" s="1"/>
  <c r="J474" i="5"/>
  <c r="K474" i="5" s="1"/>
  <c r="L474" i="5" s="1"/>
  <c r="M474" i="5" s="1"/>
  <c r="O474" i="5"/>
  <c r="P474" i="5" s="1"/>
  <c r="S474" i="5"/>
  <c r="T474" i="5" s="1"/>
  <c r="U474" i="5" s="1"/>
  <c r="J473" i="5"/>
  <c r="K473" i="5" s="1"/>
  <c r="L473" i="5" s="1"/>
  <c r="M473" i="5" s="1"/>
  <c r="N473" i="5"/>
  <c r="O473" i="5"/>
  <c r="P473" i="5" s="1"/>
  <c r="S473" i="5"/>
  <c r="T473" i="5" s="1"/>
  <c r="J472" i="5"/>
  <c r="K472" i="5" s="1"/>
  <c r="L472" i="5" s="1"/>
  <c r="M472" i="5" s="1"/>
  <c r="N472" i="5"/>
  <c r="O472" i="5"/>
  <c r="P472" i="5" s="1"/>
  <c r="S472" i="5"/>
  <c r="T472" i="5" s="1"/>
  <c r="J471" i="5"/>
  <c r="K471" i="5" s="1"/>
  <c r="L471" i="5" s="1"/>
  <c r="M471" i="5" s="1"/>
  <c r="N471" i="5"/>
  <c r="O471" i="5"/>
  <c r="P471" i="5" s="1"/>
  <c r="S471" i="5"/>
  <c r="T471" i="5" s="1"/>
  <c r="J470" i="5"/>
  <c r="K470" i="5" s="1"/>
  <c r="L470" i="5" s="1"/>
  <c r="M470" i="5" s="1"/>
  <c r="N470" i="5"/>
  <c r="O470" i="5"/>
  <c r="P470" i="5" s="1"/>
  <c r="S470" i="5"/>
  <c r="T470" i="5" s="1"/>
  <c r="J469" i="5"/>
  <c r="K469" i="5" s="1"/>
  <c r="L469" i="5" s="1"/>
  <c r="M469" i="5" s="1"/>
  <c r="N469" i="5"/>
  <c r="O469" i="5"/>
  <c r="P469" i="5" s="1"/>
  <c r="S469" i="5"/>
  <c r="T469" i="5" s="1"/>
  <c r="J468" i="5"/>
  <c r="K468" i="5" s="1"/>
  <c r="L468" i="5" s="1"/>
  <c r="M468" i="5" s="1"/>
  <c r="N468" i="5"/>
  <c r="O468" i="5"/>
  <c r="P468" i="5" s="1"/>
  <c r="S468" i="5"/>
  <c r="T468" i="5" s="1"/>
  <c r="J467" i="5"/>
  <c r="K467" i="5" s="1"/>
  <c r="L467" i="5" s="1"/>
  <c r="M467" i="5" s="1"/>
  <c r="N467" i="5"/>
  <c r="O467" i="5"/>
  <c r="P467" i="5" s="1"/>
  <c r="S467" i="5"/>
  <c r="T467" i="5" s="1"/>
  <c r="J466" i="5"/>
  <c r="K466" i="5" s="1"/>
  <c r="L466" i="5" s="1"/>
  <c r="M466" i="5" s="1"/>
  <c r="O466" i="5"/>
  <c r="P466" i="5" s="1"/>
  <c r="S466" i="5"/>
  <c r="T466" i="5" s="1"/>
  <c r="U466" i="5" s="1"/>
  <c r="J465" i="5"/>
  <c r="K465" i="5" s="1"/>
  <c r="L465" i="5" s="1"/>
  <c r="M465" i="5" s="1"/>
  <c r="N465" i="5"/>
  <c r="O465" i="5"/>
  <c r="P465" i="5" s="1"/>
  <c r="S465" i="5"/>
  <c r="T465" i="5" s="1"/>
  <c r="J464" i="5"/>
  <c r="K464" i="5" s="1"/>
  <c r="L464" i="5" s="1"/>
  <c r="M464" i="5" s="1"/>
  <c r="O464" i="5"/>
  <c r="P464" i="5" s="1"/>
  <c r="S464" i="5"/>
  <c r="T464" i="5" s="1"/>
  <c r="U464" i="5" s="1"/>
  <c r="J463" i="5"/>
  <c r="K463" i="5" s="1"/>
  <c r="L463" i="5" s="1"/>
  <c r="M463" i="5" s="1"/>
  <c r="N463" i="5"/>
  <c r="O463" i="5"/>
  <c r="P463" i="5" s="1"/>
  <c r="S463" i="5"/>
  <c r="T463" i="5" s="1"/>
  <c r="J462" i="5"/>
  <c r="K462" i="5" s="1"/>
  <c r="L462" i="5" s="1"/>
  <c r="M462" i="5" s="1"/>
  <c r="N462" i="5"/>
  <c r="O462" i="5"/>
  <c r="P462" i="5" s="1"/>
  <c r="S462" i="5"/>
  <c r="T462" i="5" s="1"/>
  <c r="J461" i="5"/>
  <c r="K461" i="5" s="1"/>
  <c r="L461" i="5" s="1"/>
  <c r="M461" i="5" s="1"/>
  <c r="O461" i="5"/>
  <c r="P461" i="5" s="1"/>
  <c r="S461" i="5"/>
  <c r="T461" i="5" s="1"/>
  <c r="U461" i="5" s="1"/>
  <c r="J460" i="5"/>
  <c r="K460" i="5" s="1"/>
  <c r="L460" i="5" s="1"/>
  <c r="M460" i="5" s="1"/>
  <c r="N460" i="5"/>
  <c r="O460" i="5"/>
  <c r="P460" i="5" s="1"/>
  <c r="S460" i="5"/>
  <c r="T460" i="5" s="1"/>
  <c r="J459" i="5"/>
  <c r="K459" i="5" s="1"/>
  <c r="L459" i="5" s="1"/>
  <c r="M459" i="5" s="1"/>
  <c r="O459" i="5"/>
  <c r="P459" i="5" s="1"/>
  <c r="S459" i="5"/>
  <c r="T459" i="5" s="1"/>
  <c r="U459" i="5" s="1"/>
  <c r="J458" i="5"/>
  <c r="K458" i="5" s="1"/>
  <c r="L458" i="5" s="1"/>
  <c r="M458" i="5" s="1"/>
  <c r="O458" i="5"/>
  <c r="P458" i="5" s="1"/>
  <c r="S458" i="5"/>
  <c r="T458" i="5" s="1"/>
  <c r="U458" i="5" s="1"/>
  <c r="J457" i="5"/>
  <c r="K457" i="5" s="1"/>
  <c r="L457" i="5" s="1"/>
  <c r="M457" i="5" s="1"/>
  <c r="O457" i="5"/>
  <c r="P457" i="5" s="1"/>
  <c r="S457" i="5"/>
  <c r="T457" i="5" s="1"/>
  <c r="U457" i="5" s="1"/>
  <c r="J456" i="5"/>
  <c r="K456" i="5" s="1"/>
  <c r="L456" i="5" s="1"/>
  <c r="M456" i="5" s="1"/>
  <c r="O456" i="5"/>
  <c r="P456" i="5" s="1"/>
  <c r="S456" i="5"/>
  <c r="T456" i="5" s="1"/>
  <c r="U456" i="5" s="1"/>
  <c r="J455" i="5"/>
  <c r="K455" i="5" s="1"/>
  <c r="L455" i="5" s="1"/>
  <c r="M455" i="5" s="1"/>
  <c r="O455" i="5"/>
  <c r="P455" i="5" s="1"/>
  <c r="S455" i="5"/>
  <c r="T455" i="5" s="1"/>
  <c r="U455" i="5" s="1"/>
  <c r="J454" i="5"/>
  <c r="K454" i="5" s="1"/>
  <c r="L454" i="5" s="1"/>
  <c r="M454" i="5" s="1"/>
  <c r="O454" i="5"/>
  <c r="P454" i="5" s="1"/>
  <c r="S454" i="5"/>
  <c r="T454" i="5" s="1"/>
  <c r="U454" i="5" s="1"/>
  <c r="J453" i="5"/>
  <c r="K453" i="5" s="1"/>
  <c r="L453" i="5" s="1"/>
  <c r="M453" i="5" s="1"/>
  <c r="N453" i="5"/>
  <c r="O453" i="5"/>
  <c r="P453" i="5" s="1"/>
  <c r="S453" i="5"/>
  <c r="T453" i="5" s="1"/>
  <c r="J452" i="5"/>
  <c r="K452" i="5" s="1"/>
  <c r="L452" i="5" s="1"/>
  <c r="M452" i="5" s="1"/>
  <c r="O452" i="5"/>
  <c r="P452" i="5" s="1"/>
  <c r="S452" i="5"/>
  <c r="T452" i="5" s="1"/>
  <c r="U452" i="5" s="1"/>
  <c r="J451" i="5"/>
  <c r="K451" i="5" s="1"/>
  <c r="L451" i="5" s="1"/>
  <c r="M451" i="5" s="1"/>
  <c r="O451" i="5"/>
  <c r="P451" i="5" s="1"/>
  <c r="S451" i="5"/>
  <c r="T451" i="5" s="1"/>
  <c r="U451" i="5" s="1"/>
  <c r="J450" i="5"/>
  <c r="K450" i="5" s="1"/>
  <c r="L450" i="5" s="1"/>
  <c r="M450" i="5" s="1"/>
  <c r="O450" i="5"/>
  <c r="P450" i="5" s="1"/>
  <c r="S450" i="5"/>
  <c r="T450" i="5" s="1"/>
  <c r="U450" i="5" s="1"/>
  <c r="J449" i="5"/>
  <c r="K449" i="5" s="1"/>
  <c r="L449" i="5" s="1"/>
  <c r="M449" i="5" s="1"/>
  <c r="N449" i="5"/>
  <c r="O449" i="5"/>
  <c r="P449" i="5" s="1"/>
  <c r="S449" i="5"/>
  <c r="T449" i="5" s="1"/>
  <c r="J448" i="5"/>
  <c r="K448" i="5" s="1"/>
  <c r="L448" i="5" s="1"/>
  <c r="M448" i="5" s="1"/>
  <c r="O448" i="5"/>
  <c r="P448" i="5" s="1"/>
  <c r="S448" i="5"/>
  <c r="T448" i="5" s="1"/>
  <c r="U448" i="5" s="1"/>
  <c r="J447" i="5"/>
  <c r="K447" i="5" s="1"/>
  <c r="L447" i="5" s="1"/>
  <c r="M447" i="5" s="1"/>
  <c r="O447" i="5"/>
  <c r="P447" i="5" s="1"/>
  <c r="S447" i="5"/>
  <c r="T447" i="5" s="1"/>
  <c r="U447" i="5" s="1"/>
  <c r="J446" i="5"/>
  <c r="K446" i="5" s="1"/>
  <c r="L446" i="5" s="1"/>
  <c r="M446" i="5" s="1"/>
  <c r="N446" i="5"/>
  <c r="O446" i="5"/>
  <c r="P446" i="5" s="1"/>
  <c r="S446" i="5"/>
  <c r="T446" i="5" s="1"/>
  <c r="J445" i="5"/>
  <c r="K445" i="5" s="1"/>
  <c r="L445" i="5" s="1"/>
  <c r="M445" i="5" s="1"/>
  <c r="O445" i="5"/>
  <c r="P445" i="5" s="1"/>
  <c r="S445" i="5"/>
  <c r="T445" i="5" s="1"/>
  <c r="U445" i="5" s="1"/>
  <c r="J444" i="5"/>
  <c r="K444" i="5" s="1"/>
  <c r="L444" i="5" s="1"/>
  <c r="M444" i="5" s="1"/>
  <c r="O444" i="5"/>
  <c r="P444" i="5" s="1"/>
  <c r="S444" i="5"/>
  <c r="T444" i="5" s="1"/>
  <c r="U444" i="5" s="1"/>
  <c r="J443" i="5"/>
  <c r="K443" i="5" s="1"/>
  <c r="L443" i="5" s="1"/>
  <c r="M443" i="5" s="1"/>
  <c r="N443" i="5"/>
  <c r="O443" i="5"/>
  <c r="P443" i="5" s="1"/>
  <c r="S443" i="5"/>
  <c r="T443" i="5" s="1"/>
  <c r="J442" i="5"/>
  <c r="K442" i="5" s="1"/>
  <c r="L442" i="5" s="1"/>
  <c r="M442" i="5" s="1"/>
  <c r="O442" i="5"/>
  <c r="P442" i="5" s="1"/>
  <c r="J441" i="5"/>
  <c r="K441" i="5" s="1"/>
  <c r="L441" i="5" s="1"/>
  <c r="M441" i="5" s="1"/>
  <c r="N441" i="5"/>
  <c r="O441" i="5"/>
  <c r="P441" i="5" s="1"/>
  <c r="S441" i="5"/>
  <c r="T441" i="5" s="1"/>
  <c r="J440" i="5"/>
  <c r="K440" i="5" s="1"/>
  <c r="L440" i="5" s="1"/>
  <c r="M440" i="5" s="1"/>
  <c r="O440" i="5"/>
  <c r="P440" i="5" s="1"/>
  <c r="S440" i="5"/>
  <c r="T440" i="5" s="1"/>
  <c r="U440" i="5" s="1"/>
  <c r="J439" i="5"/>
  <c r="K439" i="5" s="1"/>
  <c r="L439" i="5" s="1"/>
  <c r="M439" i="5" s="1"/>
  <c r="N439" i="5"/>
  <c r="O439" i="5"/>
  <c r="P439" i="5" s="1"/>
  <c r="J438" i="5"/>
  <c r="K438" i="5" s="1"/>
  <c r="L438" i="5" s="1"/>
  <c r="M438" i="5" s="1"/>
  <c r="O438" i="5"/>
  <c r="P438" i="5" s="1"/>
  <c r="S438" i="5"/>
  <c r="T438" i="5" s="1"/>
  <c r="U438" i="5" s="1"/>
  <c r="J437" i="5"/>
  <c r="K437" i="5" s="1"/>
  <c r="L437" i="5" s="1"/>
  <c r="M437" i="5" s="1"/>
  <c r="N437" i="5"/>
  <c r="O437" i="5"/>
  <c r="P437" i="5" s="1"/>
  <c r="J436" i="5"/>
  <c r="K436" i="5" s="1"/>
  <c r="L436" i="5" s="1"/>
  <c r="M436" i="5" s="1"/>
  <c r="N436" i="5"/>
  <c r="O436" i="5"/>
  <c r="P436" i="5" s="1"/>
  <c r="J435" i="5"/>
  <c r="K435" i="5" s="1"/>
  <c r="L435" i="5" s="1"/>
  <c r="M435" i="5" s="1"/>
  <c r="O435" i="5"/>
  <c r="P435" i="5" s="1"/>
  <c r="J434" i="5"/>
  <c r="K434" i="5" s="1"/>
  <c r="L434" i="5" s="1"/>
  <c r="M434" i="5" s="1"/>
  <c r="O434" i="5"/>
  <c r="P434" i="5" s="1"/>
  <c r="S434" i="5"/>
  <c r="T434" i="5" s="1"/>
  <c r="U434" i="5" s="1"/>
  <c r="J433" i="5"/>
  <c r="K433" i="5" s="1"/>
  <c r="L433" i="5" s="1"/>
  <c r="M433" i="5" s="1"/>
  <c r="N433" i="5"/>
  <c r="O433" i="5"/>
  <c r="P433" i="5" s="1"/>
  <c r="S433" i="5"/>
  <c r="T433" i="5" s="1"/>
  <c r="J432" i="5"/>
  <c r="K432" i="5" s="1"/>
  <c r="L432" i="5" s="1"/>
  <c r="M432" i="5" s="1"/>
  <c r="O432" i="5"/>
  <c r="P432" i="5" s="1"/>
  <c r="S432" i="5"/>
  <c r="T432" i="5" s="1"/>
  <c r="U432" i="5" s="1"/>
  <c r="J431" i="5"/>
  <c r="K431" i="5" s="1"/>
  <c r="L431" i="5" s="1"/>
  <c r="M431" i="5" s="1"/>
  <c r="N431" i="5"/>
  <c r="O431" i="5"/>
  <c r="P431" i="5" s="1"/>
  <c r="J430" i="5"/>
  <c r="K430" i="5" s="1"/>
  <c r="L430" i="5" s="1"/>
  <c r="M430" i="5" s="1"/>
  <c r="O430" i="5"/>
  <c r="P430" i="5" s="1"/>
  <c r="S430" i="5"/>
  <c r="T430" i="5" s="1"/>
  <c r="U430" i="5" s="1"/>
  <c r="J429" i="5"/>
  <c r="K429" i="5" s="1"/>
  <c r="L429" i="5" s="1"/>
  <c r="M429" i="5" s="1"/>
  <c r="N429" i="5"/>
  <c r="O429" i="5"/>
  <c r="P429" i="5" s="1"/>
  <c r="S429" i="5"/>
  <c r="T429" i="5" s="1"/>
  <c r="J428" i="5"/>
  <c r="K428" i="5" s="1"/>
  <c r="L428" i="5" s="1"/>
  <c r="M428" i="5" s="1"/>
  <c r="N428" i="5"/>
  <c r="O428" i="5"/>
  <c r="P428" i="5" s="1"/>
  <c r="J427" i="5"/>
  <c r="K427" i="5" s="1"/>
  <c r="L427" i="5" s="1"/>
  <c r="M427" i="5" s="1"/>
  <c r="O427" i="5"/>
  <c r="P427" i="5" s="1"/>
  <c r="S427" i="5"/>
  <c r="T427" i="5" s="1"/>
  <c r="U427" i="5" s="1"/>
  <c r="J426" i="5"/>
  <c r="K426" i="5" s="1"/>
  <c r="L426" i="5" s="1"/>
  <c r="M426" i="5" s="1"/>
  <c r="N426" i="5"/>
  <c r="O426" i="5"/>
  <c r="P426" i="5" s="1"/>
  <c r="S426" i="5"/>
  <c r="T426" i="5" s="1"/>
  <c r="J425" i="5"/>
  <c r="K425" i="5" s="1"/>
  <c r="L425" i="5" s="1"/>
  <c r="M425" i="5" s="1"/>
  <c r="O425" i="5"/>
  <c r="P425" i="5" s="1"/>
  <c r="S425" i="5"/>
  <c r="T425" i="5" s="1"/>
  <c r="U425" i="5" s="1"/>
  <c r="J424" i="5"/>
  <c r="K424" i="5" s="1"/>
  <c r="L424" i="5" s="1"/>
  <c r="M424" i="5" s="1"/>
  <c r="O424" i="5"/>
  <c r="P424" i="5" s="1"/>
  <c r="S424" i="5"/>
  <c r="T424" i="5" s="1"/>
  <c r="U424" i="5" s="1"/>
  <c r="J423" i="5"/>
  <c r="K423" i="5" s="1"/>
  <c r="L423" i="5" s="1"/>
  <c r="M423" i="5" s="1"/>
  <c r="O423" i="5"/>
  <c r="P423" i="5" s="1"/>
  <c r="S423" i="5"/>
  <c r="T423" i="5" s="1"/>
  <c r="U423" i="5" s="1"/>
  <c r="J422" i="5"/>
  <c r="K422" i="5" s="1"/>
  <c r="L422" i="5" s="1"/>
  <c r="M422" i="5" s="1"/>
  <c r="N422" i="5"/>
  <c r="O422" i="5"/>
  <c r="P422" i="5" s="1"/>
  <c r="S422" i="5"/>
  <c r="T422" i="5" s="1"/>
  <c r="J421" i="5"/>
  <c r="K421" i="5" s="1"/>
  <c r="L421" i="5" s="1"/>
  <c r="M421" i="5" s="1"/>
  <c r="N421" i="5"/>
  <c r="O421" i="5"/>
  <c r="P421" i="5" s="1"/>
  <c r="S421" i="5"/>
  <c r="T421" i="5" s="1"/>
  <c r="J420" i="5"/>
  <c r="K420" i="5" s="1"/>
  <c r="L420" i="5" s="1"/>
  <c r="M420" i="5" s="1"/>
  <c r="N420" i="5"/>
  <c r="O420" i="5"/>
  <c r="P420" i="5" s="1"/>
  <c r="J419" i="5"/>
  <c r="K419" i="5" s="1"/>
  <c r="L419" i="5" s="1"/>
  <c r="M419" i="5" s="1"/>
  <c r="O419" i="5"/>
  <c r="P419" i="5" s="1"/>
  <c r="S419" i="5"/>
  <c r="T419" i="5" s="1"/>
  <c r="U419" i="5" s="1"/>
  <c r="J418" i="5"/>
  <c r="K418" i="5" s="1"/>
  <c r="L418" i="5" s="1"/>
  <c r="M418" i="5" s="1"/>
  <c r="AE418" i="5"/>
  <c r="AF418" i="5" s="1"/>
  <c r="AG418" i="5" s="1"/>
  <c r="N418" i="5"/>
  <c r="O418" i="5"/>
  <c r="P418" i="5" s="1"/>
  <c r="Q418" i="5" s="1"/>
  <c r="R418" i="5" s="1"/>
  <c r="S418" i="5" s="1"/>
  <c r="T418" i="5" s="1"/>
  <c r="U418" i="5" s="1"/>
  <c r="J417" i="5"/>
  <c r="K417" i="5" s="1"/>
  <c r="L417" i="5" s="1"/>
  <c r="M417" i="5" s="1"/>
  <c r="N417" i="5"/>
  <c r="O417" i="5"/>
  <c r="P417" i="5" s="1"/>
  <c r="J416" i="5"/>
  <c r="K416" i="5" s="1"/>
  <c r="L416" i="5" s="1"/>
  <c r="M416" i="5" s="1"/>
  <c r="O416" i="5"/>
  <c r="P416" i="5" s="1"/>
  <c r="S416" i="5"/>
  <c r="T416" i="5" s="1"/>
  <c r="U416" i="5" s="1"/>
  <c r="J415" i="5"/>
  <c r="K415" i="5" s="1"/>
  <c r="L415" i="5" s="1"/>
  <c r="M415" i="5" s="1"/>
  <c r="O415" i="5"/>
  <c r="P415" i="5" s="1"/>
  <c r="S415" i="5"/>
  <c r="T415" i="5" s="1"/>
  <c r="U415" i="5" s="1"/>
  <c r="J414" i="5"/>
  <c r="K414" i="5" s="1"/>
  <c r="L414" i="5" s="1"/>
  <c r="M414" i="5" s="1"/>
  <c r="O414" i="5"/>
  <c r="P414" i="5" s="1"/>
  <c r="S414" i="5"/>
  <c r="T414" i="5" s="1"/>
  <c r="U414" i="5" s="1"/>
  <c r="J413" i="5"/>
  <c r="K413" i="5" s="1"/>
  <c r="L413" i="5" s="1"/>
  <c r="M413" i="5" s="1"/>
  <c r="O413" i="5"/>
  <c r="P413" i="5" s="1"/>
  <c r="S413" i="5"/>
  <c r="T413" i="5" s="1"/>
  <c r="U413" i="5" s="1"/>
  <c r="J412" i="5"/>
  <c r="K412" i="5" s="1"/>
  <c r="L412" i="5" s="1"/>
  <c r="M412" i="5" s="1"/>
  <c r="N412" i="5"/>
  <c r="O412" i="5"/>
  <c r="P412" i="5" s="1"/>
  <c r="S412" i="5"/>
  <c r="T412" i="5" s="1"/>
  <c r="J411" i="5"/>
  <c r="K411" i="5" s="1"/>
  <c r="L411" i="5" s="1"/>
  <c r="M411" i="5" s="1"/>
  <c r="N411" i="5"/>
  <c r="O411" i="5"/>
  <c r="P411" i="5" s="1"/>
  <c r="S411" i="5"/>
  <c r="T411" i="5" s="1"/>
  <c r="J410" i="5"/>
  <c r="K410" i="5" s="1"/>
  <c r="L410" i="5" s="1"/>
  <c r="M410" i="5" s="1"/>
  <c r="N410" i="5"/>
  <c r="O410" i="5"/>
  <c r="P410" i="5" s="1"/>
  <c r="S410" i="5"/>
  <c r="T410" i="5" s="1"/>
  <c r="J409" i="5"/>
  <c r="K409" i="5" s="1"/>
  <c r="L409" i="5" s="1"/>
  <c r="M409" i="5" s="1"/>
  <c r="O409" i="5"/>
  <c r="P409" i="5" s="1"/>
  <c r="S409" i="5"/>
  <c r="T409" i="5" s="1"/>
  <c r="U409" i="5" s="1"/>
  <c r="J408" i="5"/>
  <c r="K408" i="5" s="1"/>
  <c r="L408" i="5" s="1"/>
  <c r="M408" i="5" s="1"/>
  <c r="O408" i="5"/>
  <c r="P408" i="5" s="1"/>
  <c r="S408" i="5"/>
  <c r="T408" i="5" s="1"/>
  <c r="U408" i="5" s="1"/>
  <c r="J407" i="5"/>
  <c r="K407" i="5" s="1"/>
  <c r="L407" i="5" s="1"/>
  <c r="M407" i="5" s="1"/>
  <c r="N407" i="5"/>
  <c r="O407" i="5"/>
  <c r="P407" i="5" s="1"/>
  <c r="S407" i="5"/>
  <c r="T407" i="5" s="1"/>
  <c r="J406" i="5"/>
  <c r="K406" i="5" s="1"/>
  <c r="L406" i="5" s="1"/>
  <c r="M406" i="5" s="1"/>
  <c r="O406" i="5"/>
  <c r="P406" i="5" s="1"/>
  <c r="S406" i="5"/>
  <c r="T406" i="5" s="1"/>
  <c r="U406" i="5" s="1"/>
  <c r="J405" i="5"/>
  <c r="K405" i="5" s="1"/>
  <c r="L405" i="5" s="1"/>
  <c r="M405" i="5" s="1"/>
  <c r="O405" i="5"/>
  <c r="P405" i="5" s="1"/>
  <c r="J404" i="5"/>
  <c r="K404" i="5" s="1"/>
  <c r="L404" i="5" s="1"/>
  <c r="M404" i="5" s="1"/>
  <c r="O404" i="5"/>
  <c r="P404" i="5" s="1"/>
  <c r="S404" i="5"/>
  <c r="T404" i="5" s="1"/>
  <c r="U404" i="5" s="1"/>
  <c r="J403" i="5"/>
  <c r="K403" i="5" s="1"/>
  <c r="L403" i="5" s="1"/>
  <c r="M403" i="5" s="1"/>
  <c r="O403" i="5"/>
  <c r="P403" i="5" s="1"/>
  <c r="J402" i="5"/>
  <c r="K402" i="5" s="1"/>
  <c r="L402" i="5" s="1"/>
  <c r="M402" i="5" s="1"/>
  <c r="N402" i="5"/>
  <c r="O402" i="5"/>
  <c r="P402" i="5" s="1"/>
  <c r="S402" i="5"/>
  <c r="T402" i="5" s="1"/>
  <c r="J401" i="5"/>
  <c r="K401" i="5" s="1"/>
  <c r="L401" i="5" s="1"/>
  <c r="M401" i="5" s="1"/>
  <c r="O401" i="5"/>
  <c r="P401" i="5" s="1"/>
  <c r="S401" i="5"/>
  <c r="T401" i="5" s="1"/>
  <c r="U401" i="5" s="1"/>
  <c r="J400" i="5"/>
  <c r="K400" i="5" s="1"/>
  <c r="L400" i="5" s="1"/>
  <c r="M400" i="5" s="1"/>
  <c r="O400" i="5"/>
  <c r="P400" i="5" s="1"/>
  <c r="S400" i="5"/>
  <c r="T400" i="5" s="1"/>
  <c r="U400" i="5" s="1"/>
  <c r="J399" i="5"/>
  <c r="K399" i="5" s="1"/>
  <c r="L399" i="5" s="1"/>
  <c r="M399" i="5" s="1"/>
  <c r="N399" i="5"/>
  <c r="O399" i="5"/>
  <c r="P399" i="5" s="1"/>
  <c r="J398" i="5"/>
  <c r="K398" i="5" s="1"/>
  <c r="L398" i="5" s="1"/>
  <c r="M398" i="5" s="1"/>
  <c r="O398" i="5"/>
  <c r="P398" i="5" s="1"/>
  <c r="S398" i="5"/>
  <c r="T398" i="5" s="1"/>
  <c r="U398" i="5" s="1"/>
  <c r="J397" i="5"/>
  <c r="K397" i="5" s="1"/>
  <c r="L397" i="5" s="1"/>
  <c r="M397" i="5" s="1"/>
  <c r="O397" i="5"/>
  <c r="P397" i="5" s="1"/>
  <c r="J396" i="5"/>
  <c r="K396" i="5" s="1"/>
  <c r="L396" i="5" s="1"/>
  <c r="M396" i="5" s="1"/>
  <c r="O396" i="5"/>
  <c r="P396" i="5" s="1"/>
  <c r="S396" i="5"/>
  <c r="T396" i="5" s="1"/>
  <c r="U396" i="5" s="1"/>
  <c r="J395" i="5"/>
  <c r="K395" i="5" s="1"/>
  <c r="L395" i="5" s="1"/>
  <c r="M395" i="5" s="1"/>
  <c r="O395" i="5"/>
  <c r="P395" i="5" s="1"/>
  <c r="J394" i="5"/>
  <c r="K394" i="5" s="1"/>
  <c r="L394" i="5" s="1"/>
  <c r="M394" i="5" s="1"/>
  <c r="O394" i="5"/>
  <c r="P394" i="5" s="1"/>
  <c r="S394" i="5"/>
  <c r="T394" i="5" s="1"/>
  <c r="U394" i="5" s="1"/>
  <c r="J393" i="5"/>
  <c r="K393" i="5" s="1"/>
  <c r="L393" i="5" s="1"/>
  <c r="M393" i="5" s="1"/>
  <c r="O393" i="5"/>
  <c r="P393" i="5" s="1"/>
  <c r="S393" i="5"/>
  <c r="T393" i="5" s="1"/>
  <c r="U393" i="5" s="1"/>
  <c r="J392" i="5"/>
  <c r="K392" i="5" s="1"/>
  <c r="L392" i="5" s="1"/>
  <c r="M392" i="5" s="1"/>
  <c r="O392" i="5"/>
  <c r="P392" i="5" s="1"/>
  <c r="S392" i="5"/>
  <c r="T392" i="5" s="1"/>
  <c r="U392" i="5" s="1"/>
  <c r="J391" i="5"/>
  <c r="K391" i="5" s="1"/>
  <c r="L391" i="5" s="1"/>
  <c r="M391" i="5" s="1"/>
  <c r="O391" i="5"/>
  <c r="P391" i="5" s="1"/>
  <c r="S391" i="5"/>
  <c r="T391" i="5" s="1"/>
  <c r="U391" i="5" s="1"/>
  <c r="J390" i="5"/>
  <c r="K390" i="5" s="1"/>
  <c r="L390" i="5" s="1"/>
  <c r="M390" i="5" s="1"/>
  <c r="O390" i="5"/>
  <c r="P390" i="5" s="1"/>
  <c r="J389" i="5"/>
  <c r="K389" i="5" s="1"/>
  <c r="L389" i="5" s="1"/>
  <c r="M389" i="5" s="1"/>
  <c r="N389" i="5"/>
  <c r="O389" i="5"/>
  <c r="P389" i="5" s="1"/>
  <c r="J388" i="5"/>
  <c r="K388" i="5" s="1"/>
  <c r="L388" i="5" s="1"/>
  <c r="M388" i="5" s="1"/>
  <c r="O388" i="5"/>
  <c r="P388" i="5" s="1"/>
  <c r="J387" i="5"/>
  <c r="K387" i="5" s="1"/>
  <c r="L387" i="5" s="1"/>
  <c r="M387" i="5" s="1"/>
  <c r="O387" i="5"/>
  <c r="P387" i="5" s="1"/>
  <c r="J386" i="5"/>
  <c r="K386" i="5" s="1"/>
  <c r="L386" i="5" s="1"/>
  <c r="M386" i="5" s="1"/>
  <c r="O386" i="5"/>
  <c r="P386" i="5" s="1"/>
  <c r="S386" i="5"/>
  <c r="T386" i="5" s="1"/>
  <c r="U386" i="5" s="1"/>
  <c r="J385" i="5"/>
  <c r="K385" i="5" s="1"/>
  <c r="L385" i="5" s="1"/>
  <c r="M385" i="5" s="1"/>
  <c r="O385" i="5"/>
  <c r="P385" i="5" s="1"/>
  <c r="S385" i="5"/>
  <c r="T385" i="5" s="1"/>
  <c r="U385" i="5" s="1"/>
  <c r="J384" i="5"/>
  <c r="K384" i="5" s="1"/>
  <c r="L384" i="5" s="1"/>
  <c r="M384" i="5" s="1"/>
  <c r="O384" i="5"/>
  <c r="P384" i="5" s="1"/>
  <c r="S384" i="5"/>
  <c r="T384" i="5" s="1"/>
  <c r="U384" i="5" s="1"/>
  <c r="J383" i="5"/>
  <c r="K383" i="5" s="1"/>
  <c r="L383" i="5" s="1"/>
  <c r="M383" i="5" s="1"/>
  <c r="O383" i="5"/>
  <c r="P383" i="5" s="1"/>
  <c r="S383" i="5"/>
  <c r="T383" i="5" s="1"/>
  <c r="U383" i="5" s="1"/>
  <c r="J382" i="5"/>
  <c r="K382" i="5" s="1"/>
  <c r="L382" i="5" s="1"/>
  <c r="M382" i="5" s="1"/>
  <c r="O382" i="5"/>
  <c r="P382" i="5" s="1"/>
  <c r="S382" i="5"/>
  <c r="T382" i="5" s="1"/>
  <c r="U382" i="5" s="1"/>
  <c r="J381" i="5"/>
  <c r="K381" i="5" s="1"/>
  <c r="L381" i="5" s="1"/>
  <c r="M381" i="5" s="1"/>
  <c r="O381" i="5"/>
  <c r="P381" i="5" s="1"/>
  <c r="S381" i="5"/>
  <c r="T381" i="5" s="1"/>
  <c r="U381" i="5" s="1"/>
  <c r="J380" i="5"/>
  <c r="K380" i="5" s="1"/>
  <c r="L380" i="5" s="1"/>
  <c r="M380" i="5" s="1"/>
  <c r="AE380" i="5"/>
  <c r="AF380" i="5" s="1"/>
  <c r="AG380" i="5" s="1"/>
  <c r="O380" i="5"/>
  <c r="P380" i="5" s="1"/>
  <c r="Q380" i="5" s="1"/>
  <c r="R380" i="5" s="1"/>
  <c r="S380" i="5"/>
  <c r="T380" i="5" s="1"/>
  <c r="U380" i="5" s="1"/>
  <c r="J379" i="5"/>
  <c r="K379" i="5" s="1"/>
  <c r="L379" i="5" s="1"/>
  <c r="M379" i="5" s="1"/>
  <c r="O379" i="5"/>
  <c r="P379" i="5" s="1"/>
  <c r="S379" i="5"/>
  <c r="T379" i="5" s="1"/>
  <c r="U379" i="5" s="1"/>
  <c r="J378" i="5"/>
  <c r="K378" i="5" s="1"/>
  <c r="L378" i="5" s="1"/>
  <c r="M378" i="5" s="1"/>
  <c r="O378" i="5"/>
  <c r="P378" i="5" s="1"/>
  <c r="S378" i="5"/>
  <c r="T378" i="5" s="1"/>
  <c r="U378" i="5" s="1"/>
  <c r="J377" i="5"/>
  <c r="K377" i="5" s="1"/>
  <c r="L377" i="5" s="1"/>
  <c r="M377" i="5" s="1"/>
  <c r="O377" i="5"/>
  <c r="P377" i="5" s="1"/>
  <c r="S377" i="5"/>
  <c r="T377" i="5" s="1"/>
  <c r="U377" i="5" s="1"/>
  <c r="J376" i="5"/>
  <c r="K376" i="5" s="1"/>
  <c r="L376" i="5" s="1"/>
  <c r="M376" i="5" s="1"/>
  <c r="O376" i="5"/>
  <c r="P376" i="5" s="1"/>
  <c r="J375" i="5"/>
  <c r="K375" i="5" s="1"/>
  <c r="L375" i="5" s="1"/>
  <c r="M375" i="5" s="1"/>
  <c r="O375" i="5"/>
  <c r="P375" i="5" s="1"/>
  <c r="J374" i="5"/>
  <c r="K374" i="5" s="1"/>
  <c r="L374" i="5" s="1"/>
  <c r="M374" i="5" s="1"/>
  <c r="O374" i="5"/>
  <c r="P374" i="5" s="1"/>
  <c r="S374" i="5"/>
  <c r="T374" i="5" s="1"/>
  <c r="U374" i="5" s="1"/>
  <c r="J373" i="5"/>
  <c r="K373" i="5" s="1"/>
  <c r="L373" i="5" s="1"/>
  <c r="M373" i="5" s="1"/>
  <c r="O373" i="5"/>
  <c r="P373" i="5" s="1"/>
  <c r="J372" i="5"/>
  <c r="K372" i="5" s="1"/>
  <c r="L372" i="5" s="1"/>
  <c r="M372" i="5" s="1"/>
  <c r="O372" i="5"/>
  <c r="P372" i="5" s="1"/>
  <c r="J371" i="5"/>
  <c r="K371" i="5" s="1"/>
  <c r="L371" i="5" s="1"/>
  <c r="M371" i="5" s="1"/>
  <c r="O371" i="5"/>
  <c r="P371" i="5" s="1"/>
  <c r="J370" i="5"/>
  <c r="K370" i="5" s="1"/>
  <c r="L370" i="5" s="1"/>
  <c r="M370" i="5" s="1"/>
  <c r="O370" i="5"/>
  <c r="P370" i="5" s="1"/>
  <c r="J369" i="5"/>
  <c r="K369" i="5" s="1"/>
  <c r="L369" i="5" s="1"/>
  <c r="M369" i="5" s="1"/>
  <c r="O369" i="5"/>
  <c r="P369" i="5" s="1"/>
  <c r="J368" i="5"/>
  <c r="K368" i="5" s="1"/>
  <c r="L368" i="5" s="1"/>
  <c r="M368" i="5" s="1"/>
  <c r="O368" i="5"/>
  <c r="P368" i="5" s="1"/>
  <c r="J367" i="5"/>
  <c r="K367" i="5" s="1"/>
  <c r="L367" i="5" s="1"/>
  <c r="M367" i="5" s="1"/>
  <c r="O367" i="5"/>
  <c r="P367" i="5" s="1"/>
  <c r="J366" i="5"/>
  <c r="K366" i="5" s="1"/>
  <c r="L366" i="5" s="1"/>
  <c r="M366" i="5" s="1"/>
  <c r="O366" i="5"/>
  <c r="P366" i="5" s="1"/>
  <c r="J365" i="5"/>
  <c r="K365" i="5" s="1"/>
  <c r="L365" i="5" s="1"/>
  <c r="M365" i="5" s="1"/>
  <c r="O365" i="5"/>
  <c r="P365" i="5" s="1"/>
  <c r="J364" i="5"/>
  <c r="K364" i="5" s="1"/>
  <c r="L364" i="5" s="1"/>
  <c r="M364" i="5" s="1"/>
  <c r="O364" i="5"/>
  <c r="P364" i="5" s="1"/>
  <c r="S364" i="5"/>
  <c r="T364" i="5" s="1"/>
  <c r="U364" i="5" s="1"/>
  <c r="J363" i="5"/>
  <c r="K363" i="5" s="1"/>
  <c r="L363" i="5" s="1"/>
  <c r="M363" i="5" s="1"/>
  <c r="O363" i="5"/>
  <c r="P363" i="5" s="1"/>
  <c r="J362" i="5"/>
  <c r="K362" i="5" s="1"/>
  <c r="L362" i="5" s="1"/>
  <c r="M362" i="5" s="1"/>
  <c r="O362" i="5"/>
  <c r="P362" i="5" s="1"/>
  <c r="S362" i="5"/>
  <c r="T362" i="5" s="1"/>
  <c r="U362" i="5" s="1"/>
  <c r="J361" i="5"/>
  <c r="K361" i="5" s="1"/>
  <c r="L361" i="5" s="1"/>
  <c r="M361" i="5" s="1"/>
  <c r="O361" i="5"/>
  <c r="P361" i="5" s="1"/>
  <c r="J360" i="5"/>
  <c r="K360" i="5" s="1"/>
  <c r="L360" i="5" s="1"/>
  <c r="M360" i="5" s="1"/>
  <c r="O360" i="5"/>
  <c r="P360" i="5" s="1"/>
  <c r="J359" i="5"/>
  <c r="K359" i="5" s="1"/>
  <c r="L359" i="5" s="1"/>
  <c r="M359" i="5" s="1"/>
  <c r="N359" i="5"/>
  <c r="O359" i="5"/>
  <c r="P359" i="5" s="1"/>
  <c r="J358" i="5"/>
  <c r="K358" i="5" s="1"/>
  <c r="L358" i="5" s="1"/>
  <c r="M358" i="5" s="1"/>
  <c r="AC358" i="5" s="1"/>
  <c r="AE358" i="5"/>
  <c r="AF358" i="5" s="1"/>
  <c r="AG358" i="5" s="1"/>
  <c r="N358" i="5"/>
  <c r="AD358" i="5" s="1"/>
  <c r="O358" i="5"/>
  <c r="P358" i="5" s="1"/>
  <c r="Q358" i="5" s="1"/>
  <c r="R358" i="5" s="1"/>
  <c r="S358" i="5"/>
  <c r="T358" i="5" s="1"/>
  <c r="U358" i="5" s="1"/>
  <c r="J357" i="5"/>
  <c r="K357" i="5" s="1"/>
  <c r="L357" i="5" s="1"/>
  <c r="M357" i="5" s="1"/>
  <c r="N357" i="5"/>
  <c r="O357" i="5"/>
  <c r="P357" i="5" s="1"/>
  <c r="J356" i="5"/>
  <c r="K356" i="5" s="1"/>
  <c r="L356" i="5" s="1"/>
  <c r="M356" i="5" s="1"/>
  <c r="N356" i="5"/>
  <c r="O356" i="5"/>
  <c r="P356" i="5" s="1"/>
  <c r="S356" i="5"/>
  <c r="T356" i="5" s="1"/>
  <c r="J355" i="5"/>
  <c r="K355" i="5" s="1"/>
  <c r="L355" i="5" s="1"/>
  <c r="M355" i="5" s="1"/>
  <c r="N355" i="5"/>
  <c r="O355" i="5"/>
  <c r="P355" i="5" s="1"/>
  <c r="S355" i="5"/>
  <c r="T355" i="5" s="1"/>
  <c r="J354" i="5"/>
  <c r="K354" i="5" s="1"/>
  <c r="L354" i="5" s="1"/>
  <c r="M354" i="5" s="1"/>
  <c r="O354" i="5"/>
  <c r="P354" i="5" s="1"/>
  <c r="S354" i="5"/>
  <c r="T354" i="5" s="1"/>
  <c r="U354" i="5" s="1"/>
  <c r="J353" i="5"/>
  <c r="K353" i="5" s="1"/>
  <c r="L353" i="5" s="1"/>
  <c r="M353" i="5" s="1"/>
  <c r="N353" i="5"/>
  <c r="O353" i="5"/>
  <c r="P353" i="5" s="1"/>
  <c r="S353" i="5"/>
  <c r="T353" i="5" s="1"/>
  <c r="J352" i="5"/>
  <c r="K352" i="5" s="1"/>
  <c r="L352" i="5" s="1"/>
  <c r="M352" i="5" s="1"/>
  <c r="N352" i="5"/>
  <c r="O352" i="5"/>
  <c r="P352" i="5" s="1"/>
  <c r="S352" i="5"/>
  <c r="T352" i="5" s="1"/>
  <c r="J351" i="5"/>
  <c r="K351" i="5" s="1"/>
  <c r="L351" i="5" s="1"/>
  <c r="M351" i="5" s="1"/>
  <c r="N351" i="5"/>
  <c r="O351" i="5"/>
  <c r="P351" i="5" s="1"/>
  <c r="S351" i="5"/>
  <c r="T351" i="5" s="1"/>
  <c r="J350" i="5"/>
  <c r="K350" i="5" s="1"/>
  <c r="L350" i="5" s="1"/>
  <c r="M350" i="5" s="1"/>
  <c r="O350" i="5"/>
  <c r="P350" i="5" s="1"/>
  <c r="S350" i="5"/>
  <c r="T350" i="5" s="1"/>
  <c r="U350" i="5" s="1"/>
  <c r="J349" i="5"/>
  <c r="K349" i="5" s="1"/>
  <c r="L349" i="5" s="1"/>
  <c r="M349" i="5" s="1"/>
  <c r="N349" i="5"/>
  <c r="O349" i="5"/>
  <c r="P349" i="5" s="1"/>
  <c r="S349" i="5"/>
  <c r="T349" i="5" s="1"/>
  <c r="J348" i="5"/>
  <c r="K348" i="5" s="1"/>
  <c r="L348" i="5" s="1"/>
  <c r="M348" i="5" s="1"/>
  <c r="N348" i="5"/>
  <c r="O348" i="5"/>
  <c r="P348" i="5" s="1"/>
  <c r="S348" i="5"/>
  <c r="T348" i="5" s="1"/>
  <c r="J347" i="5"/>
  <c r="K347" i="5" s="1"/>
  <c r="L347" i="5" s="1"/>
  <c r="M347" i="5" s="1"/>
  <c r="N347" i="5"/>
  <c r="O347" i="5"/>
  <c r="P347" i="5" s="1"/>
  <c r="S347" i="5"/>
  <c r="T347" i="5" s="1"/>
  <c r="J346" i="5"/>
  <c r="K346" i="5" s="1"/>
  <c r="L346" i="5" s="1"/>
  <c r="M346" i="5" s="1"/>
  <c r="O346" i="5"/>
  <c r="P346" i="5" s="1"/>
  <c r="S346" i="5"/>
  <c r="T346" i="5" s="1"/>
  <c r="U346" i="5" s="1"/>
  <c r="J345" i="5"/>
  <c r="K345" i="5" s="1"/>
  <c r="L345" i="5" s="1"/>
  <c r="M345" i="5" s="1"/>
  <c r="O345" i="5"/>
  <c r="P345" i="5" s="1"/>
  <c r="S345" i="5"/>
  <c r="T345" i="5" s="1"/>
  <c r="U345" i="5" s="1"/>
  <c r="J344" i="5"/>
  <c r="K344" i="5" s="1"/>
  <c r="L344" i="5" s="1"/>
  <c r="M344" i="5" s="1"/>
  <c r="O344" i="5"/>
  <c r="P344" i="5" s="1"/>
  <c r="S344" i="5"/>
  <c r="T344" i="5" s="1"/>
  <c r="U344" i="5" s="1"/>
  <c r="J343" i="5"/>
  <c r="K343" i="5" s="1"/>
  <c r="L343" i="5" s="1"/>
  <c r="M343" i="5" s="1"/>
  <c r="O343" i="5"/>
  <c r="P343" i="5" s="1"/>
  <c r="S343" i="5"/>
  <c r="T343" i="5" s="1"/>
  <c r="U343" i="5" s="1"/>
  <c r="J342" i="5"/>
  <c r="K342" i="5" s="1"/>
  <c r="L342" i="5" s="1"/>
  <c r="M342" i="5" s="1"/>
  <c r="O342" i="5"/>
  <c r="P342" i="5" s="1"/>
  <c r="S342" i="5"/>
  <c r="T342" i="5" s="1"/>
  <c r="U342" i="5" s="1"/>
  <c r="J341" i="5"/>
  <c r="K341" i="5" s="1"/>
  <c r="L341" i="5" s="1"/>
  <c r="M341" i="5" s="1"/>
  <c r="N341" i="5"/>
  <c r="O341" i="5"/>
  <c r="P341" i="5" s="1"/>
  <c r="S341" i="5"/>
  <c r="T341" i="5" s="1"/>
  <c r="J340" i="5"/>
  <c r="K340" i="5" s="1"/>
  <c r="L340" i="5" s="1"/>
  <c r="M340" i="5" s="1"/>
  <c r="N340" i="5"/>
  <c r="O340" i="5"/>
  <c r="P340" i="5" s="1"/>
  <c r="S340" i="5"/>
  <c r="T340" i="5" s="1"/>
  <c r="J339" i="5"/>
  <c r="K339" i="5" s="1"/>
  <c r="L339" i="5" s="1"/>
  <c r="M339" i="5" s="1"/>
  <c r="O339" i="5"/>
  <c r="P339" i="5" s="1"/>
  <c r="S339" i="5"/>
  <c r="T339" i="5" s="1"/>
  <c r="U339" i="5" s="1"/>
  <c r="J338" i="5"/>
  <c r="K338" i="5" s="1"/>
  <c r="L338" i="5" s="1"/>
  <c r="M338" i="5" s="1"/>
  <c r="O338" i="5"/>
  <c r="P338" i="5" s="1"/>
  <c r="S338" i="5"/>
  <c r="T338" i="5" s="1"/>
  <c r="U338" i="5" s="1"/>
  <c r="J337" i="5"/>
  <c r="K337" i="5" s="1"/>
  <c r="L337" i="5" s="1"/>
  <c r="M337" i="5" s="1"/>
  <c r="O337" i="5"/>
  <c r="P337" i="5" s="1"/>
  <c r="S337" i="5"/>
  <c r="T337" i="5" s="1"/>
  <c r="U337" i="5" s="1"/>
  <c r="J336" i="5"/>
  <c r="K336" i="5" s="1"/>
  <c r="L336" i="5" s="1"/>
  <c r="M336" i="5" s="1"/>
  <c r="N336" i="5"/>
  <c r="O336" i="5"/>
  <c r="P336" i="5" s="1"/>
  <c r="S336" i="5"/>
  <c r="T336" i="5" s="1"/>
  <c r="J335" i="5"/>
  <c r="K335" i="5" s="1"/>
  <c r="L335" i="5" s="1"/>
  <c r="M335" i="5" s="1"/>
  <c r="O335" i="5"/>
  <c r="P335" i="5" s="1"/>
  <c r="S335" i="5"/>
  <c r="T335" i="5" s="1"/>
  <c r="U335" i="5" s="1"/>
  <c r="J334" i="5"/>
  <c r="K334" i="5" s="1"/>
  <c r="L334" i="5" s="1"/>
  <c r="M334" i="5" s="1"/>
  <c r="O334" i="5"/>
  <c r="P334" i="5" s="1"/>
  <c r="S334" i="5"/>
  <c r="T334" i="5" s="1"/>
  <c r="U334" i="5" s="1"/>
  <c r="J333" i="5"/>
  <c r="K333" i="5" s="1"/>
  <c r="L333" i="5" s="1"/>
  <c r="M333" i="5" s="1"/>
  <c r="O333" i="5"/>
  <c r="P333" i="5" s="1"/>
  <c r="S333" i="5"/>
  <c r="T333" i="5" s="1"/>
  <c r="U333" i="5" s="1"/>
  <c r="J332" i="5"/>
  <c r="K332" i="5" s="1"/>
  <c r="L332" i="5" s="1"/>
  <c r="M332" i="5" s="1"/>
  <c r="O332" i="5"/>
  <c r="P332" i="5" s="1"/>
  <c r="S332" i="5"/>
  <c r="T332" i="5" s="1"/>
  <c r="U332" i="5" s="1"/>
  <c r="J331" i="5"/>
  <c r="K331" i="5" s="1"/>
  <c r="L331" i="5" s="1"/>
  <c r="M331" i="5" s="1"/>
  <c r="N331" i="5"/>
  <c r="O331" i="5"/>
  <c r="P331" i="5" s="1"/>
  <c r="S331" i="5"/>
  <c r="T331" i="5" s="1"/>
  <c r="J330" i="5"/>
  <c r="K330" i="5" s="1"/>
  <c r="L330" i="5" s="1"/>
  <c r="M330" i="5" s="1"/>
  <c r="O330" i="5"/>
  <c r="P330" i="5" s="1"/>
  <c r="S330" i="5"/>
  <c r="T330" i="5" s="1"/>
  <c r="U330" i="5" s="1"/>
  <c r="J329" i="5"/>
  <c r="K329" i="5" s="1"/>
  <c r="L329" i="5" s="1"/>
  <c r="M329" i="5" s="1"/>
  <c r="O329" i="5"/>
  <c r="P329" i="5" s="1"/>
  <c r="S329" i="5"/>
  <c r="T329" i="5" s="1"/>
  <c r="U329" i="5" s="1"/>
  <c r="J328" i="5"/>
  <c r="K328" i="5" s="1"/>
  <c r="L328" i="5" s="1"/>
  <c r="M328" i="5" s="1"/>
  <c r="N328" i="5"/>
  <c r="O328" i="5"/>
  <c r="P328" i="5" s="1"/>
  <c r="S328" i="5"/>
  <c r="T328" i="5" s="1"/>
  <c r="J327" i="5"/>
  <c r="K327" i="5" s="1"/>
  <c r="L327" i="5" s="1"/>
  <c r="M327" i="5" s="1"/>
  <c r="O327" i="5"/>
  <c r="P327" i="5" s="1"/>
  <c r="S327" i="5"/>
  <c r="T327" i="5" s="1"/>
  <c r="U327" i="5" s="1"/>
  <c r="J326" i="5"/>
  <c r="K326" i="5" s="1"/>
  <c r="L326" i="5" s="1"/>
  <c r="M326" i="5" s="1"/>
  <c r="N326" i="5"/>
  <c r="O326" i="5"/>
  <c r="P326" i="5" s="1"/>
  <c r="S326" i="5"/>
  <c r="T326" i="5" s="1"/>
  <c r="J325" i="5"/>
  <c r="K325" i="5" s="1"/>
  <c r="L325" i="5" s="1"/>
  <c r="M325" i="5" s="1"/>
  <c r="N325" i="5"/>
  <c r="O325" i="5"/>
  <c r="P325" i="5" s="1"/>
  <c r="S325" i="5"/>
  <c r="T325" i="5" s="1"/>
  <c r="J324" i="5"/>
  <c r="K324" i="5" s="1"/>
  <c r="L324" i="5" s="1"/>
  <c r="M324" i="5" s="1"/>
  <c r="O324" i="5"/>
  <c r="P324" i="5" s="1"/>
  <c r="S324" i="5"/>
  <c r="T324" i="5" s="1"/>
  <c r="U324" i="5" s="1"/>
  <c r="J323" i="5"/>
  <c r="K323" i="5" s="1"/>
  <c r="L323" i="5" s="1"/>
  <c r="M323" i="5" s="1"/>
  <c r="O323" i="5"/>
  <c r="P323" i="5" s="1"/>
  <c r="S323" i="5"/>
  <c r="T323" i="5" s="1"/>
  <c r="U323" i="5" s="1"/>
  <c r="J322" i="5"/>
  <c r="K322" i="5" s="1"/>
  <c r="L322" i="5" s="1"/>
  <c r="M322" i="5" s="1"/>
  <c r="O322" i="5"/>
  <c r="P322" i="5" s="1"/>
  <c r="S322" i="5"/>
  <c r="T322" i="5" s="1"/>
  <c r="U322" i="5" s="1"/>
  <c r="J321" i="5"/>
  <c r="K321" i="5" s="1"/>
  <c r="L321" i="5" s="1"/>
  <c r="M321" i="5" s="1"/>
  <c r="O321" i="5"/>
  <c r="P321" i="5" s="1"/>
  <c r="J320" i="5"/>
  <c r="K320" i="5" s="1"/>
  <c r="L320" i="5" s="1"/>
  <c r="M320" i="5" s="1"/>
  <c r="O320" i="5"/>
  <c r="P320" i="5" s="1"/>
  <c r="J319" i="5"/>
  <c r="K319" i="5" s="1"/>
  <c r="L319" i="5" s="1"/>
  <c r="M319" i="5" s="1"/>
  <c r="O319" i="5"/>
  <c r="P319" i="5" s="1"/>
  <c r="J318" i="5"/>
  <c r="K318" i="5" s="1"/>
  <c r="L318" i="5" s="1"/>
  <c r="M318" i="5" s="1"/>
  <c r="O318" i="5"/>
  <c r="P318" i="5" s="1"/>
  <c r="J317" i="5"/>
  <c r="K317" i="5" s="1"/>
  <c r="L317" i="5" s="1"/>
  <c r="M317" i="5" s="1"/>
  <c r="O317" i="5"/>
  <c r="P317" i="5" s="1"/>
  <c r="J316" i="5"/>
  <c r="K316" i="5" s="1"/>
  <c r="L316" i="5" s="1"/>
  <c r="M316" i="5" s="1"/>
  <c r="O316" i="5"/>
  <c r="P316" i="5" s="1"/>
  <c r="J315" i="5"/>
  <c r="K315" i="5" s="1"/>
  <c r="L315" i="5" s="1"/>
  <c r="M315" i="5" s="1"/>
  <c r="O315" i="5"/>
  <c r="P315" i="5" s="1"/>
  <c r="J314" i="5"/>
  <c r="K314" i="5" s="1"/>
  <c r="L314" i="5" s="1"/>
  <c r="M314" i="5" s="1"/>
  <c r="O314" i="5"/>
  <c r="P314" i="5" s="1"/>
  <c r="J313" i="5"/>
  <c r="K313" i="5" s="1"/>
  <c r="L313" i="5" s="1"/>
  <c r="M313" i="5" s="1"/>
  <c r="AE313" i="5"/>
  <c r="AF313" i="5" s="1"/>
  <c r="AG313" i="5" s="1"/>
  <c r="O313" i="5"/>
  <c r="P313" i="5" s="1"/>
  <c r="Q313" i="5" s="1"/>
  <c r="R313" i="5" s="1"/>
  <c r="S313" i="5" s="1"/>
  <c r="T313" i="5" s="1"/>
  <c r="U313" i="5" s="1"/>
  <c r="J312" i="5"/>
  <c r="K312" i="5" s="1"/>
  <c r="L312" i="5" s="1"/>
  <c r="M312" i="5" s="1"/>
  <c r="O312" i="5"/>
  <c r="P312" i="5" s="1"/>
  <c r="J311" i="5"/>
  <c r="K311" i="5" s="1"/>
  <c r="L311" i="5" s="1"/>
  <c r="M311" i="5" s="1"/>
  <c r="O311" i="5"/>
  <c r="P311" i="5" s="1"/>
  <c r="J310" i="5"/>
  <c r="K310" i="5" s="1"/>
  <c r="L310" i="5" s="1"/>
  <c r="M310" i="5" s="1"/>
  <c r="O310" i="5"/>
  <c r="P310" i="5" s="1"/>
  <c r="J309" i="5"/>
  <c r="K309" i="5" s="1"/>
  <c r="L309" i="5" s="1"/>
  <c r="M309" i="5" s="1"/>
  <c r="O309" i="5"/>
  <c r="P309" i="5" s="1"/>
  <c r="J308" i="5"/>
  <c r="K308" i="5" s="1"/>
  <c r="L308" i="5" s="1"/>
  <c r="M308" i="5" s="1"/>
  <c r="O308" i="5"/>
  <c r="P308" i="5" s="1"/>
  <c r="J307" i="5"/>
  <c r="K307" i="5" s="1"/>
  <c r="L307" i="5" s="1"/>
  <c r="M307" i="5" s="1"/>
  <c r="O307" i="5"/>
  <c r="P307" i="5" s="1"/>
  <c r="J306" i="5"/>
  <c r="K306" i="5" s="1"/>
  <c r="L306" i="5" s="1"/>
  <c r="M306" i="5" s="1"/>
  <c r="O306" i="5"/>
  <c r="P306" i="5" s="1"/>
  <c r="J305" i="5"/>
  <c r="K305" i="5" s="1"/>
  <c r="L305" i="5" s="1"/>
  <c r="M305" i="5" s="1"/>
  <c r="O305" i="5"/>
  <c r="P305" i="5" s="1"/>
  <c r="J304" i="5"/>
  <c r="K304" i="5" s="1"/>
  <c r="L304" i="5" s="1"/>
  <c r="M304" i="5" s="1"/>
  <c r="O304" i="5"/>
  <c r="P304" i="5" s="1"/>
  <c r="J303" i="5"/>
  <c r="K303" i="5" s="1"/>
  <c r="L303" i="5" s="1"/>
  <c r="M303" i="5" s="1"/>
  <c r="O303" i="5"/>
  <c r="P303" i="5" s="1"/>
  <c r="J302" i="5"/>
  <c r="K302" i="5" s="1"/>
  <c r="L302" i="5" s="1"/>
  <c r="M302" i="5" s="1"/>
  <c r="O302" i="5"/>
  <c r="P302" i="5" s="1"/>
  <c r="J301" i="5"/>
  <c r="K301" i="5" s="1"/>
  <c r="L301" i="5" s="1"/>
  <c r="M301" i="5" s="1"/>
  <c r="O301" i="5"/>
  <c r="P301" i="5" s="1"/>
  <c r="J300" i="5"/>
  <c r="K300" i="5" s="1"/>
  <c r="L300" i="5" s="1"/>
  <c r="M300" i="5" s="1"/>
  <c r="O300" i="5"/>
  <c r="P300" i="5" s="1"/>
  <c r="J299" i="5"/>
  <c r="K299" i="5" s="1"/>
  <c r="L299" i="5" s="1"/>
  <c r="M299" i="5" s="1"/>
  <c r="O299" i="5"/>
  <c r="P299" i="5" s="1"/>
  <c r="S299" i="5"/>
  <c r="T299" i="5" s="1"/>
  <c r="U299" i="5" s="1"/>
  <c r="J298" i="5"/>
  <c r="K298" i="5" s="1"/>
  <c r="L298" i="5" s="1"/>
  <c r="M298" i="5" s="1"/>
  <c r="O298" i="5"/>
  <c r="P298" i="5" s="1"/>
  <c r="S298" i="5"/>
  <c r="T298" i="5" s="1"/>
  <c r="U298" i="5" s="1"/>
  <c r="J297" i="5"/>
  <c r="K297" i="5" s="1"/>
  <c r="L297" i="5" s="1"/>
  <c r="M297" i="5" s="1"/>
  <c r="N297" i="5"/>
  <c r="O297" i="5"/>
  <c r="P297" i="5" s="1"/>
  <c r="S297" i="5"/>
  <c r="T297" i="5" s="1"/>
  <c r="J296" i="5"/>
  <c r="K296" i="5" s="1"/>
  <c r="L296" i="5" s="1"/>
  <c r="M296" i="5" s="1"/>
  <c r="O296" i="5"/>
  <c r="P296" i="5" s="1"/>
  <c r="S296" i="5"/>
  <c r="T296" i="5" s="1"/>
  <c r="U296" i="5" s="1"/>
  <c r="J295" i="5"/>
  <c r="K295" i="5" s="1"/>
  <c r="L295" i="5" s="1"/>
  <c r="M295" i="5" s="1"/>
  <c r="O295" i="5"/>
  <c r="P295" i="5" s="1"/>
  <c r="S295" i="5"/>
  <c r="T295" i="5" s="1"/>
  <c r="U295" i="5" s="1"/>
  <c r="J294" i="5"/>
  <c r="K294" i="5" s="1"/>
  <c r="L294" i="5" s="1"/>
  <c r="M294" i="5" s="1"/>
  <c r="O294" i="5"/>
  <c r="P294" i="5" s="1"/>
  <c r="S294" i="5"/>
  <c r="T294" i="5" s="1"/>
  <c r="U294" i="5" s="1"/>
  <c r="J293" i="5"/>
  <c r="K293" i="5" s="1"/>
  <c r="L293" i="5" s="1"/>
  <c r="M293" i="5" s="1"/>
  <c r="N293" i="5"/>
  <c r="O293" i="5"/>
  <c r="P293" i="5" s="1"/>
  <c r="S293" i="5"/>
  <c r="T293" i="5" s="1"/>
  <c r="J292" i="5"/>
  <c r="K292" i="5" s="1"/>
  <c r="L292" i="5" s="1"/>
  <c r="M292" i="5" s="1"/>
  <c r="O292" i="5"/>
  <c r="P292" i="5" s="1"/>
  <c r="S292" i="5"/>
  <c r="T292" i="5" s="1"/>
  <c r="U292" i="5" s="1"/>
  <c r="J291" i="5"/>
  <c r="K291" i="5" s="1"/>
  <c r="L291" i="5" s="1"/>
  <c r="M291" i="5" s="1"/>
  <c r="N291" i="5"/>
  <c r="O291" i="5"/>
  <c r="P291" i="5" s="1"/>
  <c r="S291" i="5"/>
  <c r="T291" i="5" s="1"/>
  <c r="J290" i="5"/>
  <c r="K290" i="5" s="1"/>
  <c r="L290" i="5" s="1"/>
  <c r="M290" i="5" s="1"/>
  <c r="N290" i="5"/>
  <c r="O290" i="5"/>
  <c r="P290" i="5" s="1"/>
  <c r="S290" i="5"/>
  <c r="T290" i="5" s="1"/>
  <c r="J289" i="5"/>
  <c r="K289" i="5" s="1"/>
  <c r="L289" i="5" s="1"/>
  <c r="M289" i="5" s="1"/>
  <c r="N289" i="5"/>
  <c r="O289" i="5"/>
  <c r="P289" i="5" s="1"/>
  <c r="S289" i="5"/>
  <c r="T289" i="5" s="1"/>
  <c r="J288" i="5"/>
  <c r="K288" i="5" s="1"/>
  <c r="L288" i="5" s="1"/>
  <c r="M288" i="5" s="1"/>
  <c r="O288" i="5"/>
  <c r="P288" i="5" s="1"/>
  <c r="S288" i="5"/>
  <c r="T288" i="5" s="1"/>
  <c r="U288" i="5" s="1"/>
  <c r="J287" i="5"/>
  <c r="K287" i="5" s="1"/>
  <c r="L287" i="5" s="1"/>
  <c r="M287" i="5" s="1"/>
  <c r="O287" i="5"/>
  <c r="P287" i="5" s="1"/>
  <c r="S287" i="5"/>
  <c r="T287" i="5" s="1"/>
  <c r="U287" i="5" s="1"/>
  <c r="J286" i="5"/>
  <c r="K286" i="5" s="1"/>
  <c r="L286" i="5" s="1"/>
  <c r="M286" i="5" s="1"/>
  <c r="N286" i="5"/>
  <c r="O286" i="5"/>
  <c r="P286" i="5" s="1"/>
  <c r="S286" i="5"/>
  <c r="T286" i="5" s="1"/>
  <c r="J285" i="5"/>
  <c r="K285" i="5" s="1"/>
  <c r="L285" i="5" s="1"/>
  <c r="M285" i="5" s="1"/>
  <c r="N285" i="5"/>
  <c r="O285" i="5"/>
  <c r="P285" i="5" s="1"/>
  <c r="S285" i="5"/>
  <c r="T285" i="5" s="1"/>
  <c r="J284" i="5"/>
  <c r="K284" i="5" s="1"/>
  <c r="L284" i="5" s="1"/>
  <c r="M284" i="5" s="1"/>
  <c r="N284" i="5"/>
  <c r="O284" i="5"/>
  <c r="P284" i="5" s="1"/>
  <c r="S284" i="5"/>
  <c r="T284" i="5" s="1"/>
  <c r="J283" i="5"/>
  <c r="K283" i="5" s="1"/>
  <c r="L283" i="5" s="1"/>
  <c r="M283" i="5" s="1"/>
  <c r="O283" i="5"/>
  <c r="P283" i="5" s="1"/>
  <c r="S283" i="5"/>
  <c r="T283" i="5" s="1"/>
  <c r="U283" i="5" s="1"/>
  <c r="J282" i="5"/>
  <c r="K282" i="5" s="1"/>
  <c r="L282" i="5" s="1"/>
  <c r="M282" i="5" s="1"/>
  <c r="N282" i="5"/>
  <c r="O282" i="5"/>
  <c r="P282" i="5" s="1"/>
  <c r="S282" i="5"/>
  <c r="T282" i="5" s="1"/>
  <c r="J281" i="5"/>
  <c r="K281" i="5" s="1"/>
  <c r="L281" i="5" s="1"/>
  <c r="M281" i="5" s="1"/>
  <c r="N281" i="5"/>
  <c r="O281" i="5"/>
  <c r="P281" i="5" s="1"/>
  <c r="S281" i="5"/>
  <c r="T281" i="5" s="1"/>
  <c r="J280" i="5"/>
  <c r="K280" i="5" s="1"/>
  <c r="L280" i="5" s="1"/>
  <c r="M280" i="5" s="1"/>
  <c r="O280" i="5"/>
  <c r="P280" i="5" s="1"/>
  <c r="S280" i="5"/>
  <c r="T280" i="5" s="1"/>
  <c r="U280" i="5" s="1"/>
  <c r="J279" i="5"/>
  <c r="K279" i="5" s="1"/>
  <c r="L279" i="5" s="1"/>
  <c r="M279" i="5" s="1"/>
  <c r="O279" i="5"/>
  <c r="P279" i="5" s="1"/>
  <c r="S279" i="5"/>
  <c r="T279" i="5" s="1"/>
  <c r="U279" i="5" s="1"/>
  <c r="J278" i="5"/>
  <c r="K278" i="5" s="1"/>
  <c r="L278" i="5" s="1"/>
  <c r="M278" i="5" s="1"/>
  <c r="O278" i="5"/>
  <c r="P278" i="5" s="1"/>
  <c r="S278" i="5"/>
  <c r="T278" i="5" s="1"/>
  <c r="U278" i="5" s="1"/>
  <c r="J277" i="5"/>
  <c r="K277" i="5" s="1"/>
  <c r="L277" i="5" s="1"/>
  <c r="M277" i="5" s="1"/>
  <c r="O277" i="5"/>
  <c r="P277" i="5" s="1"/>
  <c r="S277" i="5"/>
  <c r="T277" i="5" s="1"/>
  <c r="U277" i="5" s="1"/>
  <c r="J276" i="5"/>
  <c r="K276" i="5" s="1"/>
  <c r="L276" i="5" s="1"/>
  <c r="M276" i="5" s="1"/>
  <c r="O276" i="5"/>
  <c r="P276" i="5" s="1"/>
  <c r="S276" i="5"/>
  <c r="T276" i="5" s="1"/>
  <c r="U276" i="5" s="1"/>
  <c r="J275" i="5"/>
  <c r="K275" i="5" s="1"/>
  <c r="L275" i="5" s="1"/>
  <c r="M275" i="5" s="1"/>
  <c r="O275" i="5"/>
  <c r="P275" i="5" s="1"/>
  <c r="S275" i="5"/>
  <c r="T275" i="5" s="1"/>
  <c r="U275" i="5" s="1"/>
  <c r="J274" i="5"/>
  <c r="K274" i="5" s="1"/>
  <c r="L274" i="5" s="1"/>
  <c r="M274" i="5" s="1"/>
  <c r="O274" i="5"/>
  <c r="P274" i="5" s="1"/>
  <c r="S274" i="5"/>
  <c r="T274" i="5" s="1"/>
  <c r="U274" i="5" s="1"/>
  <c r="J273" i="5"/>
  <c r="K273" i="5" s="1"/>
  <c r="L273" i="5" s="1"/>
  <c r="M273" i="5" s="1"/>
  <c r="O273" i="5"/>
  <c r="P273" i="5" s="1"/>
  <c r="S273" i="5"/>
  <c r="T273" i="5" s="1"/>
  <c r="U273" i="5" s="1"/>
  <c r="J272" i="5"/>
  <c r="K272" i="5" s="1"/>
  <c r="L272" i="5" s="1"/>
  <c r="M272" i="5" s="1"/>
  <c r="N272" i="5"/>
  <c r="O272" i="5"/>
  <c r="P272" i="5" s="1"/>
  <c r="S272" i="5"/>
  <c r="T272" i="5" s="1"/>
  <c r="J271" i="5"/>
  <c r="K271" i="5" s="1"/>
  <c r="L271" i="5" s="1"/>
  <c r="M271" i="5" s="1"/>
  <c r="O271" i="5"/>
  <c r="P271" i="5" s="1"/>
  <c r="S271" i="5"/>
  <c r="T271" i="5" s="1"/>
  <c r="U271" i="5" s="1"/>
  <c r="J270" i="5"/>
  <c r="K270" i="5" s="1"/>
  <c r="L270" i="5" s="1"/>
  <c r="M270" i="5" s="1"/>
  <c r="O270" i="5"/>
  <c r="P270" i="5" s="1"/>
  <c r="S270" i="5"/>
  <c r="T270" i="5" s="1"/>
  <c r="U270" i="5" s="1"/>
  <c r="J269" i="5"/>
  <c r="K269" i="5" s="1"/>
  <c r="L269" i="5" s="1"/>
  <c r="M269" i="5" s="1"/>
  <c r="N269" i="5"/>
  <c r="O269" i="5"/>
  <c r="P269" i="5" s="1"/>
  <c r="S269" i="5"/>
  <c r="T269" i="5" s="1"/>
  <c r="J268" i="5"/>
  <c r="K268" i="5" s="1"/>
  <c r="L268" i="5" s="1"/>
  <c r="M268" i="5" s="1"/>
  <c r="O268" i="5"/>
  <c r="P268" i="5" s="1"/>
  <c r="S268" i="5"/>
  <c r="T268" i="5" s="1"/>
  <c r="U268" i="5" s="1"/>
  <c r="J267" i="5"/>
  <c r="K267" i="5" s="1"/>
  <c r="L267" i="5" s="1"/>
  <c r="M267" i="5" s="1"/>
  <c r="N267" i="5"/>
  <c r="O267" i="5"/>
  <c r="P267" i="5" s="1"/>
  <c r="S267" i="5"/>
  <c r="T267" i="5" s="1"/>
  <c r="J266" i="5"/>
  <c r="K266" i="5" s="1"/>
  <c r="L266" i="5" s="1"/>
  <c r="M266" i="5" s="1"/>
  <c r="N266" i="5"/>
  <c r="O266" i="5"/>
  <c r="P266" i="5" s="1"/>
  <c r="S266" i="5"/>
  <c r="T266" i="5" s="1"/>
  <c r="J265" i="5"/>
  <c r="K265" i="5" s="1"/>
  <c r="L265" i="5" s="1"/>
  <c r="M265" i="5" s="1"/>
  <c r="O265" i="5"/>
  <c r="P265" i="5" s="1"/>
  <c r="S265" i="5"/>
  <c r="T265" i="5" s="1"/>
  <c r="U265" i="5" s="1"/>
  <c r="J264" i="5"/>
  <c r="K264" i="5" s="1"/>
  <c r="L264" i="5" s="1"/>
  <c r="M264" i="5" s="1"/>
  <c r="O264" i="5"/>
  <c r="P264" i="5" s="1"/>
  <c r="S264" i="5"/>
  <c r="T264" i="5" s="1"/>
  <c r="U264" i="5" s="1"/>
  <c r="J263" i="5"/>
  <c r="K263" i="5" s="1"/>
  <c r="L263" i="5" s="1"/>
  <c r="M263" i="5" s="1"/>
  <c r="O263" i="5"/>
  <c r="P263" i="5" s="1"/>
  <c r="S263" i="5"/>
  <c r="T263" i="5" s="1"/>
  <c r="U263" i="5" s="1"/>
  <c r="J262" i="5"/>
  <c r="K262" i="5" s="1"/>
  <c r="L262" i="5" s="1"/>
  <c r="M262" i="5" s="1"/>
  <c r="N262" i="5"/>
  <c r="O262" i="5"/>
  <c r="P262" i="5" s="1"/>
  <c r="S262" i="5"/>
  <c r="T262" i="5" s="1"/>
  <c r="J261" i="5"/>
  <c r="K261" i="5" s="1"/>
  <c r="L261" i="5" s="1"/>
  <c r="M261" i="5" s="1"/>
  <c r="O261" i="5"/>
  <c r="P261" i="5" s="1"/>
  <c r="S261" i="5"/>
  <c r="T261" i="5" s="1"/>
  <c r="U261" i="5" s="1"/>
  <c r="J260" i="5"/>
  <c r="K260" i="5" s="1"/>
  <c r="L260" i="5" s="1"/>
  <c r="M260" i="5" s="1"/>
  <c r="O260" i="5"/>
  <c r="P260" i="5" s="1"/>
  <c r="S260" i="5"/>
  <c r="T260" i="5" s="1"/>
  <c r="U260" i="5" s="1"/>
  <c r="J259" i="5"/>
  <c r="K259" i="5" s="1"/>
  <c r="L259" i="5" s="1"/>
  <c r="M259" i="5" s="1"/>
  <c r="O259" i="5"/>
  <c r="P259" i="5" s="1"/>
  <c r="S259" i="5"/>
  <c r="T259" i="5" s="1"/>
  <c r="U259" i="5" s="1"/>
  <c r="J258" i="5"/>
  <c r="K258" i="5" s="1"/>
  <c r="L258" i="5" s="1"/>
  <c r="M258" i="5" s="1"/>
  <c r="N258" i="5"/>
  <c r="O258" i="5"/>
  <c r="P258" i="5" s="1"/>
  <c r="S258" i="5"/>
  <c r="T258" i="5" s="1"/>
  <c r="J257" i="5"/>
  <c r="K257" i="5" s="1"/>
  <c r="L257" i="5" s="1"/>
  <c r="M257" i="5" s="1"/>
  <c r="N257" i="5"/>
  <c r="O257" i="5"/>
  <c r="P257" i="5" s="1"/>
  <c r="S257" i="5"/>
  <c r="T257" i="5" s="1"/>
  <c r="J256" i="5"/>
  <c r="K256" i="5" s="1"/>
  <c r="L256" i="5" s="1"/>
  <c r="M256" i="5" s="1"/>
  <c r="O256" i="5"/>
  <c r="P256" i="5" s="1"/>
  <c r="S256" i="5"/>
  <c r="T256" i="5" s="1"/>
  <c r="U256" i="5" s="1"/>
  <c r="J255" i="5"/>
  <c r="K255" i="5" s="1"/>
  <c r="L255" i="5" s="1"/>
  <c r="M255" i="5" s="1"/>
  <c r="O255" i="5"/>
  <c r="P255" i="5" s="1"/>
  <c r="S255" i="5"/>
  <c r="T255" i="5" s="1"/>
  <c r="U255" i="5" s="1"/>
  <c r="J254" i="5"/>
  <c r="K254" i="5" s="1"/>
  <c r="L254" i="5" s="1"/>
  <c r="M254" i="5" s="1"/>
  <c r="O254" i="5"/>
  <c r="P254" i="5" s="1"/>
  <c r="S254" i="5"/>
  <c r="T254" i="5" s="1"/>
  <c r="U254" i="5" s="1"/>
  <c r="J253" i="5"/>
  <c r="K253" i="5" s="1"/>
  <c r="L253" i="5" s="1"/>
  <c r="M253" i="5" s="1"/>
  <c r="N253" i="5"/>
  <c r="O253" i="5"/>
  <c r="P253" i="5" s="1"/>
  <c r="S253" i="5"/>
  <c r="T253" i="5" s="1"/>
  <c r="J252" i="5"/>
  <c r="K252" i="5" s="1"/>
  <c r="L252" i="5" s="1"/>
  <c r="M252" i="5" s="1"/>
  <c r="O252" i="5"/>
  <c r="P252" i="5" s="1"/>
  <c r="S252" i="5"/>
  <c r="T252" i="5" s="1"/>
  <c r="U252" i="5" s="1"/>
  <c r="J251" i="5"/>
  <c r="K251" i="5" s="1"/>
  <c r="L251" i="5" s="1"/>
  <c r="M251" i="5" s="1"/>
  <c r="O251" i="5"/>
  <c r="P251" i="5" s="1"/>
  <c r="S251" i="5"/>
  <c r="T251" i="5" s="1"/>
  <c r="U251" i="5" s="1"/>
  <c r="J250" i="5"/>
  <c r="K250" i="5" s="1"/>
  <c r="L250" i="5" s="1"/>
  <c r="M250" i="5" s="1"/>
  <c r="O250" i="5"/>
  <c r="P250" i="5" s="1"/>
  <c r="S250" i="5"/>
  <c r="T250" i="5" s="1"/>
  <c r="U250" i="5" s="1"/>
  <c r="J249" i="5"/>
  <c r="K249" i="5" s="1"/>
  <c r="L249" i="5" s="1"/>
  <c r="M249" i="5" s="1"/>
  <c r="N249" i="5"/>
  <c r="O249" i="5"/>
  <c r="P249" i="5" s="1"/>
  <c r="S249" i="5"/>
  <c r="T249" i="5" s="1"/>
  <c r="J248" i="5"/>
  <c r="K248" i="5" s="1"/>
  <c r="L248" i="5" s="1"/>
  <c r="M248" i="5" s="1"/>
  <c r="O248" i="5"/>
  <c r="P248" i="5" s="1"/>
  <c r="S248" i="5"/>
  <c r="T248" i="5" s="1"/>
  <c r="U248" i="5" s="1"/>
  <c r="J247" i="5"/>
  <c r="K247" i="5" s="1"/>
  <c r="L247" i="5" s="1"/>
  <c r="M247" i="5" s="1"/>
  <c r="O247" i="5"/>
  <c r="P247" i="5" s="1"/>
  <c r="S247" i="5"/>
  <c r="T247" i="5" s="1"/>
  <c r="U247" i="5" s="1"/>
  <c r="J246" i="5"/>
  <c r="K246" i="5" s="1"/>
  <c r="L246" i="5" s="1"/>
  <c r="M246" i="5" s="1"/>
  <c r="O246" i="5"/>
  <c r="P246" i="5" s="1"/>
  <c r="S246" i="5"/>
  <c r="T246" i="5" s="1"/>
  <c r="U246" i="5" s="1"/>
  <c r="J245" i="5"/>
  <c r="K245" i="5" s="1"/>
  <c r="L245" i="5" s="1"/>
  <c r="M245" i="5" s="1"/>
  <c r="N245" i="5"/>
  <c r="O245" i="5"/>
  <c r="P245" i="5" s="1"/>
  <c r="S245" i="5"/>
  <c r="T245" i="5" s="1"/>
  <c r="J244" i="5"/>
  <c r="K244" i="5" s="1"/>
  <c r="L244" i="5" s="1"/>
  <c r="M244" i="5" s="1"/>
  <c r="N244" i="5"/>
  <c r="O244" i="5"/>
  <c r="P244" i="5" s="1"/>
  <c r="S244" i="5"/>
  <c r="T244" i="5" s="1"/>
  <c r="J243" i="5"/>
  <c r="K243" i="5" s="1"/>
  <c r="L243" i="5" s="1"/>
  <c r="M243" i="5" s="1"/>
  <c r="O243" i="5"/>
  <c r="P243" i="5" s="1"/>
  <c r="S243" i="5"/>
  <c r="T243" i="5" s="1"/>
  <c r="U243" i="5" s="1"/>
  <c r="J242" i="5"/>
  <c r="K242" i="5" s="1"/>
  <c r="L242" i="5" s="1"/>
  <c r="M242" i="5" s="1"/>
  <c r="N242" i="5"/>
  <c r="O242" i="5"/>
  <c r="P242" i="5" s="1"/>
  <c r="S242" i="5"/>
  <c r="T242" i="5" s="1"/>
  <c r="J241" i="5"/>
  <c r="K241" i="5" s="1"/>
  <c r="L241" i="5" s="1"/>
  <c r="M241" i="5" s="1"/>
  <c r="N241" i="5"/>
  <c r="O241" i="5"/>
  <c r="P241" i="5" s="1"/>
  <c r="S241" i="5"/>
  <c r="T241" i="5" s="1"/>
  <c r="J240" i="5"/>
  <c r="K240" i="5" s="1"/>
  <c r="L240" i="5" s="1"/>
  <c r="M240" i="5" s="1"/>
  <c r="N240" i="5"/>
  <c r="O240" i="5"/>
  <c r="P240" i="5" s="1"/>
  <c r="J239" i="5"/>
  <c r="K239" i="5" s="1"/>
  <c r="L239" i="5" s="1"/>
  <c r="M239" i="5" s="1"/>
  <c r="O239" i="5"/>
  <c r="P239" i="5" s="1"/>
  <c r="S239" i="5"/>
  <c r="T239" i="5" s="1"/>
  <c r="U239" i="5" s="1"/>
  <c r="J238" i="5"/>
  <c r="K238" i="5" s="1"/>
  <c r="L238" i="5" s="1"/>
  <c r="M238" i="5" s="1"/>
  <c r="N238" i="5"/>
  <c r="O238" i="5"/>
  <c r="P238" i="5" s="1"/>
  <c r="S238" i="5"/>
  <c r="T238" i="5" s="1"/>
  <c r="J237" i="5"/>
  <c r="K237" i="5" s="1"/>
  <c r="L237" i="5" s="1"/>
  <c r="M237" i="5" s="1"/>
  <c r="O237" i="5"/>
  <c r="P237" i="5" s="1"/>
  <c r="S237" i="5"/>
  <c r="T237" i="5" s="1"/>
  <c r="U237" i="5" s="1"/>
  <c r="J236" i="5"/>
  <c r="K236" i="5" s="1"/>
  <c r="L236" i="5" s="1"/>
  <c r="M236" i="5" s="1"/>
  <c r="N236" i="5"/>
  <c r="O236" i="5"/>
  <c r="P236" i="5" s="1"/>
  <c r="S236" i="5"/>
  <c r="T236" i="5" s="1"/>
  <c r="J235" i="5"/>
  <c r="K235" i="5" s="1"/>
  <c r="L235" i="5" s="1"/>
  <c r="M235" i="5" s="1"/>
  <c r="O235" i="5"/>
  <c r="P235" i="5" s="1"/>
  <c r="S235" i="5"/>
  <c r="T235" i="5" s="1"/>
  <c r="U235" i="5" s="1"/>
  <c r="J234" i="5"/>
  <c r="K234" i="5" s="1"/>
  <c r="L234" i="5" s="1"/>
  <c r="M234" i="5" s="1"/>
  <c r="O234" i="5"/>
  <c r="P234" i="5" s="1"/>
  <c r="S234" i="5"/>
  <c r="T234" i="5" s="1"/>
  <c r="U234" i="5" s="1"/>
  <c r="J233" i="5"/>
  <c r="K233" i="5" s="1"/>
  <c r="L233" i="5" s="1"/>
  <c r="M233" i="5" s="1"/>
  <c r="N233" i="5"/>
  <c r="O233" i="5"/>
  <c r="P233" i="5" s="1"/>
  <c r="S233" i="5"/>
  <c r="T233" i="5" s="1"/>
  <c r="J232" i="5"/>
  <c r="K232" i="5" s="1"/>
  <c r="L232" i="5" s="1"/>
  <c r="M232" i="5" s="1"/>
  <c r="N232" i="5"/>
  <c r="O232" i="5"/>
  <c r="P232" i="5" s="1"/>
  <c r="S232" i="5"/>
  <c r="T232" i="5" s="1"/>
  <c r="J231" i="5"/>
  <c r="K231" i="5" s="1"/>
  <c r="L231" i="5" s="1"/>
  <c r="M231" i="5" s="1"/>
  <c r="N231" i="5"/>
  <c r="O231" i="5"/>
  <c r="P231" i="5" s="1"/>
  <c r="S231" i="5"/>
  <c r="T231" i="5" s="1"/>
  <c r="J230" i="5"/>
  <c r="K230" i="5" s="1"/>
  <c r="L230" i="5" s="1"/>
  <c r="M230" i="5" s="1"/>
  <c r="N230" i="5"/>
  <c r="O230" i="5"/>
  <c r="P230" i="5" s="1"/>
  <c r="S230" i="5"/>
  <c r="T230" i="5" s="1"/>
  <c r="J229" i="5"/>
  <c r="K229" i="5" s="1"/>
  <c r="L229" i="5" s="1"/>
  <c r="M229" i="5" s="1"/>
  <c r="N229" i="5"/>
  <c r="O229" i="5"/>
  <c r="P229" i="5" s="1"/>
  <c r="S229" i="5"/>
  <c r="T229" i="5" s="1"/>
  <c r="J228" i="5"/>
  <c r="K228" i="5" s="1"/>
  <c r="L228" i="5" s="1"/>
  <c r="M228" i="5" s="1"/>
  <c r="N228" i="5"/>
  <c r="O228" i="5"/>
  <c r="P228" i="5" s="1"/>
  <c r="S228" i="5"/>
  <c r="T228" i="5" s="1"/>
  <c r="J227" i="5"/>
  <c r="K227" i="5" s="1"/>
  <c r="L227" i="5" s="1"/>
  <c r="M227" i="5" s="1"/>
  <c r="N227" i="5"/>
  <c r="O227" i="5"/>
  <c r="P227" i="5" s="1"/>
  <c r="S227" i="5"/>
  <c r="T227" i="5" s="1"/>
  <c r="J226" i="5"/>
  <c r="K226" i="5" s="1"/>
  <c r="L226" i="5" s="1"/>
  <c r="M226" i="5" s="1"/>
  <c r="O226" i="5"/>
  <c r="P226" i="5" s="1"/>
  <c r="S226" i="5"/>
  <c r="T226" i="5" s="1"/>
  <c r="U226" i="5" s="1"/>
  <c r="J225" i="5"/>
  <c r="K225" i="5" s="1"/>
  <c r="L225" i="5" s="1"/>
  <c r="M225" i="5" s="1"/>
  <c r="O225" i="5"/>
  <c r="P225" i="5" s="1"/>
  <c r="S225" i="5"/>
  <c r="T225" i="5" s="1"/>
  <c r="U225" i="5" s="1"/>
  <c r="J224" i="5"/>
  <c r="K224" i="5" s="1"/>
  <c r="L224" i="5" s="1"/>
  <c r="M224" i="5" s="1"/>
  <c r="N224" i="5"/>
  <c r="O224" i="5"/>
  <c r="P224" i="5" s="1"/>
  <c r="S224" i="5"/>
  <c r="T224" i="5" s="1"/>
  <c r="J223" i="5"/>
  <c r="K223" i="5" s="1"/>
  <c r="L223" i="5" s="1"/>
  <c r="M223" i="5" s="1"/>
  <c r="N223" i="5"/>
  <c r="O223" i="5"/>
  <c r="P223" i="5" s="1"/>
  <c r="S223" i="5"/>
  <c r="T223" i="5" s="1"/>
  <c r="J222" i="5"/>
  <c r="K222" i="5" s="1"/>
  <c r="L222" i="5" s="1"/>
  <c r="M222" i="5" s="1"/>
  <c r="N222" i="5"/>
  <c r="O222" i="5"/>
  <c r="P222" i="5" s="1"/>
  <c r="S222" i="5"/>
  <c r="T222" i="5" s="1"/>
  <c r="J221" i="5"/>
  <c r="K221" i="5" s="1"/>
  <c r="L221" i="5" s="1"/>
  <c r="M221" i="5" s="1"/>
  <c r="O221" i="5"/>
  <c r="P221" i="5" s="1"/>
  <c r="S221" i="5"/>
  <c r="T221" i="5" s="1"/>
  <c r="U221" i="5" s="1"/>
  <c r="J220" i="5"/>
  <c r="K220" i="5" s="1"/>
  <c r="L220" i="5" s="1"/>
  <c r="M220" i="5" s="1"/>
  <c r="N220" i="5"/>
  <c r="O220" i="5"/>
  <c r="P220" i="5" s="1"/>
  <c r="S220" i="5"/>
  <c r="T220" i="5" s="1"/>
  <c r="J219" i="5"/>
  <c r="K219" i="5" s="1"/>
  <c r="L219" i="5" s="1"/>
  <c r="M219" i="5" s="1"/>
  <c r="N219" i="5"/>
  <c r="O219" i="5"/>
  <c r="P219" i="5" s="1"/>
  <c r="S219" i="5"/>
  <c r="T219" i="5" s="1"/>
  <c r="J218" i="5"/>
  <c r="K218" i="5" s="1"/>
  <c r="L218" i="5" s="1"/>
  <c r="M218" i="5" s="1"/>
  <c r="O218" i="5"/>
  <c r="P218" i="5" s="1"/>
  <c r="S218" i="5"/>
  <c r="T218" i="5" s="1"/>
  <c r="U218" i="5" s="1"/>
  <c r="J217" i="5"/>
  <c r="K217" i="5" s="1"/>
  <c r="L217" i="5" s="1"/>
  <c r="M217" i="5" s="1"/>
  <c r="O217" i="5"/>
  <c r="P217" i="5" s="1"/>
  <c r="S217" i="5"/>
  <c r="T217" i="5" s="1"/>
  <c r="U217" i="5" s="1"/>
  <c r="J216" i="5"/>
  <c r="K216" i="5" s="1"/>
  <c r="L216" i="5" s="1"/>
  <c r="M216" i="5" s="1"/>
  <c r="O216" i="5"/>
  <c r="P216" i="5" s="1"/>
  <c r="S216" i="5"/>
  <c r="T216" i="5" s="1"/>
  <c r="U216" i="5" s="1"/>
  <c r="J215" i="5"/>
  <c r="K215" i="5" s="1"/>
  <c r="L215" i="5" s="1"/>
  <c r="M215" i="5" s="1"/>
  <c r="O215" i="5"/>
  <c r="P215" i="5" s="1"/>
  <c r="S215" i="5"/>
  <c r="T215" i="5" s="1"/>
  <c r="U215" i="5" s="1"/>
  <c r="J214" i="5"/>
  <c r="K214" i="5" s="1"/>
  <c r="L214" i="5" s="1"/>
  <c r="M214" i="5" s="1"/>
  <c r="O214" i="5"/>
  <c r="P214" i="5" s="1"/>
  <c r="S214" i="5"/>
  <c r="T214" i="5" s="1"/>
  <c r="U214" i="5" s="1"/>
  <c r="J213" i="5"/>
  <c r="K213" i="5" s="1"/>
  <c r="L213" i="5" s="1"/>
  <c r="M213" i="5" s="1"/>
  <c r="O213" i="5"/>
  <c r="P213" i="5" s="1"/>
  <c r="S213" i="5"/>
  <c r="T213" i="5" s="1"/>
  <c r="U213" i="5" s="1"/>
  <c r="J212" i="5"/>
  <c r="K212" i="5" s="1"/>
  <c r="L212" i="5" s="1"/>
  <c r="M212" i="5" s="1"/>
  <c r="O212" i="5"/>
  <c r="P212" i="5" s="1"/>
  <c r="S212" i="5"/>
  <c r="T212" i="5" s="1"/>
  <c r="U212" i="5" s="1"/>
  <c r="J211" i="5"/>
  <c r="K211" i="5" s="1"/>
  <c r="L211" i="5" s="1"/>
  <c r="M211" i="5" s="1"/>
  <c r="N211" i="5"/>
  <c r="O211" i="5"/>
  <c r="P211" i="5" s="1"/>
  <c r="S211" i="5"/>
  <c r="T211" i="5" s="1"/>
  <c r="J210" i="5"/>
  <c r="K210" i="5" s="1"/>
  <c r="L210" i="5" s="1"/>
  <c r="M210" i="5" s="1"/>
  <c r="O210" i="5"/>
  <c r="P210" i="5" s="1"/>
  <c r="S210" i="5"/>
  <c r="T210" i="5" s="1"/>
  <c r="U210" i="5" s="1"/>
  <c r="J209" i="5"/>
  <c r="K209" i="5" s="1"/>
  <c r="L209" i="5" s="1"/>
  <c r="M209" i="5" s="1"/>
  <c r="O209" i="5"/>
  <c r="P209" i="5" s="1"/>
  <c r="S209" i="5"/>
  <c r="T209" i="5" s="1"/>
  <c r="U209" i="5" s="1"/>
  <c r="J208" i="5"/>
  <c r="K208" i="5" s="1"/>
  <c r="L208" i="5" s="1"/>
  <c r="M208" i="5" s="1"/>
  <c r="N208" i="5"/>
  <c r="O208" i="5"/>
  <c r="P208" i="5" s="1"/>
  <c r="S208" i="5"/>
  <c r="T208" i="5" s="1"/>
  <c r="J207" i="5"/>
  <c r="K207" i="5" s="1"/>
  <c r="L207" i="5" s="1"/>
  <c r="M207" i="5" s="1"/>
  <c r="N207" i="5"/>
  <c r="O207" i="5"/>
  <c r="P207" i="5" s="1"/>
  <c r="S207" i="5"/>
  <c r="T207" i="5" s="1"/>
  <c r="J206" i="5"/>
  <c r="K206" i="5" s="1"/>
  <c r="L206" i="5" s="1"/>
  <c r="M206" i="5" s="1"/>
  <c r="O206" i="5"/>
  <c r="P206" i="5" s="1"/>
  <c r="S206" i="5"/>
  <c r="T206" i="5" s="1"/>
  <c r="U206" i="5" s="1"/>
  <c r="J205" i="5"/>
  <c r="K205" i="5" s="1"/>
  <c r="L205" i="5" s="1"/>
  <c r="M205" i="5" s="1"/>
  <c r="N205" i="5" s="1"/>
  <c r="O205" i="5"/>
  <c r="P205" i="5" s="1"/>
  <c r="J204" i="5"/>
  <c r="K204" i="5" s="1"/>
  <c r="L204" i="5" s="1"/>
  <c r="M204" i="5" s="1"/>
  <c r="O204" i="5"/>
  <c r="P204" i="5" s="1"/>
  <c r="J203" i="5"/>
  <c r="K203" i="5" s="1"/>
  <c r="L203" i="5" s="1"/>
  <c r="M203" i="5" s="1"/>
  <c r="O203" i="5"/>
  <c r="P203" i="5" s="1"/>
  <c r="J202" i="5"/>
  <c r="K202" i="5" s="1"/>
  <c r="L202" i="5" s="1"/>
  <c r="M202" i="5" s="1"/>
  <c r="O202" i="5"/>
  <c r="P202" i="5" s="1"/>
  <c r="J201" i="5"/>
  <c r="K201" i="5" s="1"/>
  <c r="L201" i="5" s="1"/>
  <c r="M201" i="5" s="1"/>
  <c r="O201" i="5"/>
  <c r="P201" i="5" s="1"/>
  <c r="J200" i="5"/>
  <c r="K200" i="5" s="1"/>
  <c r="L200" i="5" s="1"/>
  <c r="M200" i="5" s="1"/>
  <c r="N200" i="5"/>
  <c r="O200" i="5"/>
  <c r="P200" i="5" s="1"/>
  <c r="J199" i="5"/>
  <c r="K199" i="5" s="1"/>
  <c r="L199" i="5" s="1"/>
  <c r="M199" i="5" s="1"/>
  <c r="O199" i="5"/>
  <c r="P199" i="5" s="1"/>
  <c r="J198" i="5"/>
  <c r="K198" i="5" s="1"/>
  <c r="L198" i="5" s="1"/>
  <c r="M198" i="5" s="1"/>
  <c r="N198" i="5"/>
  <c r="O198" i="5"/>
  <c r="P198" i="5" s="1"/>
  <c r="S198" i="5"/>
  <c r="T198" i="5" s="1"/>
  <c r="J197" i="5"/>
  <c r="K197" i="5" s="1"/>
  <c r="L197" i="5" s="1"/>
  <c r="M197" i="5" s="1"/>
  <c r="O197" i="5"/>
  <c r="P197" i="5" s="1"/>
  <c r="O196" i="5"/>
  <c r="P196" i="5" s="1"/>
  <c r="J195" i="5"/>
  <c r="K195" i="5" s="1"/>
  <c r="L195" i="5" s="1"/>
  <c r="M195" i="5" s="1"/>
  <c r="N195" i="5"/>
  <c r="O195" i="5"/>
  <c r="P195" i="5" s="1"/>
  <c r="J194" i="5"/>
  <c r="K194" i="5" s="1"/>
  <c r="L194" i="5" s="1"/>
  <c r="M194" i="5" s="1"/>
  <c r="N194" i="5" s="1"/>
  <c r="O194" i="5"/>
  <c r="P194" i="5" s="1"/>
  <c r="J193" i="5"/>
  <c r="K193" i="5" s="1"/>
  <c r="L193" i="5" s="1"/>
  <c r="M193" i="5" s="1"/>
  <c r="O193" i="5"/>
  <c r="P193" i="5" s="1"/>
  <c r="J192" i="5"/>
  <c r="K192" i="5" s="1"/>
  <c r="L192" i="5" s="1"/>
  <c r="M192" i="5" s="1"/>
  <c r="O192" i="5"/>
  <c r="P192" i="5" s="1"/>
  <c r="J191" i="5"/>
  <c r="K191" i="5" s="1"/>
  <c r="L191" i="5" s="1"/>
  <c r="M191" i="5" s="1"/>
  <c r="O191" i="5"/>
  <c r="P191" i="5" s="1"/>
  <c r="J190" i="5"/>
  <c r="K190" i="5" s="1"/>
  <c r="L190" i="5" s="1"/>
  <c r="M190" i="5" s="1"/>
  <c r="O190" i="5"/>
  <c r="P190" i="5" s="1"/>
  <c r="J189" i="5"/>
  <c r="K189" i="5" s="1"/>
  <c r="L189" i="5" s="1"/>
  <c r="M189" i="5" s="1"/>
  <c r="O189" i="5"/>
  <c r="P189" i="5" s="1"/>
  <c r="J188" i="5"/>
  <c r="K188" i="5" s="1"/>
  <c r="L188" i="5" s="1"/>
  <c r="M188" i="5" s="1"/>
  <c r="O188" i="5"/>
  <c r="P188" i="5" s="1"/>
  <c r="J187" i="5"/>
  <c r="K187" i="5" s="1"/>
  <c r="L187" i="5" s="1"/>
  <c r="M187" i="5" s="1"/>
  <c r="O187" i="5"/>
  <c r="P187" i="5" s="1"/>
  <c r="J186" i="5"/>
  <c r="K186" i="5" s="1"/>
  <c r="L186" i="5" s="1"/>
  <c r="M186" i="5" s="1"/>
  <c r="O186" i="5"/>
  <c r="P186" i="5" s="1"/>
  <c r="J185" i="5"/>
  <c r="K185" i="5" s="1"/>
  <c r="L185" i="5" s="1"/>
  <c r="M185" i="5" s="1"/>
  <c r="AE185" i="5"/>
  <c r="AF185" i="5" s="1"/>
  <c r="AG185" i="5" s="1"/>
  <c r="N185" i="5"/>
  <c r="AD185" i="5" s="1"/>
  <c r="AC185" i="5"/>
  <c r="J184" i="5"/>
  <c r="K184" i="5" s="1"/>
  <c r="L184" i="5" s="1"/>
  <c r="M184" i="5" s="1"/>
  <c r="O184" i="5"/>
  <c r="P184" i="5" s="1"/>
  <c r="J183" i="5"/>
  <c r="K183" i="5" s="1"/>
  <c r="L183" i="5" s="1"/>
  <c r="M183" i="5" s="1"/>
  <c r="O183" i="5"/>
  <c r="P183" i="5" s="1"/>
  <c r="J182" i="5"/>
  <c r="K182" i="5" s="1"/>
  <c r="L182" i="5" s="1"/>
  <c r="M182" i="5" s="1"/>
  <c r="O182" i="5"/>
  <c r="P182" i="5" s="1"/>
  <c r="J181" i="5"/>
  <c r="K181" i="5" s="1"/>
  <c r="L181" i="5" s="1"/>
  <c r="M181" i="5" s="1"/>
  <c r="O181" i="5"/>
  <c r="P181" i="5" s="1"/>
  <c r="J180" i="5"/>
  <c r="K180" i="5" s="1"/>
  <c r="L180" i="5" s="1"/>
  <c r="M180" i="5" s="1"/>
  <c r="N180" i="5"/>
  <c r="O180" i="5"/>
  <c r="P180" i="5" s="1"/>
  <c r="S180" i="5"/>
  <c r="T180" i="5" s="1"/>
  <c r="J179" i="5"/>
  <c r="K179" i="5" s="1"/>
  <c r="L179" i="5" s="1"/>
  <c r="M179" i="5" s="1"/>
  <c r="N179" i="5"/>
  <c r="O179" i="5"/>
  <c r="P179" i="5" s="1"/>
  <c r="J178" i="5"/>
  <c r="K178" i="5" s="1"/>
  <c r="L178" i="5" s="1"/>
  <c r="M178" i="5" s="1"/>
  <c r="O178" i="5"/>
  <c r="P178" i="5" s="1"/>
  <c r="S178" i="5"/>
  <c r="T178" i="5" s="1"/>
  <c r="U178" i="5" s="1"/>
  <c r="J177" i="5"/>
  <c r="K177" i="5" s="1"/>
  <c r="L177" i="5" s="1"/>
  <c r="M177" i="5" s="1"/>
  <c r="N177" i="5"/>
  <c r="O177" i="5"/>
  <c r="P177" i="5" s="1"/>
  <c r="S177" i="5"/>
  <c r="T177" i="5" s="1"/>
  <c r="J176" i="5"/>
  <c r="K176" i="5" s="1"/>
  <c r="L176" i="5" s="1"/>
  <c r="M176" i="5" s="1"/>
  <c r="O176" i="5"/>
  <c r="P176" i="5" s="1"/>
  <c r="S176" i="5"/>
  <c r="T176" i="5" s="1"/>
  <c r="U176" i="5" s="1"/>
  <c r="J175" i="5"/>
  <c r="K175" i="5" s="1"/>
  <c r="L175" i="5" s="1"/>
  <c r="M175" i="5" s="1"/>
  <c r="N175" i="5"/>
  <c r="O175" i="5"/>
  <c r="P175" i="5" s="1"/>
  <c r="S175" i="5"/>
  <c r="T175" i="5" s="1"/>
  <c r="J174" i="5"/>
  <c r="K174" i="5" s="1"/>
  <c r="L174" i="5" s="1"/>
  <c r="M174" i="5" s="1"/>
  <c r="O174" i="5"/>
  <c r="P174" i="5" s="1"/>
  <c r="S174" i="5"/>
  <c r="T174" i="5" s="1"/>
  <c r="U174" i="5" s="1"/>
  <c r="J173" i="5"/>
  <c r="K173" i="5" s="1"/>
  <c r="L173" i="5" s="1"/>
  <c r="M173" i="5" s="1"/>
  <c r="O173" i="5"/>
  <c r="P173" i="5" s="1"/>
  <c r="S173" i="5"/>
  <c r="T173" i="5" s="1"/>
  <c r="U173" i="5" s="1"/>
  <c r="J172" i="5"/>
  <c r="K172" i="5" s="1"/>
  <c r="L172" i="5" s="1"/>
  <c r="M172" i="5" s="1"/>
  <c r="O172" i="5"/>
  <c r="P172" i="5" s="1"/>
  <c r="S172" i="5"/>
  <c r="T172" i="5" s="1"/>
  <c r="U172" i="5" s="1"/>
  <c r="J171" i="5"/>
  <c r="K171" i="5" s="1"/>
  <c r="L171" i="5" s="1"/>
  <c r="M171" i="5" s="1"/>
  <c r="N171" i="5"/>
  <c r="O171" i="5"/>
  <c r="P171" i="5" s="1"/>
  <c r="S171" i="5"/>
  <c r="T171" i="5" s="1"/>
  <c r="J170" i="5"/>
  <c r="K170" i="5" s="1"/>
  <c r="L170" i="5" s="1"/>
  <c r="M170" i="5" s="1"/>
  <c r="N170" i="5"/>
  <c r="O170" i="5"/>
  <c r="P170" i="5" s="1"/>
  <c r="S170" i="5"/>
  <c r="T170" i="5" s="1"/>
  <c r="J169" i="5"/>
  <c r="K169" i="5" s="1"/>
  <c r="L169" i="5" s="1"/>
  <c r="M169" i="5" s="1"/>
  <c r="O169" i="5"/>
  <c r="P169" i="5" s="1"/>
  <c r="S169" i="5"/>
  <c r="T169" i="5" s="1"/>
  <c r="U169" i="5" s="1"/>
  <c r="J168" i="5"/>
  <c r="K168" i="5" s="1"/>
  <c r="L168" i="5" s="1"/>
  <c r="M168" i="5" s="1"/>
  <c r="O168" i="5"/>
  <c r="P168" i="5" s="1"/>
  <c r="S168" i="5"/>
  <c r="T168" i="5" s="1"/>
  <c r="U168" i="5" s="1"/>
  <c r="J167" i="5"/>
  <c r="K167" i="5" s="1"/>
  <c r="L167" i="5" s="1"/>
  <c r="M167" i="5" s="1"/>
  <c r="O167" i="5"/>
  <c r="P167" i="5" s="1"/>
  <c r="S167" i="5"/>
  <c r="T167" i="5" s="1"/>
  <c r="U167" i="5" s="1"/>
  <c r="J166" i="5"/>
  <c r="K166" i="5" s="1"/>
  <c r="L166" i="5" s="1"/>
  <c r="M166" i="5" s="1"/>
  <c r="N166" i="5"/>
  <c r="O166" i="5"/>
  <c r="P166" i="5" s="1"/>
  <c r="S166" i="5"/>
  <c r="T166" i="5" s="1"/>
  <c r="J165" i="5"/>
  <c r="K165" i="5" s="1"/>
  <c r="L165" i="5" s="1"/>
  <c r="M165" i="5" s="1"/>
  <c r="N165" i="5"/>
  <c r="O165" i="5"/>
  <c r="P165" i="5" s="1"/>
  <c r="S165" i="5"/>
  <c r="T165" i="5" s="1"/>
  <c r="J164" i="5"/>
  <c r="K164" i="5" s="1"/>
  <c r="L164" i="5" s="1"/>
  <c r="M164" i="5" s="1"/>
  <c r="N164" i="5"/>
  <c r="O164" i="5"/>
  <c r="P164" i="5" s="1"/>
  <c r="S164" i="5"/>
  <c r="T164" i="5" s="1"/>
  <c r="J163" i="5"/>
  <c r="K163" i="5" s="1"/>
  <c r="L163" i="5" s="1"/>
  <c r="M163" i="5" s="1"/>
  <c r="N163" i="5"/>
  <c r="O163" i="5"/>
  <c r="P163" i="5" s="1"/>
  <c r="S163" i="5"/>
  <c r="T163" i="5" s="1"/>
  <c r="J162" i="5"/>
  <c r="K162" i="5" s="1"/>
  <c r="L162" i="5" s="1"/>
  <c r="M162" i="5" s="1"/>
  <c r="O162" i="5"/>
  <c r="P162" i="5" s="1"/>
  <c r="S162" i="5"/>
  <c r="T162" i="5" s="1"/>
  <c r="U162" i="5" s="1"/>
  <c r="J161" i="5"/>
  <c r="K161" i="5" s="1"/>
  <c r="L161" i="5" s="1"/>
  <c r="M161" i="5" s="1"/>
  <c r="O161" i="5"/>
  <c r="P161" i="5" s="1"/>
  <c r="S161" i="5"/>
  <c r="T161" i="5" s="1"/>
  <c r="U161" i="5" s="1"/>
  <c r="J160" i="5"/>
  <c r="K160" i="5" s="1"/>
  <c r="L160" i="5" s="1"/>
  <c r="M160" i="5" s="1"/>
  <c r="N160" i="5"/>
  <c r="O160" i="5"/>
  <c r="P160" i="5" s="1"/>
  <c r="S160" i="5"/>
  <c r="T160" i="5" s="1"/>
  <c r="J159" i="5"/>
  <c r="K159" i="5" s="1"/>
  <c r="L159" i="5" s="1"/>
  <c r="M159" i="5" s="1"/>
  <c r="O159" i="5"/>
  <c r="P159" i="5" s="1"/>
  <c r="S159" i="5"/>
  <c r="T159" i="5" s="1"/>
  <c r="U159" i="5" s="1"/>
  <c r="J158" i="5"/>
  <c r="K158" i="5" s="1"/>
  <c r="L158" i="5" s="1"/>
  <c r="M158" i="5" s="1"/>
  <c r="N158" i="5"/>
  <c r="O158" i="5"/>
  <c r="P158" i="5" s="1"/>
  <c r="S158" i="5"/>
  <c r="T158" i="5" s="1"/>
  <c r="J157" i="5"/>
  <c r="K157" i="5" s="1"/>
  <c r="L157" i="5" s="1"/>
  <c r="M157" i="5" s="1"/>
  <c r="O157" i="5"/>
  <c r="P157" i="5" s="1"/>
  <c r="S157" i="5"/>
  <c r="T157" i="5" s="1"/>
  <c r="U157" i="5" s="1"/>
  <c r="J156" i="5"/>
  <c r="K156" i="5" s="1"/>
  <c r="L156" i="5" s="1"/>
  <c r="M156" i="5" s="1"/>
  <c r="N156" i="5"/>
  <c r="O156" i="5"/>
  <c r="P156" i="5" s="1"/>
  <c r="S156" i="5"/>
  <c r="T156" i="5" s="1"/>
  <c r="J155" i="5"/>
  <c r="K155" i="5" s="1"/>
  <c r="L155" i="5" s="1"/>
  <c r="M155" i="5" s="1"/>
  <c r="O155" i="5"/>
  <c r="P155" i="5" s="1"/>
  <c r="S155" i="5"/>
  <c r="T155" i="5" s="1"/>
  <c r="U155" i="5" s="1"/>
  <c r="J154" i="5"/>
  <c r="K154" i="5" s="1"/>
  <c r="L154" i="5" s="1"/>
  <c r="M154" i="5" s="1"/>
  <c r="O154" i="5"/>
  <c r="P154" i="5" s="1"/>
  <c r="S154" i="5"/>
  <c r="T154" i="5" s="1"/>
  <c r="U154" i="5" s="1"/>
  <c r="J153" i="5"/>
  <c r="K153" i="5" s="1"/>
  <c r="L153" i="5" s="1"/>
  <c r="M153" i="5" s="1"/>
  <c r="N153" i="5"/>
  <c r="O153" i="5"/>
  <c r="P153" i="5" s="1"/>
  <c r="S153" i="5"/>
  <c r="T153" i="5" s="1"/>
  <c r="J152" i="5"/>
  <c r="K152" i="5" s="1"/>
  <c r="L152" i="5" s="1"/>
  <c r="M152" i="5" s="1"/>
  <c r="O152" i="5"/>
  <c r="P152" i="5" s="1"/>
  <c r="S152" i="5"/>
  <c r="T152" i="5" s="1"/>
  <c r="U152" i="5" s="1"/>
  <c r="J151" i="5"/>
  <c r="K151" i="5" s="1"/>
  <c r="L151" i="5" s="1"/>
  <c r="M151" i="5" s="1"/>
  <c r="N151" i="5"/>
  <c r="O151" i="5"/>
  <c r="P151" i="5" s="1"/>
  <c r="S151" i="5"/>
  <c r="T151" i="5" s="1"/>
  <c r="J150" i="5"/>
  <c r="K150" i="5" s="1"/>
  <c r="L150" i="5" s="1"/>
  <c r="M150" i="5" s="1"/>
  <c r="N150" i="5"/>
  <c r="O150" i="5"/>
  <c r="P150" i="5" s="1"/>
  <c r="S150" i="5"/>
  <c r="T150" i="5" s="1"/>
  <c r="J149" i="5"/>
  <c r="K149" i="5" s="1"/>
  <c r="L149" i="5" s="1"/>
  <c r="M149" i="5" s="1"/>
  <c r="N149" i="5"/>
  <c r="O149" i="5"/>
  <c r="P149" i="5" s="1"/>
  <c r="S149" i="5"/>
  <c r="T149" i="5" s="1"/>
  <c r="J148" i="5"/>
  <c r="K148" i="5" s="1"/>
  <c r="L148" i="5" s="1"/>
  <c r="M148" i="5" s="1"/>
  <c r="O148" i="5"/>
  <c r="P148" i="5" s="1"/>
  <c r="S148" i="5"/>
  <c r="T148" i="5" s="1"/>
  <c r="U148" i="5" s="1"/>
  <c r="J147" i="5"/>
  <c r="K147" i="5" s="1"/>
  <c r="L147" i="5" s="1"/>
  <c r="M147" i="5" s="1"/>
  <c r="O147" i="5"/>
  <c r="P147" i="5" s="1"/>
  <c r="S147" i="5"/>
  <c r="T147" i="5" s="1"/>
  <c r="U147" i="5" s="1"/>
  <c r="J146" i="5"/>
  <c r="K146" i="5" s="1"/>
  <c r="L146" i="5" s="1"/>
  <c r="M146" i="5" s="1"/>
  <c r="O146" i="5"/>
  <c r="P146" i="5" s="1"/>
  <c r="S146" i="5"/>
  <c r="T146" i="5" s="1"/>
  <c r="U146" i="5" s="1"/>
  <c r="J145" i="5"/>
  <c r="K145" i="5" s="1"/>
  <c r="L145" i="5" s="1"/>
  <c r="M145" i="5" s="1"/>
  <c r="N145" i="5"/>
  <c r="O145" i="5"/>
  <c r="P145" i="5" s="1"/>
  <c r="S145" i="5"/>
  <c r="T145" i="5" s="1"/>
  <c r="J144" i="5"/>
  <c r="K144" i="5" s="1"/>
  <c r="L144" i="5" s="1"/>
  <c r="M144" i="5" s="1"/>
  <c r="N144" i="5"/>
  <c r="O144" i="5"/>
  <c r="P144" i="5" s="1"/>
  <c r="S144" i="5"/>
  <c r="T144" i="5" s="1"/>
  <c r="J143" i="5"/>
  <c r="K143" i="5" s="1"/>
  <c r="L143" i="5" s="1"/>
  <c r="M143" i="5" s="1"/>
  <c r="O143" i="5"/>
  <c r="P143" i="5" s="1"/>
  <c r="S143" i="5"/>
  <c r="T143" i="5" s="1"/>
  <c r="U143" i="5" s="1"/>
  <c r="J142" i="5"/>
  <c r="K142" i="5" s="1"/>
  <c r="L142" i="5" s="1"/>
  <c r="M142" i="5" s="1"/>
  <c r="O142" i="5"/>
  <c r="P142" i="5" s="1"/>
  <c r="S142" i="5"/>
  <c r="T142" i="5" s="1"/>
  <c r="U142" i="5" s="1"/>
  <c r="J141" i="5"/>
  <c r="K141" i="5" s="1"/>
  <c r="L141" i="5" s="1"/>
  <c r="M141" i="5" s="1"/>
  <c r="O141" i="5"/>
  <c r="P141" i="5" s="1"/>
  <c r="S141" i="5"/>
  <c r="T141" i="5" s="1"/>
  <c r="U141" i="5" s="1"/>
  <c r="J140" i="5"/>
  <c r="K140" i="5" s="1"/>
  <c r="L140" i="5" s="1"/>
  <c r="M140" i="5" s="1"/>
  <c r="O140" i="5"/>
  <c r="P140" i="5" s="1"/>
  <c r="J139" i="5"/>
  <c r="K139" i="5" s="1"/>
  <c r="L139" i="5" s="1"/>
  <c r="M139" i="5" s="1"/>
  <c r="O139" i="5"/>
  <c r="P139" i="5" s="1"/>
  <c r="J138" i="5"/>
  <c r="K138" i="5" s="1"/>
  <c r="L138" i="5" s="1"/>
  <c r="M138" i="5" s="1"/>
  <c r="O138" i="5"/>
  <c r="P138" i="5" s="1"/>
  <c r="J137" i="5"/>
  <c r="K137" i="5" s="1"/>
  <c r="L137" i="5" s="1"/>
  <c r="M137" i="5" s="1"/>
  <c r="O137" i="5"/>
  <c r="P137" i="5" s="1"/>
  <c r="J136" i="5"/>
  <c r="K136" i="5" s="1"/>
  <c r="L136" i="5" s="1"/>
  <c r="M136" i="5" s="1"/>
  <c r="O136" i="5"/>
  <c r="P136" i="5" s="1"/>
  <c r="J135" i="5"/>
  <c r="K135" i="5" s="1"/>
  <c r="L135" i="5" s="1"/>
  <c r="M135" i="5" s="1"/>
  <c r="O135" i="5"/>
  <c r="P135" i="5" s="1"/>
  <c r="J134" i="5"/>
  <c r="K134" i="5" s="1"/>
  <c r="L134" i="5" s="1"/>
  <c r="M134" i="5" s="1"/>
  <c r="O134" i="5"/>
  <c r="P134" i="5" s="1"/>
  <c r="J133" i="5"/>
  <c r="K133" i="5" s="1"/>
  <c r="L133" i="5" s="1"/>
  <c r="M133" i="5" s="1"/>
  <c r="O133" i="5"/>
  <c r="P133" i="5" s="1"/>
  <c r="J132" i="5"/>
  <c r="K132" i="5" s="1"/>
  <c r="L132" i="5" s="1"/>
  <c r="M132" i="5" s="1"/>
  <c r="O132" i="5"/>
  <c r="P132" i="5" s="1"/>
  <c r="J131" i="5"/>
  <c r="K131" i="5" s="1"/>
  <c r="L131" i="5" s="1"/>
  <c r="M131" i="5" s="1"/>
  <c r="O131" i="5"/>
  <c r="P131" i="5" s="1"/>
  <c r="J130" i="5"/>
  <c r="K130" i="5" s="1"/>
  <c r="L130" i="5" s="1"/>
  <c r="M130" i="5" s="1"/>
  <c r="O130" i="5"/>
  <c r="P130" i="5" s="1"/>
  <c r="J129" i="5"/>
  <c r="K129" i="5" s="1"/>
  <c r="L129" i="5" s="1"/>
  <c r="M129" i="5" s="1"/>
  <c r="O129" i="5"/>
  <c r="P129" i="5" s="1"/>
  <c r="J128" i="5"/>
  <c r="K128" i="5" s="1"/>
  <c r="L128" i="5" s="1"/>
  <c r="M128" i="5" s="1"/>
  <c r="O128" i="5"/>
  <c r="P128" i="5" s="1"/>
  <c r="J127" i="5"/>
  <c r="K127" i="5" s="1"/>
  <c r="L127" i="5" s="1"/>
  <c r="M127" i="5" s="1"/>
  <c r="O127" i="5"/>
  <c r="P127" i="5" s="1"/>
  <c r="J126" i="5"/>
  <c r="K126" i="5" s="1"/>
  <c r="L126" i="5" s="1"/>
  <c r="M126" i="5" s="1"/>
  <c r="O126" i="5"/>
  <c r="P126" i="5" s="1"/>
  <c r="J125" i="5"/>
  <c r="K125" i="5" s="1"/>
  <c r="L125" i="5" s="1"/>
  <c r="M125" i="5" s="1"/>
  <c r="O125" i="5"/>
  <c r="P125" i="5" s="1"/>
  <c r="J124" i="5"/>
  <c r="K124" i="5" s="1"/>
  <c r="L124" i="5" s="1"/>
  <c r="M124" i="5" s="1"/>
  <c r="O124" i="5"/>
  <c r="P124" i="5" s="1"/>
  <c r="J123" i="5"/>
  <c r="K123" i="5" s="1"/>
  <c r="L123" i="5" s="1"/>
  <c r="M123" i="5" s="1"/>
  <c r="O123" i="5"/>
  <c r="P123" i="5" s="1"/>
  <c r="J122" i="5"/>
  <c r="K122" i="5" s="1"/>
  <c r="L122" i="5" s="1"/>
  <c r="M122" i="5" s="1"/>
  <c r="O122" i="5"/>
  <c r="P122" i="5" s="1"/>
  <c r="J121" i="5"/>
  <c r="K121" i="5" s="1"/>
  <c r="L121" i="5" s="1"/>
  <c r="M121" i="5" s="1"/>
  <c r="N121" i="5"/>
  <c r="O121" i="5"/>
  <c r="P121" i="5" s="1"/>
  <c r="S121" i="5"/>
  <c r="T121" i="5" s="1"/>
  <c r="J120" i="5"/>
  <c r="K120" i="5" s="1"/>
  <c r="L120" i="5" s="1"/>
  <c r="M120" i="5" s="1"/>
  <c r="O120" i="5"/>
  <c r="P120" i="5" s="1"/>
  <c r="S120" i="5"/>
  <c r="T120" i="5" s="1"/>
  <c r="U120" i="5" s="1"/>
  <c r="N119" i="5"/>
  <c r="O119" i="5"/>
  <c r="P119" i="5" s="1"/>
  <c r="J118" i="5"/>
  <c r="K118" i="5" s="1"/>
  <c r="L118" i="5" s="1"/>
  <c r="M118" i="5" s="1"/>
  <c r="N118" i="5"/>
  <c r="O118" i="5"/>
  <c r="P118" i="5" s="1"/>
  <c r="S118" i="5"/>
  <c r="T118" i="5" s="1"/>
  <c r="J117" i="5"/>
  <c r="K117" i="5" s="1"/>
  <c r="L117" i="5" s="1"/>
  <c r="M117" i="5" s="1"/>
  <c r="O117" i="5"/>
  <c r="P117" i="5" s="1"/>
  <c r="S117" i="5"/>
  <c r="T117" i="5" s="1"/>
  <c r="U117" i="5" s="1"/>
  <c r="J116" i="5"/>
  <c r="K116" i="5" s="1"/>
  <c r="L116" i="5" s="1"/>
  <c r="M116" i="5" s="1"/>
  <c r="O116" i="5"/>
  <c r="P116" i="5" s="1"/>
  <c r="S116" i="5"/>
  <c r="T116" i="5" s="1"/>
  <c r="U116" i="5" s="1"/>
  <c r="J115" i="5"/>
  <c r="K115" i="5" s="1"/>
  <c r="L115" i="5" s="1"/>
  <c r="M115" i="5" s="1"/>
  <c r="O115" i="5"/>
  <c r="P115" i="5" s="1"/>
  <c r="S115" i="5"/>
  <c r="T115" i="5" s="1"/>
  <c r="U115" i="5" s="1"/>
  <c r="J114" i="5"/>
  <c r="K114" i="5" s="1"/>
  <c r="L114" i="5" s="1"/>
  <c r="M114" i="5" s="1"/>
  <c r="N114" i="5"/>
  <c r="O114" i="5"/>
  <c r="P114" i="5" s="1"/>
  <c r="S114" i="5"/>
  <c r="T114" i="5" s="1"/>
  <c r="J113" i="5"/>
  <c r="K113" i="5" s="1"/>
  <c r="L113" i="5" s="1"/>
  <c r="M113" i="5" s="1"/>
  <c r="O113" i="5"/>
  <c r="P113" i="5" s="1"/>
  <c r="S113" i="5"/>
  <c r="T113" i="5" s="1"/>
  <c r="U113" i="5" s="1"/>
  <c r="J112" i="5"/>
  <c r="K112" i="5" s="1"/>
  <c r="L112" i="5" s="1"/>
  <c r="M112" i="5" s="1"/>
  <c r="O112" i="5"/>
  <c r="P112" i="5" s="1"/>
  <c r="S112" i="5"/>
  <c r="T112" i="5" s="1"/>
  <c r="U112" i="5" s="1"/>
  <c r="J111" i="5"/>
  <c r="K111" i="5" s="1"/>
  <c r="L111" i="5" s="1"/>
  <c r="M111" i="5" s="1"/>
  <c r="N111" i="5"/>
  <c r="O111" i="5"/>
  <c r="P111" i="5" s="1"/>
  <c r="S111" i="5"/>
  <c r="T111" i="5" s="1"/>
  <c r="J110" i="5"/>
  <c r="K110" i="5" s="1"/>
  <c r="L110" i="5" s="1"/>
  <c r="M110" i="5" s="1"/>
  <c r="O110" i="5"/>
  <c r="P110" i="5" s="1"/>
  <c r="S110" i="5"/>
  <c r="T110" i="5" s="1"/>
  <c r="U110" i="5" s="1"/>
  <c r="J109" i="5"/>
  <c r="K109" i="5" s="1"/>
  <c r="L109" i="5" s="1"/>
  <c r="M109" i="5" s="1"/>
  <c r="O109" i="5"/>
  <c r="P109" i="5" s="1"/>
  <c r="S109" i="5"/>
  <c r="T109" i="5" s="1"/>
  <c r="U109" i="5" s="1"/>
  <c r="J108" i="5"/>
  <c r="K108" i="5" s="1"/>
  <c r="L108" i="5" s="1"/>
  <c r="M108" i="5" s="1"/>
  <c r="O108" i="5"/>
  <c r="P108" i="5" s="1"/>
  <c r="S108" i="5"/>
  <c r="T108" i="5" s="1"/>
  <c r="U108" i="5" s="1"/>
  <c r="J107" i="5"/>
  <c r="K107" i="5" s="1"/>
  <c r="L107" i="5" s="1"/>
  <c r="M107" i="5" s="1"/>
  <c r="N107" i="5"/>
  <c r="O107" i="5"/>
  <c r="P107" i="5" s="1"/>
  <c r="S107" i="5"/>
  <c r="T107" i="5" s="1"/>
  <c r="J106" i="5"/>
  <c r="K106" i="5" s="1"/>
  <c r="L106" i="5" s="1"/>
  <c r="M106" i="5" s="1"/>
  <c r="O106" i="5"/>
  <c r="P106" i="5" s="1"/>
  <c r="S106" i="5"/>
  <c r="T106" i="5" s="1"/>
  <c r="U106" i="5" s="1"/>
  <c r="J105" i="5"/>
  <c r="K105" i="5" s="1"/>
  <c r="L105" i="5" s="1"/>
  <c r="M105" i="5" s="1"/>
  <c r="N105" i="5"/>
  <c r="O105" i="5"/>
  <c r="P105" i="5" s="1"/>
  <c r="S105" i="5"/>
  <c r="T105" i="5" s="1"/>
  <c r="J104" i="5"/>
  <c r="K104" i="5" s="1"/>
  <c r="L104" i="5" s="1"/>
  <c r="M104" i="5" s="1"/>
  <c r="O104" i="5"/>
  <c r="P104" i="5" s="1"/>
  <c r="S104" i="5"/>
  <c r="T104" i="5" s="1"/>
  <c r="U104" i="5" s="1"/>
  <c r="J103" i="5"/>
  <c r="K103" i="5" s="1"/>
  <c r="L103" i="5" s="1"/>
  <c r="M103" i="5" s="1"/>
  <c r="O103" i="5"/>
  <c r="P103" i="5" s="1"/>
  <c r="S103" i="5"/>
  <c r="T103" i="5" s="1"/>
  <c r="U103" i="5" s="1"/>
  <c r="J102" i="5"/>
  <c r="K102" i="5" s="1"/>
  <c r="L102" i="5" s="1"/>
  <c r="M102" i="5" s="1"/>
  <c r="O102" i="5"/>
  <c r="P102" i="5" s="1"/>
  <c r="S102" i="5"/>
  <c r="T102" i="5" s="1"/>
  <c r="U102" i="5" s="1"/>
  <c r="J101" i="5"/>
  <c r="K101" i="5" s="1"/>
  <c r="L101" i="5" s="1"/>
  <c r="M101" i="5" s="1"/>
  <c r="O101" i="5"/>
  <c r="P101" i="5" s="1"/>
  <c r="S101" i="5"/>
  <c r="T101" i="5" s="1"/>
  <c r="U101" i="5" s="1"/>
  <c r="J100" i="5"/>
  <c r="K100" i="5" s="1"/>
  <c r="L100" i="5" s="1"/>
  <c r="M100" i="5" s="1"/>
  <c r="O100" i="5"/>
  <c r="P100" i="5" s="1"/>
  <c r="S100" i="5"/>
  <c r="T100" i="5" s="1"/>
  <c r="U100" i="5" s="1"/>
  <c r="J99" i="5"/>
  <c r="K99" i="5" s="1"/>
  <c r="L99" i="5" s="1"/>
  <c r="M99" i="5" s="1"/>
  <c r="O99" i="5"/>
  <c r="P99" i="5" s="1"/>
  <c r="S99" i="5"/>
  <c r="T99" i="5" s="1"/>
  <c r="U99" i="5" s="1"/>
  <c r="J98" i="5"/>
  <c r="K98" i="5" s="1"/>
  <c r="L98" i="5" s="1"/>
  <c r="M98" i="5" s="1"/>
  <c r="N98" i="5"/>
  <c r="O98" i="5"/>
  <c r="P98" i="5" s="1"/>
  <c r="S98" i="5"/>
  <c r="T98" i="5" s="1"/>
  <c r="J97" i="5"/>
  <c r="K97" i="5" s="1"/>
  <c r="L97" i="5" s="1"/>
  <c r="M97" i="5" s="1"/>
  <c r="N97" i="5"/>
  <c r="O97" i="5"/>
  <c r="P97" i="5" s="1"/>
  <c r="S97" i="5"/>
  <c r="T97" i="5" s="1"/>
  <c r="J96" i="5"/>
  <c r="K96" i="5" s="1"/>
  <c r="L96" i="5" s="1"/>
  <c r="M96" i="5" s="1"/>
  <c r="N96" i="5"/>
  <c r="O96" i="5"/>
  <c r="P96" i="5" s="1"/>
  <c r="S96" i="5"/>
  <c r="T96" i="5" s="1"/>
  <c r="J95" i="5"/>
  <c r="K95" i="5" s="1"/>
  <c r="L95" i="5" s="1"/>
  <c r="M95" i="5" s="1"/>
  <c r="O95" i="5"/>
  <c r="P95" i="5" s="1"/>
  <c r="S95" i="5"/>
  <c r="T95" i="5" s="1"/>
  <c r="U95" i="5" s="1"/>
  <c r="J94" i="5"/>
  <c r="K94" i="5" s="1"/>
  <c r="L94" i="5" s="1"/>
  <c r="M94" i="5" s="1"/>
  <c r="N94" i="5"/>
  <c r="O94" i="5"/>
  <c r="P94" i="5" s="1"/>
  <c r="S94" i="5"/>
  <c r="T94" i="5" s="1"/>
  <c r="J93" i="5"/>
  <c r="K93" i="5" s="1"/>
  <c r="L93" i="5" s="1"/>
  <c r="M93" i="5" s="1"/>
  <c r="N93" i="5"/>
  <c r="O93" i="5"/>
  <c r="P93" i="5" s="1"/>
  <c r="S93" i="5"/>
  <c r="T93" i="5" s="1"/>
  <c r="J92" i="5"/>
  <c r="K92" i="5" s="1"/>
  <c r="L92" i="5" s="1"/>
  <c r="M92" i="5" s="1"/>
  <c r="O92" i="5"/>
  <c r="P92" i="5" s="1"/>
  <c r="S92" i="5"/>
  <c r="T92" i="5" s="1"/>
  <c r="U92" i="5" s="1"/>
  <c r="J91" i="5"/>
  <c r="K91" i="5" s="1"/>
  <c r="L91" i="5" s="1"/>
  <c r="M91" i="5" s="1"/>
  <c r="N91" i="5"/>
  <c r="O91" i="5"/>
  <c r="P91" i="5" s="1"/>
  <c r="S91" i="5"/>
  <c r="T91" i="5" s="1"/>
  <c r="J90" i="5"/>
  <c r="K90" i="5" s="1"/>
  <c r="L90" i="5" s="1"/>
  <c r="M90" i="5" s="1"/>
  <c r="O90" i="5"/>
  <c r="P90" i="5" s="1"/>
  <c r="S90" i="5"/>
  <c r="T90" i="5" s="1"/>
  <c r="U90" i="5" s="1"/>
  <c r="J89" i="5"/>
  <c r="K89" i="5" s="1"/>
  <c r="L89" i="5" s="1"/>
  <c r="M89" i="5" s="1"/>
  <c r="O89" i="5"/>
  <c r="P89" i="5" s="1"/>
  <c r="S89" i="5"/>
  <c r="T89" i="5" s="1"/>
  <c r="U89" i="5" s="1"/>
  <c r="J88" i="5"/>
  <c r="K88" i="5" s="1"/>
  <c r="L88" i="5" s="1"/>
  <c r="M88" i="5" s="1"/>
  <c r="N88" i="5"/>
  <c r="O88" i="5"/>
  <c r="P88" i="5" s="1"/>
  <c r="S88" i="5"/>
  <c r="T88" i="5" s="1"/>
  <c r="J87" i="5"/>
  <c r="K87" i="5" s="1"/>
  <c r="L87" i="5" s="1"/>
  <c r="M87" i="5" s="1"/>
  <c r="O87" i="5"/>
  <c r="P87" i="5" s="1"/>
  <c r="S87" i="5"/>
  <c r="T87" i="5" s="1"/>
  <c r="U87" i="5" s="1"/>
  <c r="J86" i="5"/>
  <c r="K86" i="5" s="1"/>
  <c r="L86" i="5" s="1"/>
  <c r="M86" i="5" s="1"/>
  <c r="O86" i="5"/>
  <c r="P86" i="5" s="1"/>
  <c r="J85" i="5"/>
  <c r="K85" i="5" s="1"/>
  <c r="L85" i="5" s="1"/>
  <c r="M85" i="5" s="1"/>
  <c r="O85" i="5"/>
  <c r="P85" i="5" s="1"/>
  <c r="S85" i="5"/>
  <c r="T85" i="5" s="1"/>
  <c r="U85" i="5" s="1"/>
  <c r="J84" i="5"/>
  <c r="K84" i="5" s="1"/>
  <c r="L84" i="5" s="1"/>
  <c r="M84" i="5" s="1"/>
  <c r="N84" i="5"/>
  <c r="O84" i="5"/>
  <c r="P84" i="5" s="1"/>
  <c r="J83" i="5"/>
  <c r="K83" i="5" s="1"/>
  <c r="L83" i="5" s="1"/>
  <c r="M83" i="5" s="1"/>
  <c r="N83" i="5"/>
  <c r="O83" i="5"/>
  <c r="P83" i="5" s="1"/>
  <c r="J82" i="5"/>
  <c r="K82" i="5" s="1"/>
  <c r="L82" i="5" s="1"/>
  <c r="M82" i="5" s="1"/>
  <c r="N82" i="5"/>
  <c r="O82" i="5"/>
  <c r="P82" i="5" s="1"/>
  <c r="S82" i="5"/>
  <c r="T82" i="5" s="1"/>
  <c r="J81" i="5"/>
  <c r="K81" i="5" s="1"/>
  <c r="L81" i="5" s="1"/>
  <c r="M81" i="5" s="1"/>
  <c r="O81" i="5"/>
  <c r="P81" i="5" s="1"/>
  <c r="S81" i="5"/>
  <c r="T81" i="5" s="1"/>
  <c r="U81" i="5" s="1"/>
  <c r="J80" i="5"/>
  <c r="K80" i="5" s="1"/>
  <c r="L80" i="5" s="1"/>
  <c r="M80" i="5" s="1"/>
  <c r="O80" i="5"/>
  <c r="P80" i="5" s="1"/>
  <c r="S80" i="5"/>
  <c r="T80" i="5" s="1"/>
  <c r="U80" i="5" s="1"/>
  <c r="J79" i="5"/>
  <c r="K79" i="5" s="1"/>
  <c r="L79" i="5" s="1"/>
  <c r="M79" i="5" s="1"/>
  <c r="N79" i="5"/>
  <c r="O79" i="5"/>
  <c r="P79" i="5" s="1"/>
  <c r="S79" i="5"/>
  <c r="T79" i="5" s="1"/>
  <c r="J78" i="5"/>
  <c r="K78" i="5" s="1"/>
  <c r="L78" i="5" s="1"/>
  <c r="M78" i="5" s="1"/>
  <c r="O78" i="5"/>
  <c r="P78" i="5" s="1"/>
  <c r="S78" i="5"/>
  <c r="T78" i="5" s="1"/>
  <c r="U78" i="5" s="1"/>
  <c r="J77" i="5"/>
  <c r="K77" i="5" s="1"/>
  <c r="L77" i="5" s="1"/>
  <c r="M77" i="5" s="1"/>
  <c r="O77" i="5"/>
  <c r="P77" i="5" s="1"/>
  <c r="S77" i="5"/>
  <c r="T77" i="5" s="1"/>
  <c r="U77" i="5" s="1"/>
  <c r="J76" i="5"/>
  <c r="K76" i="5" s="1"/>
  <c r="L76" i="5" s="1"/>
  <c r="M76" i="5" s="1"/>
  <c r="N76" i="5"/>
  <c r="O76" i="5"/>
  <c r="P76" i="5" s="1"/>
  <c r="S76" i="5"/>
  <c r="T76" i="5" s="1"/>
  <c r="J75" i="5"/>
  <c r="K75" i="5" s="1"/>
  <c r="L75" i="5" s="1"/>
  <c r="M75" i="5" s="1"/>
  <c r="N75" i="5"/>
  <c r="O75" i="5"/>
  <c r="P75" i="5" s="1"/>
  <c r="J74" i="5"/>
  <c r="K74" i="5" s="1"/>
  <c r="L74" i="5" s="1"/>
  <c r="M74" i="5" s="1"/>
  <c r="O74" i="5"/>
  <c r="P74" i="5" s="1"/>
  <c r="S74" i="5"/>
  <c r="T74" i="5" s="1"/>
  <c r="U74" i="5" s="1"/>
  <c r="J73" i="5"/>
  <c r="K73" i="5" s="1"/>
  <c r="L73" i="5" s="1"/>
  <c r="M73" i="5" s="1"/>
  <c r="N73" i="5"/>
  <c r="O73" i="5"/>
  <c r="P73" i="5" s="1"/>
  <c r="J72" i="5"/>
  <c r="K72" i="5" s="1"/>
  <c r="L72" i="5" s="1"/>
  <c r="M72" i="5" s="1"/>
  <c r="O72" i="5"/>
  <c r="P72" i="5" s="1"/>
  <c r="J71" i="5"/>
  <c r="K71" i="5" s="1"/>
  <c r="L71" i="5" s="1"/>
  <c r="M71" i="5" s="1"/>
  <c r="N71" i="5"/>
  <c r="O71" i="5"/>
  <c r="P71" i="5" s="1"/>
  <c r="S71" i="5"/>
  <c r="T71" i="5" s="1"/>
  <c r="J70" i="5"/>
  <c r="K70" i="5" s="1"/>
  <c r="L70" i="5" s="1"/>
  <c r="M70" i="5" s="1"/>
  <c r="N70" i="5"/>
  <c r="O70" i="5"/>
  <c r="P70" i="5" s="1"/>
  <c r="S70" i="5"/>
  <c r="T70" i="5" s="1"/>
  <c r="J69" i="5"/>
  <c r="K69" i="5" s="1"/>
  <c r="L69" i="5" s="1"/>
  <c r="M69" i="5" s="1"/>
  <c r="O69" i="5"/>
  <c r="P69" i="5" s="1"/>
  <c r="J68" i="5"/>
  <c r="K68" i="5" s="1"/>
  <c r="L68" i="5" s="1"/>
  <c r="M68" i="5" s="1"/>
  <c r="O68" i="5"/>
  <c r="P68" i="5" s="1"/>
  <c r="J67" i="5"/>
  <c r="K67" i="5" s="1"/>
  <c r="L67" i="5" s="1"/>
  <c r="M67" i="5" s="1"/>
  <c r="O67" i="5"/>
  <c r="P67" i="5" s="1"/>
  <c r="J66" i="5"/>
  <c r="K66" i="5" s="1"/>
  <c r="L66" i="5" s="1"/>
  <c r="M66" i="5" s="1"/>
  <c r="O66" i="5"/>
  <c r="P66" i="5" s="1"/>
  <c r="J65" i="5"/>
  <c r="K65" i="5" s="1"/>
  <c r="L65" i="5" s="1"/>
  <c r="M65" i="5" s="1"/>
  <c r="O65" i="5"/>
  <c r="P65" i="5" s="1"/>
  <c r="AE64" i="5"/>
  <c r="AF64" i="5" s="1"/>
  <c r="AG64" i="5" s="1"/>
  <c r="J64" i="5"/>
  <c r="K64" i="5" s="1"/>
  <c r="L64" i="5" s="1"/>
  <c r="M64" i="5" s="1"/>
  <c r="J63" i="5"/>
  <c r="K63" i="5" s="1"/>
  <c r="L63" i="5" s="1"/>
  <c r="M63" i="5" s="1"/>
  <c r="O63" i="5"/>
  <c r="P63" i="5" s="1"/>
  <c r="AE62" i="5"/>
  <c r="AF62" i="5" s="1"/>
  <c r="AG62" i="5" s="1"/>
  <c r="J62" i="5"/>
  <c r="K62" i="5" s="1"/>
  <c r="L62" i="5" s="1"/>
  <c r="M62" i="5" s="1"/>
  <c r="S62" i="5"/>
  <c r="T62" i="5" s="1"/>
  <c r="U62" i="5" s="1"/>
  <c r="O62" i="5"/>
  <c r="P62" i="5" s="1"/>
  <c r="Q62" i="5" s="1"/>
  <c r="R62" i="5" s="1"/>
  <c r="J61" i="5"/>
  <c r="K61" i="5" s="1"/>
  <c r="L61" i="5" s="1"/>
  <c r="M61" i="5" s="1"/>
  <c r="N61" i="5"/>
  <c r="O61" i="5"/>
  <c r="P61" i="5" s="1"/>
  <c r="J60" i="5"/>
  <c r="K60" i="5" s="1"/>
  <c r="L60" i="5" s="1"/>
  <c r="M60" i="5" s="1"/>
  <c r="O60" i="5"/>
  <c r="P60" i="5" s="1"/>
  <c r="J59" i="5"/>
  <c r="K59" i="5" s="1"/>
  <c r="L59" i="5" s="1"/>
  <c r="M59" i="5" s="1"/>
  <c r="O59" i="5"/>
  <c r="P59" i="5" s="1"/>
  <c r="S59" i="5"/>
  <c r="T59" i="5" s="1"/>
  <c r="U59" i="5" s="1"/>
  <c r="J58" i="5"/>
  <c r="K58" i="5" s="1"/>
  <c r="L58" i="5" s="1"/>
  <c r="M58" i="5" s="1"/>
  <c r="O58" i="5"/>
  <c r="P58" i="5" s="1"/>
  <c r="J57" i="5"/>
  <c r="K57" i="5" s="1"/>
  <c r="L57" i="5" s="1"/>
  <c r="M57" i="5" s="1"/>
  <c r="N57" i="5"/>
  <c r="O57" i="5"/>
  <c r="P57" i="5" s="1"/>
  <c r="S57" i="5"/>
  <c r="T57" i="5" s="1"/>
  <c r="J56" i="5"/>
  <c r="K56" i="5" s="1"/>
  <c r="L56" i="5" s="1"/>
  <c r="M56" i="5" s="1"/>
  <c r="O56" i="5"/>
  <c r="P56" i="5" s="1"/>
  <c r="S56" i="5"/>
  <c r="T56" i="5" s="1"/>
  <c r="U56" i="5" s="1"/>
  <c r="J55" i="5"/>
  <c r="K55" i="5" s="1"/>
  <c r="L55" i="5" s="1"/>
  <c r="M55" i="5" s="1"/>
  <c r="N55" i="5"/>
  <c r="O55" i="5"/>
  <c r="P55" i="5" s="1"/>
  <c r="J54" i="5"/>
  <c r="K54" i="5" s="1"/>
  <c r="L54" i="5" s="1"/>
  <c r="M54" i="5" s="1"/>
  <c r="N54" i="5"/>
  <c r="O54" i="5"/>
  <c r="P54" i="5" s="1"/>
  <c r="S54" i="5"/>
  <c r="T54" i="5" s="1"/>
  <c r="J53" i="5"/>
  <c r="K53" i="5" s="1"/>
  <c r="L53" i="5" s="1"/>
  <c r="M53" i="5" s="1"/>
  <c r="O53" i="5"/>
  <c r="P53" i="5" s="1"/>
  <c r="S53" i="5"/>
  <c r="T53" i="5" s="1"/>
  <c r="U53" i="5" s="1"/>
  <c r="J52" i="5"/>
  <c r="K52" i="5" s="1"/>
  <c r="L52" i="5" s="1"/>
  <c r="M52" i="5" s="1"/>
  <c r="N52" i="5"/>
  <c r="O52" i="5"/>
  <c r="P52" i="5" s="1"/>
  <c r="S52" i="5"/>
  <c r="T52" i="5" s="1"/>
  <c r="J51" i="5"/>
  <c r="K51" i="5" s="1"/>
  <c r="L51" i="5" s="1"/>
  <c r="M51" i="5" s="1"/>
  <c r="N51" i="5"/>
  <c r="O51" i="5"/>
  <c r="P51" i="5" s="1"/>
  <c r="J50" i="5"/>
  <c r="K50" i="5" s="1"/>
  <c r="L50" i="5" s="1"/>
  <c r="M50" i="5" s="1"/>
  <c r="O50" i="5"/>
  <c r="P50" i="5" s="1"/>
  <c r="J49" i="5"/>
  <c r="K49" i="5" s="1"/>
  <c r="L49" i="5" s="1"/>
  <c r="M49" i="5" s="1"/>
  <c r="N49" i="5"/>
  <c r="O49" i="5"/>
  <c r="P49" i="5" s="1"/>
  <c r="J48" i="5"/>
  <c r="K48" i="5" s="1"/>
  <c r="L48" i="5" s="1"/>
  <c r="M48" i="5" s="1"/>
  <c r="N48" i="5"/>
  <c r="O48" i="5"/>
  <c r="P48" i="5" s="1"/>
  <c r="S48" i="5"/>
  <c r="T48" i="5" s="1"/>
  <c r="J47" i="5"/>
  <c r="K47" i="5" s="1"/>
  <c r="L47" i="5" s="1"/>
  <c r="M47" i="5" s="1"/>
  <c r="N47" i="5"/>
  <c r="O47" i="5"/>
  <c r="P47" i="5" s="1"/>
  <c r="AE46" i="5"/>
  <c r="AF46" i="5" s="1"/>
  <c r="AG46" i="5" s="1"/>
  <c r="J46" i="5"/>
  <c r="K46" i="5" s="1"/>
  <c r="L46" i="5" s="1"/>
  <c r="M46" i="5" s="1"/>
  <c r="N46" i="5"/>
  <c r="AD46" i="5" s="1"/>
  <c r="AC46" i="5"/>
  <c r="J45" i="5"/>
  <c r="K45" i="5" s="1"/>
  <c r="L45" i="5" s="1"/>
  <c r="M45" i="5" s="1"/>
  <c r="O45" i="5"/>
  <c r="P45" i="5" s="1"/>
  <c r="S45" i="5"/>
  <c r="T45" i="5" s="1"/>
  <c r="U45" i="5" s="1"/>
  <c r="J44" i="5"/>
  <c r="K44" i="5" s="1"/>
  <c r="L44" i="5" s="1"/>
  <c r="M44" i="5" s="1"/>
  <c r="N44" i="5"/>
  <c r="O44" i="5"/>
  <c r="P44" i="5" s="1"/>
  <c r="J43" i="5"/>
  <c r="K43" i="5" s="1"/>
  <c r="L43" i="5" s="1"/>
  <c r="M43" i="5" s="1"/>
  <c r="N43" i="5"/>
  <c r="O43" i="5"/>
  <c r="P43" i="5" s="1"/>
  <c r="S43" i="5"/>
  <c r="T43" i="5" s="1"/>
  <c r="J42" i="5"/>
  <c r="K42" i="5" s="1"/>
  <c r="L42" i="5" s="1"/>
  <c r="M42" i="5" s="1"/>
  <c r="O42" i="5"/>
  <c r="P42" i="5" s="1"/>
  <c r="J41" i="5"/>
  <c r="K41" i="5" s="1"/>
  <c r="L41" i="5" s="1"/>
  <c r="M41" i="5" s="1"/>
  <c r="O41" i="5"/>
  <c r="P41" i="5" s="1"/>
  <c r="S41" i="5"/>
  <c r="T41" i="5" s="1"/>
  <c r="U41" i="5" s="1"/>
  <c r="J40" i="5"/>
  <c r="K40" i="5" s="1"/>
  <c r="L40" i="5" s="1"/>
  <c r="M40" i="5" s="1"/>
  <c r="N40" i="5"/>
  <c r="O40" i="5"/>
  <c r="P40" i="5" s="1"/>
  <c r="J39" i="5"/>
  <c r="K39" i="5" s="1"/>
  <c r="L39" i="5" s="1"/>
  <c r="M39" i="5" s="1"/>
  <c r="N39" i="5"/>
  <c r="O39" i="5"/>
  <c r="P39" i="5" s="1"/>
  <c r="J38" i="5"/>
  <c r="K38" i="5" s="1"/>
  <c r="L38" i="5" s="1"/>
  <c r="M38" i="5" s="1"/>
  <c r="N38" i="5"/>
  <c r="O38" i="5"/>
  <c r="P38" i="5" s="1"/>
  <c r="S38" i="5"/>
  <c r="T38" i="5" s="1"/>
  <c r="J37" i="5"/>
  <c r="K37" i="5" s="1"/>
  <c r="L37" i="5" s="1"/>
  <c r="M37" i="5" s="1"/>
  <c r="O37" i="5"/>
  <c r="P37" i="5" s="1"/>
  <c r="J36" i="5"/>
  <c r="K36" i="5" s="1"/>
  <c r="L36" i="5" s="1"/>
  <c r="M36" i="5" s="1"/>
  <c r="O36" i="5"/>
  <c r="P36" i="5" s="1"/>
  <c r="S36" i="5"/>
  <c r="T36" i="5" s="1"/>
  <c r="U36" i="5" s="1"/>
  <c r="J35" i="5"/>
  <c r="K35" i="5" s="1"/>
  <c r="L35" i="5" s="1"/>
  <c r="M35" i="5" s="1"/>
  <c r="N35" i="5"/>
  <c r="O35" i="5"/>
  <c r="P35" i="5" s="1"/>
  <c r="J34" i="5"/>
  <c r="K34" i="5" s="1"/>
  <c r="L34" i="5" s="1"/>
  <c r="M34" i="5" s="1"/>
  <c r="O34" i="5"/>
  <c r="P34" i="5" s="1"/>
  <c r="J33" i="5"/>
  <c r="K33" i="5" s="1"/>
  <c r="L33" i="5" s="1"/>
  <c r="M33" i="5" s="1"/>
  <c r="O33" i="5"/>
  <c r="P33" i="5" s="1"/>
  <c r="J32" i="5"/>
  <c r="K32" i="5" s="1"/>
  <c r="L32" i="5" s="1"/>
  <c r="M32" i="5" s="1"/>
  <c r="O32" i="5"/>
  <c r="P32" i="5" s="1"/>
  <c r="S32" i="5"/>
  <c r="T32" i="5" s="1"/>
  <c r="U32" i="5" s="1"/>
  <c r="J31" i="5"/>
  <c r="K31" i="5" s="1"/>
  <c r="L31" i="5" s="1"/>
  <c r="M31" i="5" s="1"/>
  <c r="O31" i="5"/>
  <c r="P31" i="5" s="1"/>
  <c r="S31" i="5"/>
  <c r="T31" i="5" s="1"/>
  <c r="U31" i="5" s="1"/>
  <c r="J30" i="5"/>
  <c r="K30" i="5" s="1"/>
  <c r="L30" i="5" s="1"/>
  <c r="M30" i="5" s="1"/>
  <c r="N30" i="5"/>
  <c r="O30" i="5"/>
  <c r="P30" i="5" s="1"/>
  <c r="S30" i="5"/>
  <c r="T30" i="5" s="1"/>
  <c r="J29" i="5"/>
  <c r="K29" i="5" s="1"/>
  <c r="L29" i="5" s="1"/>
  <c r="M29" i="5" s="1"/>
  <c r="O29" i="5"/>
  <c r="P29" i="5" s="1"/>
  <c r="J28" i="5"/>
  <c r="K28" i="5" s="1"/>
  <c r="L28" i="5" s="1"/>
  <c r="M28" i="5" s="1"/>
  <c r="N28" i="5"/>
  <c r="O28" i="5"/>
  <c r="P28" i="5" s="1"/>
  <c r="S28" i="5"/>
  <c r="T28" i="5" s="1"/>
  <c r="J27" i="5"/>
  <c r="K27" i="5" s="1"/>
  <c r="L27" i="5" s="1"/>
  <c r="M27" i="5" s="1"/>
  <c r="O27" i="5"/>
  <c r="P27" i="5" s="1"/>
  <c r="S27" i="5"/>
  <c r="T27" i="5" s="1"/>
  <c r="U27" i="5" s="1"/>
  <c r="J26" i="5"/>
  <c r="K26" i="5" s="1"/>
  <c r="L26" i="5" s="1"/>
  <c r="M26" i="5" s="1"/>
  <c r="N26" i="5"/>
  <c r="O26" i="5"/>
  <c r="P26" i="5" s="1"/>
  <c r="S26" i="5"/>
  <c r="T26" i="5" s="1"/>
  <c r="J25" i="5"/>
  <c r="K25" i="5" s="1"/>
  <c r="L25" i="5" s="1"/>
  <c r="M25" i="5" s="1"/>
  <c r="N25" i="5"/>
  <c r="O25" i="5"/>
  <c r="P25" i="5" s="1"/>
  <c r="S25" i="5"/>
  <c r="T25" i="5" s="1"/>
  <c r="J24" i="5"/>
  <c r="K24" i="5" s="1"/>
  <c r="L24" i="5" s="1"/>
  <c r="M24" i="5" s="1"/>
  <c r="N24" i="5"/>
  <c r="O24" i="5"/>
  <c r="P24" i="5" s="1"/>
  <c r="J23" i="5"/>
  <c r="K23" i="5" s="1"/>
  <c r="L23" i="5" s="1"/>
  <c r="M23" i="5" s="1"/>
  <c r="N23" i="5"/>
  <c r="O23" i="5"/>
  <c r="P23" i="5" s="1"/>
  <c r="J22" i="5"/>
  <c r="K22" i="5" s="1"/>
  <c r="L22" i="5" s="1"/>
  <c r="M22" i="5" s="1"/>
  <c r="N22" i="5"/>
  <c r="O22" i="5"/>
  <c r="P22" i="5" s="1"/>
  <c r="S22" i="5"/>
  <c r="T22" i="5" s="1"/>
  <c r="J21" i="5"/>
  <c r="K21" i="5" s="1"/>
  <c r="L21" i="5" s="1"/>
  <c r="M21" i="5" s="1"/>
  <c r="N21" i="5"/>
  <c r="O21" i="5"/>
  <c r="P21" i="5" s="1"/>
  <c r="J20" i="5"/>
  <c r="K20" i="5" s="1"/>
  <c r="L20" i="5" s="1"/>
  <c r="M20" i="5" s="1"/>
  <c r="N20" i="5"/>
  <c r="O20" i="5"/>
  <c r="P20" i="5" s="1"/>
  <c r="J19" i="5"/>
  <c r="K19" i="5" s="1"/>
  <c r="L19" i="5" s="1"/>
  <c r="M19" i="5" s="1"/>
  <c r="N19" i="5"/>
  <c r="O19" i="5"/>
  <c r="P19" i="5" s="1"/>
  <c r="J18" i="5"/>
  <c r="K18" i="5" s="1"/>
  <c r="L18" i="5" s="1"/>
  <c r="M18" i="5" s="1"/>
  <c r="O18" i="5"/>
  <c r="P18" i="5" s="1"/>
  <c r="S18" i="5"/>
  <c r="T18" i="5" s="1"/>
  <c r="U18" i="5" s="1"/>
  <c r="J17" i="5"/>
  <c r="K17" i="5" s="1"/>
  <c r="L17" i="5" s="1"/>
  <c r="M17" i="5" s="1"/>
  <c r="O17" i="5"/>
  <c r="P17" i="5" s="1"/>
  <c r="S17" i="5"/>
  <c r="T17" i="5" s="1"/>
  <c r="U17" i="5" s="1"/>
  <c r="J16" i="5"/>
  <c r="K16" i="5" s="1"/>
  <c r="L16" i="5" s="1"/>
  <c r="M16" i="5" s="1"/>
  <c r="O16" i="5"/>
  <c r="P16" i="5" s="1"/>
  <c r="S16" i="5"/>
  <c r="T16" i="5" s="1"/>
  <c r="U16" i="5" s="1"/>
  <c r="J15" i="5"/>
  <c r="K15" i="5" s="1"/>
  <c r="L15" i="5" s="1"/>
  <c r="M15" i="5" s="1"/>
  <c r="O15" i="5"/>
  <c r="P15" i="5" s="1"/>
  <c r="J14" i="5"/>
  <c r="K14" i="5" s="1"/>
  <c r="L14" i="5" s="1"/>
  <c r="M14" i="5" s="1"/>
  <c r="O14" i="5"/>
  <c r="P14" i="5" s="1"/>
  <c r="S14" i="5"/>
  <c r="T14" i="5" s="1"/>
  <c r="U14" i="5" s="1"/>
  <c r="J13" i="5"/>
  <c r="K13" i="5" s="1"/>
  <c r="L13" i="5" s="1"/>
  <c r="M13" i="5" s="1"/>
  <c r="N13" i="5"/>
  <c r="O13" i="5"/>
  <c r="P13" i="5" s="1"/>
  <c r="J12" i="5"/>
  <c r="K12" i="5" s="1"/>
  <c r="L12" i="5" s="1"/>
  <c r="M12" i="5" s="1"/>
  <c r="N12" i="5"/>
  <c r="O12" i="5"/>
  <c r="P12" i="5" s="1"/>
  <c r="S12" i="5"/>
  <c r="T12" i="5" s="1"/>
  <c r="J11" i="5"/>
  <c r="K11" i="5" s="1"/>
  <c r="L11" i="5" s="1"/>
  <c r="M11" i="5" s="1"/>
  <c r="N11" i="5"/>
  <c r="O11" i="5"/>
  <c r="P11" i="5" s="1"/>
  <c r="J10" i="5"/>
  <c r="K10" i="5" s="1"/>
  <c r="L10" i="5" s="1"/>
  <c r="M10" i="5" s="1"/>
  <c r="O10" i="5"/>
  <c r="P10" i="5" s="1"/>
  <c r="J9" i="5"/>
  <c r="K9" i="5" s="1"/>
  <c r="L9" i="5" s="1"/>
  <c r="M9" i="5" s="1"/>
  <c r="O9" i="5"/>
  <c r="P9" i="5" s="1"/>
  <c r="J8" i="5"/>
  <c r="K8" i="5" s="1"/>
  <c r="L8" i="5" s="1"/>
  <c r="M8" i="5" s="1"/>
  <c r="N8" i="5"/>
  <c r="O8" i="5"/>
  <c r="P8" i="5" s="1"/>
  <c r="S8" i="5"/>
  <c r="T8" i="5" s="1"/>
  <c r="J7" i="5"/>
  <c r="K7" i="5" s="1"/>
  <c r="L7" i="5" s="1"/>
  <c r="M7" i="5" s="1"/>
  <c r="N7" i="5"/>
  <c r="O7" i="5"/>
  <c r="P7" i="5" s="1"/>
  <c r="J6" i="5"/>
  <c r="K6" i="5" s="1"/>
  <c r="L6" i="5" s="1"/>
  <c r="M6" i="5" s="1"/>
  <c r="O6" i="5"/>
  <c r="P6" i="5" s="1"/>
  <c r="S6" i="5"/>
  <c r="T6" i="5" s="1"/>
  <c r="U6" i="5" s="1"/>
  <c r="J5" i="5"/>
  <c r="K5" i="5" s="1"/>
  <c r="L5" i="5" s="1"/>
  <c r="M5" i="5" s="1"/>
  <c r="O5" i="5"/>
  <c r="P5" i="5" s="1"/>
  <c r="S5" i="5"/>
  <c r="T5" i="5" s="1"/>
  <c r="U5" i="5" s="1"/>
  <c r="C14" i="4"/>
  <c r="B29" i="6"/>
  <c r="B13" i="2"/>
  <c r="D13" i="2"/>
  <c r="D29" i="6"/>
  <c r="C32" i="4"/>
  <c r="C23" i="4"/>
  <c r="C29" i="6"/>
  <c r="G29" i="6" s="1"/>
  <c r="C13" i="2"/>
  <c r="D34" i="4"/>
  <c r="D35" i="4" s="1"/>
  <c r="B34" i="4"/>
  <c r="B35" i="4" s="1"/>
  <c r="AE944" i="5" l="1"/>
  <c r="AF944" i="5" s="1"/>
  <c r="AG944" i="5" s="1"/>
  <c r="Q944" i="5"/>
  <c r="R944" i="5" s="1"/>
  <c r="S944" i="5" s="1"/>
  <c r="T944" i="5" s="1"/>
  <c r="AC944" i="5"/>
  <c r="U944" i="5"/>
  <c r="AD944" i="5" s="1"/>
  <c r="AC943" i="5"/>
  <c r="N943" i="5"/>
  <c r="AD943" i="5" s="1"/>
  <c r="N939" i="5"/>
  <c r="AC936" i="5"/>
  <c r="N936" i="5"/>
  <c r="AD936" i="5" s="1"/>
  <c r="N935" i="5"/>
  <c r="AD935" i="5" s="1"/>
  <c r="AC935" i="5"/>
  <c r="N934" i="5"/>
  <c r="AC933" i="5"/>
  <c r="N933" i="5"/>
  <c r="AD933" i="5" s="1"/>
  <c r="N932" i="5"/>
  <c r="AD932" i="5" s="1"/>
  <c r="AC932" i="5"/>
  <c r="N931" i="5"/>
  <c r="N928" i="5"/>
  <c r="N926" i="5"/>
  <c r="AD926" i="5" s="1"/>
  <c r="AC926" i="5"/>
  <c r="N925" i="5"/>
  <c r="AD925" i="5" s="1"/>
  <c r="AC925" i="5"/>
  <c r="N924" i="5"/>
  <c r="AD924" i="5" s="1"/>
  <c r="AC924" i="5"/>
  <c r="N922" i="5"/>
  <c r="N921" i="5"/>
  <c r="AD921" i="5" s="1"/>
  <c r="AC921" i="5"/>
  <c r="AC919" i="5"/>
  <c r="N919" i="5"/>
  <c r="AD919" i="5" s="1"/>
  <c r="AC918" i="5"/>
  <c r="N918" i="5"/>
  <c r="AD918" i="5" s="1"/>
  <c r="AC917" i="5"/>
  <c r="N917" i="5"/>
  <c r="AD917" i="5" s="1"/>
  <c r="N916" i="5"/>
  <c r="N915" i="5"/>
  <c r="N912" i="5"/>
  <c r="N910" i="5"/>
  <c r="AD910" i="5" s="1"/>
  <c r="AC910" i="5"/>
  <c r="AC908" i="5"/>
  <c r="N908" i="5"/>
  <c r="AD908" i="5" s="1"/>
  <c r="AE907" i="5"/>
  <c r="AF907" i="5" s="1"/>
  <c r="AG907" i="5" s="1"/>
  <c r="Q907" i="5"/>
  <c r="R907" i="5" s="1"/>
  <c r="S907" i="5" s="1"/>
  <c r="T907" i="5" s="1"/>
  <c r="N904" i="5"/>
  <c r="N902" i="5"/>
  <c r="N897" i="5"/>
  <c r="N896" i="5"/>
  <c r="N895" i="5"/>
  <c r="N889" i="5"/>
  <c r="N888" i="5"/>
  <c r="AC885" i="5"/>
  <c r="N885" i="5"/>
  <c r="AD885" i="5" s="1"/>
  <c r="AC884" i="5"/>
  <c r="N884" i="5"/>
  <c r="AD884" i="5" s="1"/>
  <c r="AC880" i="5"/>
  <c r="N880" i="5"/>
  <c r="AD880" i="5" s="1"/>
  <c r="AC878" i="5"/>
  <c r="N878" i="5"/>
  <c r="AD878" i="5" s="1"/>
  <c r="AC876" i="5"/>
  <c r="N876" i="5"/>
  <c r="AD876" i="5" s="1"/>
  <c r="AC875" i="5"/>
  <c r="N875" i="5"/>
  <c r="AD875" i="5" s="1"/>
  <c r="AC874" i="5"/>
  <c r="N874" i="5"/>
  <c r="AD874" i="5" s="1"/>
  <c r="AC873" i="5"/>
  <c r="N873" i="5"/>
  <c r="AD873" i="5" s="1"/>
  <c r="AC869" i="5"/>
  <c r="N869" i="5"/>
  <c r="AD869" i="5" s="1"/>
  <c r="AC868" i="5"/>
  <c r="N868" i="5"/>
  <c r="AD868" i="5" s="1"/>
  <c r="AC867" i="5"/>
  <c r="N867" i="5"/>
  <c r="AD867" i="5" s="1"/>
  <c r="AC866" i="5"/>
  <c r="N866" i="5"/>
  <c r="AD866" i="5" s="1"/>
  <c r="AC865" i="5"/>
  <c r="N865" i="5"/>
  <c r="AD865" i="5" s="1"/>
  <c r="AC864" i="5"/>
  <c r="N864" i="5"/>
  <c r="AD864" i="5" s="1"/>
  <c r="AC863" i="5"/>
  <c r="N863" i="5"/>
  <c r="AD863" i="5" s="1"/>
  <c r="AC862" i="5"/>
  <c r="N862" i="5"/>
  <c r="AD862" i="5" s="1"/>
  <c r="AC861" i="5"/>
  <c r="N861" i="5"/>
  <c r="AD861" i="5" s="1"/>
  <c r="AC858" i="5"/>
  <c r="N858" i="5"/>
  <c r="AD858" i="5" s="1"/>
  <c r="AC857" i="5"/>
  <c r="N857" i="5"/>
  <c r="AD857" i="5" s="1"/>
  <c r="AC856" i="5"/>
  <c r="N856" i="5"/>
  <c r="AD856" i="5" s="1"/>
  <c r="AC855" i="5"/>
  <c r="N855" i="5"/>
  <c r="AD855" i="5" s="1"/>
  <c r="AC854" i="5"/>
  <c r="N854" i="5"/>
  <c r="AD854" i="5" s="1"/>
  <c r="AC848" i="5"/>
  <c r="N848" i="5"/>
  <c r="AD848" i="5" s="1"/>
  <c r="AC847" i="5"/>
  <c r="N847" i="5"/>
  <c r="AD847" i="5" s="1"/>
  <c r="AC846" i="5"/>
  <c r="N846" i="5"/>
  <c r="AD846" i="5" s="1"/>
  <c r="AC845" i="5"/>
  <c r="N845" i="5"/>
  <c r="AD845" i="5" s="1"/>
  <c r="AC840" i="5"/>
  <c r="N840" i="5"/>
  <c r="AD840" i="5" s="1"/>
  <c r="AC839" i="5"/>
  <c r="N839" i="5"/>
  <c r="AD839" i="5" s="1"/>
  <c r="AC838" i="5"/>
  <c r="N838" i="5"/>
  <c r="AD838" i="5" s="1"/>
  <c r="AC833" i="5"/>
  <c r="N833" i="5"/>
  <c r="AD833" i="5" s="1"/>
  <c r="AC828" i="5"/>
  <c r="N828" i="5"/>
  <c r="AD828" i="5" s="1"/>
  <c r="AC820" i="5"/>
  <c r="N820" i="5"/>
  <c r="AD820" i="5" s="1"/>
  <c r="AC819" i="5"/>
  <c r="N819" i="5"/>
  <c r="AD819" i="5" s="1"/>
  <c r="AC818" i="5"/>
  <c r="N818" i="5"/>
  <c r="AD818" i="5" s="1"/>
  <c r="AC817" i="5"/>
  <c r="N817" i="5"/>
  <c r="AD817" i="5" s="1"/>
  <c r="AC811" i="5"/>
  <c r="N811" i="5"/>
  <c r="AD811" i="5" s="1"/>
  <c r="AC810" i="5"/>
  <c r="N810" i="5"/>
  <c r="AD810" i="5" s="1"/>
  <c r="AC809" i="5"/>
  <c r="N809" i="5"/>
  <c r="AD809" i="5" s="1"/>
  <c r="AC807" i="5"/>
  <c r="N807" i="5"/>
  <c r="AD807" i="5" s="1"/>
  <c r="AC806" i="5"/>
  <c r="N806" i="5"/>
  <c r="AD806" i="5" s="1"/>
  <c r="AC804" i="5"/>
  <c r="N804" i="5"/>
  <c r="AD804" i="5" s="1"/>
  <c r="AC803" i="5"/>
  <c r="N803" i="5"/>
  <c r="AD803" i="5" s="1"/>
  <c r="AC802" i="5"/>
  <c r="N802" i="5"/>
  <c r="AD802" i="5" s="1"/>
  <c r="AC801" i="5"/>
  <c r="N801" i="5"/>
  <c r="AD801" i="5" s="1"/>
  <c r="AC800" i="5"/>
  <c r="N800" i="5"/>
  <c r="AD800" i="5" s="1"/>
  <c r="AC798" i="5"/>
  <c r="N798" i="5"/>
  <c r="AD798" i="5" s="1"/>
  <c r="AC797" i="5"/>
  <c r="N797" i="5"/>
  <c r="AD797" i="5" s="1"/>
  <c r="AC796" i="5"/>
  <c r="N796" i="5"/>
  <c r="AD796" i="5" s="1"/>
  <c r="AC795" i="5"/>
  <c r="N795" i="5"/>
  <c r="AD795" i="5" s="1"/>
  <c r="AC794" i="5"/>
  <c r="N794" i="5"/>
  <c r="AD794" i="5" s="1"/>
  <c r="AC793" i="5"/>
  <c r="N793" i="5"/>
  <c r="AD793" i="5" s="1"/>
  <c r="AC789" i="5"/>
  <c r="N789" i="5"/>
  <c r="AD789" i="5" s="1"/>
  <c r="AC788" i="5"/>
  <c r="N788" i="5"/>
  <c r="AD788" i="5" s="1"/>
  <c r="AC787" i="5"/>
  <c r="N787" i="5"/>
  <c r="AD787" i="5" s="1"/>
  <c r="AC786" i="5"/>
  <c r="N786" i="5"/>
  <c r="AD786" i="5" s="1"/>
  <c r="AC782" i="5"/>
  <c r="N782" i="5"/>
  <c r="AD782" i="5" s="1"/>
  <c r="AC781" i="5"/>
  <c r="N781" i="5"/>
  <c r="AD781" i="5" s="1"/>
  <c r="AC779" i="5"/>
  <c r="N779" i="5"/>
  <c r="AD779" i="5" s="1"/>
  <c r="AC776" i="5"/>
  <c r="N776" i="5"/>
  <c r="AD776" i="5" s="1"/>
  <c r="AC774" i="5"/>
  <c r="N774" i="5"/>
  <c r="AD774" i="5" s="1"/>
  <c r="AC773" i="5"/>
  <c r="N773" i="5"/>
  <c r="AD773" i="5" s="1"/>
  <c r="AC772" i="5"/>
  <c r="N772" i="5"/>
  <c r="AD772" i="5" s="1"/>
  <c r="AC767" i="5"/>
  <c r="N767" i="5"/>
  <c r="AD767" i="5" s="1"/>
  <c r="AC765" i="5"/>
  <c r="N765" i="5"/>
  <c r="AD765" i="5" s="1"/>
  <c r="AC764" i="5"/>
  <c r="N764" i="5"/>
  <c r="AD764" i="5" s="1"/>
  <c r="AC756" i="5"/>
  <c r="N756" i="5"/>
  <c r="AD756" i="5" s="1"/>
  <c r="AC755" i="5"/>
  <c r="N755" i="5"/>
  <c r="AD755" i="5" s="1"/>
  <c r="AC752" i="5"/>
  <c r="N752" i="5"/>
  <c r="AD752" i="5" s="1"/>
  <c r="N751" i="5"/>
  <c r="N750" i="5"/>
  <c r="N749" i="5"/>
  <c r="N745" i="5"/>
  <c r="N744" i="5"/>
  <c r="N742" i="5"/>
  <c r="N741" i="5"/>
  <c r="N740" i="5"/>
  <c r="N738" i="5"/>
  <c r="N737" i="5"/>
  <c r="N733" i="5"/>
  <c r="AC731" i="5"/>
  <c r="N731" i="5"/>
  <c r="AD731" i="5" s="1"/>
  <c r="N729" i="5"/>
  <c r="AD729" i="5" s="1"/>
  <c r="AC729" i="5"/>
  <c r="AC727" i="5"/>
  <c r="N727" i="5"/>
  <c r="AD727" i="5" s="1"/>
  <c r="AC718" i="5"/>
  <c r="N718" i="5"/>
  <c r="AD718" i="5" s="1"/>
  <c r="N717" i="5"/>
  <c r="AD717" i="5" s="1"/>
  <c r="AC717" i="5"/>
  <c r="AC716" i="5"/>
  <c r="N716" i="5"/>
  <c r="AD716" i="5" s="1"/>
  <c r="AC714" i="5"/>
  <c r="N714" i="5"/>
  <c r="AD714" i="5" s="1"/>
  <c r="AC713" i="5"/>
  <c r="N713" i="5"/>
  <c r="AD713" i="5" s="1"/>
  <c r="AC712" i="5"/>
  <c r="N712" i="5"/>
  <c r="AD712" i="5" s="1"/>
  <c r="AC710" i="5"/>
  <c r="N710" i="5"/>
  <c r="AD710" i="5" s="1"/>
  <c r="AC704" i="5"/>
  <c r="N704" i="5"/>
  <c r="AD704" i="5" s="1"/>
  <c r="AC701" i="5"/>
  <c r="N701" i="5"/>
  <c r="AD701" i="5" s="1"/>
  <c r="AC700" i="5"/>
  <c r="N700" i="5"/>
  <c r="AD700" i="5" s="1"/>
  <c r="AC696" i="5"/>
  <c r="N696" i="5"/>
  <c r="AD696" i="5" s="1"/>
  <c r="AC694" i="5"/>
  <c r="N694" i="5"/>
  <c r="AD694" i="5" s="1"/>
  <c r="AC689" i="5"/>
  <c r="N689" i="5"/>
  <c r="AD689" i="5" s="1"/>
  <c r="AC685" i="5"/>
  <c r="N685" i="5"/>
  <c r="AD685" i="5" s="1"/>
  <c r="AC684" i="5"/>
  <c r="N684" i="5"/>
  <c r="AD684" i="5" s="1"/>
  <c r="AC683" i="5"/>
  <c r="N683" i="5"/>
  <c r="AD683" i="5" s="1"/>
  <c r="AC682" i="5"/>
  <c r="N682" i="5"/>
  <c r="AD682" i="5" s="1"/>
  <c r="AC679" i="5"/>
  <c r="N679" i="5"/>
  <c r="AD679" i="5" s="1"/>
  <c r="AC678" i="5"/>
  <c r="N678" i="5"/>
  <c r="AD678" i="5" s="1"/>
  <c r="AC677" i="5"/>
  <c r="N677" i="5"/>
  <c r="AD677" i="5" s="1"/>
  <c r="AC676" i="5"/>
  <c r="N676" i="5"/>
  <c r="AD676" i="5" s="1"/>
  <c r="AC675" i="5"/>
  <c r="N675" i="5"/>
  <c r="AD675" i="5" s="1"/>
  <c r="AC672" i="5"/>
  <c r="N672" i="5"/>
  <c r="AD672" i="5" s="1"/>
  <c r="AC671" i="5"/>
  <c r="N671" i="5"/>
  <c r="AD671" i="5" s="1"/>
  <c r="AC670" i="5"/>
  <c r="N670" i="5"/>
  <c r="AD670" i="5" s="1"/>
  <c r="AC669" i="5"/>
  <c r="N669" i="5"/>
  <c r="AD669" i="5" s="1"/>
  <c r="AC667" i="5"/>
  <c r="N667" i="5"/>
  <c r="AD667" i="5" s="1"/>
  <c r="N664" i="5"/>
  <c r="AD664" i="5" s="1"/>
  <c r="AC664" i="5"/>
  <c r="N660" i="5"/>
  <c r="AD660" i="5" s="1"/>
  <c r="AC660" i="5"/>
  <c r="AC659" i="5"/>
  <c r="N659" i="5"/>
  <c r="AD659" i="5" s="1"/>
  <c r="AC654" i="5"/>
  <c r="N654" i="5"/>
  <c r="AD654" i="5" s="1"/>
  <c r="AC652" i="5"/>
  <c r="N652" i="5"/>
  <c r="AD652" i="5" s="1"/>
  <c r="AC651" i="5"/>
  <c r="N651" i="5"/>
  <c r="AD651" i="5" s="1"/>
  <c r="AC650" i="5"/>
  <c r="N650" i="5"/>
  <c r="AD650" i="5" s="1"/>
  <c r="AC649" i="5"/>
  <c r="N649" i="5"/>
  <c r="AD649" i="5" s="1"/>
  <c r="AC648" i="5"/>
  <c r="N648" i="5"/>
  <c r="AD648" i="5" s="1"/>
  <c r="AC647" i="5"/>
  <c r="N647" i="5"/>
  <c r="AD647" i="5" s="1"/>
  <c r="AC646" i="5"/>
  <c r="N646" i="5"/>
  <c r="AD646" i="5" s="1"/>
  <c r="AC645" i="5"/>
  <c r="N645" i="5"/>
  <c r="AD645" i="5" s="1"/>
  <c r="AC644" i="5"/>
  <c r="N644" i="5"/>
  <c r="AD644" i="5" s="1"/>
  <c r="AC643" i="5"/>
  <c r="N643" i="5"/>
  <c r="AD643" i="5" s="1"/>
  <c r="AC641" i="5"/>
  <c r="N641" i="5"/>
  <c r="AD641" i="5" s="1"/>
  <c r="AC640" i="5"/>
  <c r="N640" i="5"/>
  <c r="AD640" i="5" s="1"/>
  <c r="AC639" i="5"/>
  <c r="N639" i="5"/>
  <c r="AD639" i="5" s="1"/>
  <c r="AC638" i="5"/>
  <c r="N638" i="5"/>
  <c r="AD638" i="5" s="1"/>
  <c r="AC637" i="5"/>
  <c r="N637" i="5"/>
  <c r="AD637" i="5" s="1"/>
  <c r="AC636" i="5"/>
  <c r="N636" i="5"/>
  <c r="AD636" i="5" s="1"/>
  <c r="AC634" i="5"/>
  <c r="N634" i="5"/>
  <c r="AD634" i="5" s="1"/>
  <c r="AC632" i="5"/>
  <c r="N632" i="5"/>
  <c r="AD632" i="5" s="1"/>
  <c r="AC631" i="5"/>
  <c r="N631" i="5"/>
  <c r="AD631" i="5" s="1"/>
  <c r="AC630" i="5"/>
  <c r="N630" i="5"/>
  <c r="AD630" i="5" s="1"/>
  <c r="AC629" i="5"/>
  <c r="N629" i="5"/>
  <c r="AD629" i="5" s="1"/>
  <c r="AC628" i="5"/>
  <c r="N628" i="5"/>
  <c r="AD628" i="5" s="1"/>
  <c r="AC623" i="5"/>
  <c r="N623" i="5"/>
  <c r="AD623" i="5" s="1"/>
  <c r="AC622" i="5"/>
  <c r="N622" i="5"/>
  <c r="AD622" i="5" s="1"/>
  <c r="AC621" i="5"/>
  <c r="N621" i="5"/>
  <c r="AD621" i="5" s="1"/>
  <c r="AC619" i="5"/>
  <c r="N619" i="5"/>
  <c r="AD619" i="5" s="1"/>
  <c r="AC618" i="5"/>
  <c r="N618" i="5"/>
  <c r="AD618" i="5" s="1"/>
  <c r="AC614" i="5"/>
  <c r="N614" i="5"/>
  <c r="AD614" i="5" s="1"/>
  <c r="AC613" i="5"/>
  <c r="N613" i="5"/>
  <c r="AD613" i="5" s="1"/>
  <c r="AC611" i="5"/>
  <c r="N611" i="5"/>
  <c r="AD611" i="5" s="1"/>
  <c r="AC607" i="5"/>
  <c r="N607" i="5"/>
  <c r="AD607" i="5" s="1"/>
  <c r="AC606" i="5"/>
  <c r="N606" i="5"/>
  <c r="AD606" i="5" s="1"/>
  <c r="AC599" i="5"/>
  <c r="N599" i="5"/>
  <c r="AD599" i="5" s="1"/>
  <c r="AC598" i="5"/>
  <c r="N598" i="5"/>
  <c r="AD598" i="5" s="1"/>
  <c r="AC596" i="5"/>
  <c r="N596" i="5"/>
  <c r="AD596" i="5" s="1"/>
  <c r="AC591" i="5"/>
  <c r="N591" i="5"/>
  <c r="AD591" i="5" s="1"/>
  <c r="AC590" i="5"/>
  <c r="N590" i="5"/>
  <c r="AD590" i="5" s="1"/>
  <c r="AC589" i="5"/>
  <c r="N589" i="5"/>
  <c r="AD589" i="5" s="1"/>
  <c r="AC584" i="5"/>
  <c r="N584" i="5"/>
  <c r="AD584" i="5" s="1"/>
  <c r="AC583" i="5"/>
  <c r="N583" i="5"/>
  <c r="AD583" i="5" s="1"/>
  <c r="AC582" i="5"/>
  <c r="N582" i="5"/>
  <c r="AD582" i="5" s="1"/>
  <c r="AC581" i="5"/>
  <c r="N581" i="5"/>
  <c r="AD581" i="5" s="1"/>
  <c r="AC580" i="5"/>
  <c r="N580" i="5"/>
  <c r="AD580" i="5" s="1"/>
  <c r="AC579" i="5"/>
  <c r="N579" i="5"/>
  <c r="AD579" i="5" s="1"/>
  <c r="AC578" i="5"/>
  <c r="N578" i="5"/>
  <c r="AD578" i="5" s="1"/>
  <c r="AC577" i="5"/>
  <c r="N577" i="5"/>
  <c r="AD577" i="5" s="1"/>
  <c r="AC576" i="5"/>
  <c r="N576" i="5"/>
  <c r="AD576" i="5" s="1"/>
  <c r="AC575" i="5"/>
  <c r="N575" i="5"/>
  <c r="AD575" i="5" s="1"/>
  <c r="AC574" i="5"/>
  <c r="N574" i="5"/>
  <c r="AD574" i="5" s="1"/>
  <c r="AC573" i="5"/>
  <c r="N573" i="5"/>
  <c r="AD573" i="5" s="1"/>
  <c r="AC572" i="5"/>
  <c r="N572" i="5"/>
  <c r="AD572" i="5" s="1"/>
  <c r="AC571" i="5"/>
  <c r="N571" i="5"/>
  <c r="AD571" i="5" s="1"/>
  <c r="AC569" i="5"/>
  <c r="N569" i="5"/>
  <c r="AD569" i="5" s="1"/>
  <c r="AC568" i="5"/>
  <c r="N568" i="5"/>
  <c r="AD568" i="5" s="1"/>
  <c r="AC567" i="5"/>
  <c r="N567" i="5"/>
  <c r="AD567" i="5" s="1"/>
  <c r="AC566" i="5"/>
  <c r="N566" i="5"/>
  <c r="AD566" i="5" s="1"/>
  <c r="AC562" i="5"/>
  <c r="N562" i="5"/>
  <c r="AD562" i="5" s="1"/>
  <c r="AC561" i="5"/>
  <c r="N561" i="5"/>
  <c r="AD561" i="5" s="1"/>
  <c r="AC558" i="5"/>
  <c r="N558" i="5"/>
  <c r="AD558" i="5" s="1"/>
  <c r="AC557" i="5"/>
  <c r="N557" i="5"/>
  <c r="AD557" i="5" s="1"/>
  <c r="AC556" i="5"/>
  <c r="N556" i="5"/>
  <c r="AD556" i="5" s="1"/>
  <c r="AC551" i="5"/>
  <c r="N551" i="5"/>
  <c r="AD551" i="5" s="1"/>
  <c r="AC550" i="5"/>
  <c r="N550" i="5"/>
  <c r="AD550" i="5" s="1"/>
  <c r="AC549" i="5"/>
  <c r="N549" i="5"/>
  <c r="AD549" i="5" s="1"/>
  <c r="AC548" i="5"/>
  <c r="N548" i="5"/>
  <c r="AD548" i="5" s="1"/>
  <c r="AC543" i="5"/>
  <c r="N543" i="5"/>
  <c r="AD543" i="5" s="1"/>
  <c r="AC542" i="5"/>
  <c r="N542" i="5"/>
  <c r="AD542" i="5" s="1"/>
  <c r="N541" i="5"/>
  <c r="N540" i="5"/>
  <c r="N539" i="5"/>
  <c r="N538" i="5"/>
  <c r="N537" i="5"/>
  <c r="N536" i="5"/>
  <c r="AE535" i="5"/>
  <c r="AF535" i="5" s="1"/>
  <c r="AG535" i="5" s="1"/>
  <c r="Q535" i="5"/>
  <c r="R535" i="5" s="1"/>
  <c r="S535" i="5" s="1"/>
  <c r="T535" i="5" s="1"/>
  <c r="AC534" i="5"/>
  <c r="N534" i="5"/>
  <c r="AD534" i="5" s="1"/>
  <c r="AC532" i="5"/>
  <c r="N532" i="5"/>
  <c r="AD532" i="5" s="1"/>
  <c r="AC529" i="5"/>
  <c r="N529" i="5"/>
  <c r="AD529" i="5" s="1"/>
  <c r="AC528" i="5"/>
  <c r="N528" i="5"/>
  <c r="AD528" i="5" s="1"/>
  <c r="AC527" i="5"/>
  <c r="N527" i="5"/>
  <c r="AD527" i="5" s="1"/>
  <c r="AC520" i="5"/>
  <c r="N520" i="5"/>
  <c r="AD520" i="5" s="1"/>
  <c r="AC518" i="5"/>
  <c r="N518" i="5"/>
  <c r="AD518" i="5" s="1"/>
  <c r="AC517" i="5"/>
  <c r="N517" i="5"/>
  <c r="AD517" i="5" s="1"/>
  <c r="AC516" i="5"/>
  <c r="N516" i="5"/>
  <c r="AD516" i="5" s="1"/>
  <c r="AC515" i="5"/>
  <c r="N515" i="5"/>
  <c r="AD515" i="5" s="1"/>
  <c r="N514" i="5"/>
  <c r="N513" i="5"/>
  <c r="N512" i="5"/>
  <c r="N511" i="5"/>
  <c r="N510" i="5"/>
  <c r="N509" i="5"/>
  <c r="N508" i="5"/>
  <c r="N507" i="5"/>
  <c r="N506" i="5"/>
  <c r="N505" i="5"/>
  <c r="N504" i="5"/>
  <c r="N502" i="5"/>
  <c r="N501" i="5"/>
  <c r="N498" i="5"/>
  <c r="N488" i="5"/>
  <c r="N484" i="5"/>
  <c r="N483" i="5"/>
  <c r="N480" i="5"/>
  <c r="N479" i="5"/>
  <c r="AC476" i="5"/>
  <c r="N476" i="5"/>
  <c r="AD476" i="5" s="1"/>
  <c r="AC475" i="5"/>
  <c r="N475" i="5"/>
  <c r="AD475" i="5" s="1"/>
  <c r="AC474" i="5"/>
  <c r="N474" i="5"/>
  <c r="AD474" i="5" s="1"/>
  <c r="AC466" i="5"/>
  <c r="N466" i="5"/>
  <c r="AD466" i="5" s="1"/>
  <c r="AC464" i="5"/>
  <c r="N464" i="5"/>
  <c r="AD464" i="5" s="1"/>
  <c r="AC461" i="5"/>
  <c r="N461" i="5"/>
  <c r="AD461" i="5" s="1"/>
  <c r="AC459" i="5"/>
  <c r="N459" i="5"/>
  <c r="AD459" i="5" s="1"/>
  <c r="AC458" i="5"/>
  <c r="N458" i="5"/>
  <c r="AD458" i="5" s="1"/>
  <c r="AC457" i="5"/>
  <c r="N457" i="5"/>
  <c r="AD457" i="5" s="1"/>
  <c r="AC456" i="5"/>
  <c r="N456" i="5"/>
  <c r="AD456" i="5" s="1"/>
  <c r="AC455" i="5"/>
  <c r="N455" i="5"/>
  <c r="AD455" i="5" s="1"/>
  <c r="AC454" i="5"/>
  <c r="N454" i="5"/>
  <c r="AD454" i="5" s="1"/>
  <c r="AC452" i="5"/>
  <c r="N452" i="5"/>
  <c r="AD452" i="5" s="1"/>
  <c r="AC451" i="5"/>
  <c r="N451" i="5"/>
  <c r="AD451" i="5" s="1"/>
  <c r="AC450" i="5"/>
  <c r="N450" i="5"/>
  <c r="AD450" i="5" s="1"/>
  <c r="AC448" i="5"/>
  <c r="N448" i="5"/>
  <c r="AD448" i="5" s="1"/>
  <c r="AC447" i="5"/>
  <c r="N447" i="5"/>
  <c r="AD447" i="5" s="1"/>
  <c r="AC445" i="5"/>
  <c r="N445" i="5"/>
  <c r="AD445" i="5" s="1"/>
  <c r="AC444" i="5"/>
  <c r="N444" i="5"/>
  <c r="AD444" i="5" s="1"/>
  <c r="N442" i="5"/>
  <c r="AC440" i="5"/>
  <c r="N440" i="5"/>
  <c r="AD440" i="5" s="1"/>
  <c r="AC438" i="5"/>
  <c r="N438" i="5"/>
  <c r="AD438" i="5" s="1"/>
  <c r="N435" i="5"/>
  <c r="AC434" i="5"/>
  <c r="N434" i="5"/>
  <c r="AD434" i="5" s="1"/>
  <c r="AC432" i="5"/>
  <c r="N432" i="5"/>
  <c r="AD432" i="5" s="1"/>
  <c r="AC430" i="5"/>
  <c r="N430" i="5"/>
  <c r="AD430" i="5" s="1"/>
  <c r="N427" i="5"/>
  <c r="AD427" i="5" s="1"/>
  <c r="AC427" i="5"/>
  <c r="N425" i="5"/>
  <c r="AD425" i="5" s="1"/>
  <c r="AC425" i="5"/>
  <c r="AC424" i="5"/>
  <c r="N424" i="5"/>
  <c r="AD424" i="5" s="1"/>
  <c r="AC423" i="5"/>
  <c r="N423" i="5"/>
  <c r="AD423" i="5" s="1"/>
  <c r="N419" i="5"/>
  <c r="AD419" i="5" s="1"/>
  <c r="AC419" i="5"/>
  <c r="AC416" i="5"/>
  <c r="N416" i="5"/>
  <c r="AD416" i="5" s="1"/>
  <c r="AC415" i="5"/>
  <c r="N415" i="5"/>
  <c r="AD415" i="5" s="1"/>
  <c r="AC414" i="5"/>
  <c r="N414" i="5"/>
  <c r="AD414" i="5" s="1"/>
  <c r="AC413" i="5"/>
  <c r="N413" i="5"/>
  <c r="AD413" i="5" s="1"/>
  <c r="AC409" i="5"/>
  <c r="N409" i="5"/>
  <c r="AD409" i="5" s="1"/>
  <c r="AC408" i="5"/>
  <c r="N408" i="5"/>
  <c r="AD408" i="5" s="1"/>
  <c r="AC406" i="5"/>
  <c r="N406" i="5"/>
  <c r="AD406" i="5" s="1"/>
  <c r="N405" i="5"/>
  <c r="AC404" i="5"/>
  <c r="N404" i="5"/>
  <c r="AD404" i="5" s="1"/>
  <c r="N403" i="5"/>
  <c r="AC398" i="5"/>
  <c r="N398" i="5"/>
  <c r="AD398" i="5" s="1"/>
  <c r="N397" i="5"/>
  <c r="AC396" i="5"/>
  <c r="N396" i="5"/>
  <c r="AD396" i="5" s="1"/>
  <c r="N395" i="5"/>
  <c r="AC394" i="5"/>
  <c r="N394" i="5"/>
  <c r="AD394" i="5" s="1"/>
  <c r="AC392" i="5"/>
  <c r="N392" i="5"/>
  <c r="AD392" i="5" s="1"/>
  <c r="N390" i="5"/>
  <c r="N387" i="5"/>
  <c r="AC384" i="5"/>
  <c r="N384" i="5"/>
  <c r="AD384" i="5" s="1"/>
  <c r="AC382" i="5"/>
  <c r="N382" i="5"/>
  <c r="AD382" i="5" s="1"/>
  <c r="AC381" i="5"/>
  <c r="N381" i="5"/>
  <c r="AD381" i="5" s="1"/>
  <c r="AC380" i="5"/>
  <c r="N380" i="5"/>
  <c r="AD380" i="5" s="1"/>
  <c r="AC379" i="5"/>
  <c r="N379" i="5"/>
  <c r="AD379" i="5" s="1"/>
  <c r="AC377" i="5"/>
  <c r="N377" i="5"/>
  <c r="AD377" i="5" s="1"/>
  <c r="N376" i="5"/>
  <c r="N375" i="5"/>
  <c r="N373" i="5"/>
  <c r="AD373" i="5" s="1"/>
  <c r="AC373" i="5"/>
  <c r="AC372" i="5"/>
  <c r="N372" i="5"/>
  <c r="AD372" i="5" s="1"/>
  <c r="AC371" i="5"/>
  <c r="N371" i="5"/>
  <c r="AD371" i="5" s="1"/>
  <c r="N369" i="5"/>
  <c r="AD369" i="5" s="1"/>
  <c r="AC369" i="5"/>
  <c r="AC368" i="5"/>
  <c r="N368" i="5"/>
  <c r="AD368" i="5" s="1"/>
  <c r="AC367" i="5"/>
  <c r="N367" i="5"/>
  <c r="AD367" i="5" s="1"/>
  <c r="AC366" i="5"/>
  <c r="N366" i="5"/>
  <c r="AD366" i="5" s="1"/>
  <c r="AC365" i="5"/>
  <c r="N365" i="5"/>
  <c r="AD365" i="5" s="1"/>
  <c r="AC364" i="5"/>
  <c r="N364" i="5"/>
  <c r="AD364" i="5" s="1"/>
  <c r="N363" i="5"/>
  <c r="AD363" i="5" s="1"/>
  <c r="AC363" i="5"/>
  <c r="N362" i="5"/>
  <c r="AD362" i="5" s="1"/>
  <c r="AC362" i="5"/>
  <c r="AC361" i="5"/>
  <c r="N361" i="5"/>
  <c r="AD361" i="5" s="1"/>
  <c r="N360" i="5"/>
  <c r="AD360" i="5" s="1"/>
  <c r="AC360" i="5"/>
  <c r="AC354" i="5"/>
  <c r="N354" i="5"/>
  <c r="AD354" i="5" s="1"/>
  <c r="AC350" i="5"/>
  <c r="N350" i="5"/>
  <c r="AD350" i="5" s="1"/>
  <c r="AC346" i="5"/>
  <c r="N346" i="5"/>
  <c r="AD346" i="5" s="1"/>
  <c r="AC345" i="5"/>
  <c r="N345" i="5"/>
  <c r="AD345" i="5" s="1"/>
  <c r="AC344" i="5"/>
  <c r="N344" i="5"/>
  <c r="AD344" i="5" s="1"/>
  <c r="AC343" i="5"/>
  <c r="N343" i="5"/>
  <c r="AD343" i="5" s="1"/>
  <c r="AC342" i="5"/>
  <c r="N342" i="5"/>
  <c r="AD342" i="5" s="1"/>
  <c r="AC339" i="5"/>
  <c r="N339" i="5"/>
  <c r="AD339" i="5" s="1"/>
  <c r="AC338" i="5"/>
  <c r="N338" i="5"/>
  <c r="AD338" i="5" s="1"/>
  <c r="AC337" i="5"/>
  <c r="N337" i="5"/>
  <c r="AD337" i="5" s="1"/>
  <c r="AC335" i="5"/>
  <c r="N335" i="5"/>
  <c r="AD335" i="5" s="1"/>
  <c r="AC334" i="5"/>
  <c r="N334" i="5"/>
  <c r="AD334" i="5" s="1"/>
  <c r="AC333" i="5"/>
  <c r="N333" i="5"/>
  <c r="AD333" i="5" s="1"/>
  <c r="AC332" i="5"/>
  <c r="N332" i="5"/>
  <c r="AD332" i="5" s="1"/>
  <c r="AC330" i="5"/>
  <c r="N330" i="5"/>
  <c r="AD330" i="5" s="1"/>
  <c r="AC329" i="5"/>
  <c r="N329" i="5"/>
  <c r="AD329" i="5" s="1"/>
  <c r="AC327" i="5"/>
  <c r="N327" i="5"/>
  <c r="AD327" i="5" s="1"/>
  <c r="AC324" i="5"/>
  <c r="N324" i="5"/>
  <c r="AD324" i="5" s="1"/>
  <c r="AC323" i="5"/>
  <c r="N323" i="5"/>
  <c r="AD323" i="5" s="1"/>
  <c r="AC322" i="5"/>
  <c r="N322" i="5"/>
  <c r="AD322" i="5" s="1"/>
  <c r="N321" i="5"/>
  <c r="N319" i="5"/>
  <c r="N318" i="5"/>
  <c r="N314" i="5"/>
  <c r="AC313" i="5"/>
  <c r="N313" i="5"/>
  <c r="AD313" i="5" s="1"/>
  <c r="N312" i="5"/>
  <c r="N311" i="5"/>
  <c r="N310" i="5"/>
  <c r="N307" i="5"/>
  <c r="N306" i="5"/>
  <c r="N305" i="5"/>
  <c r="N300" i="5"/>
  <c r="AC299" i="5"/>
  <c r="N299" i="5"/>
  <c r="AD299" i="5" s="1"/>
  <c r="N298" i="5"/>
  <c r="AD298" i="5" s="1"/>
  <c r="AC298" i="5"/>
  <c r="AC296" i="5"/>
  <c r="N296" i="5"/>
  <c r="AD296" i="5" s="1"/>
  <c r="AC295" i="5"/>
  <c r="N295" i="5"/>
  <c r="AD295" i="5" s="1"/>
  <c r="AC294" i="5"/>
  <c r="N294" i="5"/>
  <c r="AD294" i="5" s="1"/>
  <c r="AC292" i="5"/>
  <c r="N292" i="5"/>
  <c r="AD292" i="5" s="1"/>
  <c r="AC288" i="5"/>
  <c r="N288" i="5"/>
  <c r="AD288" i="5" s="1"/>
  <c r="AC287" i="5"/>
  <c r="N287" i="5"/>
  <c r="AD287" i="5" s="1"/>
  <c r="AC283" i="5"/>
  <c r="N283" i="5"/>
  <c r="AD283" i="5" s="1"/>
  <c r="AC280" i="5"/>
  <c r="N280" i="5"/>
  <c r="AD280" i="5" s="1"/>
  <c r="AC279" i="5"/>
  <c r="N279" i="5"/>
  <c r="AD279" i="5" s="1"/>
  <c r="AC278" i="5"/>
  <c r="N278" i="5"/>
  <c r="AD278" i="5" s="1"/>
  <c r="AC277" i="5"/>
  <c r="N277" i="5"/>
  <c r="AD277" i="5" s="1"/>
  <c r="AC276" i="5"/>
  <c r="N276" i="5"/>
  <c r="AD276" i="5" s="1"/>
  <c r="AC275" i="5"/>
  <c r="N275" i="5"/>
  <c r="AD275" i="5" s="1"/>
  <c r="AC274" i="5"/>
  <c r="N274" i="5"/>
  <c r="AD274" i="5" s="1"/>
  <c r="AC273" i="5"/>
  <c r="N273" i="5"/>
  <c r="AD273" i="5" s="1"/>
  <c r="AC271" i="5"/>
  <c r="N271" i="5"/>
  <c r="AD271" i="5" s="1"/>
  <c r="AC270" i="5"/>
  <c r="N270" i="5"/>
  <c r="AD270" i="5" s="1"/>
  <c r="AC268" i="5"/>
  <c r="N268" i="5"/>
  <c r="AD268" i="5" s="1"/>
  <c r="AC265" i="5"/>
  <c r="N265" i="5"/>
  <c r="AD265" i="5" s="1"/>
  <c r="AC264" i="5"/>
  <c r="N264" i="5"/>
  <c r="AD264" i="5" s="1"/>
  <c r="AC263" i="5"/>
  <c r="N263" i="5"/>
  <c r="AD263" i="5" s="1"/>
  <c r="AC261" i="5"/>
  <c r="N261" i="5"/>
  <c r="AD261" i="5" s="1"/>
  <c r="AC260" i="5"/>
  <c r="N260" i="5"/>
  <c r="AD260" i="5" s="1"/>
  <c r="AC259" i="5"/>
  <c r="N259" i="5"/>
  <c r="AD259" i="5" s="1"/>
  <c r="AC256" i="5"/>
  <c r="N256" i="5"/>
  <c r="AD256" i="5" s="1"/>
  <c r="AC255" i="5"/>
  <c r="N255" i="5"/>
  <c r="AD255" i="5" s="1"/>
  <c r="AC254" i="5"/>
  <c r="N254" i="5"/>
  <c r="AD254" i="5" s="1"/>
  <c r="AC252" i="5"/>
  <c r="N252" i="5"/>
  <c r="AD252" i="5" s="1"/>
  <c r="AC251" i="5"/>
  <c r="N251" i="5"/>
  <c r="AD251" i="5" s="1"/>
  <c r="AC250" i="5"/>
  <c r="N250" i="5"/>
  <c r="AD250" i="5" s="1"/>
  <c r="AC248" i="5"/>
  <c r="N248" i="5"/>
  <c r="AD248" i="5" s="1"/>
  <c r="AC247" i="5"/>
  <c r="N247" i="5"/>
  <c r="AD247" i="5" s="1"/>
  <c r="AC246" i="5"/>
  <c r="N246" i="5"/>
  <c r="AD246" i="5" s="1"/>
  <c r="AC243" i="5"/>
  <c r="N243" i="5"/>
  <c r="AD243" i="5" s="1"/>
  <c r="AC239" i="5"/>
  <c r="N239" i="5"/>
  <c r="AD239" i="5" s="1"/>
  <c r="AC237" i="5"/>
  <c r="N237" i="5"/>
  <c r="AD237" i="5" s="1"/>
  <c r="AC235" i="5"/>
  <c r="N235" i="5"/>
  <c r="AD235" i="5" s="1"/>
  <c r="AC234" i="5"/>
  <c r="N234" i="5"/>
  <c r="AD234" i="5" s="1"/>
  <c r="AC226" i="5"/>
  <c r="N226" i="5"/>
  <c r="AD226" i="5" s="1"/>
  <c r="AC225" i="5"/>
  <c r="N225" i="5"/>
  <c r="AD225" i="5" s="1"/>
  <c r="AC221" i="5"/>
  <c r="N221" i="5"/>
  <c r="AD221" i="5" s="1"/>
  <c r="AC218" i="5"/>
  <c r="N218" i="5"/>
  <c r="AD218" i="5" s="1"/>
  <c r="AC217" i="5"/>
  <c r="N217" i="5"/>
  <c r="AD217" i="5" s="1"/>
  <c r="AC216" i="5"/>
  <c r="N216" i="5"/>
  <c r="AD216" i="5" s="1"/>
  <c r="AC215" i="5"/>
  <c r="N215" i="5"/>
  <c r="AD215" i="5" s="1"/>
  <c r="AC214" i="5"/>
  <c r="N214" i="5"/>
  <c r="AD214" i="5" s="1"/>
  <c r="AC213" i="5"/>
  <c r="N213" i="5"/>
  <c r="AD213" i="5" s="1"/>
  <c r="AC212" i="5"/>
  <c r="N212" i="5"/>
  <c r="AD212" i="5" s="1"/>
  <c r="AC210" i="5"/>
  <c r="N210" i="5"/>
  <c r="AD210" i="5" s="1"/>
  <c r="N209" i="5"/>
  <c r="AD209" i="5" s="1"/>
  <c r="AC209" i="5"/>
  <c r="N206" i="5"/>
  <c r="AD206" i="5" s="1"/>
  <c r="AC206" i="5"/>
  <c r="N203" i="5"/>
  <c r="N199" i="5"/>
  <c r="N197" i="5"/>
  <c r="AE196" i="5"/>
  <c r="AF196" i="5" s="1"/>
  <c r="AG196" i="5" s="1"/>
  <c r="Q196" i="5"/>
  <c r="R196" i="5" s="1"/>
  <c r="S196" i="5" s="1"/>
  <c r="T196" i="5" s="1"/>
  <c r="N192" i="5"/>
  <c r="N191" i="5"/>
  <c r="N190" i="5"/>
  <c r="N189" i="5"/>
  <c r="N188" i="5"/>
  <c r="N182" i="5"/>
  <c r="N181" i="5"/>
  <c r="AC178" i="5"/>
  <c r="N178" i="5"/>
  <c r="AD178" i="5" s="1"/>
  <c r="AC176" i="5"/>
  <c r="N176" i="5"/>
  <c r="AD176" i="5" s="1"/>
  <c r="AC174" i="5"/>
  <c r="N174" i="5"/>
  <c r="AD174" i="5" s="1"/>
  <c r="AC173" i="5"/>
  <c r="N173" i="5"/>
  <c r="AD173" i="5" s="1"/>
  <c r="AC172" i="5"/>
  <c r="N172" i="5"/>
  <c r="AD172" i="5" s="1"/>
  <c r="AC169" i="5"/>
  <c r="N169" i="5"/>
  <c r="AD169" i="5" s="1"/>
  <c r="AC168" i="5"/>
  <c r="N168" i="5"/>
  <c r="AD168" i="5" s="1"/>
  <c r="AC167" i="5"/>
  <c r="N167" i="5"/>
  <c r="AD167" i="5" s="1"/>
  <c r="AC162" i="5"/>
  <c r="N162" i="5"/>
  <c r="AD162" i="5" s="1"/>
  <c r="AC161" i="5"/>
  <c r="N161" i="5"/>
  <c r="AD161" i="5" s="1"/>
  <c r="AC159" i="5"/>
  <c r="N159" i="5"/>
  <c r="AD159" i="5" s="1"/>
  <c r="AC157" i="5"/>
  <c r="N157" i="5"/>
  <c r="AD157" i="5" s="1"/>
  <c r="AC155" i="5"/>
  <c r="N155" i="5"/>
  <c r="AD155" i="5" s="1"/>
  <c r="AC154" i="5"/>
  <c r="N154" i="5"/>
  <c r="AD154" i="5" s="1"/>
  <c r="AC152" i="5"/>
  <c r="N152" i="5"/>
  <c r="AD152" i="5" s="1"/>
  <c r="AC148" i="5"/>
  <c r="N148" i="5"/>
  <c r="AD148" i="5" s="1"/>
  <c r="AC147" i="5"/>
  <c r="N147" i="5"/>
  <c r="AD147" i="5" s="1"/>
  <c r="AC146" i="5"/>
  <c r="N146" i="5"/>
  <c r="AD146" i="5" s="1"/>
  <c r="AC143" i="5"/>
  <c r="N143" i="5"/>
  <c r="AD143" i="5" s="1"/>
  <c r="AC142" i="5"/>
  <c r="N142" i="5"/>
  <c r="AD142" i="5" s="1"/>
  <c r="AC141" i="5"/>
  <c r="N141" i="5"/>
  <c r="AD141" i="5" s="1"/>
  <c r="AC140" i="5"/>
  <c r="N140" i="5"/>
  <c r="AD140" i="5" s="1"/>
  <c r="AC138" i="5"/>
  <c r="N138" i="5"/>
  <c r="AD138" i="5" s="1"/>
  <c r="AC137" i="5"/>
  <c r="N137" i="5"/>
  <c r="AD137" i="5" s="1"/>
  <c r="AC134" i="5"/>
  <c r="N134" i="5"/>
  <c r="AD134" i="5" s="1"/>
  <c r="AC133" i="5"/>
  <c r="N133" i="5"/>
  <c r="AD133" i="5" s="1"/>
  <c r="AC132" i="5"/>
  <c r="N132" i="5"/>
  <c r="AD132" i="5" s="1"/>
  <c r="AC131" i="5"/>
  <c r="N131" i="5"/>
  <c r="AD131" i="5" s="1"/>
  <c r="AC130" i="5"/>
  <c r="N130" i="5"/>
  <c r="AD130" i="5" s="1"/>
  <c r="AC129" i="5"/>
  <c r="N129" i="5"/>
  <c r="AD129" i="5" s="1"/>
  <c r="AC126" i="5"/>
  <c r="N126" i="5"/>
  <c r="AD126" i="5" s="1"/>
  <c r="AC125" i="5"/>
  <c r="N125" i="5"/>
  <c r="AD125" i="5" s="1"/>
  <c r="AC122" i="5"/>
  <c r="N122" i="5"/>
  <c r="AD122" i="5" s="1"/>
  <c r="AC120" i="5"/>
  <c r="N120" i="5"/>
  <c r="AD120" i="5" s="1"/>
  <c r="AE119" i="5"/>
  <c r="AF119" i="5" s="1"/>
  <c r="AG119" i="5" s="1"/>
  <c r="Q119" i="5"/>
  <c r="R119" i="5" s="1"/>
  <c r="S119" i="5" s="1"/>
  <c r="T119" i="5" s="1"/>
  <c r="AC117" i="5"/>
  <c r="N117" i="5"/>
  <c r="AD117" i="5" s="1"/>
  <c r="AC116" i="5"/>
  <c r="N116" i="5"/>
  <c r="AD116" i="5" s="1"/>
  <c r="AC115" i="5"/>
  <c r="N115" i="5"/>
  <c r="AD115" i="5" s="1"/>
  <c r="AC113" i="5"/>
  <c r="N113" i="5"/>
  <c r="AD113" i="5" s="1"/>
  <c r="AC112" i="5"/>
  <c r="N112" i="5"/>
  <c r="AD112" i="5" s="1"/>
  <c r="AC110" i="5"/>
  <c r="N110" i="5"/>
  <c r="AD110" i="5" s="1"/>
  <c r="AC109" i="5"/>
  <c r="N109" i="5"/>
  <c r="AD109" i="5" s="1"/>
  <c r="AC108" i="5"/>
  <c r="N108" i="5"/>
  <c r="AD108" i="5" s="1"/>
  <c r="AC106" i="5"/>
  <c r="N106" i="5"/>
  <c r="AD106" i="5" s="1"/>
  <c r="AC104" i="5"/>
  <c r="N104" i="5"/>
  <c r="AD104" i="5" s="1"/>
  <c r="AC103" i="5"/>
  <c r="N103" i="5"/>
  <c r="AD103" i="5" s="1"/>
  <c r="AC102" i="5"/>
  <c r="N102" i="5"/>
  <c r="AD102" i="5" s="1"/>
  <c r="AC101" i="5"/>
  <c r="N101" i="5"/>
  <c r="AD101" i="5" s="1"/>
  <c r="AC100" i="5"/>
  <c r="N100" i="5"/>
  <c r="AD100" i="5" s="1"/>
  <c r="AC99" i="5"/>
  <c r="N99" i="5"/>
  <c r="AD99" i="5" s="1"/>
  <c r="AC95" i="5"/>
  <c r="N95" i="5"/>
  <c r="AD95" i="5" s="1"/>
  <c r="AC92" i="5"/>
  <c r="N92" i="5"/>
  <c r="AD92" i="5" s="1"/>
  <c r="AC90" i="5"/>
  <c r="N90" i="5"/>
  <c r="AD90" i="5" s="1"/>
  <c r="AC89" i="5"/>
  <c r="N89" i="5"/>
  <c r="AD89" i="5" s="1"/>
  <c r="AC87" i="5"/>
  <c r="N87" i="5"/>
  <c r="AD87" i="5" s="1"/>
  <c r="N86" i="5"/>
  <c r="AC85" i="5"/>
  <c r="N85" i="5"/>
  <c r="AD85" i="5" s="1"/>
  <c r="N81" i="5"/>
  <c r="AD81" i="5" s="1"/>
  <c r="AC81" i="5"/>
  <c r="AC80" i="5"/>
  <c r="N80" i="5"/>
  <c r="AD80" i="5" s="1"/>
  <c r="N78" i="5"/>
  <c r="AD78" i="5" s="1"/>
  <c r="AC78" i="5"/>
  <c r="AC77" i="5"/>
  <c r="N77" i="5"/>
  <c r="AD77" i="5" s="1"/>
  <c r="AC74" i="5"/>
  <c r="N74" i="5"/>
  <c r="AD74" i="5" s="1"/>
  <c r="N72" i="5"/>
  <c r="N69" i="5"/>
  <c r="N68" i="5"/>
  <c r="N67" i="5"/>
  <c r="N65" i="5"/>
  <c r="N64" i="5"/>
  <c r="AD64" i="5" s="1"/>
  <c r="AC64" i="5"/>
  <c r="N60" i="5"/>
  <c r="AC59" i="5"/>
  <c r="N59" i="5"/>
  <c r="AD59" i="5" s="1"/>
  <c r="N58" i="5"/>
  <c r="AC56" i="5"/>
  <c r="N56" i="5"/>
  <c r="AD56" i="5" s="1"/>
  <c r="N53" i="5"/>
  <c r="AD53" i="5" s="1"/>
  <c r="AC53" i="5"/>
  <c r="N50" i="5"/>
  <c r="N45" i="5"/>
  <c r="AD45" i="5" s="1"/>
  <c r="AC45" i="5"/>
  <c r="N42" i="5"/>
  <c r="N41" i="5"/>
  <c r="AD41" i="5" s="1"/>
  <c r="AC41" i="5"/>
  <c r="N37" i="5"/>
  <c r="N36" i="5"/>
  <c r="AD36" i="5" s="1"/>
  <c r="AC36" i="5"/>
  <c r="N34" i="5"/>
  <c r="N33" i="5"/>
  <c r="N32" i="5"/>
  <c r="AD32" i="5" s="1"/>
  <c r="AC32" i="5"/>
  <c r="N31" i="5"/>
  <c r="AD31" i="5" s="1"/>
  <c r="AC31" i="5"/>
  <c r="N29" i="5"/>
  <c r="N27" i="5"/>
  <c r="AD27" i="5" s="1"/>
  <c r="AC27" i="5"/>
  <c r="AC18" i="5"/>
  <c r="N18" i="5"/>
  <c r="AD18" i="5" s="1"/>
  <c r="AC17" i="5"/>
  <c r="N17" i="5"/>
  <c r="AD17" i="5" s="1"/>
  <c r="N16" i="5"/>
  <c r="AD16" i="5" s="1"/>
  <c r="AC16" i="5"/>
  <c r="N15" i="5"/>
  <c r="N14" i="5"/>
  <c r="AD14" i="5" s="1"/>
  <c r="AC14" i="5"/>
  <c r="N10" i="5"/>
  <c r="N9" i="5"/>
  <c r="AC6" i="5"/>
  <c r="N6" i="5"/>
  <c r="AD6" i="5" s="1"/>
  <c r="N5" i="5"/>
  <c r="AD5" i="5" s="1"/>
  <c r="AC5" i="5"/>
  <c r="E29" i="6"/>
  <c r="B20" i="2"/>
  <c r="F29" i="6"/>
  <c r="H29" i="6"/>
  <c r="AD418" i="5"/>
  <c r="C34" i="4"/>
  <c r="C35" i="4" s="1"/>
  <c r="Q946" i="5"/>
  <c r="R946" i="5" s="1"/>
  <c r="AE946" i="5"/>
  <c r="AF946" i="5" s="1"/>
  <c r="AG946" i="5" s="1"/>
  <c r="U946" i="5"/>
  <c r="AD946" i="5" s="1"/>
  <c r="AC946" i="5"/>
  <c r="Q945" i="5"/>
  <c r="R945" i="5" s="1"/>
  <c r="AE945" i="5"/>
  <c r="AF945" i="5" s="1"/>
  <c r="AG945" i="5" s="1"/>
  <c r="U945" i="5"/>
  <c r="AD945" i="5" s="1"/>
  <c r="AC945" i="5"/>
  <c r="Q943" i="5"/>
  <c r="R943" i="5" s="1"/>
  <c r="AE943" i="5"/>
  <c r="AF943" i="5" s="1"/>
  <c r="AG943" i="5" s="1"/>
  <c r="Q942" i="5"/>
  <c r="R942" i="5" s="1"/>
  <c r="S942" i="5" s="1"/>
  <c r="T942" i="5" s="1"/>
  <c r="AE942" i="5"/>
  <c r="AF942" i="5" s="1"/>
  <c r="AG942" i="5" s="1"/>
  <c r="Q941" i="5"/>
  <c r="R941" i="5" s="1"/>
  <c r="AE941" i="5"/>
  <c r="AF941" i="5" s="1"/>
  <c r="AG941" i="5" s="1"/>
  <c r="U941" i="5"/>
  <c r="AD941" i="5" s="1"/>
  <c r="AC941" i="5"/>
  <c r="Q940" i="5"/>
  <c r="R940" i="5" s="1"/>
  <c r="AE940" i="5"/>
  <c r="AF940" i="5" s="1"/>
  <c r="AG940" i="5" s="1"/>
  <c r="U940" i="5"/>
  <c r="AD940" i="5" s="1"/>
  <c r="AC940" i="5"/>
  <c r="Q939" i="5"/>
  <c r="R939" i="5" s="1"/>
  <c r="S939" i="5" s="1"/>
  <c r="T939" i="5" s="1"/>
  <c r="AE939" i="5"/>
  <c r="AF939" i="5" s="1"/>
  <c r="AG939" i="5" s="1"/>
  <c r="Q938" i="5"/>
  <c r="R938" i="5" s="1"/>
  <c r="AE938" i="5"/>
  <c r="AF938" i="5" s="1"/>
  <c r="AG938" i="5" s="1"/>
  <c r="U938" i="5"/>
  <c r="AD938" i="5" s="1"/>
  <c r="AC938" i="5"/>
  <c r="Q937" i="5"/>
  <c r="R937" i="5" s="1"/>
  <c r="AE937" i="5"/>
  <c r="AF937" i="5" s="1"/>
  <c r="AG937" i="5" s="1"/>
  <c r="U937" i="5"/>
  <c r="AD937" i="5" s="1"/>
  <c r="AC937" i="5"/>
  <c r="Q936" i="5"/>
  <c r="R936" i="5" s="1"/>
  <c r="AE936" i="5"/>
  <c r="AF936" i="5" s="1"/>
  <c r="AG936" i="5" s="1"/>
  <c r="Q935" i="5"/>
  <c r="R935" i="5" s="1"/>
  <c r="AE935" i="5"/>
  <c r="AF935" i="5" s="1"/>
  <c r="AG935" i="5" s="1"/>
  <c r="Q934" i="5"/>
  <c r="R934" i="5" s="1"/>
  <c r="S934" i="5" s="1"/>
  <c r="T934" i="5" s="1"/>
  <c r="AE934" i="5"/>
  <c r="AF934" i="5" s="1"/>
  <c r="AG934" i="5" s="1"/>
  <c r="Q933" i="5"/>
  <c r="R933" i="5" s="1"/>
  <c r="AE933" i="5"/>
  <c r="AF933" i="5" s="1"/>
  <c r="AG933" i="5" s="1"/>
  <c r="Q932" i="5"/>
  <c r="R932" i="5" s="1"/>
  <c r="AE932" i="5"/>
  <c r="AF932" i="5" s="1"/>
  <c r="AG932" i="5" s="1"/>
  <c r="Q931" i="5"/>
  <c r="R931" i="5" s="1"/>
  <c r="S931" i="5" s="1"/>
  <c r="T931" i="5" s="1"/>
  <c r="AE931" i="5"/>
  <c r="AF931" i="5" s="1"/>
  <c r="AG931" i="5" s="1"/>
  <c r="Q930" i="5"/>
  <c r="R930" i="5" s="1"/>
  <c r="S930" i="5" s="1"/>
  <c r="T930" i="5" s="1"/>
  <c r="AE930" i="5"/>
  <c r="AF930" i="5" s="1"/>
  <c r="AG930" i="5" s="1"/>
  <c r="Q929" i="5"/>
  <c r="R929" i="5" s="1"/>
  <c r="AE929" i="5"/>
  <c r="AF929" i="5" s="1"/>
  <c r="AG929" i="5" s="1"/>
  <c r="U929" i="5"/>
  <c r="AD929" i="5" s="1"/>
  <c r="AC929" i="5"/>
  <c r="Q928" i="5"/>
  <c r="R928" i="5" s="1"/>
  <c r="S928" i="5" s="1"/>
  <c r="T928" i="5" s="1"/>
  <c r="AE928" i="5"/>
  <c r="AF928" i="5" s="1"/>
  <c r="AG928" i="5" s="1"/>
  <c r="Q927" i="5"/>
  <c r="R927" i="5" s="1"/>
  <c r="AE927" i="5"/>
  <c r="AF927" i="5" s="1"/>
  <c r="AG927" i="5" s="1"/>
  <c r="U927" i="5"/>
  <c r="AD927" i="5" s="1"/>
  <c r="AC927" i="5"/>
  <c r="Q926" i="5"/>
  <c r="R926" i="5" s="1"/>
  <c r="AE926" i="5"/>
  <c r="AF926" i="5" s="1"/>
  <c r="AG926" i="5" s="1"/>
  <c r="Q925" i="5"/>
  <c r="R925" i="5" s="1"/>
  <c r="AE925" i="5"/>
  <c r="AF925" i="5" s="1"/>
  <c r="AG925" i="5" s="1"/>
  <c r="Q924" i="5"/>
  <c r="R924" i="5" s="1"/>
  <c r="AE924" i="5"/>
  <c r="AF924" i="5" s="1"/>
  <c r="AG924" i="5" s="1"/>
  <c r="Q923" i="5"/>
  <c r="R923" i="5" s="1"/>
  <c r="S923" i="5" s="1"/>
  <c r="T923" i="5" s="1"/>
  <c r="AE923" i="5"/>
  <c r="AF923" i="5" s="1"/>
  <c r="AG923" i="5" s="1"/>
  <c r="Q922" i="5"/>
  <c r="R922" i="5" s="1"/>
  <c r="S922" i="5" s="1"/>
  <c r="T922" i="5" s="1"/>
  <c r="AE922" i="5"/>
  <c r="AF922" i="5" s="1"/>
  <c r="AG922" i="5" s="1"/>
  <c r="Q921" i="5"/>
  <c r="R921" i="5" s="1"/>
  <c r="AE921" i="5"/>
  <c r="AF921" i="5" s="1"/>
  <c r="AG921" i="5" s="1"/>
  <c r="Q920" i="5"/>
  <c r="R920" i="5" s="1"/>
  <c r="AE920" i="5"/>
  <c r="AF920" i="5" s="1"/>
  <c r="AG920" i="5" s="1"/>
  <c r="U920" i="5"/>
  <c r="AD920" i="5" s="1"/>
  <c r="AC920" i="5"/>
  <c r="Q919" i="5"/>
  <c r="R919" i="5" s="1"/>
  <c r="AE919" i="5"/>
  <c r="AF919" i="5" s="1"/>
  <c r="AG919" i="5" s="1"/>
  <c r="Q918" i="5"/>
  <c r="R918" i="5" s="1"/>
  <c r="AE918" i="5"/>
  <c r="AF918" i="5" s="1"/>
  <c r="AG918" i="5" s="1"/>
  <c r="Q917" i="5"/>
  <c r="R917" i="5" s="1"/>
  <c r="AE917" i="5"/>
  <c r="AF917" i="5" s="1"/>
  <c r="AG917" i="5" s="1"/>
  <c r="Q916" i="5"/>
  <c r="R916" i="5" s="1"/>
  <c r="S916" i="5" s="1"/>
  <c r="T916" i="5" s="1"/>
  <c r="AE916" i="5"/>
  <c r="AF916" i="5" s="1"/>
  <c r="AG916" i="5" s="1"/>
  <c r="Q915" i="5"/>
  <c r="R915" i="5" s="1"/>
  <c r="S915" i="5" s="1"/>
  <c r="T915" i="5" s="1"/>
  <c r="AE915" i="5"/>
  <c r="AF915" i="5" s="1"/>
  <c r="AG915" i="5" s="1"/>
  <c r="Q914" i="5"/>
  <c r="R914" i="5" s="1"/>
  <c r="AE914" i="5"/>
  <c r="AF914" i="5" s="1"/>
  <c r="AG914" i="5" s="1"/>
  <c r="U914" i="5"/>
  <c r="AD914" i="5" s="1"/>
  <c r="AC914" i="5"/>
  <c r="Q913" i="5"/>
  <c r="R913" i="5" s="1"/>
  <c r="AE913" i="5"/>
  <c r="AF913" i="5" s="1"/>
  <c r="AG913" i="5" s="1"/>
  <c r="U913" i="5"/>
  <c r="AD913" i="5" s="1"/>
  <c r="AC913" i="5"/>
  <c r="Q912" i="5"/>
  <c r="R912" i="5" s="1"/>
  <c r="S912" i="5" s="1"/>
  <c r="T912" i="5" s="1"/>
  <c r="AE912" i="5"/>
  <c r="AF912" i="5" s="1"/>
  <c r="AG912" i="5" s="1"/>
  <c r="Q911" i="5"/>
  <c r="R911" i="5" s="1"/>
  <c r="S911" i="5" s="1"/>
  <c r="T911" i="5" s="1"/>
  <c r="AE911" i="5"/>
  <c r="AF911" i="5" s="1"/>
  <c r="AG911" i="5" s="1"/>
  <c r="Q910" i="5"/>
  <c r="R910" i="5" s="1"/>
  <c r="AE910" i="5"/>
  <c r="AF910" i="5" s="1"/>
  <c r="AG910" i="5" s="1"/>
  <c r="Q909" i="5"/>
  <c r="R909" i="5" s="1"/>
  <c r="S909" i="5" s="1"/>
  <c r="T909" i="5" s="1"/>
  <c r="AE909" i="5"/>
  <c r="AF909" i="5" s="1"/>
  <c r="AG909" i="5" s="1"/>
  <c r="Q908" i="5"/>
  <c r="R908" i="5" s="1"/>
  <c r="AE908" i="5"/>
  <c r="AF908" i="5" s="1"/>
  <c r="AG908" i="5" s="1"/>
  <c r="Q906" i="5"/>
  <c r="R906" i="5" s="1"/>
  <c r="S906" i="5" s="1"/>
  <c r="T906" i="5" s="1"/>
  <c r="AE906" i="5"/>
  <c r="AF906" i="5" s="1"/>
  <c r="AG906" i="5" s="1"/>
  <c r="Q905" i="5"/>
  <c r="R905" i="5" s="1"/>
  <c r="S905" i="5" s="1"/>
  <c r="T905" i="5" s="1"/>
  <c r="AE905" i="5"/>
  <c r="AF905" i="5" s="1"/>
  <c r="AG905" i="5" s="1"/>
  <c r="Q904" i="5"/>
  <c r="R904" i="5" s="1"/>
  <c r="S904" i="5" s="1"/>
  <c r="T904" i="5" s="1"/>
  <c r="AE904" i="5"/>
  <c r="AF904" i="5" s="1"/>
  <c r="AG904" i="5" s="1"/>
  <c r="Q903" i="5"/>
  <c r="R903" i="5" s="1"/>
  <c r="AE903" i="5"/>
  <c r="AF903" i="5" s="1"/>
  <c r="AG903" i="5" s="1"/>
  <c r="U903" i="5"/>
  <c r="AD903" i="5" s="1"/>
  <c r="AC903" i="5"/>
  <c r="Q902" i="5"/>
  <c r="R902" i="5" s="1"/>
  <c r="S902" i="5" s="1"/>
  <c r="T902" i="5" s="1"/>
  <c r="AE902" i="5"/>
  <c r="AF902" i="5" s="1"/>
  <c r="AG902" i="5" s="1"/>
  <c r="Q901" i="5"/>
  <c r="R901" i="5" s="1"/>
  <c r="AE901" i="5"/>
  <c r="AF901" i="5" s="1"/>
  <c r="AG901" i="5" s="1"/>
  <c r="U901" i="5"/>
  <c r="AD901" i="5" s="1"/>
  <c r="AC901" i="5"/>
  <c r="Q900" i="5"/>
  <c r="R900" i="5" s="1"/>
  <c r="AE900" i="5"/>
  <c r="AF900" i="5" s="1"/>
  <c r="AG900" i="5" s="1"/>
  <c r="U900" i="5"/>
  <c r="AD900" i="5" s="1"/>
  <c r="AC900" i="5"/>
  <c r="Q899" i="5"/>
  <c r="R899" i="5" s="1"/>
  <c r="AE899" i="5"/>
  <c r="AF899" i="5" s="1"/>
  <c r="AG899" i="5" s="1"/>
  <c r="U899" i="5"/>
  <c r="AD899" i="5" s="1"/>
  <c r="AC899" i="5"/>
  <c r="Q898" i="5"/>
  <c r="R898" i="5" s="1"/>
  <c r="AE898" i="5"/>
  <c r="AF898" i="5" s="1"/>
  <c r="AG898" i="5" s="1"/>
  <c r="U898" i="5"/>
  <c r="AD898" i="5" s="1"/>
  <c r="AC898" i="5"/>
  <c r="Q897" i="5"/>
  <c r="R897" i="5" s="1"/>
  <c r="S897" i="5" s="1"/>
  <c r="T897" i="5" s="1"/>
  <c r="AE897" i="5"/>
  <c r="AF897" i="5" s="1"/>
  <c r="AG897" i="5" s="1"/>
  <c r="Q896" i="5"/>
  <c r="R896" i="5" s="1"/>
  <c r="S896" i="5" s="1"/>
  <c r="T896" i="5" s="1"/>
  <c r="AE896" i="5"/>
  <c r="AF896" i="5" s="1"/>
  <c r="AG896" i="5" s="1"/>
  <c r="Q895" i="5"/>
  <c r="R895" i="5" s="1"/>
  <c r="S895" i="5" s="1"/>
  <c r="T895" i="5" s="1"/>
  <c r="AE895" i="5"/>
  <c r="AF895" i="5" s="1"/>
  <c r="AG895" i="5" s="1"/>
  <c r="Q894" i="5"/>
  <c r="R894" i="5" s="1"/>
  <c r="AE894" i="5"/>
  <c r="AF894" i="5" s="1"/>
  <c r="AG894" i="5" s="1"/>
  <c r="U894" i="5"/>
  <c r="AD894" i="5" s="1"/>
  <c r="AC894" i="5"/>
  <c r="N893" i="5"/>
  <c r="Q893" i="5"/>
  <c r="R893" i="5" s="1"/>
  <c r="S893" i="5" s="1"/>
  <c r="T893" i="5" s="1"/>
  <c r="AE893" i="5"/>
  <c r="AF893" i="5" s="1"/>
  <c r="AG893" i="5" s="1"/>
  <c r="N892" i="5"/>
  <c r="Q892" i="5"/>
  <c r="R892" i="5" s="1"/>
  <c r="S892" i="5" s="1"/>
  <c r="T892" i="5" s="1"/>
  <c r="AE892" i="5"/>
  <c r="AF892" i="5" s="1"/>
  <c r="AG892" i="5" s="1"/>
  <c r="N891" i="5"/>
  <c r="Q891" i="5"/>
  <c r="R891" i="5" s="1"/>
  <c r="S891" i="5" s="1"/>
  <c r="T891" i="5" s="1"/>
  <c r="AE891" i="5"/>
  <c r="AF891" i="5" s="1"/>
  <c r="AG891" i="5" s="1"/>
  <c r="N890" i="5"/>
  <c r="Q890" i="5"/>
  <c r="R890" i="5" s="1"/>
  <c r="S890" i="5" s="1"/>
  <c r="T890" i="5" s="1"/>
  <c r="AE890" i="5"/>
  <c r="AF890" i="5" s="1"/>
  <c r="AG890" i="5" s="1"/>
  <c r="Q889" i="5"/>
  <c r="R889" i="5" s="1"/>
  <c r="S889" i="5" s="1"/>
  <c r="T889" i="5" s="1"/>
  <c r="AE889" i="5"/>
  <c r="AF889" i="5" s="1"/>
  <c r="AG889" i="5" s="1"/>
  <c r="Q888" i="5"/>
  <c r="R888" i="5" s="1"/>
  <c r="S888" i="5" s="1"/>
  <c r="T888" i="5" s="1"/>
  <c r="AE888" i="5"/>
  <c r="AF888" i="5" s="1"/>
  <c r="AG888" i="5" s="1"/>
  <c r="N887" i="5"/>
  <c r="Q887" i="5"/>
  <c r="R887" i="5" s="1"/>
  <c r="S887" i="5" s="1"/>
  <c r="T887" i="5" s="1"/>
  <c r="AE887" i="5"/>
  <c r="AF887" i="5" s="1"/>
  <c r="AG887" i="5" s="1"/>
  <c r="Q886" i="5"/>
  <c r="R886" i="5" s="1"/>
  <c r="AE886" i="5"/>
  <c r="AF886" i="5" s="1"/>
  <c r="AG886" i="5" s="1"/>
  <c r="U886" i="5"/>
  <c r="AD886" i="5" s="1"/>
  <c r="AC886" i="5"/>
  <c r="Q885" i="5"/>
  <c r="R885" i="5" s="1"/>
  <c r="AE885" i="5"/>
  <c r="AF885" i="5" s="1"/>
  <c r="AG885" i="5" s="1"/>
  <c r="Q884" i="5"/>
  <c r="R884" i="5" s="1"/>
  <c r="AE884" i="5"/>
  <c r="AF884" i="5" s="1"/>
  <c r="AG884" i="5" s="1"/>
  <c r="Q883" i="5"/>
  <c r="R883" i="5" s="1"/>
  <c r="AE883" i="5"/>
  <c r="AF883" i="5" s="1"/>
  <c r="AG883" i="5" s="1"/>
  <c r="U883" i="5"/>
  <c r="AD883" i="5" s="1"/>
  <c r="AC883" i="5"/>
  <c r="Q882" i="5"/>
  <c r="R882" i="5" s="1"/>
  <c r="AE882" i="5"/>
  <c r="AF882" i="5" s="1"/>
  <c r="AG882" i="5" s="1"/>
  <c r="U882" i="5"/>
  <c r="AD882" i="5" s="1"/>
  <c r="AC882" i="5"/>
  <c r="Q881" i="5"/>
  <c r="R881" i="5" s="1"/>
  <c r="AE881" i="5"/>
  <c r="AF881" i="5" s="1"/>
  <c r="AG881" i="5" s="1"/>
  <c r="U881" i="5"/>
  <c r="AD881" i="5" s="1"/>
  <c r="AC881" i="5"/>
  <c r="Q880" i="5"/>
  <c r="R880" i="5" s="1"/>
  <c r="AE880" i="5"/>
  <c r="AF880" i="5" s="1"/>
  <c r="AG880" i="5" s="1"/>
  <c r="Q879" i="5"/>
  <c r="R879" i="5" s="1"/>
  <c r="AE879" i="5"/>
  <c r="AF879" i="5" s="1"/>
  <c r="AG879" i="5" s="1"/>
  <c r="U879" i="5"/>
  <c r="AD879" i="5" s="1"/>
  <c r="AC879" i="5"/>
  <c r="Q878" i="5"/>
  <c r="R878" i="5" s="1"/>
  <c r="AE878" i="5"/>
  <c r="AF878" i="5" s="1"/>
  <c r="AG878" i="5" s="1"/>
  <c r="Q877" i="5"/>
  <c r="R877" i="5" s="1"/>
  <c r="AE877" i="5"/>
  <c r="AF877" i="5" s="1"/>
  <c r="AG877" i="5" s="1"/>
  <c r="U877" i="5"/>
  <c r="AD877" i="5" s="1"/>
  <c r="AC877" i="5"/>
  <c r="Q876" i="5"/>
  <c r="R876" i="5" s="1"/>
  <c r="AE876" i="5"/>
  <c r="AF876" i="5" s="1"/>
  <c r="AG876" i="5" s="1"/>
  <c r="Q875" i="5"/>
  <c r="R875" i="5" s="1"/>
  <c r="AE875" i="5"/>
  <c r="AF875" i="5" s="1"/>
  <c r="AG875" i="5" s="1"/>
  <c r="Q874" i="5"/>
  <c r="R874" i="5" s="1"/>
  <c r="AE874" i="5"/>
  <c r="AF874" i="5" s="1"/>
  <c r="AG874" i="5" s="1"/>
  <c r="Q873" i="5"/>
  <c r="R873" i="5" s="1"/>
  <c r="AE873" i="5"/>
  <c r="AF873" i="5" s="1"/>
  <c r="AG873" i="5" s="1"/>
  <c r="Q872" i="5"/>
  <c r="R872" i="5" s="1"/>
  <c r="AE872" i="5"/>
  <c r="AF872" i="5" s="1"/>
  <c r="AG872" i="5" s="1"/>
  <c r="U872" i="5"/>
  <c r="AD872" i="5" s="1"/>
  <c r="AC872" i="5"/>
  <c r="Q871" i="5"/>
  <c r="R871" i="5" s="1"/>
  <c r="AE871" i="5"/>
  <c r="AF871" i="5" s="1"/>
  <c r="AG871" i="5" s="1"/>
  <c r="U871" i="5"/>
  <c r="AD871" i="5" s="1"/>
  <c r="AC871" i="5"/>
  <c r="Q870" i="5"/>
  <c r="R870" i="5" s="1"/>
  <c r="AE870" i="5"/>
  <c r="AF870" i="5" s="1"/>
  <c r="AG870" i="5" s="1"/>
  <c r="U870" i="5"/>
  <c r="AD870" i="5" s="1"/>
  <c r="AC870" i="5"/>
  <c r="Q869" i="5"/>
  <c r="R869" i="5" s="1"/>
  <c r="AE869" i="5"/>
  <c r="AF869" i="5" s="1"/>
  <c r="AG869" i="5" s="1"/>
  <c r="Q868" i="5"/>
  <c r="R868" i="5" s="1"/>
  <c r="AE868" i="5"/>
  <c r="AF868" i="5" s="1"/>
  <c r="AG868" i="5" s="1"/>
  <c r="Q867" i="5"/>
  <c r="R867" i="5" s="1"/>
  <c r="AE867" i="5"/>
  <c r="AF867" i="5" s="1"/>
  <c r="AG867" i="5" s="1"/>
  <c r="Q866" i="5"/>
  <c r="R866" i="5" s="1"/>
  <c r="AE866" i="5"/>
  <c r="AF866" i="5" s="1"/>
  <c r="AG866" i="5" s="1"/>
  <c r="Q865" i="5"/>
  <c r="R865" i="5" s="1"/>
  <c r="AE865" i="5"/>
  <c r="AF865" i="5" s="1"/>
  <c r="AG865" i="5" s="1"/>
  <c r="Q864" i="5"/>
  <c r="R864" i="5" s="1"/>
  <c r="AE864" i="5"/>
  <c r="AF864" i="5" s="1"/>
  <c r="AG864" i="5" s="1"/>
  <c r="Q863" i="5"/>
  <c r="R863" i="5" s="1"/>
  <c r="AE863" i="5"/>
  <c r="AF863" i="5" s="1"/>
  <c r="AG863" i="5" s="1"/>
  <c r="Q862" i="5"/>
  <c r="R862" i="5" s="1"/>
  <c r="AE862" i="5"/>
  <c r="AF862" i="5" s="1"/>
  <c r="AG862" i="5" s="1"/>
  <c r="Q861" i="5"/>
  <c r="R861" i="5" s="1"/>
  <c r="AE861" i="5"/>
  <c r="AF861" i="5" s="1"/>
  <c r="AG861" i="5" s="1"/>
  <c r="Q860" i="5"/>
  <c r="R860" i="5" s="1"/>
  <c r="AE860" i="5"/>
  <c r="AF860" i="5" s="1"/>
  <c r="AG860" i="5" s="1"/>
  <c r="U860" i="5"/>
  <c r="AD860" i="5" s="1"/>
  <c r="AC860" i="5"/>
  <c r="Q859" i="5"/>
  <c r="R859" i="5" s="1"/>
  <c r="AE859" i="5"/>
  <c r="AF859" i="5" s="1"/>
  <c r="AG859" i="5" s="1"/>
  <c r="U859" i="5"/>
  <c r="AD859" i="5" s="1"/>
  <c r="AC859" i="5"/>
  <c r="Q858" i="5"/>
  <c r="R858" i="5" s="1"/>
  <c r="AE858" i="5"/>
  <c r="AF858" i="5" s="1"/>
  <c r="AG858" i="5" s="1"/>
  <c r="Q857" i="5"/>
  <c r="R857" i="5" s="1"/>
  <c r="AE857" i="5"/>
  <c r="AF857" i="5" s="1"/>
  <c r="AG857" i="5" s="1"/>
  <c r="Q856" i="5"/>
  <c r="R856" i="5" s="1"/>
  <c r="AE856" i="5"/>
  <c r="AF856" i="5" s="1"/>
  <c r="AG856" i="5" s="1"/>
  <c r="Q855" i="5"/>
  <c r="R855" i="5" s="1"/>
  <c r="AE855" i="5"/>
  <c r="AF855" i="5" s="1"/>
  <c r="AG855" i="5" s="1"/>
  <c r="Q854" i="5"/>
  <c r="R854" i="5" s="1"/>
  <c r="AE854" i="5"/>
  <c r="AF854" i="5" s="1"/>
  <c r="AG854" i="5" s="1"/>
  <c r="Q853" i="5"/>
  <c r="R853" i="5" s="1"/>
  <c r="AE853" i="5"/>
  <c r="AF853" i="5" s="1"/>
  <c r="AG853" i="5" s="1"/>
  <c r="U853" i="5"/>
  <c r="AD853" i="5" s="1"/>
  <c r="AC853" i="5"/>
  <c r="Q852" i="5"/>
  <c r="R852" i="5" s="1"/>
  <c r="AE852" i="5"/>
  <c r="AF852" i="5" s="1"/>
  <c r="AG852" i="5" s="1"/>
  <c r="U852" i="5"/>
  <c r="AD852" i="5" s="1"/>
  <c r="AC852" i="5"/>
  <c r="Q851" i="5"/>
  <c r="R851" i="5" s="1"/>
  <c r="AE851" i="5"/>
  <c r="AF851" i="5" s="1"/>
  <c r="AG851" i="5" s="1"/>
  <c r="U851" i="5"/>
  <c r="AD851" i="5" s="1"/>
  <c r="AC851" i="5"/>
  <c r="Q850" i="5"/>
  <c r="R850" i="5" s="1"/>
  <c r="AE850" i="5"/>
  <c r="AF850" i="5" s="1"/>
  <c r="AG850" i="5" s="1"/>
  <c r="U850" i="5"/>
  <c r="AD850" i="5" s="1"/>
  <c r="AC850" i="5"/>
  <c r="Q849" i="5"/>
  <c r="R849" i="5" s="1"/>
  <c r="AE849" i="5"/>
  <c r="AF849" i="5" s="1"/>
  <c r="AG849" i="5" s="1"/>
  <c r="U849" i="5"/>
  <c r="AD849" i="5" s="1"/>
  <c r="AC849" i="5"/>
  <c r="Q848" i="5"/>
  <c r="R848" i="5" s="1"/>
  <c r="AE848" i="5"/>
  <c r="AF848" i="5" s="1"/>
  <c r="AG848" i="5" s="1"/>
  <c r="Q847" i="5"/>
  <c r="R847" i="5" s="1"/>
  <c r="AE847" i="5"/>
  <c r="AF847" i="5" s="1"/>
  <c r="AG847" i="5" s="1"/>
  <c r="Q846" i="5"/>
  <c r="R846" i="5" s="1"/>
  <c r="AE846" i="5"/>
  <c r="AF846" i="5" s="1"/>
  <c r="AG846" i="5" s="1"/>
  <c r="Q845" i="5"/>
  <c r="R845" i="5" s="1"/>
  <c r="AE845" i="5"/>
  <c r="AF845" i="5" s="1"/>
  <c r="AG845" i="5" s="1"/>
  <c r="Q844" i="5"/>
  <c r="R844" i="5" s="1"/>
  <c r="AE844" i="5"/>
  <c r="AF844" i="5" s="1"/>
  <c r="AG844" i="5" s="1"/>
  <c r="U844" i="5"/>
  <c r="AD844" i="5" s="1"/>
  <c r="AC844" i="5"/>
  <c r="Q843" i="5"/>
  <c r="R843" i="5" s="1"/>
  <c r="AE843" i="5"/>
  <c r="AF843" i="5" s="1"/>
  <c r="AG843" i="5" s="1"/>
  <c r="U843" i="5"/>
  <c r="AD843" i="5" s="1"/>
  <c r="AC843" i="5"/>
  <c r="Q842" i="5"/>
  <c r="R842" i="5" s="1"/>
  <c r="AE842" i="5"/>
  <c r="AF842" i="5" s="1"/>
  <c r="AG842" i="5" s="1"/>
  <c r="U842" i="5"/>
  <c r="AD842" i="5" s="1"/>
  <c r="AC842" i="5"/>
  <c r="Q841" i="5"/>
  <c r="R841" i="5" s="1"/>
  <c r="AE841" i="5"/>
  <c r="AF841" i="5" s="1"/>
  <c r="AG841" i="5" s="1"/>
  <c r="U841" i="5"/>
  <c r="AD841" i="5" s="1"/>
  <c r="AC841" i="5"/>
  <c r="Q840" i="5"/>
  <c r="R840" i="5" s="1"/>
  <c r="AE840" i="5"/>
  <c r="AF840" i="5" s="1"/>
  <c r="AG840" i="5" s="1"/>
  <c r="Q839" i="5"/>
  <c r="R839" i="5" s="1"/>
  <c r="AE839" i="5"/>
  <c r="AF839" i="5" s="1"/>
  <c r="AG839" i="5" s="1"/>
  <c r="Q838" i="5"/>
  <c r="R838" i="5" s="1"/>
  <c r="AE838" i="5"/>
  <c r="AF838" i="5" s="1"/>
  <c r="AG838" i="5" s="1"/>
  <c r="Q837" i="5"/>
  <c r="R837" i="5" s="1"/>
  <c r="AE837" i="5"/>
  <c r="AF837" i="5" s="1"/>
  <c r="AG837" i="5" s="1"/>
  <c r="U837" i="5"/>
  <c r="AD837" i="5" s="1"/>
  <c r="AC837" i="5"/>
  <c r="Q836" i="5"/>
  <c r="R836" i="5" s="1"/>
  <c r="AE836" i="5"/>
  <c r="AF836" i="5" s="1"/>
  <c r="AG836" i="5" s="1"/>
  <c r="U836" i="5"/>
  <c r="AD836" i="5" s="1"/>
  <c r="AC836" i="5"/>
  <c r="Q835" i="5"/>
  <c r="R835" i="5" s="1"/>
  <c r="AE835" i="5"/>
  <c r="AF835" i="5" s="1"/>
  <c r="AG835" i="5" s="1"/>
  <c r="U835" i="5"/>
  <c r="AD835" i="5" s="1"/>
  <c r="AC835" i="5"/>
  <c r="Q834" i="5"/>
  <c r="R834" i="5" s="1"/>
  <c r="AE834" i="5"/>
  <c r="AF834" i="5" s="1"/>
  <c r="AG834" i="5" s="1"/>
  <c r="U834" i="5"/>
  <c r="AD834" i="5" s="1"/>
  <c r="AC834" i="5"/>
  <c r="Q833" i="5"/>
  <c r="R833" i="5" s="1"/>
  <c r="AE833" i="5"/>
  <c r="AF833" i="5" s="1"/>
  <c r="AG833" i="5" s="1"/>
  <c r="Q832" i="5"/>
  <c r="R832" i="5" s="1"/>
  <c r="AE832" i="5"/>
  <c r="AF832" i="5" s="1"/>
  <c r="AG832" i="5" s="1"/>
  <c r="U832" i="5"/>
  <c r="AD832" i="5" s="1"/>
  <c r="AC832" i="5"/>
  <c r="Q831" i="5"/>
  <c r="R831" i="5" s="1"/>
  <c r="AE831" i="5"/>
  <c r="AF831" i="5" s="1"/>
  <c r="AG831" i="5" s="1"/>
  <c r="U831" i="5"/>
  <c r="AD831" i="5" s="1"/>
  <c r="AC831" i="5"/>
  <c r="Q830" i="5"/>
  <c r="R830" i="5" s="1"/>
  <c r="AE830" i="5"/>
  <c r="AF830" i="5" s="1"/>
  <c r="AG830" i="5" s="1"/>
  <c r="U830" i="5"/>
  <c r="AD830" i="5" s="1"/>
  <c r="AC830" i="5"/>
  <c r="Q829" i="5"/>
  <c r="R829" i="5" s="1"/>
  <c r="AE829" i="5"/>
  <c r="AF829" i="5" s="1"/>
  <c r="AG829" i="5" s="1"/>
  <c r="U829" i="5"/>
  <c r="AD829" i="5" s="1"/>
  <c r="AC829" i="5"/>
  <c r="Q828" i="5"/>
  <c r="R828" i="5" s="1"/>
  <c r="AE828" i="5"/>
  <c r="AF828" i="5" s="1"/>
  <c r="AG828" i="5" s="1"/>
  <c r="Q827" i="5"/>
  <c r="R827" i="5" s="1"/>
  <c r="AE827" i="5"/>
  <c r="AF827" i="5" s="1"/>
  <c r="AG827" i="5" s="1"/>
  <c r="U827" i="5"/>
  <c r="AD827" i="5" s="1"/>
  <c r="AC827" i="5"/>
  <c r="Q826" i="5"/>
  <c r="R826" i="5" s="1"/>
  <c r="AE826" i="5"/>
  <c r="AF826" i="5" s="1"/>
  <c r="AG826" i="5" s="1"/>
  <c r="U826" i="5"/>
  <c r="AD826" i="5" s="1"/>
  <c r="AC826" i="5"/>
  <c r="Q825" i="5"/>
  <c r="R825" i="5" s="1"/>
  <c r="AE825" i="5"/>
  <c r="AF825" i="5" s="1"/>
  <c r="AG825" i="5" s="1"/>
  <c r="U825" i="5"/>
  <c r="AD825" i="5" s="1"/>
  <c r="AC825" i="5"/>
  <c r="Q824" i="5"/>
  <c r="R824" i="5" s="1"/>
  <c r="AE824" i="5"/>
  <c r="AF824" i="5" s="1"/>
  <c r="AG824" i="5" s="1"/>
  <c r="U824" i="5"/>
  <c r="AD824" i="5" s="1"/>
  <c r="AC824" i="5"/>
  <c r="Q823" i="5"/>
  <c r="R823" i="5" s="1"/>
  <c r="AE823" i="5"/>
  <c r="AF823" i="5" s="1"/>
  <c r="AG823" i="5" s="1"/>
  <c r="U823" i="5"/>
  <c r="AD823" i="5" s="1"/>
  <c r="AC823" i="5"/>
  <c r="Q822" i="5"/>
  <c r="R822" i="5" s="1"/>
  <c r="AE822" i="5"/>
  <c r="AF822" i="5" s="1"/>
  <c r="AG822" i="5" s="1"/>
  <c r="U822" i="5"/>
  <c r="AD822" i="5" s="1"/>
  <c r="AC822" i="5"/>
  <c r="Q821" i="5"/>
  <c r="R821" i="5" s="1"/>
  <c r="AE821" i="5"/>
  <c r="AF821" i="5" s="1"/>
  <c r="AG821" i="5" s="1"/>
  <c r="U821" i="5"/>
  <c r="AD821" i="5" s="1"/>
  <c r="AC821" i="5"/>
  <c r="Q820" i="5"/>
  <c r="R820" i="5" s="1"/>
  <c r="AE820" i="5"/>
  <c r="AF820" i="5" s="1"/>
  <c r="AG820" i="5" s="1"/>
  <c r="Q819" i="5"/>
  <c r="R819" i="5" s="1"/>
  <c r="AE819" i="5"/>
  <c r="AF819" i="5" s="1"/>
  <c r="AG819" i="5" s="1"/>
  <c r="Q818" i="5"/>
  <c r="R818" i="5" s="1"/>
  <c r="AE818" i="5"/>
  <c r="AF818" i="5" s="1"/>
  <c r="AG818" i="5" s="1"/>
  <c r="Q817" i="5"/>
  <c r="R817" i="5" s="1"/>
  <c r="AE817" i="5"/>
  <c r="AF817" i="5" s="1"/>
  <c r="AG817" i="5" s="1"/>
  <c r="Q816" i="5"/>
  <c r="R816" i="5" s="1"/>
  <c r="AE816" i="5"/>
  <c r="AF816" i="5" s="1"/>
  <c r="AG816" i="5" s="1"/>
  <c r="U816" i="5"/>
  <c r="AD816" i="5" s="1"/>
  <c r="AC816" i="5"/>
  <c r="Q815" i="5"/>
  <c r="R815" i="5" s="1"/>
  <c r="AE815" i="5"/>
  <c r="AF815" i="5" s="1"/>
  <c r="AG815" i="5" s="1"/>
  <c r="U815" i="5"/>
  <c r="AD815" i="5" s="1"/>
  <c r="AC815" i="5"/>
  <c r="Q814" i="5"/>
  <c r="R814" i="5" s="1"/>
  <c r="AE814" i="5"/>
  <c r="AF814" i="5" s="1"/>
  <c r="AG814" i="5" s="1"/>
  <c r="U814" i="5"/>
  <c r="AD814" i="5" s="1"/>
  <c r="AC814" i="5"/>
  <c r="Q813" i="5"/>
  <c r="R813" i="5" s="1"/>
  <c r="AE813" i="5"/>
  <c r="AF813" i="5" s="1"/>
  <c r="AG813" i="5" s="1"/>
  <c r="U813" i="5"/>
  <c r="AD813" i="5" s="1"/>
  <c r="AC813" i="5"/>
  <c r="Q812" i="5"/>
  <c r="R812" i="5" s="1"/>
  <c r="AE812" i="5"/>
  <c r="AF812" i="5" s="1"/>
  <c r="AG812" i="5" s="1"/>
  <c r="U812" i="5"/>
  <c r="AD812" i="5" s="1"/>
  <c r="AC812" i="5"/>
  <c r="Q811" i="5"/>
  <c r="R811" i="5" s="1"/>
  <c r="AE811" i="5"/>
  <c r="AF811" i="5" s="1"/>
  <c r="AG811" i="5" s="1"/>
  <c r="Q810" i="5"/>
  <c r="R810" i="5" s="1"/>
  <c r="AE810" i="5"/>
  <c r="AF810" i="5" s="1"/>
  <c r="AG810" i="5" s="1"/>
  <c r="Q809" i="5"/>
  <c r="R809" i="5" s="1"/>
  <c r="AE809" i="5"/>
  <c r="AF809" i="5" s="1"/>
  <c r="AG809" i="5" s="1"/>
  <c r="Q808" i="5"/>
  <c r="R808" i="5" s="1"/>
  <c r="AE808" i="5"/>
  <c r="AF808" i="5" s="1"/>
  <c r="AG808" i="5" s="1"/>
  <c r="U808" i="5"/>
  <c r="AD808" i="5" s="1"/>
  <c r="AC808" i="5"/>
  <c r="Q807" i="5"/>
  <c r="R807" i="5" s="1"/>
  <c r="AE807" i="5"/>
  <c r="AF807" i="5" s="1"/>
  <c r="AG807" i="5" s="1"/>
  <c r="Q806" i="5"/>
  <c r="R806" i="5" s="1"/>
  <c r="AE806" i="5"/>
  <c r="AF806" i="5" s="1"/>
  <c r="AG806" i="5" s="1"/>
  <c r="Q805" i="5"/>
  <c r="R805" i="5" s="1"/>
  <c r="AE805" i="5"/>
  <c r="AF805" i="5" s="1"/>
  <c r="AG805" i="5" s="1"/>
  <c r="U805" i="5"/>
  <c r="AD805" i="5" s="1"/>
  <c r="AC805" i="5"/>
  <c r="Q804" i="5"/>
  <c r="R804" i="5" s="1"/>
  <c r="AE804" i="5"/>
  <c r="AF804" i="5" s="1"/>
  <c r="AG804" i="5" s="1"/>
  <c r="Q803" i="5"/>
  <c r="R803" i="5" s="1"/>
  <c r="AE803" i="5"/>
  <c r="AF803" i="5" s="1"/>
  <c r="AG803" i="5" s="1"/>
  <c r="Q802" i="5"/>
  <c r="R802" i="5" s="1"/>
  <c r="AE802" i="5"/>
  <c r="AF802" i="5" s="1"/>
  <c r="AG802" i="5" s="1"/>
  <c r="Q801" i="5"/>
  <c r="R801" i="5" s="1"/>
  <c r="AE801" i="5"/>
  <c r="AF801" i="5" s="1"/>
  <c r="AG801" i="5" s="1"/>
  <c r="Q800" i="5"/>
  <c r="R800" i="5" s="1"/>
  <c r="AE800" i="5"/>
  <c r="AF800" i="5" s="1"/>
  <c r="AG800" i="5" s="1"/>
  <c r="Q799" i="5"/>
  <c r="R799" i="5" s="1"/>
  <c r="AE799" i="5"/>
  <c r="AF799" i="5" s="1"/>
  <c r="AG799" i="5" s="1"/>
  <c r="U799" i="5"/>
  <c r="AD799" i="5" s="1"/>
  <c r="AC799" i="5"/>
  <c r="Q798" i="5"/>
  <c r="R798" i="5" s="1"/>
  <c r="AE798" i="5"/>
  <c r="AF798" i="5" s="1"/>
  <c r="AG798" i="5" s="1"/>
  <c r="Q797" i="5"/>
  <c r="R797" i="5" s="1"/>
  <c r="AE797" i="5"/>
  <c r="AF797" i="5" s="1"/>
  <c r="AG797" i="5" s="1"/>
  <c r="Q796" i="5"/>
  <c r="R796" i="5" s="1"/>
  <c r="AE796" i="5"/>
  <c r="AF796" i="5" s="1"/>
  <c r="AG796" i="5" s="1"/>
  <c r="Q795" i="5"/>
  <c r="R795" i="5" s="1"/>
  <c r="AE795" i="5"/>
  <c r="AF795" i="5" s="1"/>
  <c r="AG795" i="5" s="1"/>
  <c r="Q794" i="5"/>
  <c r="R794" i="5" s="1"/>
  <c r="AE794" i="5"/>
  <c r="AF794" i="5" s="1"/>
  <c r="AG794" i="5" s="1"/>
  <c r="Q793" i="5"/>
  <c r="R793" i="5" s="1"/>
  <c r="AE793" i="5"/>
  <c r="AF793" i="5" s="1"/>
  <c r="AG793" i="5" s="1"/>
  <c r="Q792" i="5"/>
  <c r="R792" i="5" s="1"/>
  <c r="AE792" i="5"/>
  <c r="AF792" i="5" s="1"/>
  <c r="AG792" i="5" s="1"/>
  <c r="U792" i="5"/>
  <c r="AD792" i="5" s="1"/>
  <c r="AC792" i="5"/>
  <c r="Q791" i="5"/>
  <c r="R791" i="5" s="1"/>
  <c r="AE791" i="5"/>
  <c r="AF791" i="5" s="1"/>
  <c r="AG791" i="5" s="1"/>
  <c r="U791" i="5"/>
  <c r="AD791" i="5" s="1"/>
  <c r="AC791" i="5"/>
  <c r="Q790" i="5"/>
  <c r="R790" i="5" s="1"/>
  <c r="AE790" i="5"/>
  <c r="AF790" i="5" s="1"/>
  <c r="AG790" i="5" s="1"/>
  <c r="U790" i="5"/>
  <c r="AD790" i="5" s="1"/>
  <c r="AC790" i="5"/>
  <c r="Q789" i="5"/>
  <c r="R789" i="5" s="1"/>
  <c r="AE789" i="5"/>
  <c r="AF789" i="5" s="1"/>
  <c r="AG789" i="5" s="1"/>
  <c r="Q788" i="5"/>
  <c r="R788" i="5" s="1"/>
  <c r="AE788" i="5"/>
  <c r="AF788" i="5" s="1"/>
  <c r="AG788" i="5" s="1"/>
  <c r="Q787" i="5"/>
  <c r="R787" i="5" s="1"/>
  <c r="AE787" i="5"/>
  <c r="AF787" i="5" s="1"/>
  <c r="AG787" i="5" s="1"/>
  <c r="Q786" i="5"/>
  <c r="R786" i="5" s="1"/>
  <c r="AE786" i="5"/>
  <c r="AF786" i="5" s="1"/>
  <c r="AG786" i="5" s="1"/>
  <c r="Q785" i="5"/>
  <c r="R785" i="5" s="1"/>
  <c r="AE785" i="5"/>
  <c r="AF785" i="5" s="1"/>
  <c r="AG785" i="5" s="1"/>
  <c r="U785" i="5"/>
  <c r="AD785" i="5" s="1"/>
  <c r="AC785" i="5"/>
  <c r="Q784" i="5"/>
  <c r="R784" i="5" s="1"/>
  <c r="AE784" i="5"/>
  <c r="AF784" i="5" s="1"/>
  <c r="AG784" i="5" s="1"/>
  <c r="U784" i="5"/>
  <c r="AD784" i="5" s="1"/>
  <c r="AC784" i="5"/>
  <c r="Q783" i="5"/>
  <c r="R783" i="5" s="1"/>
  <c r="AE783" i="5"/>
  <c r="AF783" i="5" s="1"/>
  <c r="U783" i="5"/>
  <c r="AD783" i="5" s="1"/>
  <c r="AC783" i="5"/>
  <c r="Q782" i="5"/>
  <c r="R782" i="5" s="1"/>
  <c r="AE782" i="5"/>
  <c r="AF782" i="5" s="1"/>
  <c r="AG782" i="5" s="1"/>
  <c r="Q781" i="5"/>
  <c r="R781" i="5" s="1"/>
  <c r="AE781" i="5"/>
  <c r="AF781" i="5" s="1"/>
  <c r="AG781" i="5" s="1"/>
  <c r="Q780" i="5"/>
  <c r="R780" i="5" s="1"/>
  <c r="AE780" i="5"/>
  <c r="AF780" i="5" s="1"/>
  <c r="AG780" i="5" s="1"/>
  <c r="U780" i="5"/>
  <c r="AD780" i="5" s="1"/>
  <c r="AC780" i="5"/>
  <c r="Q779" i="5"/>
  <c r="R779" i="5" s="1"/>
  <c r="AE779" i="5"/>
  <c r="AF779" i="5" s="1"/>
  <c r="AG779" i="5" s="1"/>
  <c r="Q778" i="5"/>
  <c r="R778" i="5" s="1"/>
  <c r="AE778" i="5"/>
  <c r="AF778" i="5" s="1"/>
  <c r="AG778" i="5" s="1"/>
  <c r="U778" i="5"/>
  <c r="AD778" i="5" s="1"/>
  <c r="AC778" i="5"/>
  <c r="Q777" i="5"/>
  <c r="R777" i="5" s="1"/>
  <c r="AE777" i="5"/>
  <c r="AF777" i="5" s="1"/>
  <c r="AG777" i="5" s="1"/>
  <c r="U777" i="5"/>
  <c r="AD777" i="5" s="1"/>
  <c r="AC777" i="5"/>
  <c r="Q776" i="5"/>
  <c r="R776" i="5" s="1"/>
  <c r="AE776" i="5"/>
  <c r="AF776" i="5" s="1"/>
  <c r="AG776" i="5" s="1"/>
  <c r="Q775" i="5"/>
  <c r="R775" i="5" s="1"/>
  <c r="AE775" i="5"/>
  <c r="AF775" i="5" s="1"/>
  <c r="AG775" i="5" s="1"/>
  <c r="U775" i="5"/>
  <c r="AD775" i="5" s="1"/>
  <c r="AC775" i="5"/>
  <c r="Q774" i="5"/>
  <c r="R774" i="5" s="1"/>
  <c r="AE774" i="5"/>
  <c r="AF774" i="5" s="1"/>
  <c r="AG774" i="5" s="1"/>
  <c r="Q773" i="5"/>
  <c r="R773" i="5" s="1"/>
  <c r="AE773" i="5"/>
  <c r="AF773" i="5" s="1"/>
  <c r="AG773" i="5" s="1"/>
  <c r="Q772" i="5"/>
  <c r="R772" i="5" s="1"/>
  <c r="AE772" i="5"/>
  <c r="AF772" i="5" s="1"/>
  <c r="AG772" i="5" s="1"/>
  <c r="Q771" i="5"/>
  <c r="R771" i="5" s="1"/>
  <c r="S771" i="5" s="1"/>
  <c r="T771" i="5" s="1"/>
  <c r="AE771" i="5"/>
  <c r="AF771" i="5" s="1"/>
  <c r="AG771" i="5" s="1"/>
  <c r="N770" i="5"/>
  <c r="Q770" i="5"/>
  <c r="R770" i="5" s="1"/>
  <c r="S770" i="5" s="1"/>
  <c r="T770" i="5" s="1"/>
  <c r="AE770" i="5"/>
  <c r="AF770" i="5" s="1"/>
  <c r="AG770" i="5" s="1"/>
  <c r="Q769" i="5"/>
  <c r="R769" i="5" s="1"/>
  <c r="AE769" i="5"/>
  <c r="AF769" i="5" s="1"/>
  <c r="AG769" i="5" s="1"/>
  <c r="U769" i="5"/>
  <c r="AD769" i="5" s="1"/>
  <c r="AC769" i="5"/>
  <c r="Q768" i="5"/>
  <c r="R768" i="5" s="1"/>
  <c r="AE768" i="5"/>
  <c r="AF768" i="5" s="1"/>
  <c r="AG768" i="5" s="1"/>
  <c r="U768" i="5"/>
  <c r="AD768" i="5" s="1"/>
  <c r="AC768" i="5"/>
  <c r="Q767" i="5"/>
  <c r="R767" i="5" s="1"/>
  <c r="AE767" i="5"/>
  <c r="AF767" i="5" s="1"/>
  <c r="AG767" i="5" s="1"/>
  <c r="Q766" i="5"/>
  <c r="R766" i="5" s="1"/>
  <c r="AE766" i="5"/>
  <c r="AF766" i="5" s="1"/>
  <c r="AG766" i="5" s="1"/>
  <c r="U766" i="5"/>
  <c r="AD766" i="5" s="1"/>
  <c r="AC766" i="5"/>
  <c r="Q765" i="5"/>
  <c r="R765" i="5" s="1"/>
  <c r="AE765" i="5"/>
  <c r="AF765" i="5" s="1"/>
  <c r="AG765" i="5" s="1"/>
  <c r="Q764" i="5"/>
  <c r="R764" i="5" s="1"/>
  <c r="AE764" i="5"/>
  <c r="AF764" i="5" s="1"/>
  <c r="AG764" i="5" s="1"/>
  <c r="Q763" i="5"/>
  <c r="R763" i="5" s="1"/>
  <c r="AE763" i="5"/>
  <c r="AF763" i="5" s="1"/>
  <c r="AG763" i="5" s="1"/>
  <c r="U763" i="5"/>
  <c r="AD763" i="5" s="1"/>
  <c r="AC763" i="5"/>
  <c r="Q762" i="5"/>
  <c r="R762" i="5" s="1"/>
  <c r="AE762" i="5"/>
  <c r="AF762" i="5" s="1"/>
  <c r="AG762" i="5" s="1"/>
  <c r="U762" i="5"/>
  <c r="AD762" i="5" s="1"/>
  <c r="AC762" i="5"/>
  <c r="Q761" i="5"/>
  <c r="R761" i="5" s="1"/>
  <c r="AE761" i="5"/>
  <c r="AF761" i="5" s="1"/>
  <c r="U761" i="5"/>
  <c r="AD761" i="5" s="1"/>
  <c r="AC761" i="5"/>
  <c r="Q760" i="5"/>
  <c r="R760" i="5" s="1"/>
  <c r="AE760" i="5"/>
  <c r="AF760" i="5" s="1"/>
  <c r="AG760" i="5" s="1"/>
  <c r="U760" i="5"/>
  <c r="AD760" i="5" s="1"/>
  <c r="AC760" i="5"/>
  <c r="Q759" i="5"/>
  <c r="R759" i="5" s="1"/>
  <c r="AE759" i="5"/>
  <c r="AF759" i="5" s="1"/>
  <c r="AG759" i="5" s="1"/>
  <c r="U759" i="5"/>
  <c r="AD759" i="5" s="1"/>
  <c r="AC759" i="5"/>
  <c r="Q758" i="5"/>
  <c r="R758" i="5" s="1"/>
  <c r="AE758" i="5"/>
  <c r="AF758" i="5" s="1"/>
  <c r="AG758" i="5" s="1"/>
  <c r="U758" i="5"/>
  <c r="AD758" i="5" s="1"/>
  <c r="AC758" i="5"/>
  <c r="Q757" i="5"/>
  <c r="R757" i="5" s="1"/>
  <c r="AE757" i="5"/>
  <c r="AF757" i="5" s="1"/>
  <c r="AG757" i="5" s="1"/>
  <c r="U757" i="5"/>
  <c r="AD757" i="5" s="1"/>
  <c r="AC757" i="5"/>
  <c r="Q756" i="5"/>
  <c r="R756" i="5" s="1"/>
  <c r="AE756" i="5"/>
  <c r="AF756" i="5" s="1"/>
  <c r="AG756" i="5" s="1"/>
  <c r="Q755" i="5"/>
  <c r="R755" i="5" s="1"/>
  <c r="AE755" i="5"/>
  <c r="AF755" i="5" s="1"/>
  <c r="AG755" i="5" s="1"/>
  <c r="Q754" i="5"/>
  <c r="R754" i="5" s="1"/>
  <c r="AE754" i="5"/>
  <c r="AF754" i="5" s="1"/>
  <c r="AG754" i="5" s="1"/>
  <c r="U754" i="5"/>
  <c r="AD754" i="5" s="1"/>
  <c r="AC754" i="5"/>
  <c r="Q753" i="5"/>
  <c r="R753" i="5" s="1"/>
  <c r="AE753" i="5"/>
  <c r="AF753" i="5" s="1"/>
  <c r="AG753" i="5" s="1"/>
  <c r="U753" i="5"/>
  <c r="AD753" i="5" s="1"/>
  <c r="AC753" i="5"/>
  <c r="Q752" i="5"/>
  <c r="R752" i="5" s="1"/>
  <c r="AE752" i="5"/>
  <c r="AF752" i="5" s="1"/>
  <c r="AG752" i="5" s="1"/>
  <c r="Q751" i="5"/>
  <c r="R751" i="5" s="1"/>
  <c r="S751" i="5" s="1"/>
  <c r="T751" i="5" s="1"/>
  <c r="AE751" i="5"/>
  <c r="AF751" i="5" s="1"/>
  <c r="AG751" i="5" s="1"/>
  <c r="Q750" i="5"/>
  <c r="R750" i="5" s="1"/>
  <c r="S750" i="5" s="1"/>
  <c r="T750" i="5" s="1"/>
  <c r="AE750" i="5"/>
  <c r="AF750" i="5" s="1"/>
  <c r="AG750" i="5" s="1"/>
  <c r="Q749" i="5"/>
  <c r="R749" i="5" s="1"/>
  <c r="S749" i="5" s="1"/>
  <c r="T749" i="5" s="1"/>
  <c r="AE749" i="5"/>
  <c r="AF749" i="5" s="1"/>
  <c r="AG749" i="5" s="1"/>
  <c r="N748" i="5"/>
  <c r="Q748" i="5"/>
  <c r="R748" i="5" s="1"/>
  <c r="S748" i="5" s="1"/>
  <c r="T748" i="5" s="1"/>
  <c r="AE748" i="5"/>
  <c r="AF748" i="5" s="1"/>
  <c r="AG748" i="5" s="1"/>
  <c r="N747" i="5"/>
  <c r="Q747" i="5"/>
  <c r="R747" i="5" s="1"/>
  <c r="S747" i="5" s="1"/>
  <c r="T747" i="5" s="1"/>
  <c r="AE747" i="5"/>
  <c r="AF747" i="5" s="1"/>
  <c r="AG747" i="5" s="1"/>
  <c r="N746" i="5"/>
  <c r="Q746" i="5"/>
  <c r="R746" i="5" s="1"/>
  <c r="S746" i="5" s="1"/>
  <c r="T746" i="5" s="1"/>
  <c r="AE746" i="5"/>
  <c r="AF746" i="5" s="1"/>
  <c r="AG746" i="5" s="1"/>
  <c r="Q745" i="5"/>
  <c r="R745" i="5" s="1"/>
  <c r="S745" i="5" s="1"/>
  <c r="T745" i="5" s="1"/>
  <c r="AE745" i="5"/>
  <c r="AF745" i="5" s="1"/>
  <c r="AG745" i="5" s="1"/>
  <c r="Q744" i="5"/>
  <c r="R744" i="5" s="1"/>
  <c r="S744" i="5" s="1"/>
  <c r="T744" i="5" s="1"/>
  <c r="AE744" i="5"/>
  <c r="AF744" i="5" s="1"/>
  <c r="AG744" i="5" s="1"/>
  <c r="N743" i="5"/>
  <c r="Q743" i="5"/>
  <c r="R743" i="5" s="1"/>
  <c r="S743" i="5" s="1"/>
  <c r="T743" i="5" s="1"/>
  <c r="AE743" i="5"/>
  <c r="AF743" i="5" s="1"/>
  <c r="AG743" i="5" s="1"/>
  <c r="Q742" i="5"/>
  <c r="R742" i="5" s="1"/>
  <c r="S742" i="5" s="1"/>
  <c r="T742" i="5" s="1"/>
  <c r="AE742" i="5"/>
  <c r="AF742" i="5" s="1"/>
  <c r="AG742" i="5" s="1"/>
  <c r="Q741" i="5"/>
  <c r="R741" i="5" s="1"/>
  <c r="S741" i="5" s="1"/>
  <c r="T741" i="5" s="1"/>
  <c r="AE741" i="5"/>
  <c r="AF741" i="5" s="1"/>
  <c r="AG741" i="5" s="1"/>
  <c r="Q740" i="5"/>
  <c r="R740" i="5" s="1"/>
  <c r="S740" i="5" s="1"/>
  <c r="T740" i="5" s="1"/>
  <c r="AE740" i="5"/>
  <c r="AF740" i="5" s="1"/>
  <c r="AG740" i="5" s="1"/>
  <c r="N739" i="5"/>
  <c r="Q739" i="5"/>
  <c r="R739" i="5" s="1"/>
  <c r="S739" i="5" s="1"/>
  <c r="T739" i="5" s="1"/>
  <c r="AE739" i="5"/>
  <c r="AF739" i="5" s="1"/>
  <c r="Q738" i="5"/>
  <c r="R738" i="5" s="1"/>
  <c r="S738" i="5" s="1"/>
  <c r="T738" i="5" s="1"/>
  <c r="AE738" i="5"/>
  <c r="AF738" i="5" s="1"/>
  <c r="Q737" i="5"/>
  <c r="R737" i="5" s="1"/>
  <c r="S737" i="5" s="1"/>
  <c r="T737" i="5" s="1"/>
  <c r="AE737" i="5"/>
  <c r="AF737" i="5" s="1"/>
  <c r="AG737" i="5" s="1"/>
  <c r="N736" i="5"/>
  <c r="Q736" i="5"/>
  <c r="R736" i="5" s="1"/>
  <c r="S736" i="5" s="1"/>
  <c r="T736" i="5" s="1"/>
  <c r="AE736" i="5"/>
  <c r="AF736" i="5" s="1"/>
  <c r="AG736" i="5" s="1"/>
  <c r="N735" i="5"/>
  <c r="Q735" i="5"/>
  <c r="R735" i="5" s="1"/>
  <c r="S735" i="5" s="1"/>
  <c r="T735" i="5" s="1"/>
  <c r="AE735" i="5"/>
  <c r="AF735" i="5" s="1"/>
  <c r="AG735" i="5" s="1"/>
  <c r="N734" i="5"/>
  <c r="Q734" i="5"/>
  <c r="R734" i="5" s="1"/>
  <c r="S734" i="5" s="1"/>
  <c r="T734" i="5" s="1"/>
  <c r="AE734" i="5"/>
  <c r="AF734" i="5" s="1"/>
  <c r="AG734" i="5" s="1"/>
  <c r="Q733" i="5"/>
  <c r="R733" i="5" s="1"/>
  <c r="S733" i="5" s="1"/>
  <c r="T733" i="5" s="1"/>
  <c r="AE733" i="5"/>
  <c r="AF733" i="5" s="1"/>
  <c r="AG733" i="5" s="1"/>
  <c r="N732" i="5"/>
  <c r="Q732" i="5"/>
  <c r="R732" i="5" s="1"/>
  <c r="S732" i="5" s="1"/>
  <c r="T732" i="5" s="1"/>
  <c r="AE732" i="5"/>
  <c r="AF732" i="5" s="1"/>
  <c r="AG732" i="5" s="1"/>
  <c r="Q731" i="5"/>
  <c r="R731" i="5" s="1"/>
  <c r="S731" i="5" s="1"/>
  <c r="T731" i="5" s="1"/>
  <c r="U731" i="5" s="1"/>
  <c r="AE731" i="5"/>
  <c r="AF731" i="5" s="1"/>
  <c r="AG731" i="5" s="1"/>
  <c r="N730" i="5"/>
  <c r="Q730" i="5"/>
  <c r="R730" i="5" s="1"/>
  <c r="S730" i="5" s="1"/>
  <c r="T730" i="5" s="1"/>
  <c r="AE730" i="5"/>
  <c r="AF730" i="5" s="1"/>
  <c r="AG730" i="5" s="1"/>
  <c r="Q729" i="5"/>
  <c r="R729" i="5" s="1"/>
  <c r="S729" i="5" s="1"/>
  <c r="T729" i="5" s="1"/>
  <c r="U729" i="5" s="1"/>
  <c r="AE729" i="5"/>
  <c r="AF729" i="5" s="1"/>
  <c r="AG729" i="5" s="1"/>
  <c r="N728" i="5"/>
  <c r="Q728" i="5"/>
  <c r="R728" i="5" s="1"/>
  <c r="S728" i="5" s="1"/>
  <c r="T728" i="5" s="1"/>
  <c r="AE728" i="5"/>
  <c r="AF728" i="5" s="1"/>
  <c r="AG728" i="5" s="1"/>
  <c r="Q727" i="5"/>
  <c r="R727" i="5" s="1"/>
  <c r="S727" i="5" s="1"/>
  <c r="T727" i="5" s="1"/>
  <c r="U727" i="5" s="1"/>
  <c r="AE727" i="5"/>
  <c r="AF727" i="5" s="1"/>
  <c r="AG727" i="5" s="1"/>
  <c r="N726" i="5"/>
  <c r="Q726" i="5"/>
  <c r="R726" i="5" s="1"/>
  <c r="S726" i="5" s="1"/>
  <c r="T726" i="5" s="1"/>
  <c r="AE726" i="5"/>
  <c r="AF726" i="5" s="1"/>
  <c r="AG726" i="5" s="1"/>
  <c r="N725" i="5"/>
  <c r="Q725" i="5"/>
  <c r="R725" i="5" s="1"/>
  <c r="S725" i="5" s="1"/>
  <c r="T725" i="5" s="1"/>
  <c r="AE725" i="5"/>
  <c r="AF725" i="5" s="1"/>
  <c r="AG725" i="5" s="1"/>
  <c r="N724" i="5"/>
  <c r="Q724" i="5"/>
  <c r="R724" i="5" s="1"/>
  <c r="S724" i="5" s="1"/>
  <c r="T724" i="5" s="1"/>
  <c r="AE724" i="5"/>
  <c r="AF724" i="5" s="1"/>
  <c r="AG724" i="5" s="1"/>
  <c r="N723" i="5"/>
  <c r="Q723" i="5"/>
  <c r="R723" i="5" s="1"/>
  <c r="S723" i="5" s="1"/>
  <c r="T723" i="5" s="1"/>
  <c r="AE723" i="5"/>
  <c r="AF723" i="5" s="1"/>
  <c r="AG723" i="5" s="1"/>
  <c r="N722" i="5"/>
  <c r="Q722" i="5"/>
  <c r="R722" i="5" s="1"/>
  <c r="S722" i="5" s="1"/>
  <c r="T722" i="5" s="1"/>
  <c r="AE722" i="5"/>
  <c r="AF722" i="5" s="1"/>
  <c r="AG722" i="5" s="1"/>
  <c r="N721" i="5"/>
  <c r="Q721" i="5"/>
  <c r="R721" i="5" s="1"/>
  <c r="S721" i="5" s="1"/>
  <c r="T721" i="5" s="1"/>
  <c r="AE721" i="5"/>
  <c r="AF721" i="5" s="1"/>
  <c r="AG721" i="5" s="1"/>
  <c r="AC720" i="5"/>
  <c r="N720" i="5"/>
  <c r="AD720" i="5" s="1"/>
  <c r="Q720" i="5"/>
  <c r="R720" i="5" s="1"/>
  <c r="AE720" i="5"/>
  <c r="AF720" i="5" s="1"/>
  <c r="AG720" i="5" s="1"/>
  <c r="N719" i="5"/>
  <c r="Q719" i="5"/>
  <c r="R719" i="5" s="1"/>
  <c r="S719" i="5" s="1"/>
  <c r="T719" i="5" s="1"/>
  <c r="AE719" i="5"/>
  <c r="AF719" i="5" s="1"/>
  <c r="AG719" i="5" s="1"/>
  <c r="Q718" i="5"/>
  <c r="R718" i="5" s="1"/>
  <c r="S718" i="5" s="1"/>
  <c r="T718" i="5" s="1"/>
  <c r="U718" i="5" s="1"/>
  <c r="AE718" i="5"/>
  <c r="AF718" i="5" s="1"/>
  <c r="AG718" i="5" s="1"/>
  <c r="Q717" i="5"/>
  <c r="R717" i="5" s="1"/>
  <c r="S717" i="5" s="1"/>
  <c r="T717" i="5" s="1"/>
  <c r="U717" i="5" s="1"/>
  <c r="AE717" i="5"/>
  <c r="AF717" i="5" s="1"/>
  <c r="AG717" i="5" s="1"/>
  <c r="Q716" i="5"/>
  <c r="R716" i="5" s="1"/>
  <c r="S716" i="5" s="1"/>
  <c r="T716" i="5" s="1"/>
  <c r="U716" i="5" s="1"/>
  <c r="AE716" i="5"/>
  <c r="AF716" i="5" s="1"/>
  <c r="N715" i="5"/>
  <c r="Q715" i="5"/>
  <c r="R715" i="5" s="1"/>
  <c r="S715" i="5" s="1"/>
  <c r="T715" i="5" s="1"/>
  <c r="AE715" i="5"/>
  <c r="AF715" i="5" s="1"/>
  <c r="Q714" i="5"/>
  <c r="R714" i="5" s="1"/>
  <c r="S714" i="5" s="1"/>
  <c r="T714" i="5" s="1"/>
  <c r="U714" i="5" s="1"/>
  <c r="AE714" i="5"/>
  <c r="AF714" i="5" s="1"/>
  <c r="AG714" i="5" s="1"/>
  <c r="Q713" i="5"/>
  <c r="R713" i="5" s="1"/>
  <c r="AE713" i="5"/>
  <c r="AF713" i="5" s="1"/>
  <c r="AG713" i="5" s="1"/>
  <c r="Q711" i="5"/>
  <c r="R711" i="5" s="1"/>
  <c r="AE711" i="5"/>
  <c r="AF711" i="5" s="1"/>
  <c r="AG711" i="5" s="1"/>
  <c r="U711" i="5"/>
  <c r="AD711" i="5" s="1"/>
  <c r="AC711" i="5"/>
  <c r="Q710" i="5"/>
  <c r="R710" i="5" s="1"/>
  <c r="AE710" i="5"/>
  <c r="AF710" i="5" s="1"/>
  <c r="AG710" i="5" s="1"/>
  <c r="Q709" i="5"/>
  <c r="R709" i="5" s="1"/>
  <c r="AE709" i="5"/>
  <c r="AF709" i="5" s="1"/>
  <c r="AG709" i="5" s="1"/>
  <c r="U709" i="5"/>
  <c r="AD709" i="5" s="1"/>
  <c r="AC709" i="5"/>
  <c r="Q708" i="5"/>
  <c r="R708" i="5" s="1"/>
  <c r="AE708" i="5"/>
  <c r="AF708" i="5" s="1"/>
  <c r="AG708" i="5" s="1"/>
  <c r="U708" i="5"/>
  <c r="AD708" i="5" s="1"/>
  <c r="AC708" i="5"/>
  <c r="Q707" i="5"/>
  <c r="R707" i="5" s="1"/>
  <c r="AE707" i="5"/>
  <c r="AF707" i="5" s="1"/>
  <c r="AG707" i="5" s="1"/>
  <c r="U707" i="5"/>
  <c r="AD707" i="5" s="1"/>
  <c r="AC707" i="5"/>
  <c r="Q706" i="5"/>
  <c r="R706" i="5" s="1"/>
  <c r="AE706" i="5"/>
  <c r="AF706" i="5" s="1"/>
  <c r="AG706" i="5" s="1"/>
  <c r="U706" i="5"/>
  <c r="AD706" i="5" s="1"/>
  <c r="AC706" i="5"/>
  <c r="Q705" i="5"/>
  <c r="R705" i="5" s="1"/>
  <c r="AE705" i="5"/>
  <c r="AF705" i="5" s="1"/>
  <c r="AG705" i="5" s="1"/>
  <c r="U705" i="5"/>
  <c r="AD705" i="5" s="1"/>
  <c r="AC705" i="5"/>
  <c r="Q704" i="5"/>
  <c r="R704" i="5" s="1"/>
  <c r="AE704" i="5"/>
  <c r="AF704" i="5" s="1"/>
  <c r="AG704" i="5" s="1"/>
  <c r="Q703" i="5"/>
  <c r="R703" i="5" s="1"/>
  <c r="AE703" i="5"/>
  <c r="AF703" i="5" s="1"/>
  <c r="AG703" i="5" s="1"/>
  <c r="U703" i="5"/>
  <c r="AD703" i="5" s="1"/>
  <c r="AC703" i="5"/>
  <c r="Q702" i="5"/>
  <c r="R702" i="5" s="1"/>
  <c r="AE702" i="5"/>
  <c r="AF702" i="5" s="1"/>
  <c r="AG702" i="5" s="1"/>
  <c r="U702" i="5"/>
  <c r="AD702" i="5" s="1"/>
  <c r="AC702" i="5"/>
  <c r="Q701" i="5"/>
  <c r="R701" i="5" s="1"/>
  <c r="AE701" i="5"/>
  <c r="AF701" i="5" s="1"/>
  <c r="AG701" i="5" s="1"/>
  <c r="Q700" i="5"/>
  <c r="R700" i="5" s="1"/>
  <c r="AE700" i="5"/>
  <c r="AF700" i="5" s="1"/>
  <c r="AG700" i="5" s="1"/>
  <c r="Q699" i="5"/>
  <c r="R699" i="5" s="1"/>
  <c r="AE699" i="5"/>
  <c r="AF699" i="5" s="1"/>
  <c r="AG699" i="5" s="1"/>
  <c r="U699" i="5"/>
  <c r="AD699" i="5" s="1"/>
  <c r="AC699" i="5"/>
  <c r="Q698" i="5"/>
  <c r="R698" i="5" s="1"/>
  <c r="AE698" i="5"/>
  <c r="AF698" i="5" s="1"/>
  <c r="AG698" i="5" s="1"/>
  <c r="U698" i="5"/>
  <c r="AD698" i="5" s="1"/>
  <c r="AC698" i="5"/>
  <c r="Q697" i="5"/>
  <c r="R697" i="5" s="1"/>
  <c r="AE697" i="5"/>
  <c r="AF697" i="5" s="1"/>
  <c r="AG697" i="5" s="1"/>
  <c r="U697" i="5"/>
  <c r="AD697" i="5" s="1"/>
  <c r="AC697" i="5"/>
  <c r="Q696" i="5"/>
  <c r="R696" i="5" s="1"/>
  <c r="AE696" i="5"/>
  <c r="AF696" i="5" s="1"/>
  <c r="AG696" i="5" s="1"/>
  <c r="Q695" i="5"/>
  <c r="R695" i="5" s="1"/>
  <c r="AE695" i="5"/>
  <c r="AF695" i="5" s="1"/>
  <c r="AG695" i="5" s="1"/>
  <c r="U695" i="5"/>
  <c r="AD695" i="5" s="1"/>
  <c r="AC695" i="5"/>
  <c r="Q694" i="5"/>
  <c r="R694" i="5" s="1"/>
  <c r="AE694" i="5"/>
  <c r="AF694" i="5" s="1"/>
  <c r="AG694" i="5" s="1"/>
  <c r="Q693" i="5"/>
  <c r="R693" i="5" s="1"/>
  <c r="AE693" i="5"/>
  <c r="AF693" i="5" s="1"/>
  <c r="U693" i="5"/>
  <c r="AD693" i="5" s="1"/>
  <c r="AC693" i="5"/>
  <c r="Q692" i="5"/>
  <c r="R692" i="5" s="1"/>
  <c r="AE692" i="5"/>
  <c r="AF692" i="5" s="1"/>
  <c r="U692" i="5"/>
  <c r="AD692" i="5" s="1"/>
  <c r="AC692" i="5"/>
  <c r="Q691" i="5"/>
  <c r="R691" i="5" s="1"/>
  <c r="AE691" i="5"/>
  <c r="AF691" i="5" s="1"/>
  <c r="U691" i="5"/>
  <c r="AD691" i="5" s="1"/>
  <c r="AC691" i="5"/>
  <c r="Q690" i="5"/>
  <c r="R690" i="5" s="1"/>
  <c r="AE690" i="5"/>
  <c r="AF690" i="5" s="1"/>
  <c r="AG690" i="5" s="1"/>
  <c r="U690" i="5"/>
  <c r="AD690" i="5" s="1"/>
  <c r="AC690" i="5"/>
  <c r="Q689" i="5"/>
  <c r="R689" i="5" s="1"/>
  <c r="AE689" i="5"/>
  <c r="AF689" i="5" s="1"/>
  <c r="AG689" i="5" s="1"/>
  <c r="Q688" i="5"/>
  <c r="R688" i="5" s="1"/>
  <c r="AE688" i="5"/>
  <c r="AF688" i="5" s="1"/>
  <c r="AG688" i="5" s="1"/>
  <c r="U688" i="5"/>
  <c r="AD688" i="5" s="1"/>
  <c r="AC688" i="5"/>
  <c r="Q687" i="5"/>
  <c r="R687" i="5" s="1"/>
  <c r="AE687" i="5"/>
  <c r="AF687" i="5" s="1"/>
  <c r="AG687" i="5" s="1"/>
  <c r="U687" i="5"/>
  <c r="AD687" i="5" s="1"/>
  <c r="AC687" i="5"/>
  <c r="Q686" i="5"/>
  <c r="R686" i="5" s="1"/>
  <c r="S686" i="5" s="1"/>
  <c r="T686" i="5" s="1"/>
  <c r="AE686" i="5"/>
  <c r="AF686" i="5" s="1"/>
  <c r="AG686" i="5" s="1"/>
  <c r="Q685" i="5"/>
  <c r="R685" i="5" s="1"/>
  <c r="S685" i="5" s="1"/>
  <c r="T685" i="5" s="1"/>
  <c r="U685" i="5" s="1"/>
  <c r="AE685" i="5"/>
  <c r="AF685" i="5" s="1"/>
  <c r="AG685" i="5" s="1"/>
  <c r="Q684" i="5"/>
  <c r="R684" i="5" s="1"/>
  <c r="S684" i="5" s="1"/>
  <c r="T684" i="5" s="1"/>
  <c r="U684" i="5" s="1"/>
  <c r="AE684" i="5"/>
  <c r="AF684" i="5" s="1"/>
  <c r="AG684" i="5" s="1"/>
  <c r="Q683" i="5"/>
  <c r="R683" i="5" s="1"/>
  <c r="S683" i="5" s="1"/>
  <c r="T683" i="5" s="1"/>
  <c r="U683" i="5" s="1"/>
  <c r="AE683" i="5"/>
  <c r="AF683" i="5" s="1"/>
  <c r="AG683" i="5" s="1"/>
  <c r="Q682" i="5"/>
  <c r="R682" i="5" s="1"/>
  <c r="S682" i="5" s="1"/>
  <c r="T682" i="5" s="1"/>
  <c r="U682" i="5" s="1"/>
  <c r="AE682" i="5"/>
  <c r="AF682" i="5" s="1"/>
  <c r="AG682" i="5" s="1"/>
  <c r="N681" i="5"/>
  <c r="Q681" i="5"/>
  <c r="R681" i="5" s="1"/>
  <c r="S681" i="5" s="1"/>
  <c r="T681" i="5" s="1"/>
  <c r="AE681" i="5"/>
  <c r="AF681" i="5" s="1"/>
  <c r="AG681" i="5" s="1"/>
  <c r="N680" i="5"/>
  <c r="Q680" i="5"/>
  <c r="R680" i="5" s="1"/>
  <c r="S680" i="5" s="1"/>
  <c r="T680" i="5" s="1"/>
  <c r="AE680" i="5"/>
  <c r="AF680" i="5" s="1"/>
  <c r="AG680" i="5" s="1"/>
  <c r="Q679" i="5"/>
  <c r="R679" i="5" s="1"/>
  <c r="S679" i="5" s="1"/>
  <c r="T679" i="5" s="1"/>
  <c r="U679" i="5" s="1"/>
  <c r="AE679" i="5"/>
  <c r="AF679" i="5" s="1"/>
  <c r="AG679" i="5" s="1"/>
  <c r="Q678" i="5"/>
  <c r="R678" i="5" s="1"/>
  <c r="S678" i="5" s="1"/>
  <c r="T678" i="5" s="1"/>
  <c r="U678" i="5" s="1"/>
  <c r="AE678" i="5"/>
  <c r="AF678" i="5" s="1"/>
  <c r="AG678" i="5" s="1"/>
  <c r="Q677" i="5"/>
  <c r="R677" i="5" s="1"/>
  <c r="S677" i="5" s="1"/>
  <c r="T677" i="5" s="1"/>
  <c r="U677" i="5" s="1"/>
  <c r="AE677" i="5"/>
  <c r="AF677" i="5" s="1"/>
  <c r="AG677" i="5" s="1"/>
  <c r="Q676" i="5"/>
  <c r="R676" i="5" s="1"/>
  <c r="S676" i="5" s="1"/>
  <c r="T676" i="5" s="1"/>
  <c r="U676" i="5" s="1"/>
  <c r="AE676" i="5"/>
  <c r="AF676" i="5" s="1"/>
  <c r="AG676" i="5" s="1"/>
  <c r="Q675" i="5"/>
  <c r="R675" i="5" s="1"/>
  <c r="S675" i="5" s="1"/>
  <c r="T675" i="5" s="1"/>
  <c r="U675" i="5" s="1"/>
  <c r="AE675" i="5"/>
  <c r="AF675" i="5" s="1"/>
  <c r="AG675" i="5" s="1"/>
  <c r="N674" i="5"/>
  <c r="Q674" i="5"/>
  <c r="R674" i="5" s="1"/>
  <c r="S674" i="5" s="1"/>
  <c r="T674" i="5" s="1"/>
  <c r="AE674" i="5"/>
  <c r="AF674" i="5" s="1"/>
  <c r="AG674" i="5" s="1"/>
  <c r="N673" i="5"/>
  <c r="Q673" i="5"/>
  <c r="R673" i="5" s="1"/>
  <c r="S673" i="5" s="1"/>
  <c r="T673" i="5" s="1"/>
  <c r="AE673" i="5"/>
  <c r="AF673" i="5" s="1"/>
  <c r="AG673" i="5" s="1"/>
  <c r="Q672" i="5"/>
  <c r="R672" i="5" s="1"/>
  <c r="S672" i="5" s="1"/>
  <c r="T672" i="5" s="1"/>
  <c r="U672" i="5" s="1"/>
  <c r="AE672" i="5"/>
  <c r="AF672" i="5" s="1"/>
  <c r="AG672" i="5" s="1"/>
  <c r="Q671" i="5"/>
  <c r="R671" i="5" s="1"/>
  <c r="S671" i="5" s="1"/>
  <c r="T671" i="5" s="1"/>
  <c r="U671" i="5" s="1"/>
  <c r="AE671" i="5"/>
  <c r="AF671" i="5" s="1"/>
  <c r="AG671" i="5" s="1"/>
  <c r="Q670" i="5"/>
  <c r="R670" i="5" s="1"/>
  <c r="S670" i="5" s="1"/>
  <c r="T670" i="5" s="1"/>
  <c r="U670" i="5" s="1"/>
  <c r="AE670" i="5"/>
  <c r="AF670" i="5" s="1"/>
  <c r="Q669" i="5"/>
  <c r="R669" i="5" s="1"/>
  <c r="S669" i="5" s="1"/>
  <c r="T669" i="5" s="1"/>
  <c r="U669" i="5" s="1"/>
  <c r="AE669" i="5"/>
  <c r="AF669" i="5" s="1"/>
  <c r="N668" i="5"/>
  <c r="Q668" i="5"/>
  <c r="R668" i="5" s="1"/>
  <c r="S668" i="5" s="1"/>
  <c r="T668" i="5" s="1"/>
  <c r="AE668" i="5"/>
  <c r="AF668" i="5" s="1"/>
  <c r="Q667" i="5"/>
  <c r="R667" i="5" s="1"/>
  <c r="S667" i="5" s="1"/>
  <c r="T667" i="5" s="1"/>
  <c r="U667" i="5" s="1"/>
  <c r="AE667" i="5"/>
  <c r="AF667" i="5" s="1"/>
  <c r="N666" i="5"/>
  <c r="Q666" i="5"/>
  <c r="R666" i="5" s="1"/>
  <c r="S666" i="5" s="1"/>
  <c r="T666" i="5" s="1"/>
  <c r="AE666" i="5"/>
  <c r="AF666" i="5" s="1"/>
  <c r="AG666" i="5" s="1"/>
  <c r="N665" i="5"/>
  <c r="Q665" i="5"/>
  <c r="R665" i="5" s="1"/>
  <c r="S665" i="5" s="1"/>
  <c r="T665" i="5" s="1"/>
  <c r="AE665" i="5"/>
  <c r="AF665" i="5" s="1"/>
  <c r="AG665" i="5" s="1"/>
  <c r="Q664" i="5"/>
  <c r="R664" i="5" s="1"/>
  <c r="S664" i="5" s="1"/>
  <c r="T664" i="5" s="1"/>
  <c r="U664" i="5" s="1"/>
  <c r="AE664" i="5"/>
  <c r="AF664" i="5" s="1"/>
  <c r="AG664" i="5" s="1"/>
  <c r="N663" i="5"/>
  <c r="Q663" i="5"/>
  <c r="R663" i="5" s="1"/>
  <c r="S663" i="5" s="1"/>
  <c r="T663" i="5" s="1"/>
  <c r="AE663" i="5"/>
  <c r="AF663" i="5" s="1"/>
  <c r="AG663" i="5" s="1"/>
  <c r="N662" i="5"/>
  <c r="Q662" i="5"/>
  <c r="R662" i="5" s="1"/>
  <c r="S662" i="5" s="1"/>
  <c r="T662" i="5" s="1"/>
  <c r="AE662" i="5"/>
  <c r="AF662" i="5" s="1"/>
  <c r="AG662" i="5" s="1"/>
  <c r="N661" i="5"/>
  <c r="Q661" i="5"/>
  <c r="R661" i="5" s="1"/>
  <c r="S661" i="5" s="1"/>
  <c r="T661" i="5" s="1"/>
  <c r="AE661" i="5"/>
  <c r="AF661" i="5" s="1"/>
  <c r="AG661" i="5" s="1"/>
  <c r="Q660" i="5"/>
  <c r="R660" i="5" s="1"/>
  <c r="S660" i="5" s="1"/>
  <c r="T660" i="5" s="1"/>
  <c r="U660" i="5" s="1"/>
  <c r="AE660" i="5"/>
  <c r="AF660" i="5" s="1"/>
  <c r="AG660" i="5" s="1"/>
  <c r="Q659" i="5"/>
  <c r="R659" i="5" s="1"/>
  <c r="S659" i="5" s="1"/>
  <c r="T659" i="5" s="1"/>
  <c r="U659" i="5" s="1"/>
  <c r="AE659" i="5"/>
  <c r="AF659" i="5" s="1"/>
  <c r="AG659" i="5" s="1"/>
  <c r="N658" i="5"/>
  <c r="Q658" i="5"/>
  <c r="R658" i="5" s="1"/>
  <c r="S658" i="5" s="1"/>
  <c r="T658" i="5" s="1"/>
  <c r="AE658" i="5"/>
  <c r="AF658" i="5" s="1"/>
  <c r="AG658" i="5" s="1"/>
  <c r="N657" i="5"/>
  <c r="Q657" i="5"/>
  <c r="R657" i="5" s="1"/>
  <c r="S657" i="5" s="1"/>
  <c r="T657" i="5" s="1"/>
  <c r="AE657" i="5"/>
  <c r="AF657" i="5" s="1"/>
  <c r="AG657" i="5" s="1"/>
  <c r="N656" i="5"/>
  <c r="Q656" i="5"/>
  <c r="R656" i="5" s="1"/>
  <c r="S656" i="5" s="1"/>
  <c r="T656" i="5" s="1"/>
  <c r="AE656" i="5"/>
  <c r="AF656" i="5" s="1"/>
  <c r="AG656" i="5" s="1"/>
  <c r="N655" i="5"/>
  <c r="Q655" i="5"/>
  <c r="R655" i="5" s="1"/>
  <c r="S655" i="5" s="1"/>
  <c r="T655" i="5" s="1"/>
  <c r="AE655" i="5"/>
  <c r="AF655" i="5" s="1"/>
  <c r="AG655" i="5" s="1"/>
  <c r="Q654" i="5"/>
  <c r="R654" i="5" s="1"/>
  <c r="AE654" i="5"/>
  <c r="AF654" i="5" s="1"/>
  <c r="AG654" i="5" s="1"/>
  <c r="Q653" i="5"/>
  <c r="R653" i="5" s="1"/>
  <c r="AE653" i="5"/>
  <c r="AF653" i="5" s="1"/>
  <c r="AG653" i="5" s="1"/>
  <c r="U653" i="5"/>
  <c r="AD653" i="5" s="1"/>
  <c r="AC653" i="5"/>
  <c r="Q652" i="5"/>
  <c r="R652" i="5" s="1"/>
  <c r="AE652" i="5"/>
  <c r="AF652" i="5" s="1"/>
  <c r="AG652" i="5" s="1"/>
  <c r="Q651" i="5"/>
  <c r="R651" i="5" s="1"/>
  <c r="AE651" i="5"/>
  <c r="AF651" i="5" s="1"/>
  <c r="AG651" i="5" s="1"/>
  <c r="Q650" i="5"/>
  <c r="R650" i="5" s="1"/>
  <c r="AE650" i="5"/>
  <c r="AF650" i="5" s="1"/>
  <c r="AG650" i="5" s="1"/>
  <c r="Q649" i="5"/>
  <c r="R649" i="5" s="1"/>
  <c r="AE649" i="5"/>
  <c r="AF649" i="5" s="1"/>
  <c r="AG649" i="5" s="1"/>
  <c r="Q648" i="5"/>
  <c r="R648" i="5" s="1"/>
  <c r="AE648" i="5"/>
  <c r="AF648" i="5" s="1"/>
  <c r="AG648" i="5" s="1"/>
  <c r="Q647" i="5"/>
  <c r="R647" i="5" s="1"/>
  <c r="AE647" i="5"/>
  <c r="AF647" i="5" s="1"/>
  <c r="AG647" i="5" s="1"/>
  <c r="Q646" i="5"/>
  <c r="R646" i="5" s="1"/>
  <c r="AE646" i="5"/>
  <c r="AF646" i="5" s="1"/>
  <c r="Q645" i="5"/>
  <c r="R645" i="5" s="1"/>
  <c r="AE645" i="5"/>
  <c r="AF645" i="5" s="1"/>
  <c r="Q644" i="5"/>
  <c r="R644" i="5" s="1"/>
  <c r="AE644" i="5"/>
  <c r="AF644" i="5" s="1"/>
  <c r="Q643" i="5"/>
  <c r="R643" i="5" s="1"/>
  <c r="AE643" i="5"/>
  <c r="AF643" i="5" s="1"/>
  <c r="Q642" i="5"/>
  <c r="R642" i="5" s="1"/>
  <c r="AE642" i="5"/>
  <c r="AF642" i="5" s="1"/>
  <c r="AG642" i="5" s="1"/>
  <c r="U642" i="5"/>
  <c r="AD642" i="5" s="1"/>
  <c r="AC642" i="5"/>
  <c r="Q641" i="5"/>
  <c r="R641" i="5" s="1"/>
  <c r="AE641" i="5"/>
  <c r="AF641" i="5" s="1"/>
  <c r="AG641" i="5" s="1"/>
  <c r="Q640" i="5"/>
  <c r="R640" i="5" s="1"/>
  <c r="AE640" i="5"/>
  <c r="AF640" i="5" s="1"/>
  <c r="AG640" i="5" s="1"/>
  <c r="Q639" i="5"/>
  <c r="R639" i="5" s="1"/>
  <c r="AE639" i="5"/>
  <c r="AF639" i="5" s="1"/>
  <c r="AG639" i="5" s="1"/>
  <c r="Q638" i="5"/>
  <c r="R638" i="5" s="1"/>
  <c r="AE638" i="5"/>
  <c r="AF638" i="5" s="1"/>
  <c r="AG638" i="5" s="1"/>
  <c r="Q637" i="5"/>
  <c r="R637" i="5" s="1"/>
  <c r="AE637" i="5"/>
  <c r="AF637" i="5" s="1"/>
  <c r="AG637" i="5" s="1"/>
  <c r="Q636" i="5"/>
  <c r="R636" i="5" s="1"/>
  <c r="AE636" i="5"/>
  <c r="AF636" i="5" s="1"/>
  <c r="AG636" i="5" s="1"/>
  <c r="Q635" i="5"/>
  <c r="R635" i="5" s="1"/>
  <c r="AE635" i="5"/>
  <c r="AF635" i="5" s="1"/>
  <c r="AG635" i="5" s="1"/>
  <c r="U635" i="5"/>
  <c r="AD635" i="5" s="1"/>
  <c r="AC635" i="5"/>
  <c r="Q634" i="5"/>
  <c r="R634" i="5" s="1"/>
  <c r="AE634" i="5"/>
  <c r="AF634" i="5" s="1"/>
  <c r="AG634" i="5" s="1"/>
  <c r="Q633" i="5"/>
  <c r="R633" i="5" s="1"/>
  <c r="AE633" i="5"/>
  <c r="AF633" i="5" s="1"/>
  <c r="AG633" i="5" s="1"/>
  <c r="U633" i="5"/>
  <c r="AD633" i="5" s="1"/>
  <c r="AC633" i="5"/>
  <c r="Q632" i="5"/>
  <c r="R632" i="5" s="1"/>
  <c r="AE632" i="5"/>
  <c r="AF632" i="5" s="1"/>
  <c r="AG632" i="5" s="1"/>
  <c r="Q631" i="5"/>
  <c r="R631" i="5" s="1"/>
  <c r="AE631" i="5"/>
  <c r="AF631" i="5" s="1"/>
  <c r="AG631" i="5" s="1"/>
  <c r="Q630" i="5"/>
  <c r="R630" i="5" s="1"/>
  <c r="AE630" i="5"/>
  <c r="AF630" i="5" s="1"/>
  <c r="AG630" i="5" s="1"/>
  <c r="Q629" i="5"/>
  <c r="R629" i="5" s="1"/>
  <c r="AE629" i="5"/>
  <c r="AF629" i="5" s="1"/>
  <c r="AG629" i="5" s="1"/>
  <c r="Q628" i="5"/>
  <c r="R628" i="5" s="1"/>
  <c r="AE628" i="5"/>
  <c r="AF628" i="5" s="1"/>
  <c r="AG628" i="5" s="1"/>
  <c r="Q627" i="5"/>
  <c r="R627" i="5" s="1"/>
  <c r="AE627" i="5"/>
  <c r="AF627" i="5" s="1"/>
  <c r="AG627" i="5" s="1"/>
  <c r="U627" i="5"/>
  <c r="AD627" i="5" s="1"/>
  <c r="AC627" i="5"/>
  <c r="Q626" i="5"/>
  <c r="R626" i="5" s="1"/>
  <c r="AE626" i="5"/>
  <c r="AF626" i="5" s="1"/>
  <c r="AG626" i="5" s="1"/>
  <c r="U626" i="5"/>
  <c r="AD626" i="5" s="1"/>
  <c r="AC626" i="5"/>
  <c r="Q625" i="5"/>
  <c r="R625" i="5" s="1"/>
  <c r="AE625" i="5"/>
  <c r="AF625" i="5" s="1"/>
  <c r="AG625" i="5" s="1"/>
  <c r="U625" i="5"/>
  <c r="AD625" i="5" s="1"/>
  <c r="AC625" i="5"/>
  <c r="Q624" i="5"/>
  <c r="R624" i="5" s="1"/>
  <c r="AE624" i="5"/>
  <c r="AF624" i="5" s="1"/>
  <c r="AG624" i="5" s="1"/>
  <c r="U624" i="5"/>
  <c r="AD624" i="5" s="1"/>
  <c r="AC624" i="5"/>
  <c r="Q623" i="5"/>
  <c r="R623" i="5" s="1"/>
  <c r="AE623" i="5"/>
  <c r="AF623" i="5" s="1"/>
  <c r="AG623" i="5" s="1"/>
  <c r="Q622" i="5"/>
  <c r="R622" i="5" s="1"/>
  <c r="AE622" i="5"/>
  <c r="AF622" i="5" s="1"/>
  <c r="AG622" i="5" s="1"/>
  <c r="Q621" i="5"/>
  <c r="R621" i="5" s="1"/>
  <c r="AE621" i="5"/>
  <c r="AF621" i="5" s="1"/>
  <c r="AG621" i="5" s="1"/>
  <c r="Q620" i="5"/>
  <c r="R620" i="5" s="1"/>
  <c r="AE620" i="5"/>
  <c r="AF620" i="5" s="1"/>
  <c r="AG620" i="5" s="1"/>
  <c r="U620" i="5"/>
  <c r="AD620" i="5" s="1"/>
  <c r="AC620" i="5"/>
  <c r="Q619" i="5"/>
  <c r="R619" i="5" s="1"/>
  <c r="AE619" i="5"/>
  <c r="AF619" i="5" s="1"/>
  <c r="AG619" i="5" s="1"/>
  <c r="Q618" i="5"/>
  <c r="R618" i="5" s="1"/>
  <c r="AE618" i="5"/>
  <c r="AF618" i="5" s="1"/>
  <c r="AG618" i="5" s="1"/>
  <c r="Q617" i="5"/>
  <c r="R617" i="5" s="1"/>
  <c r="AE617" i="5"/>
  <c r="AF617" i="5" s="1"/>
  <c r="AG617" i="5" s="1"/>
  <c r="U617" i="5"/>
  <c r="AD617" i="5" s="1"/>
  <c r="AC617" i="5"/>
  <c r="Q616" i="5"/>
  <c r="R616" i="5" s="1"/>
  <c r="AE616" i="5"/>
  <c r="AF616" i="5" s="1"/>
  <c r="AG616" i="5" s="1"/>
  <c r="U616" i="5"/>
  <c r="AD616" i="5" s="1"/>
  <c r="AC616" i="5"/>
  <c r="Q615" i="5"/>
  <c r="R615" i="5" s="1"/>
  <c r="AE615" i="5"/>
  <c r="AF615" i="5" s="1"/>
  <c r="AG615" i="5" s="1"/>
  <c r="U615" i="5"/>
  <c r="AD615" i="5" s="1"/>
  <c r="AC615" i="5"/>
  <c r="Q614" i="5"/>
  <c r="R614" i="5" s="1"/>
  <c r="AE614" i="5"/>
  <c r="AF614" i="5" s="1"/>
  <c r="AG614" i="5" s="1"/>
  <c r="Q613" i="5"/>
  <c r="R613" i="5" s="1"/>
  <c r="AE613" i="5"/>
  <c r="AF613" i="5" s="1"/>
  <c r="AG613" i="5" s="1"/>
  <c r="Q612" i="5"/>
  <c r="R612" i="5" s="1"/>
  <c r="AE612" i="5"/>
  <c r="AF612" i="5" s="1"/>
  <c r="AG612" i="5" s="1"/>
  <c r="U612" i="5"/>
  <c r="AD612" i="5" s="1"/>
  <c r="AC612" i="5"/>
  <c r="Q611" i="5"/>
  <c r="R611" i="5" s="1"/>
  <c r="AE611" i="5"/>
  <c r="AF611" i="5" s="1"/>
  <c r="AG611" i="5" s="1"/>
  <c r="Q610" i="5"/>
  <c r="R610" i="5" s="1"/>
  <c r="AE610" i="5"/>
  <c r="AF610" i="5" s="1"/>
  <c r="AG610" i="5" s="1"/>
  <c r="U610" i="5"/>
  <c r="AD610" i="5" s="1"/>
  <c r="AC610" i="5"/>
  <c r="Q609" i="5"/>
  <c r="R609" i="5" s="1"/>
  <c r="AE609" i="5"/>
  <c r="AF609" i="5" s="1"/>
  <c r="AG609" i="5" s="1"/>
  <c r="U609" i="5"/>
  <c r="AD609" i="5" s="1"/>
  <c r="AC609" i="5"/>
  <c r="Q608" i="5"/>
  <c r="R608" i="5" s="1"/>
  <c r="AE608" i="5"/>
  <c r="AF608" i="5" s="1"/>
  <c r="AG608" i="5" s="1"/>
  <c r="U608" i="5"/>
  <c r="AD608" i="5" s="1"/>
  <c r="AC608" i="5"/>
  <c r="Q607" i="5"/>
  <c r="R607" i="5" s="1"/>
  <c r="AE607" i="5"/>
  <c r="AF607" i="5" s="1"/>
  <c r="AG607" i="5" s="1"/>
  <c r="Q606" i="5"/>
  <c r="R606" i="5" s="1"/>
  <c r="AE606" i="5"/>
  <c r="AF606" i="5" s="1"/>
  <c r="AG606" i="5" s="1"/>
  <c r="Q605" i="5"/>
  <c r="R605" i="5" s="1"/>
  <c r="AE605" i="5"/>
  <c r="AF605" i="5" s="1"/>
  <c r="AG605" i="5" s="1"/>
  <c r="U605" i="5"/>
  <c r="AD605" i="5" s="1"/>
  <c r="AC605" i="5"/>
  <c r="Q604" i="5"/>
  <c r="R604" i="5" s="1"/>
  <c r="AE604" i="5"/>
  <c r="AF604" i="5" s="1"/>
  <c r="AG604" i="5" s="1"/>
  <c r="U604" i="5"/>
  <c r="AD604" i="5" s="1"/>
  <c r="AC604" i="5"/>
  <c r="Q603" i="5"/>
  <c r="R603" i="5" s="1"/>
  <c r="AE603" i="5"/>
  <c r="AF603" i="5" s="1"/>
  <c r="AG603" i="5" s="1"/>
  <c r="U603" i="5"/>
  <c r="AD603" i="5" s="1"/>
  <c r="AC603" i="5"/>
  <c r="Q602" i="5"/>
  <c r="R602" i="5" s="1"/>
  <c r="AE602" i="5"/>
  <c r="AF602" i="5" s="1"/>
  <c r="AG602" i="5" s="1"/>
  <c r="U602" i="5"/>
  <c r="AD602" i="5" s="1"/>
  <c r="AC602" i="5"/>
  <c r="Q601" i="5"/>
  <c r="R601" i="5" s="1"/>
  <c r="AE601" i="5"/>
  <c r="AF601" i="5" s="1"/>
  <c r="AG601" i="5" s="1"/>
  <c r="U601" i="5"/>
  <c r="AD601" i="5" s="1"/>
  <c r="AC601" i="5"/>
  <c r="Q600" i="5"/>
  <c r="R600" i="5" s="1"/>
  <c r="AE600" i="5"/>
  <c r="AF600" i="5" s="1"/>
  <c r="AG600" i="5" s="1"/>
  <c r="U600" i="5"/>
  <c r="AD600" i="5" s="1"/>
  <c r="AC600" i="5"/>
  <c r="Q599" i="5"/>
  <c r="R599" i="5" s="1"/>
  <c r="AE599" i="5"/>
  <c r="AF599" i="5" s="1"/>
  <c r="AG599" i="5" s="1"/>
  <c r="Q598" i="5"/>
  <c r="R598" i="5" s="1"/>
  <c r="AE598" i="5"/>
  <c r="AF598" i="5" s="1"/>
  <c r="AG598" i="5" s="1"/>
  <c r="Q597" i="5"/>
  <c r="R597" i="5" s="1"/>
  <c r="AE597" i="5"/>
  <c r="AF597" i="5" s="1"/>
  <c r="AG597" i="5" s="1"/>
  <c r="U597" i="5"/>
  <c r="AD597" i="5" s="1"/>
  <c r="AC597" i="5"/>
  <c r="Q596" i="5"/>
  <c r="R596" i="5" s="1"/>
  <c r="AE596" i="5"/>
  <c r="AF596" i="5" s="1"/>
  <c r="AG596" i="5" s="1"/>
  <c r="AC595" i="5"/>
  <c r="N595" i="5"/>
  <c r="AD595" i="5" s="1"/>
  <c r="AG595" i="5" s="1"/>
  <c r="Q594" i="5"/>
  <c r="R594" i="5" s="1"/>
  <c r="AE594" i="5"/>
  <c r="AF594" i="5" s="1"/>
  <c r="AG594" i="5" s="1"/>
  <c r="U594" i="5"/>
  <c r="AD594" i="5" s="1"/>
  <c r="AC594" i="5"/>
  <c r="Q593" i="5"/>
  <c r="R593" i="5" s="1"/>
  <c r="AE593" i="5"/>
  <c r="AF593" i="5" s="1"/>
  <c r="AG593" i="5" s="1"/>
  <c r="U593" i="5"/>
  <c r="AD593" i="5" s="1"/>
  <c r="AC593" i="5"/>
  <c r="Q592" i="5"/>
  <c r="R592" i="5" s="1"/>
  <c r="AE592" i="5"/>
  <c r="AF592" i="5" s="1"/>
  <c r="AG592" i="5" s="1"/>
  <c r="U592" i="5"/>
  <c r="AD592" i="5" s="1"/>
  <c r="AC592" i="5"/>
  <c r="Q591" i="5"/>
  <c r="R591" i="5" s="1"/>
  <c r="AE591" i="5"/>
  <c r="AF591" i="5" s="1"/>
  <c r="AG591" i="5" s="1"/>
  <c r="Q590" i="5"/>
  <c r="R590" i="5" s="1"/>
  <c r="AE590" i="5"/>
  <c r="AF590" i="5" s="1"/>
  <c r="AG590" i="5" s="1"/>
  <c r="Q589" i="5"/>
  <c r="R589" i="5" s="1"/>
  <c r="AE589" i="5"/>
  <c r="AF589" i="5" s="1"/>
  <c r="AG589" i="5" s="1"/>
  <c r="Q588" i="5"/>
  <c r="R588" i="5" s="1"/>
  <c r="AE588" i="5"/>
  <c r="AF588" i="5" s="1"/>
  <c r="AG588" i="5" s="1"/>
  <c r="U588" i="5"/>
  <c r="AD588" i="5" s="1"/>
  <c r="AC588" i="5"/>
  <c r="Q587" i="5"/>
  <c r="R587" i="5" s="1"/>
  <c r="AE587" i="5"/>
  <c r="AF587" i="5" s="1"/>
  <c r="AG587" i="5" s="1"/>
  <c r="U587" i="5"/>
  <c r="AD587" i="5" s="1"/>
  <c r="AC587" i="5"/>
  <c r="Q586" i="5"/>
  <c r="R586" i="5" s="1"/>
  <c r="AE586" i="5"/>
  <c r="AF586" i="5" s="1"/>
  <c r="AG586" i="5" s="1"/>
  <c r="U586" i="5"/>
  <c r="AD586" i="5" s="1"/>
  <c r="AC586" i="5"/>
  <c r="Q585" i="5"/>
  <c r="R585" i="5" s="1"/>
  <c r="AE585" i="5"/>
  <c r="AF585" i="5" s="1"/>
  <c r="AG585" i="5" s="1"/>
  <c r="U585" i="5"/>
  <c r="AD585" i="5" s="1"/>
  <c r="AC585" i="5"/>
  <c r="Q584" i="5"/>
  <c r="R584" i="5" s="1"/>
  <c r="AE584" i="5"/>
  <c r="AF584" i="5" s="1"/>
  <c r="AG584" i="5" s="1"/>
  <c r="Q583" i="5"/>
  <c r="R583" i="5" s="1"/>
  <c r="AE583" i="5"/>
  <c r="AF583" i="5" s="1"/>
  <c r="AG583" i="5" s="1"/>
  <c r="Q582" i="5"/>
  <c r="R582" i="5" s="1"/>
  <c r="AE582" i="5"/>
  <c r="AF582" i="5" s="1"/>
  <c r="AG582" i="5" s="1"/>
  <c r="Q581" i="5"/>
  <c r="R581" i="5" s="1"/>
  <c r="AE581" i="5"/>
  <c r="AF581" i="5" s="1"/>
  <c r="AG581" i="5" s="1"/>
  <c r="Q580" i="5"/>
  <c r="R580" i="5" s="1"/>
  <c r="AE580" i="5"/>
  <c r="AF580" i="5" s="1"/>
  <c r="AG580" i="5" s="1"/>
  <c r="Q579" i="5"/>
  <c r="R579" i="5" s="1"/>
  <c r="AE579" i="5"/>
  <c r="AF579" i="5" s="1"/>
  <c r="AG579" i="5" s="1"/>
  <c r="Q578" i="5"/>
  <c r="R578" i="5" s="1"/>
  <c r="AE578" i="5"/>
  <c r="AF578" i="5" s="1"/>
  <c r="AG578" i="5" s="1"/>
  <c r="Q577" i="5"/>
  <c r="R577" i="5" s="1"/>
  <c r="AE577" i="5"/>
  <c r="AF577" i="5" s="1"/>
  <c r="AG577" i="5" s="1"/>
  <c r="Q576" i="5"/>
  <c r="R576" i="5" s="1"/>
  <c r="AE576" i="5"/>
  <c r="AF576" i="5" s="1"/>
  <c r="AG576" i="5" s="1"/>
  <c r="Q575" i="5"/>
  <c r="R575" i="5" s="1"/>
  <c r="AE575" i="5"/>
  <c r="AF575" i="5" s="1"/>
  <c r="AG575" i="5" s="1"/>
  <c r="Q574" i="5"/>
  <c r="R574" i="5" s="1"/>
  <c r="AE574" i="5"/>
  <c r="AF574" i="5" s="1"/>
  <c r="AG574" i="5" s="1"/>
  <c r="Q573" i="5"/>
  <c r="R573" i="5" s="1"/>
  <c r="AE573" i="5"/>
  <c r="AF573" i="5" s="1"/>
  <c r="AG573" i="5" s="1"/>
  <c r="Q572" i="5"/>
  <c r="R572" i="5" s="1"/>
  <c r="AE572" i="5"/>
  <c r="AF572" i="5" s="1"/>
  <c r="AG572" i="5" s="1"/>
  <c r="Q571" i="5"/>
  <c r="R571" i="5" s="1"/>
  <c r="AE571" i="5"/>
  <c r="AF571" i="5" s="1"/>
  <c r="AG571" i="5" s="1"/>
  <c r="Q570" i="5"/>
  <c r="R570" i="5" s="1"/>
  <c r="AE570" i="5"/>
  <c r="AF570" i="5" s="1"/>
  <c r="AG570" i="5" s="1"/>
  <c r="U570" i="5"/>
  <c r="AD570" i="5" s="1"/>
  <c r="AC570" i="5"/>
  <c r="Q569" i="5"/>
  <c r="R569" i="5" s="1"/>
  <c r="AE569" i="5"/>
  <c r="AF569" i="5" s="1"/>
  <c r="AG569" i="5" s="1"/>
  <c r="Q568" i="5"/>
  <c r="R568" i="5" s="1"/>
  <c r="AE568" i="5"/>
  <c r="AF568" i="5" s="1"/>
  <c r="AG568" i="5" s="1"/>
  <c r="Q567" i="5"/>
  <c r="R567" i="5" s="1"/>
  <c r="AE567" i="5"/>
  <c r="AF567" i="5" s="1"/>
  <c r="AG567" i="5" s="1"/>
  <c r="Q566" i="5"/>
  <c r="R566" i="5" s="1"/>
  <c r="AE566" i="5"/>
  <c r="AF566" i="5" s="1"/>
  <c r="AG566" i="5" s="1"/>
  <c r="Q565" i="5"/>
  <c r="R565" i="5" s="1"/>
  <c r="AE565" i="5"/>
  <c r="AF565" i="5" s="1"/>
  <c r="AG565" i="5" s="1"/>
  <c r="U565" i="5"/>
  <c r="AD565" i="5" s="1"/>
  <c r="AC565" i="5"/>
  <c r="Q564" i="5"/>
  <c r="R564" i="5" s="1"/>
  <c r="AE564" i="5"/>
  <c r="AF564" i="5" s="1"/>
  <c r="AG564" i="5" s="1"/>
  <c r="U564" i="5"/>
  <c r="AD564" i="5" s="1"/>
  <c r="AC564" i="5"/>
  <c r="Q563" i="5"/>
  <c r="R563" i="5" s="1"/>
  <c r="AE563" i="5"/>
  <c r="AF563" i="5" s="1"/>
  <c r="AG563" i="5" s="1"/>
  <c r="U563" i="5"/>
  <c r="AD563" i="5" s="1"/>
  <c r="AC563" i="5"/>
  <c r="Q562" i="5"/>
  <c r="R562" i="5" s="1"/>
  <c r="AE562" i="5"/>
  <c r="AF562" i="5" s="1"/>
  <c r="AG562" i="5" s="1"/>
  <c r="Q561" i="5"/>
  <c r="R561" i="5" s="1"/>
  <c r="AE561" i="5"/>
  <c r="AF561" i="5" s="1"/>
  <c r="AG561" i="5" s="1"/>
  <c r="Q560" i="5"/>
  <c r="R560" i="5" s="1"/>
  <c r="AE560" i="5"/>
  <c r="AF560" i="5" s="1"/>
  <c r="AG560" i="5" s="1"/>
  <c r="U560" i="5"/>
  <c r="AD560" i="5" s="1"/>
  <c r="AC560" i="5"/>
  <c r="Q559" i="5"/>
  <c r="R559" i="5" s="1"/>
  <c r="AE559" i="5"/>
  <c r="AF559" i="5" s="1"/>
  <c r="AG559" i="5" s="1"/>
  <c r="U559" i="5"/>
  <c r="AD559" i="5" s="1"/>
  <c r="AC559" i="5"/>
  <c r="Q558" i="5"/>
  <c r="R558" i="5" s="1"/>
  <c r="AE558" i="5"/>
  <c r="AF558" i="5" s="1"/>
  <c r="AG558" i="5" s="1"/>
  <c r="Q557" i="5"/>
  <c r="R557" i="5" s="1"/>
  <c r="AE557" i="5"/>
  <c r="AF557" i="5" s="1"/>
  <c r="AG557" i="5" s="1"/>
  <c r="Q556" i="5"/>
  <c r="R556" i="5" s="1"/>
  <c r="AE556" i="5"/>
  <c r="AF556" i="5" s="1"/>
  <c r="AG556" i="5" s="1"/>
  <c r="Q555" i="5"/>
  <c r="R555" i="5" s="1"/>
  <c r="AE555" i="5"/>
  <c r="AF555" i="5" s="1"/>
  <c r="AG555" i="5" s="1"/>
  <c r="U555" i="5"/>
  <c r="AD555" i="5" s="1"/>
  <c r="AC555" i="5"/>
  <c r="Q554" i="5"/>
  <c r="R554" i="5" s="1"/>
  <c r="AE554" i="5"/>
  <c r="AF554" i="5" s="1"/>
  <c r="AG554" i="5" s="1"/>
  <c r="U554" i="5"/>
  <c r="AD554" i="5" s="1"/>
  <c r="AC554" i="5"/>
  <c r="Q553" i="5"/>
  <c r="R553" i="5" s="1"/>
  <c r="AE553" i="5"/>
  <c r="AF553" i="5" s="1"/>
  <c r="AG553" i="5" s="1"/>
  <c r="U553" i="5"/>
  <c r="AD553" i="5" s="1"/>
  <c r="AC553" i="5"/>
  <c r="Q552" i="5"/>
  <c r="R552" i="5" s="1"/>
  <c r="AE552" i="5"/>
  <c r="AF552" i="5" s="1"/>
  <c r="AG552" i="5" s="1"/>
  <c r="U552" i="5"/>
  <c r="AD552" i="5" s="1"/>
  <c r="AC552" i="5"/>
  <c r="Q551" i="5"/>
  <c r="R551" i="5" s="1"/>
  <c r="AE551" i="5"/>
  <c r="AF551" i="5" s="1"/>
  <c r="AG551" i="5" s="1"/>
  <c r="Q550" i="5"/>
  <c r="R550" i="5" s="1"/>
  <c r="AE550" i="5"/>
  <c r="AF550" i="5" s="1"/>
  <c r="AG550" i="5" s="1"/>
  <c r="Q549" i="5"/>
  <c r="R549" i="5" s="1"/>
  <c r="AE549" i="5"/>
  <c r="AF549" i="5" s="1"/>
  <c r="AG549" i="5" s="1"/>
  <c r="Q548" i="5"/>
  <c r="R548" i="5" s="1"/>
  <c r="AE548" i="5"/>
  <c r="AF548" i="5" s="1"/>
  <c r="AG548" i="5" s="1"/>
  <c r="Q547" i="5"/>
  <c r="R547" i="5" s="1"/>
  <c r="AE547" i="5"/>
  <c r="AF547" i="5" s="1"/>
  <c r="U547" i="5"/>
  <c r="AD547" i="5" s="1"/>
  <c r="AC547" i="5"/>
  <c r="Q546" i="5"/>
  <c r="R546" i="5" s="1"/>
  <c r="AE546" i="5"/>
  <c r="AF546" i="5" s="1"/>
  <c r="AG546" i="5" s="1"/>
  <c r="U546" i="5"/>
  <c r="AD546" i="5" s="1"/>
  <c r="AC546" i="5"/>
  <c r="Q545" i="5"/>
  <c r="R545" i="5" s="1"/>
  <c r="AE545" i="5"/>
  <c r="AF545" i="5" s="1"/>
  <c r="AG545" i="5" s="1"/>
  <c r="U545" i="5"/>
  <c r="AD545" i="5" s="1"/>
  <c r="AC545" i="5"/>
  <c r="Q544" i="5"/>
  <c r="R544" i="5" s="1"/>
  <c r="AE544" i="5"/>
  <c r="AF544" i="5" s="1"/>
  <c r="AG544" i="5" s="1"/>
  <c r="U544" i="5"/>
  <c r="AD544" i="5" s="1"/>
  <c r="AC544" i="5"/>
  <c r="Q543" i="5"/>
  <c r="R543" i="5" s="1"/>
  <c r="AE543" i="5"/>
  <c r="AF543" i="5" s="1"/>
  <c r="AG543" i="5" s="1"/>
  <c r="Q542" i="5"/>
  <c r="R542" i="5" s="1"/>
  <c r="AE542" i="5"/>
  <c r="AF542" i="5" s="1"/>
  <c r="AG542" i="5" s="1"/>
  <c r="Q541" i="5"/>
  <c r="R541" i="5" s="1"/>
  <c r="S541" i="5" s="1"/>
  <c r="T541" i="5" s="1"/>
  <c r="AE541" i="5"/>
  <c r="AF541" i="5" s="1"/>
  <c r="AG541" i="5" s="1"/>
  <c r="Q540" i="5"/>
  <c r="R540" i="5" s="1"/>
  <c r="S540" i="5" s="1"/>
  <c r="T540" i="5" s="1"/>
  <c r="AE540" i="5"/>
  <c r="AF540" i="5" s="1"/>
  <c r="AG540" i="5" s="1"/>
  <c r="Q539" i="5"/>
  <c r="R539" i="5" s="1"/>
  <c r="S539" i="5" s="1"/>
  <c r="T539" i="5" s="1"/>
  <c r="AE539" i="5"/>
  <c r="AF539" i="5" s="1"/>
  <c r="AG539" i="5" s="1"/>
  <c r="Q538" i="5"/>
  <c r="R538" i="5" s="1"/>
  <c r="S538" i="5" s="1"/>
  <c r="T538" i="5" s="1"/>
  <c r="AE538" i="5"/>
  <c r="AF538" i="5" s="1"/>
  <c r="AG538" i="5" s="1"/>
  <c r="Q537" i="5"/>
  <c r="R537" i="5" s="1"/>
  <c r="S537" i="5" s="1"/>
  <c r="T537" i="5" s="1"/>
  <c r="AE537" i="5"/>
  <c r="AF537" i="5" s="1"/>
  <c r="AG537" i="5" s="1"/>
  <c r="Q536" i="5"/>
  <c r="R536" i="5" s="1"/>
  <c r="S536" i="5" s="1"/>
  <c r="T536" i="5" s="1"/>
  <c r="AE536" i="5"/>
  <c r="AF536" i="5" s="1"/>
  <c r="AG536" i="5" s="1"/>
  <c r="Q534" i="5"/>
  <c r="R534" i="5" s="1"/>
  <c r="AE534" i="5"/>
  <c r="AF534" i="5" s="1"/>
  <c r="AG534" i="5" s="1"/>
  <c r="Q533" i="5"/>
  <c r="R533" i="5" s="1"/>
  <c r="AE533" i="5"/>
  <c r="AF533" i="5" s="1"/>
  <c r="AG533" i="5" s="1"/>
  <c r="U533" i="5"/>
  <c r="AD533" i="5" s="1"/>
  <c r="AC533" i="5"/>
  <c r="Q532" i="5"/>
  <c r="R532" i="5" s="1"/>
  <c r="AE532" i="5"/>
  <c r="AF532" i="5" s="1"/>
  <c r="AG532" i="5" s="1"/>
  <c r="Q531" i="5"/>
  <c r="R531" i="5" s="1"/>
  <c r="AE531" i="5"/>
  <c r="AF531" i="5" s="1"/>
  <c r="AG531" i="5" s="1"/>
  <c r="U531" i="5"/>
  <c r="AD531" i="5" s="1"/>
  <c r="AC531" i="5"/>
  <c r="Q530" i="5"/>
  <c r="R530" i="5" s="1"/>
  <c r="AE530" i="5"/>
  <c r="AF530" i="5" s="1"/>
  <c r="AG530" i="5" s="1"/>
  <c r="U530" i="5"/>
  <c r="AD530" i="5" s="1"/>
  <c r="AC530" i="5"/>
  <c r="Q529" i="5"/>
  <c r="R529" i="5" s="1"/>
  <c r="AE529" i="5"/>
  <c r="AF529" i="5" s="1"/>
  <c r="AG529" i="5" s="1"/>
  <c r="Q528" i="5"/>
  <c r="R528" i="5" s="1"/>
  <c r="AE528" i="5"/>
  <c r="AF528" i="5" s="1"/>
  <c r="AG528" i="5" s="1"/>
  <c r="Q527" i="5"/>
  <c r="R527" i="5" s="1"/>
  <c r="AE527" i="5"/>
  <c r="AF527" i="5" s="1"/>
  <c r="AG527" i="5" s="1"/>
  <c r="Q526" i="5"/>
  <c r="R526" i="5" s="1"/>
  <c r="AE526" i="5"/>
  <c r="AF526" i="5" s="1"/>
  <c r="U526" i="5"/>
  <c r="AD526" i="5" s="1"/>
  <c r="AC526" i="5"/>
  <c r="Q525" i="5"/>
  <c r="R525" i="5" s="1"/>
  <c r="AE525" i="5"/>
  <c r="AF525" i="5" s="1"/>
  <c r="U525" i="5"/>
  <c r="AD525" i="5" s="1"/>
  <c r="AC525" i="5"/>
  <c r="Q524" i="5"/>
  <c r="R524" i="5" s="1"/>
  <c r="AE524" i="5"/>
  <c r="AF524" i="5" s="1"/>
  <c r="U524" i="5"/>
  <c r="AD524" i="5" s="1"/>
  <c r="AC524" i="5"/>
  <c r="Q523" i="5"/>
  <c r="R523" i="5" s="1"/>
  <c r="AE523" i="5"/>
  <c r="AF523" i="5" s="1"/>
  <c r="U523" i="5"/>
  <c r="AD523" i="5" s="1"/>
  <c r="AC523" i="5"/>
  <c r="Q522" i="5"/>
  <c r="R522" i="5" s="1"/>
  <c r="AE522" i="5"/>
  <c r="AF522" i="5" s="1"/>
  <c r="AG522" i="5" s="1"/>
  <c r="U522" i="5"/>
  <c r="AD522" i="5" s="1"/>
  <c r="AC522" i="5"/>
  <c r="Q521" i="5"/>
  <c r="R521" i="5" s="1"/>
  <c r="AE521" i="5"/>
  <c r="AF521" i="5" s="1"/>
  <c r="AG521" i="5" s="1"/>
  <c r="U521" i="5"/>
  <c r="AD521" i="5" s="1"/>
  <c r="AC521" i="5"/>
  <c r="Q520" i="5"/>
  <c r="R520" i="5" s="1"/>
  <c r="AE520" i="5"/>
  <c r="AF520" i="5" s="1"/>
  <c r="AG520" i="5" s="1"/>
  <c r="Q519" i="5"/>
  <c r="R519" i="5" s="1"/>
  <c r="AE519" i="5"/>
  <c r="AF519" i="5" s="1"/>
  <c r="AG519" i="5" s="1"/>
  <c r="U519" i="5"/>
  <c r="AD519" i="5" s="1"/>
  <c r="AC519" i="5"/>
  <c r="Q518" i="5"/>
  <c r="R518" i="5" s="1"/>
  <c r="AE518" i="5"/>
  <c r="AF518" i="5" s="1"/>
  <c r="AG518" i="5" s="1"/>
  <c r="Q517" i="5"/>
  <c r="R517" i="5" s="1"/>
  <c r="AE517" i="5"/>
  <c r="AF517" i="5" s="1"/>
  <c r="AG517" i="5" s="1"/>
  <c r="Q516" i="5"/>
  <c r="R516" i="5" s="1"/>
  <c r="AE516" i="5"/>
  <c r="AF516" i="5" s="1"/>
  <c r="AG516" i="5" s="1"/>
  <c r="Q515" i="5"/>
  <c r="R515" i="5" s="1"/>
  <c r="AE515" i="5"/>
  <c r="AF515" i="5" s="1"/>
  <c r="AG515" i="5" s="1"/>
  <c r="Q514" i="5"/>
  <c r="R514" i="5" s="1"/>
  <c r="S514" i="5" s="1"/>
  <c r="T514" i="5" s="1"/>
  <c r="AE514" i="5"/>
  <c r="AF514" i="5" s="1"/>
  <c r="AG514" i="5" s="1"/>
  <c r="Q513" i="5"/>
  <c r="R513" i="5" s="1"/>
  <c r="S513" i="5" s="1"/>
  <c r="T513" i="5" s="1"/>
  <c r="AE513" i="5"/>
  <c r="AF513" i="5" s="1"/>
  <c r="AG513" i="5" s="1"/>
  <c r="Q512" i="5"/>
  <c r="R512" i="5" s="1"/>
  <c r="S512" i="5" s="1"/>
  <c r="T512" i="5" s="1"/>
  <c r="AE512" i="5"/>
  <c r="AF512" i="5" s="1"/>
  <c r="AG512" i="5" s="1"/>
  <c r="Q511" i="5"/>
  <c r="R511" i="5" s="1"/>
  <c r="S511" i="5" s="1"/>
  <c r="T511" i="5" s="1"/>
  <c r="AE511" i="5"/>
  <c r="AF511" i="5" s="1"/>
  <c r="AG511" i="5" s="1"/>
  <c r="Q510" i="5"/>
  <c r="R510" i="5" s="1"/>
  <c r="S510" i="5" s="1"/>
  <c r="T510" i="5" s="1"/>
  <c r="AE510" i="5"/>
  <c r="AF510" i="5" s="1"/>
  <c r="AG510" i="5" s="1"/>
  <c r="Q509" i="5"/>
  <c r="R509" i="5" s="1"/>
  <c r="S509" i="5" s="1"/>
  <c r="T509" i="5" s="1"/>
  <c r="AE509" i="5"/>
  <c r="AF509" i="5" s="1"/>
  <c r="AG509" i="5" s="1"/>
  <c r="Q508" i="5"/>
  <c r="R508" i="5" s="1"/>
  <c r="S508" i="5" s="1"/>
  <c r="T508" i="5" s="1"/>
  <c r="AE508" i="5"/>
  <c r="AF508" i="5" s="1"/>
  <c r="AG508" i="5" s="1"/>
  <c r="Q507" i="5"/>
  <c r="R507" i="5" s="1"/>
  <c r="S507" i="5" s="1"/>
  <c r="T507" i="5" s="1"/>
  <c r="AE507" i="5"/>
  <c r="AF507" i="5" s="1"/>
  <c r="AG507" i="5" s="1"/>
  <c r="Q506" i="5"/>
  <c r="R506" i="5" s="1"/>
  <c r="S506" i="5" s="1"/>
  <c r="T506" i="5" s="1"/>
  <c r="AE506" i="5"/>
  <c r="AF506" i="5" s="1"/>
  <c r="AG506" i="5" s="1"/>
  <c r="Q505" i="5"/>
  <c r="R505" i="5" s="1"/>
  <c r="S505" i="5" s="1"/>
  <c r="T505" i="5" s="1"/>
  <c r="AE505" i="5"/>
  <c r="AF505" i="5" s="1"/>
  <c r="AG505" i="5" s="1"/>
  <c r="Q504" i="5"/>
  <c r="R504" i="5" s="1"/>
  <c r="S504" i="5" s="1"/>
  <c r="T504" i="5" s="1"/>
  <c r="AE504" i="5"/>
  <c r="AF504" i="5" s="1"/>
  <c r="AG504" i="5" s="1"/>
  <c r="N503" i="5"/>
  <c r="Q503" i="5"/>
  <c r="R503" i="5" s="1"/>
  <c r="S503" i="5" s="1"/>
  <c r="T503" i="5" s="1"/>
  <c r="AE503" i="5"/>
  <c r="AF503" i="5" s="1"/>
  <c r="AG503" i="5" s="1"/>
  <c r="Q502" i="5"/>
  <c r="R502" i="5" s="1"/>
  <c r="S502" i="5" s="1"/>
  <c r="T502" i="5" s="1"/>
  <c r="AE502" i="5"/>
  <c r="AF502" i="5" s="1"/>
  <c r="Q501" i="5"/>
  <c r="R501" i="5" s="1"/>
  <c r="S501" i="5" s="1"/>
  <c r="T501" i="5" s="1"/>
  <c r="AE501" i="5"/>
  <c r="AF501" i="5" s="1"/>
  <c r="N500" i="5"/>
  <c r="Q500" i="5"/>
  <c r="R500" i="5" s="1"/>
  <c r="S500" i="5" s="1"/>
  <c r="T500" i="5" s="1"/>
  <c r="AE500" i="5"/>
  <c r="AF500" i="5" s="1"/>
  <c r="N499" i="5"/>
  <c r="Q499" i="5"/>
  <c r="R499" i="5" s="1"/>
  <c r="S499" i="5" s="1"/>
  <c r="T499" i="5" s="1"/>
  <c r="AE499" i="5"/>
  <c r="AF499" i="5" s="1"/>
  <c r="Q498" i="5"/>
  <c r="R498" i="5" s="1"/>
  <c r="S498" i="5" s="1"/>
  <c r="T498" i="5" s="1"/>
  <c r="AE498" i="5"/>
  <c r="AF498" i="5" s="1"/>
  <c r="AG498" i="5" s="1"/>
  <c r="N497" i="5"/>
  <c r="Q497" i="5"/>
  <c r="R497" i="5" s="1"/>
  <c r="S497" i="5" s="1"/>
  <c r="T497" i="5" s="1"/>
  <c r="AE497" i="5"/>
  <c r="AF497" i="5" s="1"/>
  <c r="AG497" i="5" s="1"/>
  <c r="N496" i="5"/>
  <c r="Q496" i="5"/>
  <c r="R496" i="5" s="1"/>
  <c r="S496" i="5" s="1"/>
  <c r="T496" i="5" s="1"/>
  <c r="AE496" i="5"/>
  <c r="AF496" i="5" s="1"/>
  <c r="AG496" i="5" s="1"/>
  <c r="N495" i="5"/>
  <c r="Q495" i="5"/>
  <c r="R495" i="5" s="1"/>
  <c r="S495" i="5" s="1"/>
  <c r="T495" i="5" s="1"/>
  <c r="AE495" i="5"/>
  <c r="AF495" i="5" s="1"/>
  <c r="AG495" i="5" s="1"/>
  <c r="N494" i="5"/>
  <c r="Q494" i="5"/>
  <c r="R494" i="5" s="1"/>
  <c r="S494" i="5" s="1"/>
  <c r="T494" i="5" s="1"/>
  <c r="AE494" i="5"/>
  <c r="AF494" i="5" s="1"/>
  <c r="AG494" i="5" s="1"/>
  <c r="N493" i="5"/>
  <c r="Q493" i="5"/>
  <c r="R493" i="5" s="1"/>
  <c r="S493" i="5" s="1"/>
  <c r="T493" i="5" s="1"/>
  <c r="AE493" i="5"/>
  <c r="AF493" i="5" s="1"/>
  <c r="AG493" i="5" s="1"/>
  <c r="N492" i="5"/>
  <c r="Q492" i="5"/>
  <c r="R492" i="5" s="1"/>
  <c r="S492" i="5" s="1"/>
  <c r="T492" i="5" s="1"/>
  <c r="AE492" i="5"/>
  <c r="AF492" i="5" s="1"/>
  <c r="AG492" i="5" s="1"/>
  <c r="N491" i="5"/>
  <c r="Q491" i="5"/>
  <c r="R491" i="5" s="1"/>
  <c r="S491" i="5" s="1"/>
  <c r="T491" i="5" s="1"/>
  <c r="AE491" i="5"/>
  <c r="AF491" i="5" s="1"/>
  <c r="AG491" i="5" s="1"/>
  <c r="N490" i="5"/>
  <c r="Q490" i="5"/>
  <c r="R490" i="5" s="1"/>
  <c r="S490" i="5" s="1"/>
  <c r="T490" i="5" s="1"/>
  <c r="AE490" i="5"/>
  <c r="AF490" i="5" s="1"/>
  <c r="AG490" i="5" s="1"/>
  <c r="N489" i="5"/>
  <c r="Q489" i="5"/>
  <c r="R489" i="5" s="1"/>
  <c r="S489" i="5" s="1"/>
  <c r="T489" i="5" s="1"/>
  <c r="AE489" i="5"/>
  <c r="AF489" i="5" s="1"/>
  <c r="AG489" i="5" s="1"/>
  <c r="Q488" i="5"/>
  <c r="R488" i="5" s="1"/>
  <c r="S488" i="5" s="1"/>
  <c r="T488" i="5" s="1"/>
  <c r="AE488" i="5"/>
  <c r="AF488" i="5" s="1"/>
  <c r="AG488" i="5" s="1"/>
  <c r="N487" i="5"/>
  <c r="Q487" i="5"/>
  <c r="R487" i="5" s="1"/>
  <c r="S487" i="5" s="1"/>
  <c r="T487" i="5" s="1"/>
  <c r="AE487" i="5"/>
  <c r="AF487" i="5" s="1"/>
  <c r="AG487" i="5" s="1"/>
  <c r="N486" i="5"/>
  <c r="Q486" i="5"/>
  <c r="R486" i="5" s="1"/>
  <c r="S486" i="5" s="1"/>
  <c r="T486" i="5" s="1"/>
  <c r="AE486" i="5"/>
  <c r="AF486" i="5" s="1"/>
  <c r="AG486" i="5" s="1"/>
  <c r="N485" i="5"/>
  <c r="Q485" i="5"/>
  <c r="R485" i="5" s="1"/>
  <c r="S485" i="5" s="1"/>
  <c r="T485" i="5" s="1"/>
  <c r="AE485" i="5"/>
  <c r="AF485" i="5" s="1"/>
  <c r="AG485" i="5" s="1"/>
  <c r="Q484" i="5"/>
  <c r="R484" i="5" s="1"/>
  <c r="S484" i="5" s="1"/>
  <c r="T484" i="5" s="1"/>
  <c r="AE484" i="5"/>
  <c r="AF484" i="5" s="1"/>
  <c r="AG484" i="5" s="1"/>
  <c r="Q483" i="5"/>
  <c r="R483" i="5" s="1"/>
  <c r="S483" i="5" s="1"/>
  <c r="T483" i="5" s="1"/>
  <c r="AE483" i="5"/>
  <c r="AF483" i="5" s="1"/>
  <c r="AG483" i="5" s="1"/>
  <c r="N482" i="5"/>
  <c r="Q482" i="5"/>
  <c r="R482" i="5" s="1"/>
  <c r="S482" i="5" s="1"/>
  <c r="T482" i="5" s="1"/>
  <c r="AE482" i="5"/>
  <c r="AF482" i="5" s="1"/>
  <c r="AG482" i="5" s="1"/>
  <c r="N481" i="5"/>
  <c r="Q481" i="5"/>
  <c r="R481" i="5" s="1"/>
  <c r="S481" i="5" s="1"/>
  <c r="T481" i="5" s="1"/>
  <c r="AE481" i="5"/>
  <c r="AF481" i="5" s="1"/>
  <c r="AG481" i="5" s="1"/>
  <c r="Q480" i="5"/>
  <c r="R480" i="5" s="1"/>
  <c r="S480" i="5" s="1"/>
  <c r="T480" i="5" s="1"/>
  <c r="AE480" i="5"/>
  <c r="AF480" i="5" s="1"/>
  <c r="AG480" i="5" s="1"/>
  <c r="Q479" i="5"/>
  <c r="R479" i="5" s="1"/>
  <c r="S479" i="5" s="1"/>
  <c r="T479" i="5" s="1"/>
  <c r="AE479" i="5"/>
  <c r="AF479" i="5" s="1"/>
  <c r="AG479" i="5" s="1"/>
  <c r="AC478" i="5"/>
  <c r="N478" i="5"/>
  <c r="AD478" i="5" s="1"/>
  <c r="Q478" i="5"/>
  <c r="R478" i="5" s="1"/>
  <c r="AE478" i="5"/>
  <c r="AF478" i="5" s="1"/>
  <c r="AG478" i="5" s="1"/>
  <c r="N477" i="5"/>
  <c r="Q477" i="5"/>
  <c r="R477" i="5" s="1"/>
  <c r="S477" i="5" s="1"/>
  <c r="T477" i="5" s="1"/>
  <c r="AE477" i="5"/>
  <c r="AF477" i="5" s="1"/>
  <c r="Q476" i="5"/>
  <c r="R476" i="5" s="1"/>
  <c r="AE476" i="5"/>
  <c r="AF476" i="5" s="1"/>
  <c r="AG476" i="5" s="1"/>
  <c r="Q475" i="5"/>
  <c r="R475" i="5" s="1"/>
  <c r="AE475" i="5"/>
  <c r="AF475" i="5" s="1"/>
  <c r="AG475" i="5" s="1"/>
  <c r="Q474" i="5"/>
  <c r="R474" i="5" s="1"/>
  <c r="AE474" i="5"/>
  <c r="AF474" i="5" s="1"/>
  <c r="AG474" i="5" s="1"/>
  <c r="Q473" i="5"/>
  <c r="R473" i="5" s="1"/>
  <c r="AE473" i="5"/>
  <c r="AF473" i="5" s="1"/>
  <c r="AG473" i="5" s="1"/>
  <c r="U473" i="5"/>
  <c r="AD473" i="5" s="1"/>
  <c r="AC473" i="5"/>
  <c r="Q472" i="5"/>
  <c r="R472" i="5" s="1"/>
  <c r="AE472" i="5"/>
  <c r="AF472" i="5" s="1"/>
  <c r="AG472" i="5" s="1"/>
  <c r="U472" i="5"/>
  <c r="AD472" i="5" s="1"/>
  <c r="AC472" i="5"/>
  <c r="Q471" i="5"/>
  <c r="R471" i="5" s="1"/>
  <c r="AE471" i="5"/>
  <c r="AF471" i="5" s="1"/>
  <c r="AG471" i="5" s="1"/>
  <c r="U471" i="5"/>
  <c r="AD471" i="5" s="1"/>
  <c r="AC471" i="5"/>
  <c r="Q470" i="5"/>
  <c r="R470" i="5" s="1"/>
  <c r="AE470" i="5"/>
  <c r="AF470" i="5" s="1"/>
  <c r="AG470" i="5" s="1"/>
  <c r="U470" i="5"/>
  <c r="AD470" i="5" s="1"/>
  <c r="AC470" i="5"/>
  <c r="Q469" i="5"/>
  <c r="R469" i="5" s="1"/>
  <c r="AE469" i="5"/>
  <c r="AF469" i="5" s="1"/>
  <c r="AG469" i="5" s="1"/>
  <c r="U469" i="5"/>
  <c r="AD469" i="5" s="1"/>
  <c r="AC469" i="5"/>
  <c r="Q468" i="5"/>
  <c r="R468" i="5" s="1"/>
  <c r="AE468" i="5"/>
  <c r="AF468" i="5" s="1"/>
  <c r="AG468" i="5" s="1"/>
  <c r="U468" i="5"/>
  <c r="AD468" i="5" s="1"/>
  <c r="AC468" i="5"/>
  <c r="Q467" i="5"/>
  <c r="R467" i="5" s="1"/>
  <c r="AE467" i="5"/>
  <c r="AF467" i="5" s="1"/>
  <c r="AG467" i="5" s="1"/>
  <c r="U467" i="5"/>
  <c r="AD467" i="5" s="1"/>
  <c r="AC467" i="5"/>
  <c r="Q466" i="5"/>
  <c r="R466" i="5" s="1"/>
  <c r="AE466" i="5"/>
  <c r="AF466" i="5" s="1"/>
  <c r="AG466" i="5" s="1"/>
  <c r="Q465" i="5"/>
  <c r="R465" i="5" s="1"/>
  <c r="AE465" i="5"/>
  <c r="AF465" i="5" s="1"/>
  <c r="AG465" i="5" s="1"/>
  <c r="U465" i="5"/>
  <c r="AD465" i="5" s="1"/>
  <c r="AC465" i="5"/>
  <c r="Q464" i="5"/>
  <c r="R464" i="5" s="1"/>
  <c r="AE464" i="5"/>
  <c r="AF464" i="5" s="1"/>
  <c r="AG464" i="5" s="1"/>
  <c r="Q463" i="5"/>
  <c r="R463" i="5" s="1"/>
  <c r="AE463" i="5"/>
  <c r="AF463" i="5" s="1"/>
  <c r="AG463" i="5" s="1"/>
  <c r="U463" i="5"/>
  <c r="AD463" i="5" s="1"/>
  <c r="AC463" i="5"/>
  <c r="Q462" i="5"/>
  <c r="R462" i="5" s="1"/>
  <c r="AE462" i="5"/>
  <c r="AF462" i="5" s="1"/>
  <c r="AG462" i="5" s="1"/>
  <c r="U462" i="5"/>
  <c r="AD462" i="5" s="1"/>
  <c r="AC462" i="5"/>
  <c r="Q461" i="5"/>
  <c r="R461" i="5" s="1"/>
  <c r="AE461" i="5"/>
  <c r="AF461" i="5" s="1"/>
  <c r="AG461" i="5" s="1"/>
  <c r="Q460" i="5"/>
  <c r="R460" i="5" s="1"/>
  <c r="AE460" i="5"/>
  <c r="AF460" i="5" s="1"/>
  <c r="AG460" i="5" s="1"/>
  <c r="U460" i="5"/>
  <c r="AD460" i="5" s="1"/>
  <c r="AC460" i="5"/>
  <c r="Q459" i="5"/>
  <c r="R459" i="5" s="1"/>
  <c r="AE459" i="5"/>
  <c r="AF459" i="5" s="1"/>
  <c r="AG459" i="5" s="1"/>
  <c r="Q458" i="5"/>
  <c r="R458" i="5" s="1"/>
  <c r="AE458" i="5"/>
  <c r="AF458" i="5" s="1"/>
  <c r="AG458" i="5" s="1"/>
  <c r="Q457" i="5"/>
  <c r="R457" i="5" s="1"/>
  <c r="AE457" i="5"/>
  <c r="AF457" i="5" s="1"/>
  <c r="AG457" i="5" s="1"/>
  <c r="Q456" i="5"/>
  <c r="R456" i="5" s="1"/>
  <c r="AE456" i="5"/>
  <c r="AF456" i="5" s="1"/>
  <c r="AG456" i="5" s="1"/>
  <c r="Q455" i="5"/>
  <c r="R455" i="5" s="1"/>
  <c r="AE455" i="5"/>
  <c r="AF455" i="5" s="1"/>
  <c r="AG455" i="5" s="1"/>
  <c r="Q454" i="5"/>
  <c r="R454" i="5" s="1"/>
  <c r="AE454" i="5"/>
  <c r="AF454" i="5" s="1"/>
  <c r="AG454" i="5" s="1"/>
  <c r="Q453" i="5"/>
  <c r="R453" i="5" s="1"/>
  <c r="AE453" i="5"/>
  <c r="AF453" i="5" s="1"/>
  <c r="U453" i="5"/>
  <c r="AD453" i="5" s="1"/>
  <c r="AC453" i="5"/>
  <c r="Q452" i="5"/>
  <c r="R452" i="5" s="1"/>
  <c r="AE452" i="5"/>
  <c r="AF452" i="5" s="1"/>
  <c r="Q451" i="5"/>
  <c r="R451" i="5" s="1"/>
  <c r="AE451" i="5"/>
  <c r="AF451" i="5" s="1"/>
  <c r="Q450" i="5"/>
  <c r="R450" i="5" s="1"/>
  <c r="AE450" i="5"/>
  <c r="AF450" i="5" s="1"/>
  <c r="AG450" i="5" s="1"/>
  <c r="Q449" i="5"/>
  <c r="R449" i="5" s="1"/>
  <c r="AE449" i="5"/>
  <c r="AF449" i="5" s="1"/>
  <c r="AG449" i="5" s="1"/>
  <c r="U449" i="5"/>
  <c r="AD449" i="5" s="1"/>
  <c r="AC449" i="5"/>
  <c r="Q448" i="5"/>
  <c r="R448" i="5" s="1"/>
  <c r="AE448" i="5"/>
  <c r="AF448" i="5" s="1"/>
  <c r="AG448" i="5" s="1"/>
  <c r="Q447" i="5"/>
  <c r="R447" i="5" s="1"/>
  <c r="AE447" i="5"/>
  <c r="AF447" i="5" s="1"/>
  <c r="AG447" i="5" s="1"/>
  <c r="Q446" i="5"/>
  <c r="R446" i="5" s="1"/>
  <c r="AE446" i="5"/>
  <c r="AF446" i="5" s="1"/>
  <c r="AG446" i="5" s="1"/>
  <c r="U446" i="5"/>
  <c r="AD446" i="5" s="1"/>
  <c r="AC446" i="5"/>
  <c r="Q445" i="5"/>
  <c r="R445" i="5" s="1"/>
  <c r="AE445" i="5"/>
  <c r="AF445" i="5" s="1"/>
  <c r="AG445" i="5" s="1"/>
  <c r="Q444" i="5"/>
  <c r="R444" i="5" s="1"/>
  <c r="AE444" i="5"/>
  <c r="AF444" i="5" s="1"/>
  <c r="AG444" i="5" s="1"/>
  <c r="Q443" i="5"/>
  <c r="R443" i="5" s="1"/>
  <c r="AE443" i="5"/>
  <c r="AF443" i="5" s="1"/>
  <c r="AG443" i="5" s="1"/>
  <c r="U443" i="5"/>
  <c r="AD443" i="5" s="1"/>
  <c r="AC443" i="5"/>
  <c r="Q442" i="5"/>
  <c r="R442" i="5" s="1"/>
  <c r="S442" i="5" s="1"/>
  <c r="T442" i="5" s="1"/>
  <c r="AE442" i="5"/>
  <c r="AF442" i="5" s="1"/>
  <c r="AG442" i="5" s="1"/>
  <c r="Q441" i="5"/>
  <c r="R441" i="5" s="1"/>
  <c r="AE441" i="5"/>
  <c r="AF441" i="5" s="1"/>
  <c r="AG441" i="5" s="1"/>
  <c r="U441" i="5"/>
  <c r="AD441" i="5" s="1"/>
  <c r="AC441" i="5"/>
  <c r="Q440" i="5"/>
  <c r="R440" i="5" s="1"/>
  <c r="AE440" i="5"/>
  <c r="AF440" i="5" s="1"/>
  <c r="AG440" i="5" s="1"/>
  <c r="Q439" i="5"/>
  <c r="R439" i="5" s="1"/>
  <c r="S439" i="5" s="1"/>
  <c r="T439" i="5" s="1"/>
  <c r="AE439" i="5"/>
  <c r="AF439" i="5" s="1"/>
  <c r="AG439" i="5" s="1"/>
  <c r="Q438" i="5"/>
  <c r="R438" i="5" s="1"/>
  <c r="AE438" i="5"/>
  <c r="AF438" i="5" s="1"/>
  <c r="AG438" i="5" s="1"/>
  <c r="Q437" i="5"/>
  <c r="R437" i="5" s="1"/>
  <c r="S437" i="5" s="1"/>
  <c r="T437" i="5" s="1"/>
  <c r="AE437" i="5"/>
  <c r="AF437" i="5" s="1"/>
  <c r="AG437" i="5" s="1"/>
  <c r="Q436" i="5"/>
  <c r="R436" i="5" s="1"/>
  <c r="S436" i="5" s="1"/>
  <c r="T436" i="5" s="1"/>
  <c r="AE436" i="5"/>
  <c r="AF436" i="5" s="1"/>
  <c r="AG436" i="5" s="1"/>
  <c r="Q435" i="5"/>
  <c r="R435" i="5" s="1"/>
  <c r="S435" i="5" s="1"/>
  <c r="T435" i="5" s="1"/>
  <c r="AE435" i="5"/>
  <c r="AF435" i="5" s="1"/>
  <c r="AG435" i="5" s="1"/>
  <c r="Q434" i="5"/>
  <c r="R434" i="5" s="1"/>
  <c r="AE434" i="5"/>
  <c r="AF434" i="5" s="1"/>
  <c r="AG434" i="5" s="1"/>
  <c r="Q433" i="5"/>
  <c r="R433" i="5" s="1"/>
  <c r="AE433" i="5"/>
  <c r="AF433" i="5" s="1"/>
  <c r="AG433" i="5" s="1"/>
  <c r="U433" i="5"/>
  <c r="AD433" i="5" s="1"/>
  <c r="AC433" i="5"/>
  <c r="Q432" i="5"/>
  <c r="R432" i="5" s="1"/>
  <c r="AE432" i="5"/>
  <c r="AF432" i="5" s="1"/>
  <c r="AG432" i="5" s="1"/>
  <c r="Q431" i="5"/>
  <c r="R431" i="5" s="1"/>
  <c r="S431" i="5" s="1"/>
  <c r="T431" i="5" s="1"/>
  <c r="AE431" i="5"/>
  <c r="AF431" i="5" s="1"/>
  <c r="AG431" i="5" s="1"/>
  <c r="Q430" i="5"/>
  <c r="R430" i="5" s="1"/>
  <c r="AE430" i="5"/>
  <c r="AF430" i="5" s="1"/>
  <c r="AG430" i="5" s="1"/>
  <c r="Q429" i="5"/>
  <c r="R429" i="5" s="1"/>
  <c r="AE429" i="5"/>
  <c r="AF429" i="5" s="1"/>
  <c r="AG429" i="5" s="1"/>
  <c r="U429" i="5"/>
  <c r="AD429" i="5" s="1"/>
  <c r="AC429" i="5"/>
  <c r="Q428" i="5"/>
  <c r="R428" i="5" s="1"/>
  <c r="S428" i="5" s="1"/>
  <c r="T428" i="5" s="1"/>
  <c r="AE428" i="5"/>
  <c r="AF428" i="5" s="1"/>
  <c r="AG428" i="5" s="1"/>
  <c r="Q427" i="5"/>
  <c r="R427" i="5" s="1"/>
  <c r="AE427" i="5"/>
  <c r="AF427" i="5" s="1"/>
  <c r="AG427" i="5" s="1"/>
  <c r="Q426" i="5"/>
  <c r="R426" i="5" s="1"/>
  <c r="AE426" i="5"/>
  <c r="AF426" i="5" s="1"/>
  <c r="AG426" i="5" s="1"/>
  <c r="U426" i="5"/>
  <c r="AD426" i="5" s="1"/>
  <c r="AC426" i="5"/>
  <c r="Q425" i="5"/>
  <c r="R425" i="5" s="1"/>
  <c r="AE425" i="5"/>
  <c r="AF425" i="5" s="1"/>
  <c r="AG425" i="5" s="1"/>
  <c r="Q424" i="5"/>
  <c r="R424" i="5" s="1"/>
  <c r="AE424" i="5"/>
  <c r="AF424" i="5" s="1"/>
  <c r="AG424" i="5" s="1"/>
  <c r="Q423" i="5"/>
  <c r="R423" i="5" s="1"/>
  <c r="AE423" i="5"/>
  <c r="AF423" i="5" s="1"/>
  <c r="AG423" i="5" s="1"/>
  <c r="Q422" i="5"/>
  <c r="R422" i="5" s="1"/>
  <c r="AE422" i="5"/>
  <c r="AF422" i="5" s="1"/>
  <c r="AG422" i="5" s="1"/>
  <c r="U422" i="5"/>
  <c r="AD422" i="5" s="1"/>
  <c r="AC422" i="5"/>
  <c r="Q421" i="5"/>
  <c r="R421" i="5" s="1"/>
  <c r="AE421" i="5"/>
  <c r="AF421" i="5" s="1"/>
  <c r="AG421" i="5" s="1"/>
  <c r="U421" i="5"/>
  <c r="AD421" i="5" s="1"/>
  <c r="AC421" i="5"/>
  <c r="Q420" i="5"/>
  <c r="R420" i="5" s="1"/>
  <c r="S420" i="5" s="1"/>
  <c r="T420" i="5" s="1"/>
  <c r="AE420" i="5"/>
  <c r="AF420" i="5" s="1"/>
  <c r="AG420" i="5" s="1"/>
  <c r="Q419" i="5"/>
  <c r="R419" i="5" s="1"/>
  <c r="AE419" i="5"/>
  <c r="AF419" i="5" s="1"/>
  <c r="AG419" i="5" s="1"/>
  <c r="Q417" i="5"/>
  <c r="R417" i="5" s="1"/>
  <c r="S417" i="5" s="1"/>
  <c r="T417" i="5" s="1"/>
  <c r="AE417" i="5"/>
  <c r="AF417" i="5" s="1"/>
  <c r="AG417" i="5" s="1"/>
  <c r="Q416" i="5"/>
  <c r="R416" i="5" s="1"/>
  <c r="AE416" i="5"/>
  <c r="AF416" i="5" s="1"/>
  <c r="AG416" i="5" s="1"/>
  <c r="Q415" i="5"/>
  <c r="R415" i="5" s="1"/>
  <c r="AE415" i="5"/>
  <c r="AF415" i="5" s="1"/>
  <c r="AG415" i="5" s="1"/>
  <c r="Q414" i="5"/>
  <c r="R414" i="5" s="1"/>
  <c r="AE414" i="5"/>
  <c r="AF414" i="5" s="1"/>
  <c r="AG414" i="5" s="1"/>
  <c r="Q413" i="5"/>
  <c r="R413" i="5" s="1"/>
  <c r="AE413" i="5"/>
  <c r="AF413" i="5" s="1"/>
  <c r="AG413" i="5" s="1"/>
  <c r="Q412" i="5"/>
  <c r="R412" i="5" s="1"/>
  <c r="AE412" i="5"/>
  <c r="AF412" i="5" s="1"/>
  <c r="AG412" i="5" s="1"/>
  <c r="U412" i="5"/>
  <c r="AD412" i="5" s="1"/>
  <c r="AC412" i="5"/>
  <c r="Q411" i="5"/>
  <c r="R411" i="5" s="1"/>
  <c r="AE411" i="5"/>
  <c r="AF411" i="5" s="1"/>
  <c r="AG411" i="5" s="1"/>
  <c r="U411" i="5"/>
  <c r="AD411" i="5" s="1"/>
  <c r="AC411" i="5"/>
  <c r="Q410" i="5"/>
  <c r="R410" i="5" s="1"/>
  <c r="AE410" i="5"/>
  <c r="AF410" i="5" s="1"/>
  <c r="AG410" i="5" s="1"/>
  <c r="U410" i="5"/>
  <c r="AD410" i="5" s="1"/>
  <c r="AC410" i="5"/>
  <c r="Q409" i="5"/>
  <c r="R409" i="5" s="1"/>
  <c r="AE409" i="5"/>
  <c r="AF409" i="5" s="1"/>
  <c r="AG409" i="5" s="1"/>
  <c r="Q408" i="5"/>
  <c r="R408" i="5" s="1"/>
  <c r="AE408" i="5"/>
  <c r="AF408" i="5" s="1"/>
  <c r="AG408" i="5" s="1"/>
  <c r="Q407" i="5"/>
  <c r="R407" i="5" s="1"/>
  <c r="AE407" i="5"/>
  <c r="AF407" i="5" s="1"/>
  <c r="AG407" i="5" s="1"/>
  <c r="U407" i="5"/>
  <c r="AD407" i="5" s="1"/>
  <c r="AC407" i="5"/>
  <c r="Q406" i="5"/>
  <c r="R406" i="5" s="1"/>
  <c r="AE406" i="5"/>
  <c r="AF406" i="5" s="1"/>
  <c r="AG406" i="5" s="1"/>
  <c r="Q405" i="5"/>
  <c r="R405" i="5" s="1"/>
  <c r="S405" i="5" s="1"/>
  <c r="T405" i="5" s="1"/>
  <c r="AE405" i="5"/>
  <c r="AF405" i="5" s="1"/>
  <c r="AG405" i="5" s="1"/>
  <c r="Q404" i="5"/>
  <c r="R404" i="5" s="1"/>
  <c r="AE404" i="5"/>
  <c r="AF404" i="5" s="1"/>
  <c r="AG404" i="5" s="1"/>
  <c r="Q403" i="5"/>
  <c r="R403" i="5" s="1"/>
  <c r="S403" i="5" s="1"/>
  <c r="T403" i="5" s="1"/>
  <c r="AE403" i="5"/>
  <c r="AF403" i="5" s="1"/>
  <c r="AG403" i="5" s="1"/>
  <c r="Q402" i="5"/>
  <c r="R402" i="5" s="1"/>
  <c r="AE402" i="5"/>
  <c r="AF402" i="5" s="1"/>
  <c r="AG402" i="5" s="1"/>
  <c r="U402" i="5"/>
  <c r="AD402" i="5" s="1"/>
  <c r="AC402" i="5"/>
  <c r="AC401" i="5"/>
  <c r="N401" i="5"/>
  <c r="AD401" i="5" s="1"/>
  <c r="Q401" i="5"/>
  <c r="R401" i="5" s="1"/>
  <c r="AE401" i="5"/>
  <c r="AF401" i="5" s="1"/>
  <c r="AG401" i="5" s="1"/>
  <c r="N400" i="5"/>
  <c r="AD400" i="5" s="1"/>
  <c r="AC400" i="5"/>
  <c r="Q400" i="5"/>
  <c r="R400" i="5" s="1"/>
  <c r="AE400" i="5"/>
  <c r="AF400" i="5" s="1"/>
  <c r="AG400" i="5" s="1"/>
  <c r="Q399" i="5"/>
  <c r="R399" i="5" s="1"/>
  <c r="S399" i="5" s="1"/>
  <c r="T399" i="5" s="1"/>
  <c r="AE399" i="5"/>
  <c r="AF399" i="5" s="1"/>
  <c r="AG399" i="5" s="1"/>
  <c r="Q398" i="5"/>
  <c r="R398" i="5" s="1"/>
  <c r="AE398" i="5"/>
  <c r="AF398" i="5" s="1"/>
  <c r="AG398" i="5" s="1"/>
  <c r="Q397" i="5"/>
  <c r="R397" i="5" s="1"/>
  <c r="S397" i="5" s="1"/>
  <c r="T397" i="5" s="1"/>
  <c r="AE397" i="5"/>
  <c r="AF397" i="5" s="1"/>
  <c r="AG397" i="5" s="1"/>
  <c r="Q396" i="5"/>
  <c r="R396" i="5" s="1"/>
  <c r="AE396" i="5"/>
  <c r="AF396" i="5" s="1"/>
  <c r="AG396" i="5" s="1"/>
  <c r="Q395" i="5"/>
  <c r="R395" i="5" s="1"/>
  <c r="S395" i="5" s="1"/>
  <c r="T395" i="5" s="1"/>
  <c r="AE395" i="5"/>
  <c r="AF395" i="5" s="1"/>
  <c r="AG395" i="5" s="1"/>
  <c r="Q394" i="5"/>
  <c r="R394" i="5" s="1"/>
  <c r="AE394" i="5"/>
  <c r="AF394" i="5" s="1"/>
  <c r="AG394" i="5" s="1"/>
  <c r="N393" i="5"/>
  <c r="AD393" i="5" s="1"/>
  <c r="AC393" i="5"/>
  <c r="Q393" i="5"/>
  <c r="R393" i="5" s="1"/>
  <c r="AE393" i="5"/>
  <c r="AF393" i="5" s="1"/>
  <c r="AG393" i="5" s="1"/>
  <c r="Q392" i="5"/>
  <c r="R392" i="5" s="1"/>
  <c r="AE392" i="5"/>
  <c r="AF392" i="5" s="1"/>
  <c r="AG392" i="5" s="1"/>
  <c r="AC391" i="5"/>
  <c r="N391" i="5"/>
  <c r="AD391" i="5" s="1"/>
  <c r="Q391" i="5"/>
  <c r="R391" i="5" s="1"/>
  <c r="AE391" i="5"/>
  <c r="AF391" i="5" s="1"/>
  <c r="AG391" i="5" s="1"/>
  <c r="Q390" i="5"/>
  <c r="R390" i="5" s="1"/>
  <c r="S390" i="5" s="1"/>
  <c r="T390" i="5" s="1"/>
  <c r="AE390" i="5"/>
  <c r="AF390" i="5" s="1"/>
  <c r="AG390" i="5" s="1"/>
  <c r="Q389" i="5"/>
  <c r="R389" i="5" s="1"/>
  <c r="S389" i="5" s="1"/>
  <c r="T389" i="5" s="1"/>
  <c r="AE389" i="5"/>
  <c r="AF389" i="5" s="1"/>
  <c r="AG389" i="5" s="1"/>
  <c r="N388" i="5"/>
  <c r="Q388" i="5"/>
  <c r="R388" i="5" s="1"/>
  <c r="S388" i="5" s="1"/>
  <c r="T388" i="5" s="1"/>
  <c r="AE388" i="5"/>
  <c r="AF388" i="5" s="1"/>
  <c r="AG388" i="5" s="1"/>
  <c r="Q387" i="5"/>
  <c r="R387" i="5" s="1"/>
  <c r="S387" i="5" s="1"/>
  <c r="T387" i="5" s="1"/>
  <c r="AE387" i="5"/>
  <c r="AF387" i="5" s="1"/>
  <c r="AG387" i="5" s="1"/>
  <c r="N386" i="5"/>
  <c r="AD386" i="5" s="1"/>
  <c r="AC386" i="5"/>
  <c r="Q386" i="5"/>
  <c r="R386" i="5" s="1"/>
  <c r="AE386" i="5"/>
  <c r="AF386" i="5" s="1"/>
  <c r="AG386" i="5" s="1"/>
  <c r="N385" i="5"/>
  <c r="AD385" i="5" s="1"/>
  <c r="AC385" i="5"/>
  <c r="Q385" i="5"/>
  <c r="R385" i="5" s="1"/>
  <c r="AE385" i="5"/>
  <c r="AF385" i="5" s="1"/>
  <c r="AG385" i="5" s="1"/>
  <c r="Q384" i="5"/>
  <c r="R384" i="5" s="1"/>
  <c r="AE384" i="5"/>
  <c r="AF384" i="5" s="1"/>
  <c r="AG384" i="5" s="1"/>
  <c r="N383" i="5"/>
  <c r="AD383" i="5" s="1"/>
  <c r="AC383" i="5"/>
  <c r="Q383" i="5"/>
  <c r="R383" i="5" s="1"/>
  <c r="AE383" i="5"/>
  <c r="AF383" i="5" s="1"/>
  <c r="AG383" i="5" s="1"/>
  <c r="Q382" i="5"/>
  <c r="R382" i="5" s="1"/>
  <c r="AE382" i="5"/>
  <c r="AF382" i="5" s="1"/>
  <c r="AG382" i="5" s="1"/>
  <c r="Q381" i="5"/>
  <c r="R381" i="5" s="1"/>
  <c r="AE381" i="5"/>
  <c r="AF381" i="5" s="1"/>
  <c r="AG381" i="5" s="1"/>
  <c r="Q379" i="5"/>
  <c r="R379" i="5" s="1"/>
  <c r="AE379" i="5"/>
  <c r="AF379" i="5" s="1"/>
  <c r="AG379" i="5" s="1"/>
  <c r="N378" i="5"/>
  <c r="AD378" i="5" s="1"/>
  <c r="AC378" i="5"/>
  <c r="Q378" i="5"/>
  <c r="R378" i="5" s="1"/>
  <c r="AE378" i="5"/>
  <c r="AF378" i="5" s="1"/>
  <c r="AG378" i="5" s="1"/>
  <c r="Q377" i="5"/>
  <c r="R377" i="5" s="1"/>
  <c r="AE377" i="5"/>
  <c r="AF377" i="5" s="1"/>
  <c r="AG377" i="5" s="1"/>
  <c r="Q376" i="5"/>
  <c r="R376" i="5" s="1"/>
  <c r="S376" i="5" s="1"/>
  <c r="T376" i="5" s="1"/>
  <c r="AE376" i="5"/>
  <c r="AF376" i="5" s="1"/>
  <c r="AG376" i="5" s="1"/>
  <c r="Q375" i="5"/>
  <c r="R375" i="5" s="1"/>
  <c r="S375" i="5" s="1"/>
  <c r="T375" i="5" s="1"/>
  <c r="AE375" i="5"/>
  <c r="AF375" i="5" s="1"/>
  <c r="AG375" i="5" s="1"/>
  <c r="N374" i="5"/>
  <c r="AD374" i="5" s="1"/>
  <c r="AC374" i="5"/>
  <c r="Q374" i="5"/>
  <c r="R374" i="5" s="1"/>
  <c r="AE374" i="5"/>
  <c r="AF374" i="5" s="1"/>
  <c r="AG374" i="5" s="1"/>
  <c r="Q373" i="5"/>
  <c r="R373" i="5" s="1"/>
  <c r="S373" i="5" s="1"/>
  <c r="T373" i="5" s="1"/>
  <c r="U373" i="5" s="1"/>
  <c r="AE373" i="5"/>
  <c r="AF373" i="5" s="1"/>
  <c r="AG373" i="5" s="1"/>
  <c r="Q372" i="5"/>
  <c r="R372" i="5" s="1"/>
  <c r="S372" i="5" s="1"/>
  <c r="T372" i="5" s="1"/>
  <c r="U372" i="5" s="1"/>
  <c r="AE372" i="5"/>
  <c r="AF372" i="5" s="1"/>
  <c r="AG372" i="5" s="1"/>
  <c r="Q371" i="5"/>
  <c r="R371" i="5" s="1"/>
  <c r="S371" i="5" s="1"/>
  <c r="T371" i="5" s="1"/>
  <c r="U371" i="5" s="1"/>
  <c r="AE371" i="5"/>
  <c r="AF371" i="5" s="1"/>
  <c r="AG371" i="5" s="1"/>
  <c r="N370" i="5"/>
  <c r="Q370" i="5"/>
  <c r="R370" i="5" s="1"/>
  <c r="S370" i="5" s="1"/>
  <c r="T370" i="5" s="1"/>
  <c r="AE370" i="5"/>
  <c r="AF370" i="5" s="1"/>
  <c r="AG370" i="5" s="1"/>
  <c r="Q369" i="5"/>
  <c r="R369" i="5" s="1"/>
  <c r="S369" i="5" s="1"/>
  <c r="T369" i="5" s="1"/>
  <c r="U369" i="5" s="1"/>
  <c r="AE369" i="5"/>
  <c r="AF369" i="5" s="1"/>
  <c r="AG369" i="5" s="1"/>
  <c r="Q368" i="5"/>
  <c r="R368" i="5" s="1"/>
  <c r="S368" i="5" s="1"/>
  <c r="T368" i="5" s="1"/>
  <c r="U368" i="5" s="1"/>
  <c r="AE368" i="5"/>
  <c r="AF368" i="5" s="1"/>
  <c r="AG368" i="5" s="1"/>
  <c r="Q367" i="5"/>
  <c r="R367" i="5" s="1"/>
  <c r="S367" i="5" s="1"/>
  <c r="T367" i="5" s="1"/>
  <c r="U367" i="5" s="1"/>
  <c r="AE367" i="5"/>
  <c r="AF367" i="5" s="1"/>
  <c r="AG367" i="5" s="1"/>
  <c r="Q366" i="5"/>
  <c r="R366" i="5" s="1"/>
  <c r="S366" i="5" s="1"/>
  <c r="T366" i="5" s="1"/>
  <c r="U366" i="5" s="1"/>
  <c r="AE366" i="5"/>
  <c r="AF366" i="5" s="1"/>
  <c r="AG366" i="5" s="1"/>
  <c r="Q365" i="5"/>
  <c r="R365" i="5" s="1"/>
  <c r="S365" i="5" s="1"/>
  <c r="T365" i="5" s="1"/>
  <c r="U365" i="5" s="1"/>
  <c r="AE365" i="5"/>
  <c r="AF365" i="5" s="1"/>
  <c r="AG365" i="5" s="1"/>
  <c r="Q364" i="5"/>
  <c r="R364" i="5" s="1"/>
  <c r="AE364" i="5"/>
  <c r="AF364" i="5" s="1"/>
  <c r="AG364" i="5" s="1"/>
  <c r="Q363" i="5"/>
  <c r="R363" i="5" s="1"/>
  <c r="S363" i="5" s="1"/>
  <c r="T363" i="5" s="1"/>
  <c r="U363" i="5" s="1"/>
  <c r="AE363" i="5"/>
  <c r="AF363" i="5" s="1"/>
  <c r="AG363" i="5" s="1"/>
  <c r="Q362" i="5"/>
  <c r="R362" i="5" s="1"/>
  <c r="AE362" i="5"/>
  <c r="AF362" i="5" s="1"/>
  <c r="AG362" i="5" s="1"/>
  <c r="Q361" i="5"/>
  <c r="R361" i="5" s="1"/>
  <c r="S361" i="5" s="1"/>
  <c r="T361" i="5" s="1"/>
  <c r="U361" i="5" s="1"/>
  <c r="AE361" i="5"/>
  <c r="AF361" i="5" s="1"/>
  <c r="AG361" i="5" s="1"/>
  <c r="Q360" i="5"/>
  <c r="R360" i="5" s="1"/>
  <c r="S360" i="5" s="1"/>
  <c r="T360" i="5" s="1"/>
  <c r="U360" i="5" s="1"/>
  <c r="AE360" i="5"/>
  <c r="AF360" i="5" s="1"/>
  <c r="AG360" i="5" s="1"/>
  <c r="Q359" i="5"/>
  <c r="R359" i="5" s="1"/>
  <c r="S359" i="5" s="1"/>
  <c r="T359" i="5" s="1"/>
  <c r="AE359" i="5"/>
  <c r="AF359" i="5" s="1"/>
  <c r="AG359" i="5" s="1"/>
  <c r="Q357" i="5"/>
  <c r="R357" i="5" s="1"/>
  <c r="S357" i="5" s="1"/>
  <c r="T357" i="5" s="1"/>
  <c r="AE357" i="5"/>
  <c r="AF357" i="5" s="1"/>
  <c r="AG357" i="5" s="1"/>
  <c r="Q356" i="5"/>
  <c r="R356" i="5" s="1"/>
  <c r="AE356" i="5"/>
  <c r="AF356" i="5" s="1"/>
  <c r="AG356" i="5" s="1"/>
  <c r="U356" i="5"/>
  <c r="AD356" i="5" s="1"/>
  <c r="AC356" i="5"/>
  <c r="Q355" i="5"/>
  <c r="R355" i="5" s="1"/>
  <c r="AE355" i="5"/>
  <c r="AF355" i="5" s="1"/>
  <c r="AG355" i="5" s="1"/>
  <c r="U355" i="5"/>
  <c r="AD355" i="5" s="1"/>
  <c r="AC355" i="5"/>
  <c r="Q354" i="5"/>
  <c r="R354" i="5" s="1"/>
  <c r="AE354" i="5"/>
  <c r="AF354" i="5" s="1"/>
  <c r="AG354" i="5" s="1"/>
  <c r="Q353" i="5"/>
  <c r="R353" i="5" s="1"/>
  <c r="AE353" i="5"/>
  <c r="AF353" i="5" s="1"/>
  <c r="AG353" i="5" s="1"/>
  <c r="U353" i="5"/>
  <c r="AD353" i="5" s="1"/>
  <c r="AC353" i="5"/>
  <c r="Q352" i="5"/>
  <c r="R352" i="5" s="1"/>
  <c r="AE352" i="5"/>
  <c r="AF352" i="5" s="1"/>
  <c r="AG352" i="5" s="1"/>
  <c r="U352" i="5"/>
  <c r="AD352" i="5" s="1"/>
  <c r="AC352" i="5"/>
  <c r="Q351" i="5"/>
  <c r="R351" i="5" s="1"/>
  <c r="AE351" i="5"/>
  <c r="AF351" i="5" s="1"/>
  <c r="AG351" i="5" s="1"/>
  <c r="U351" i="5"/>
  <c r="AD351" i="5" s="1"/>
  <c r="AC351" i="5"/>
  <c r="Q350" i="5"/>
  <c r="R350" i="5" s="1"/>
  <c r="AE350" i="5"/>
  <c r="AF350" i="5" s="1"/>
  <c r="AG350" i="5" s="1"/>
  <c r="Q349" i="5"/>
  <c r="R349" i="5" s="1"/>
  <c r="AE349" i="5"/>
  <c r="AF349" i="5" s="1"/>
  <c r="AG349" i="5" s="1"/>
  <c r="U349" i="5"/>
  <c r="AD349" i="5" s="1"/>
  <c r="AC349" i="5"/>
  <c r="Q348" i="5"/>
  <c r="R348" i="5" s="1"/>
  <c r="AE348" i="5"/>
  <c r="AF348" i="5" s="1"/>
  <c r="AG348" i="5" s="1"/>
  <c r="U348" i="5"/>
  <c r="AD348" i="5" s="1"/>
  <c r="AC348" i="5"/>
  <c r="Q347" i="5"/>
  <c r="R347" i="5" s="1"/>
  <c r="AE347" i="5"/>
  <c r="AF347" i="5" s="1"/>
  <c r="AG347" i="5" s="1"/>
  <c r="U347" i="5"/>
  <c r="AD347" i="5" s="1"/>
  <c r="AC347" i="5"/>
  <c r="Q346" i="5"/>
  <c r="R346" i="5" s="1"/>
  <c r="AE346" i="5"/>
  <c r="AF346" i="5" s="1"/>
  <c r="AG346" i="5" s="1"/>
  <c r="Q345" i="5"/>
  <c r="R345" i="5" s="1"/>
  <c r="AE345" i="5"/>
  <c r="AF345" i="5" s="1"/>
  <c r="AG345" i="5" s="1"/>
  <c r="Q344" i="5"/>
  <c r="R344" i="5" s="1"/>
  <c r="AE344" i="5"/>
  <c r="AF344" i="5" s="1"/>
  <c r="AG344" i="5" s="1"/>
  <c r="Q343" i="5"/>
  <c r="R343" i="5" s="1"/>
  <c r="AE343" i="5"/>
  <c r="AF343" i="5" s="1"/>
  <c r="AG343" i="5" s="1"/>
  <c r="Q342" i="5"/>
  <c r="R342" i="5" s="1"/>
  <c r="AE342" i="5"/>
  <c r="AF342" i="5" s="1"/>
  <c r="AG342" i="5" s="1"/>
  <c r="Q341" i="5"/>
  <c r="R341" i="5" s="1"/>
  <c r="AE341" i="5"/>
  <c r="AF341" i="5" s="1"/>
  <c r="AG341" i="5" s="1"/>
  <c r="U341" i="5"/>
  <c r="AD341" i="5" s="1"/>
  <c r="AC341" i="5"/>
  <c r="Q340" i="5"/>
  <c r="R340" i="5" s="1"/>
  <c r="AE340" i="5"/>
  <c r="AF340" i="5" s="1"/>
  <c r="AG340" i="5" s="1"/>
  <c r="U340" i="5"/>
  <c r="AD340" i="5" s="1"/>
  <c r="AC340" i="5"/>
  <c r="Q339" i="5"/>
  <c r="R339" i="5" s="1"/>
  <c r="AE339" i="5"/>
  <c r="AF339" i="5" s="1"/>
  <c r="AG339" i="5" s="1"/>
  <c r="Q338" i="5"/>
  <c r="R338" i="5" s="1"/>
  <c r="AE338" i="5"/>
  <c r="AF338" i="5" s="1"/>
  <c r="AG338" i="5" s="1"/>
  <c r="Q337" i="5"/>
  <c r="R337" i="5" s="1"/>
  <c r="AE337" i="5"/>
  <c r="AF337" i="5" s="1"/>
  <c r="AG337" i="5" s="1"/>
  <c r="Q336" i="5"/>
  <c r="R336" i="5" s="1"/>
  <c r="AE336" i="5"/>
  <c r="AF336" i="5" s="1"/>
  <c r="AG336" i="5" s="1"/>
  <c r="U336" i="5"/>
  <c r="AD336" i="5" s="1"/>
  <c r="AC336" i="5"/>
  <c r="Q335" i="5"/>
  <c r="R335" i="5" s="1"/>
  <c r="AE335" i="5"/>
  <c r="AF335" i="5" s="1"/>
  <c r="AG335" i="5" s="1"/>
  <c r="Q334" i="5"/>
  <c r="R334" i="5" s="1"/>
  <c r="AE334" i="5"/>
  <c r="AF334" i="5" s="1"/>
  <c r="AG334" i="5" s="1"/>
  <c r="Q333" i="5"/>
  <c r="R333" i="5" s="1"/>
  <c r="AE333" i="5"/>
  <c r="AF333" i="5" s="1"/>
  <c r="AG333" i="5" s="1"/>
  <c r="Q332" i="5"/>
  <c r="R332" i="5" s="1"/>
  <c r="AE332" i="5"/>
  <c r="AF332" i="5" s="1"/>
  <c r="AG332" i="5" s="1"/>
  <c r="Q331" i="5"/>
  <c r="R331" i="5" s="1"/>
  <c r="AE331" i="5"/>
  <c r="AF331" i="5" s="1"/>
  <c r="AG331" i="5" s="1"/>
  <c r="U331" i="5"/>
  <c r="AD331" i="5" s="1"/>
  <c r="AC331" i="5"/>
  <c r="Q330" i="5"/>
  <c r="R330" i="5" s="1"/>
  <c r="AE330" i="5"/>
  <c r="AF330" i="5" s="1"/>
  <c r="AG330" i="5" s="1"/>
  <c r="Q329" i="5"/>
  <c r="R329" i="5" s="1"/>
  <c r="AE329" i="5"/>
  <c r="AF329" i="5" s="1"/>
  <c r="AG329" i="5" s="1"/>
  <c r="Q328" i="5"/>
  <c r="R328" i="5" s="1"/>
  <c r="AE328" i="5"/>
  <c r="AF328" i="5" s="1"/>
  <c r="AG328" i="5" s="1"/>
  <c r="U328" i="5"/>
  <c r="AD328" i="5" s="1"/>
  <c r="AC328" i="5"/>
  <c r="Q327" i="5"/>
  <c r="R327" i="5" s="1"/>
  <c r="AE327" i="5"/>
  <c r="AF327" i="5" s="1"/>
  <c r="AG327" i="5" s="1"/>
  <c r="Q326" i="5"/>
  <c r="R326" i="5" s="1"/>
  <c r="AE326" i="5"/>
  <c r="AF326" i="5" s="1"/>
  <c r="AG326" i="5" s="1"/>
  <c r="U326" i="5"/>
  <c r="AD326" i="5" s="1"/>
  <c r="AC326" i="5"/>
  <c r="Q325" i="5"/>
  <c r="R325" i="5" s="1"/>
  <c r="AE325" i="5"/>
  <c r="AF325" i="5" s="1"/>
  <c r="AG325" i="5" s="1"/>
  <c r="U325" i="5"/>
  <c r="AD325" i="5" s="1"/>
  <c r="AC325" i="5"/>
  <c r="Q324" i="5"/>
  <c r="R324" i="5" s="1"/>
  <c r="AE324" i="5"/>
  <c r="AF324" i="5" s="1"/>
  <c r="AG324" i="5" s="1"/>
  <c r="Q323" i="5"/>
  <c r="R323" i="5" s="1"/>
  <c r="AE323" i="5"/>
  <c r="AF323" i="5" s="1"/>
  <c r="AG323" i="5" s="1"/>
  <c r="Q322" i="5"/>
  <c r="R322" i="5" s="1"/>
  <c r="AE322" i="5"/>
  <c r="AF322" i="5" s="1"/>
  <c r="AG322" i="5" s="1"/>
  <c r="Q321" i="5"/>
  <c r="R321" i="5" s="1"/>
  <c r="S321" i="5" s="1"/>
  <c r="T321" i="5" s="1"/>
  <c r="AE321" i="5"/>
  <c r="AF321" i="5" s="1"/>
  <c r="AG321" i="5" s="1"/>
  <c r="N320" i="5"/>
  <c r="Q320" i="5"/>
  <c r="R320" i="5" s="1"/>
  <c r="S320" i="5" s="1"/>
  <c r="T320" i="5" s="1"/>
  <c r="AE320" i="5"/>
  <c r="AF320" i="5" s="1"/>
  <c r="AG320" i="5" s="1"/>
  <c r="Q319" i="5"/>
  <c r="R319" i="5" s="1"/>
  <c r="S319" i="5" s="1"/>
  <c r="T319" i="5" s="1"/>
  <c r="AE319" i="5"/>
  <c r="AF319" i="5" s="1"/>
  <c r="AG319" i="5" s="1"/>
  <c r="Q318" i="5"/>
  <c r="R318" i="5" s="1"/>
  <c r="S318" i="5" s="1"/>
  <c r="T318" i="5" s="1"/>
  <c r="AE318" i="5"/>
  <c r="AF318" i="5" s="1"/>
  <c r="AG318" i="5" s="1"/>
  <c r="N317" i="5"/>
  <c r="Q317" i="5"/>
  <c r="R317" i="5" s="1"/>
  <c r="S317" i="5" s="1"/>
  <c r="T317" i="5" s="1"/>
  <c r="AE317" i="5"/>
  <c r="AF317" i="5" s="1"/>
  <c r="AG317" i="5" s="1"/>
  <c r="N316" i="5"/>
  <c r="Q316" i="5"/>
  <c r="R316" i="5" s="1"/>
  <c r="S316" i="5" s="1"/>
  <c r="T316" i="5" s="1"/>
  <c r="AE316" i="5"/>
  <c r="AF316" i="5" s="1"/>
  <c r="AG316" i="5" s="1"/>
  <c r="N315" i="5"/>
  <c r="Q315" i="5"/>
  <c r="R315" i="5" s="1"/>
  <c r="S315" i="5" s="1"/>
  <c r="T315" i="5" s="1"/>
  <c r="AE315" i="5"/>
  <c r="AF315" i="5" s="1"/>
  <c r="AG315" i="5" s="1"/>
  <c r="Q314" i="5"/>
  <c r="R314" i="5" s="1"/>
  <c r="S314" i="5" s="1"/>
  <c r="T314" i="5" s="1"/>
  <c r="AE314" i="5"/>
  <c r="AF314" i="5" s="1"/>
  <c r="AG314" i="5" s="1"/>
  <c r="Q312" i="5"/>
  <c r="R312" i="5" s="1"/>
  <c r="S312" i="5" s="1"/>
  <c r="T312" i="5" s="1"/>
  <c r="AE312" i="5"/>
  <c r="AF312" i="5" s="1"/>
  <c r="AG312" i="5" s="1"/>
  <c r="Q311" i="5"/>
  <c r="R311" i="5" s="1"/>
  <c r="S311" i="5" s="1"/>
  <c r="T311" i="5" s="1"/>
  <c r="AE311" i="5"/>
  <c r="AF311" i="5" s="1"/>
  <c r="AG311" i="5" s="1"/>
  <c r="Q310" i="5"/>
  <c r="R310" i="5" s="1"/>
  <c r="S310" i="5" s="1"/>
  <c r="T310" i="5" s="1"/>
  <c r="AE310" i="5"/>
  <c r="AF310" i="5" s="1"/>
  <c r="AG310" i="5" s="1"/>
  <c r="N309" i="5"/>
  <c r="Q309" i="5"/>
  <c r="R309" i="5" s="1"/>
  <c r="S309" i="5" s="1"/>
  <c r="T309" i="5" s="1"/>
  <c r="AE309" i="5"/>
  <c r="AF309" i="5" s="1"/>
  <c r="AG309" i="5" s="1"/>
  <c r="N308" i="5"/>
  <c r="Q308" i="5"/>
  <c r="R308" i="5" s="1"/>
  <c r="S308" i="5" s="1"/>
  <c r="T308" i="5" s="1"/>
  <c r="AE308" i="5"/>
  <c r="AF308" i="5" s="1"/>
  <c r="AG308" i="5" s="1"/>
  <c r="Q307" i="5"/>
  <c r="R307" i="5" s="1"/>
  <c r="S307" i="5" s="1"/>
  <c r="T307" i="5" s="1"/>
  <c r="AE307" i="5"/>
  <c r="AF307" i="5" s="1"/>
  <c r="AG307" i="5" s="1"/>
  <c r="Q306" i="5"/>
  <c r="R306" i="5" s="1"/>
  <c r="S306" i="5" s="1"/>
  <c r="T306" i="5" s="1"/>
  <c r="AE306" i="5"/>
  <c r="AF306" i="5" s="1"/>
  <c r="AG306" i="5" s="1"/>
  <c r="Q305" i="5"/>
  <c r="R305" i="5" s="1"/>
  <c r="S305" i="5" s="1"/>
  <c r="T305" i="5" s="1"/>
  <c r="AE305" i="5"/>
  <c r="AF305" i="5" s="1"/>
  <c r="AG305" i="5" s="1"/>
  <c r="N304" i="5"/>
  <c r="Q304" i="5"/>
  <c r="R304" i="5" s="1"/>
  <c r="S304" i="5" s="1"/>
  <c r="T304" i="5" s="1"/>
  <c r="AE304" i="5"/>
  <c r="AF304" i="5" s="1"/>
  <c r="AG304" i="5" s="1"/>
  <c r="N303" i="5"/>
  <c r="Q303" i="5"/>
  <c r="R303" i="5" s="1"/>
  <c r="S303" i="5" s="1"/>
  <c r="T303" i="5" s="1"/>
  <c r="AE303" i="5"/>
  <c r="AF303" i="5" s="1"/>
  <c r="AG303" i="5" s="1"/>
  <c r="N302" i="5"/>
  <c r="Q302" i="5"/>
  <c r="R302" i="5" s="1"/>
  <c r="S302" i="5" s="1"/>
  <c r="T302" i="5" s="1"/>
  <c r="AE302" i="5"/>
  <c r="AF302" i="5" s="1"/>
  <c r="AG302" i="5" s="1"/>
  <c r="N301" i="5"/>
  <c r="Q301" i="5"/>
  <c r="R301" i="5" s="1"/>
  <c r="S301" i="5" s="1"/>
  <c r="T301" i="5" s="1"/>
  <c r="AE301" i="5"/>
  <c r="AF301" i="5" s="1"/>
  <c r="AG301" i="5" s="1"/>
  <c r="Q300" i="5"/>
  <c r="R300" i="5" s="1"/>
  <c r="S300" i="5" s="1"/>
  <c r="T300" i="5" s="1"/>
  <c r="AE300" i="5"/>
  <c r="AF300" i="5" s="1"/>
  <c r="AG300" i="5" s="1"/>
  <c r="Q299" i="5"/>
  <c r="R299" i="5" s="1"/>
  <c r="AE299" i="5"/>
  <c r="AF299" i="5" s="1"/>
  <c r="AG299" i="5" s="1"/>
  <c r="Q298" i="5"/>
  <c r="R298" i="5" s="1"/>
  <c r="AE298" i="5"/>
  <c r="AF298" i="5" s="1"/>
  <c r="AG298" i="5" s="1"/>
  <c r="Q297" i="5"/>
  <c r="R297" i="5" s="1"/>
  <c r="AE297" i="5"/>
  <c r="AF297" i="5" s="1"/>
  <c r="AG297" i="5" s="1"/>
  <c r="U297" i="5"/>
  <c r="AD297" i="5" s="1"/>
  <c r="AC297" i="5"/>
  <c r="Q296" i="5"/>
  <c r="R296" i="5" s="1"/>
  <c r="AE296" i="5"/>
  <c r="AF296" i="5" s="1"/>
  <c r="AG296" i="5" s="1"/>
  <c r="Q295" i="5"/>
  <c r="R295" i="5" s="1"/>
  <c r="AE295" i="5"/>
  <c r="AF295" i="5" s="1"/>
  <c r="AG295" i="5" s="1"/>
  <c r="Q294" i="5"/>
  <c r="R294" i="5" s="1"/>
  <c r="AE294" i="5"/>
  <c r="AF294" i="5" s="1"/>
  <c r="AG294" i="5" s="1"/>
  <c r="Q293" i="5"/>
  <c r="R293" i="5" s="1"/>
  <c r="AE293" i="5"/>
  <c r="AF293" i="5" s="1"/>
  <c r="AG293" i="5" s="1"/>
  <c r="U293" i="5"/>
  <c r="AD293" i="5" s="1"/>
  <c r="AC293" i="5"/>
  <c r="Q292" i="5"/>
  <c r="R292" i="5" s="1"/>
  <c r="AE292" i="5"/>
  <c r="AF292" i="5" s="1"/>
  <c r="AG292" i="5" s="1"/>
  <c r="Q291" i="5"/>
  <c r="R291" i="5" s="1"/>
  <c r="AE291" i="5"/>
  <c r="AF291" i="5" s="1"/>
  <c r="AG291" i="5" s="1"/>
  <c r="U291" i="5"/>
  <c r="AD291" i="5" s="1"/>
  <c r="AC291" i="5"/>
  <c r="Q290" i="5"/>
  <c r="R290" i="5" s="1"/>
  <c r="AE290" i="5"/>
  <c r="AF290" i="5" s="1"/>
  <c r="AG290" i="5" s="1"/>
  <c r="U290" i="5"/>
  <c r="AD290" i="5" s="1"/>
  <c r="AC290" i="5"/>
  <c r="Q289" i="5"/>
  <c r="R289" i="5" s="1"/>
  <c r="AE289" i="5"/>
  <c r="AF289" i="5" s="1"/>
  <c r="AG289" i="5" s="1"/>
  <c r="U289" i="5"/>
  <c r="AD289" i="5" s="1"/>
  <c r="AC289" i="5"/>
  <c r="Q288" i="5"/>
  <c r="R288" i="5" s="1"/>
  <c r="AE288" i="5"/>
  <c r="AF288" i="5" s="1"/>
  <c r="AG288" i="5" s="1"/>
  <c r="Q287" i="5"/>
  <c r="R287" i="5" s="1"/>
  <c r="AE287" i="5"/>
  <c r="AF287" i="5" s="1"/>
  <c r="AG287" i="5" s="1"/>
  <c r="Q286" i="5"/>
  <c r="R286" i="5" s="1"/>
  <c r="AE286" i="5"/>
  <c r="AF286" i="5" s="1"/>
  <c r="AG286" i="5" s="1"/>
  <c r="U286" i="5"/>
  <c r="AD286" i="5" s="1"/>
  <c r="AC286" i="5"/>
  <c r="Q285" i="5"/>
  <c r="R285" i="5" s="1"/>
  <c r="AE285" i="5"/>
  <c r="AF285" i="5" s="1"/>
  <c r="AG285" i="5" s="1"/>
  <c r="U285" i="5"/>
  <c r="AD285" i="5" s="1"/>
  <c r="AC285" i="5"/>
  <c r="Q284" i="5"/>
  <c r="R284" i="5" s="1"/>
  <c r="AE284" i="5"/>
  <c r="AF284" i="5" s="1"/>
  <c r="AG284" i="5" s="1"/>
  <c r="U284" i="5"/>
  <c r="AD284" i="5" s="1"/>
  <c r="AC284" i="5"/>
  <c r="Q283" i="5"/>
  <c r="R283" i="5" s="1"/>
  <c r="AE283" i="5"/>
  <c r="AF283" i="5" s="1"/>
  <c r="AG283" i="5" s="1"/>
  <c r="Q282" i="5"/>
  <c r="R282" i="5" s="1"/>
  <c r="AE282" i="5"/>
  <c r="AF282" i="5" s="1"/>
  <c r="AG282" i="5" s="1"/>
  <c r="U282" i="5"/>
  <c r="AD282" i="5" s="1"/>
  <c r="AC282" i="5"/>
  <c r="Q281" i="5"/>
  <c r="R281" i="5" s="1"/>
  <c r="AE281" i="5"/>
  <c r="AF281" i="5" s="1"/>
  <c r="AG281" i="5" s="1"/>
  <c r="U281" i="5"/>
  <c r="AD281" i="5" s="1"/>
  <c r="AC281" i="5"/>
  <c r="Q280" i="5"/>
  <c r="R280" i="5" s="1"/>
  <c r="AE280" i="5"/>
  <c r="AF280" i="5" s="1"/>
  <c r="AG280" i="5" s="1"/>
  <c r="Q279" i="5"/>
  <c r="R279" i="5" s="1"/>
  <c r="AE279" i="5"/>
  <c r="AF279" i="5" s="1"/>
  <c r="AG279" i="5" s="1"/>
  <c r="Q278" i="5"/>
  <c r="R278" i="5" s="1"/>
  <c r="AE278" i="5"/>
  <c r="AF278" i="5" s="1"/>
  <c r="AG278" i="5" s="1"/>
  <c r="Q277" i="5"/>
  <c r="R277" i="5" s="1"/>
  <c r="AE277" i="5"/>
  <c r="AF277" i="5" s="1"/>
  <c r="AG277" i="5" s="1"/>
  <c r="Q276" i="5"/>
  <c r="R276" i="5" s="1"/>
  <c r="AE276" i="5"/>
  <c r="AF276" i="5" s="1"/>
  <c r="AG276" i="5" s="1"/>
  <c r="Q275" i="5"/>
  <c r="R275" i="5" s="1"/>
  <c r="AE275" i="5"/>
  <c r="AF275" i="5" s="1"/>
  <c r="AG275" i="5" s="1"/>
  <c r="Q274" i="5"/>
  <c r="R274" i="5" s="1"/>
  <c r="AE274" i="5"/>
  <c r="AF274" i="5" s="1"/>
  <c r="AG274" i="5" s="1"/>
  <c r="Q273" i="5"/>
  <c r="R273" i="5" s="1"/>
  <c r="AE273" i="5"/>
  <c r="AF273" i="5" s="1"/>
  <c r="AG273" i="5" s="1"/>
  <c r="Q272" i="5"/>
  <c r="R272" i="5" s="1"/>
  <c r="AE272" i="5"/>
  <c r="AF272" i="5" s="1"/>
  <c r="AG272" i="5" s="1"/>
  <c r="U272" i="5"/>
  <c r="AD272" i="5" s="1"/>
  <c r="AC272" i="5"/>
  <c r="Q271" i="5"/>
  <c r="R271" i="5" s="1"/>
  <c r="AE271" i="5"/>
  <c r="AF271" i="5" s="1"/>
  <c r="AG271" i="5" s="1"/>
  <c r="Q270" i="5"/>
  <c r="R270" i="5" s="1"/>
  <c r="AE270" i="5"/>
  <c r="AF270" i="5" s="1"/>
  <c r="AG270" i="5" s="1"/>
  <c r="Q269" i="5"/>
  <c r="R269" i="5" s="1"/>
  <c r="AE269" i="5"/>
  <c r="AF269" i="5" s="1"/>
  <c r="AG269" i="5" s="1"/>
  <c r="U269" i="5"/>
  <c r="AD269" i="5" s="1"/>
  <c r="AC269" i="5"/>
  <c r="Q268" i="5"/>
  <c r="R268" i="5" s="1"/>
  <c r="AE268" i="5"/>
  <c r="AF268" i="5" s="1"/>
  <c r="AG268" i="5" s="1"/>
  <c r="Q267" i="5"/>
  <c r="R267" i="5" s="1"/>
  <c r="AE267" i="5"/>
  <c r="AF267" i="5" s="1"/>
  <c r="AG267" i="5" s="1"/>
  <c r="U267" i="5"/>
  <c r="AD267" i="5" s="1"/>
  <c r="AC267" i="5"/>
  <c r="Q266" i="5"/>
  <c r="R266" i="5" s="1"/>
  <c r="AE266" i="5"/>
  <c r="AF266" i="5" s="1"/>
  <c r="AG266" i="5" s="1"/>
  <c r="U266" i="5"/>
  <c r="AD266" i="5" s="1"/>
  <c r="AC266" i="5"/>
  <c r="Q265" i="5"/>
  <c r="R265" i="5" s="1"/>
  <c r="AE265" i="5"/>
  <c r="AF265" i="5" s="1"/>
  <c r="AG265" i="5" s="1"/>
  <c r="Q264" i="5"/>
  <c r="R264" i="5" s="1"/>
  <c r="AE264" i="5"/>
  <c r="AF264" i="5" s="1"/>
  <c r="AG264" i="5" s="1"/>
  <c r="Q263" i="5"/>
  <c r="R263" i="5" s="1"/>
  <c r="AE263" i="5"/>
  <c r="AF263" i="5" s="1"/>
  <c r="AG263" i="5" s="1"/>
  <c r="Q262" i="5"/>
  <c r="R262" i="5" s="1"/>
  <c r="AE262" i="5"/>
  <c r="AF262" i="5" s="1"/>
  <c r="AG262" i="5" s="1"/>
  <c r="U262" i="5"/>
  <c r="AD262" i="5" s="1"/>
  <c r="AC262" i="5"/>
  <c r="Q261" i="5"/>
  <c r="R261" i="5" s="1"/>
  <c r="AE261" i="5"/>
  <c r="AF261" i="5" s="1"/>
  <c r="AG261" i="5" s="1"/>
  <c r="Q260" i="5"/>
  <c r="R260" i="5" s="1"/>
  <c r="AE260" i="5"/>
  <c r="AF260" i="5" s="1"/>
  <c r="AG260" i="5" s="1"/>
  <c r="Q259" i="5"/>
  <c r="R259" i="5" s="1"/>
  <c r="AE259" i="5"/>
  <c r="AF259" i="5" s="1"/>
  <c r="AG259" i="5" s="1"/>
  <c r="Q258" i="5"/>
  <c r="R258" i="5" s="1"/>
  <c r="AE258" i="5"/>
  <c r="AF258" i="5" s="1"/>
  <c r="AG258" i="5" s="1"/>
  <c r="U258" i="5"/>
  <c r="AD258" i="5" s="1"/>
  <c r="AC258" i="5"/>
  <c r="Q257" i="5"/>
  <c r="R257" i="5" s="1"/>
  <c r="AE257" i="5"/>
  <c r="AF257" i="5" s="1"/>
  <c r="AG257" i="5" s="1"/>
  <c r="U257" i="5"/>
  <c r="AD257" i="5" s="1"/>
  <c r="AC257" i="5"/>
  <c r="Q256" i="5"/>
  <c r="R256" i="5" s="1"/>
  <c r="AE256" i="5"/>
  <c r="AF256" i="5" s="1"/>
  <c r="AG256" i="5" s="1"/>
  <c r="Q255" i="5"/>
  <c r="R255" i="5" s="1"/>
  <c r="AE255" i="5"/>
  <c r="AF255" i="5" s="1"/>
  <c r="AG255" i="5" s="1"/>
  <c r="Q254" i="5"/>
  <c r="R254" i="5" s="1"/>
  <c r="AE254" i="5"/>
  <c r="AF254" i="5" s="1"/>
  <c r="AG254" i="5" s="1"/>
  <c r="Q253" i="5"/>
  <c r="R253" i="5" s="1"/>
  <c r="AE253" i="5"/>
  <c r="AF253" i="5" s="1"/>
  <c r="AG253" i="5" s="1"/>
  <c r="U253" i="5"/>
  <c r="AD253" i="5" s="1"/>
  <c r="AC253" i="5"/>
  <c r="Q252" i="5"/>
  <c r="R252" i="5" s="1"/>
  <c r="AE252" i="5"/>
  <c r="AF252" i="5" s="1"/>
  <c r="AG252" i="5" s="1"/>
  <c r="Q251" i="5"/>
  <c r="R251" i="5" s="1"/>
  <c r="AE251" i="5"/>
  <c r="AF251" i="5" s="1"/>
  <c r="AG251" i="5" s="1"/>
  <c r="Q250" i="5"/>
  <c r="R250" i="5" s="1"/>
  <c r="AE250" i="5"/>
  <c r="AF250" i="5" s="1"/>
  <c r="AG250" i="5" s="1"/>
  <c r="Q249" i="5"/>
  <c r="R249" i="5" s="1"/>
  <c r="AE249" i="5"/>
  <c r="AF249" i="5" s="1"/>
  <c r="AG249" i="5" s="1"/>
  <c r="U249" i="5"/>
  <c r="AD249" i="5" s="1"/>
  <c r="AC249" i="5"/>
  <c r="Q248" i="5"/>
  <c r="R248" i="5" s="1"/>
  <c r="AE248" i="5"/>
  <c r="AF248" i="5" s="1"/>
  <c r="AG248" i="5" s="1"/>
  <c r="Q247" i="5"/>
  <c r="R247" i="5" s="1"/>
  <c r="AE247" i="5"/>
  <c r="AF247" i="5" s="1"/>
  <c r="AG247" i="5" s="1"/>
  <c r="Q246" i="5"/>
  <c r="R246" i="5" s="1"/>
  <c r="AE246" i="5"/>
  <c r="AF246" i="5" s="1"/>
  <c r="AG246" i="5" s="1"/>
  <c r="Q245" i="5"/>
  <c r="R245" i="5" s="1"/>
  <c r="AE245" i="5"/>
  <c r="AF245" i="5" s="1"/>
  <c r="AG245" i="5" s="1"/>
  <c r="U245" i="5"/>
  <c r="AD245" i="5" s="1"/>
  <c r="AC245" i="5"/>
  <c r="Q244" i="5"/>
  <c r="R244" i="5" s="1"/>
  <c r="AE244" i="5"/>
  <c r="AF244" i="5" s="1"/>
  <c r="AG244" i="5" s="1"/>
  <c r="U244" i="5"/>
  <c r="AD244" i="5" s="1"/>
  <c r="AC244" i="5"/>
  <c r="Q243" i="5"/>
  <c r="R243" i="5" s="1"/>
  <c r="AE243" i="5"/>
  <c r="AF243" i="5" s="1"/>
  <c r="AG243" i="5" s="1"/>
  <c r="Q242" i="5"/>
  <c r="R242" i="5" s="1"/>
  <c r="AE242" i="5"/>
  <c r="AF242" i="5" s="1"/>
  <c r="AG242" i="5" s="1"/>
  <c r="U242" i="5"/>
  <c r="AD242" i="5" s="1"/>
  <c r="AC242" i="5"/>
  <c r="Q241" i="5"/>
  <c r="R241" i="5" s="1"/>
  <c r="AE241" i="5"/>
  <c r="AF241" i="5" s="1"/>
  <c r="AG241" i="5" s="1"/>
  <c r="U241" i="5"/>
  <c r="AD241" i="5" s="1"/>
  <c r="AC241" i="5"/>
  <c r="Q240" i="5"/>
  <c r="R240" i="5" s="1"/>
  <c r="S240" i="5" s="1"/>
  <c r="T240" i="5" s="1"/>
  <c r="AE240" i="5"/>
  <c r="AF240" i="5" s="1"/>
  <c r="AG240" i="5" s="1"/>
  <c r="Q239" i="5"/>
  <c r="R239" i="5" s="1"/>
  <c r="AE239" i="5"/>
  <c r="AF239" i="5" s="1"/>
  <c r="AG239" i="5" s="1"/>
  <c r="Q238" i="5"/>
  <c r="R238" i="5" s="1"/>
  <c r="AE238" i="5"/>
  <c r="AF238" i="5" s="1"/>
  <c r="AG238" i="5" s="1"/>
  <c r="U238" i="5"/>
  <c r="AD238" i="5" s="1"/>
  <c r="AC238" i="5"/>
  <c r="Q237" i="5"/>
  <c r="R237" i="5" s="1"/>
  <c r="AE237" i="5"/>
  <c r="AF237" i="5" s="1"/>
  <c r="AG237" i="5" s="1"/>
  <c r="Q236" i="5"/>
  <c r="R236" i="5" s="1"/>
  <c r="AE236" i="5"/>
  <c r="AF236" i="5" s="1"/>
  <c r="AG236" i="5" s="1"/>
  <c r="U236" i="5"/>
  <c r="AD236" i="5" s="1"/>
  <c r="AC236" i="5"/>
  <c r="Q235" i="5"/>
  <c r="R235" i="5" s="1"/>
  <c r="AE235" i="5"/>
  <c r="AF235" i="5" s="1"/>
  <c r="AG235" i="5" s="1"/>
  <c r="Q234" i="5"/>
  <c r="R234" i="5" s="1"/>
  <c r="AE234" i="5"/>
  <c r="AF234" i="5" s="1"/>
  <c r="AG234" i="5" s="1"/>
  <c r="Q233" i="5"/>
  <c r="R233" i="5" s="1"/>
  <c r="AE233" i="5"/>
  <c r="AF233" i="5" s="1"/>
  <c r="AG233" i="5" s="1"/>
  <c r="U233" i="5"/>
  <c r="AD233" i="5" s="1"/>
  <c r="AC233" i="5"/>
  <c r="Q232" i="5"/>
  <c r="R232" i="5" s="1"/>
  <c r="AE232" i="5"/>
  <c r="AF232" i="5" s="1"/>
  <c r="AG232" i="5" s="1"/>
  <c r="U232" i="5"/>
  <c r="AD232" i="5" s="1"/>
  <c r="AC232" i="5"/>
  <c r="Q231" i="5"/>
  <c r="R231" i="5" s="1"/>
  <c r="AE231" i="5"/>
  <c r="AF231" i="5" s="1"/>
  <c r="AG231" i="5" s="1"/>
  <c r="U231" i="5"/>
  <c r="AD231" i="5" s="1"/>
  <c r="AC231" i="5"/>
  <c r="Q230" i="5"/>
  <c r="R230" i="5" s="1"/>
  <c r="AE230" i="5"/>
  <c r="AF230" i="5" s="1"/>
  <c r="AG230" i="5" s="1"/>
  <c r="U230" i="5"/>
  <c r="AD230" i="5" s="1"/>
  <c r="AC230" i="5"/>
  <c r="Q229" i="5"/>
  <c r="R229" i="5" s="1"/>
  <c r="AE229" i="5"/>
  <c r="AF229" i="5" s="1"/>
  <c r="AG229" i="5" s="1"/>
  <c r="U229" i="5"/>
  <c r="AD229" i="5" s="1"/>
  <c r="AC229" i="5"/>
  <c r="Q228" i="5"/>
  <c r="R228" i="5" s="1"/>
  <c r="AE228" i="5"/>
  <c r="AF228" i="5" s="1"/>
  <c r="AG228" i="5" s="1"/>
  <c r="U228" i="5"/>
  <c r="AD228" i="5" s="1"/>
  <c r="AC228" i="5"/>
  <c r="Q227" i="5"/>
  <c r="R227" i="5" s="1"/>
  <c r="AE227" i="5"/>
  <c r="AF227" i="5" s="1"/>
  <c r="AG227" i="5" s="1"/>
  <c r="U227" i="5"/>
  <c r="AD227" i="5" s="1"/>
  <c r="AC227" i="5"/>
  <c r="Q226" i="5"/>
  <c r="R226" i="5" s="1"/>
  <c r="AE226" i="5"/>
  <c r="AF226" i="5" s="1"/>
  <c r="AG226" i="5" s="1"/>
  <c r="Q225" i="5"/>
  <c r="R225" i="5" s="1"/>
  <c r="AE225" i="5"/>
  <c r="AF225" i="5" s="1"/>
  <c r="AG225" i="5" s="1"/>
  <c r="Q224" i="5"/>
  <c r="R224" i="5" s="1"/>
  <c r="AE224" i="5"/>
  <c r="AF224" i="5" s="1"/>
  <c r="AG224" i="5" s="1"/>
  <c r="U224" i="5"/>
  <c r="AD224" i="5" s="1"/>
  <c r="AC224" i="5"/>
  <c r="Q223" i="5"/>
  <c r="R223" i="5" s="1"/>
  <c r="AE223" i="5"/>
  <c r="AF223" i="5" s="1"/>
  <c r="AG223" i="5" s="1"/>
  <c r="U223" i="5"/>
  <c r="AD223" i="5" s="1"/>
  <c r="AC223" i="5"/>
  <c r="Q222" i="5"/>
  <c r="R222" i="5" s="1"/>
  <c r="AE222" i="5"/>
  <c r="AF222" i="5" s="1"/>
  <c r="AG222" i="5" s="1"/>
  <c r="U222" i="5"/>
  <c r="AD222" i="5" s="1"/>
  <c r="AC222" i="5"/>
  <c r="Q221" i="5"/>
  <c r="R221" i="5" s="1"/>
  <c r="AE221" i="5"/>
  <c r="AF221" i="5" s="1"/>
  <c r="AG221" i="5" s="1"/>
  <c r="Q220" i="5"/>
  <c r="R220" i="5" s="1"/>
  <c r="AE220" i="5"/>
  <c r="AF220" i="5" s="1"/>
  <c r="AG220" i="5" s="1"/>
  <c r="U220" i="5"/>
  <c r="AD220" i="5" s="1"/>
  <c r="AC220" i="5"/>
  <c r="Q219" i="5"/>
  <c r="R219" i="5" s="1"/>
  <c r="AE219" i="5"/>
  <c r="AF219" i="5" s="1"/>
  <c r="AG219" i="5" s="1"/>
  <c r="U219" i="5"/>
  <c r="AD219" i="5" s="1"/>
  <c r="AC219" i="5"/>
  <c r="Q218" i="5"/>
  <c r="R218" i="5" s="1"/>
  <c r="AE218" i="5"/>
  <c r="AF218" i="5" s="1"/>
  <c r="AG218" i="5" s="1"/>
  <c r="Q217" i="5"/>
  <c r="R217" i="5" s="1"/>
  <c r="AE217" i="5"/>
  <c r="AF217" i="5" s="1"/>
  <c r="AG217" i="5" s="1"/>
  <c r="Q216" i="5"/>
  <c r="R216" i="5" s="1"/>
  <c r="AE216" i="5"/>
  <c r="AF216" i="5" s="1"/>
  <c r="AG216" i="5" s="1"/>
  <c r="Q215" i="5"/>
  <c r="R215" i="5" s="1"/>
  <c r="AE215" i="5"/>
  <c r="AF215" i="5" s="1"/>
  <c r="AG215" i="5" s="1"/>
  <c r="Q214" i="5"/>
  <c r="R214" i="5" s="1"/>
  <c r="AE214" i="5"/>
  <c r="AF214" i="5" s="1"/>
  <c r="AG214" i="5" s="1"/>
  <c r="Q213" i="5"/>
  <c r="R213" i="5" s="1"/>
  <c r="AE213" i="5"/>
  <c r="AF213" i="5" s="1"/>
  <c r="AG213" i="5" s="1"/>
  <c r="Q212" i="5"/>
  <c r="R212" i="5" s="1"/>
  <c r="AE212" i="5"/>
  <c r="AF212" i="5" s="1"/>
  <c r="AG212" i="5" s="1"/>
  <c r="Q211" i="5"/>
  <c r="R211" i="5" s="1"/>
  <c r="AE211" i="5"/>
  <c r="AF211" i="5" s="1"/>
  <c r="AG211" i="5" s="1"/>
  <c r="U211" i="5"/>
  <c r="AD211" i="5" s="1"/>
  <c r="AC211" i="5"/>
  <c r="Q210" i="5"/>
  <c r="R210" i="5" s="1"/>
  <c r="AE210" i="5"/>
  <c r="AF210" i="5" s="1"/>
  <c r="AG210" i="5" s="1"/>
  <c r="Q209" i="5"/>
  <c r="R209" i="5" s="1"/>
  <c r="AE209" i="5"/>
  <c r="AF209" i="5" s="1"/>
  <c r="AG209" i="5" s="1"/>
  <c r="Q208" i="5"/>
  <c r="R208" i="5" s="1"/>
  <c r="AE208" i="5"/>
  <c r="AF208" i="5" s="1"/>
  <c r="AG208" i="5" s="1"/>
  <c r="U208" i="5"/>
  <c r="AD208" i="5" s="1"/>
  <c r="AC208" i="5"/>
  <c r="Q207" i="5"/>
  <c r="R207" i="5" s="1"/>
  <c r="AE207" i="5"/>
  <c r="AF207" i="5" s="1"/>
  <c r="AG207" i="5" s="1"/>
  <c r="U207" i="5"/>
  <c r="AD207" i="5" s="1"/>
  <c r="AC207" i="5"/>
  <c r="Q206" i="5"/>
  <c r="R206" i="5" s="1"/>
  <c r="AE206" i="5"/>
  <c r="AF206" i="5" s="1"/>
  <c r="AG206" i="5" s="1"/>
  <c r="Q205" i="5"/>
  <c r="R205" i="5" s="1"/>
  <c r="S205" i="5" s="1"/>
  <c r="T205" i="5" s="1"/>
  <c r="AE205" i="5"/>
  <c r="AF205" i="5" s="1"/>
  <c r="AG205" i="5" s="1"/>
  <c r="N204" i="5"/>
  <c r="Q204" i="5"/>
  <c r="R204" i="5" s="1"/>
  <c r="S204" i="5" s="1"/>
  <c r="T204" i="5" s="1"/>
  <c r="AE204" i="5"/>
  <c r="AF204" i="5" s="1"/>
  <c r="AG204" i="5" s="1"/>
  <c r="Q203" i="5"/>
  <c r="R203" i="5" s="1"/>
  <c r="S203" i="5" s="1"/>
  <c r="T203" i="5" s="1"/>
  <c r="AE203" i="5"/>
  <c r="AF203" i="5" s="1"/>
  <c r="AG203" i="5" s="1"/>
  <c r="N202" i="5"/>
  <c r="Q202" i="5"/>
  <c r="R202" i="5" s="1"/>
  <c r="S202" i="5" s="1"/>
  <c r="T202" i="5" s="1"/>
  <c r="AE202" i="5"/>
  <c r="AF202" i="5" s="1"/>
  <c r="AG202" i="5" s="1"/>
  <c r="N201" i="5"/>
  <c r="Q201" i="5"/>
  <c r="R201" i="5" s="1"/>
  <c r="S201" i="5" s="1"/>
  <c r="T201" i="5" s="1"/>
  <c r="AE201" i="5"/>
  <c r="AF201" i="5" s="1"/>
  <c r="AG201" i="5" s="1"/>
  <c r="Q200" i="5"/>
  <c r="R200" i="5" s="1"/>
  <c r="S200" i="5" s="1"/>
  <c r="T200" i="5" s="1"/>
  <c r="AE200" i="5"/>
  <c r="AF200" i="5" s="1"/>
  <c r="AG200" i="5" s="1"/>
  <c r="Q199" i="5"/>
  <c r="R199" i="5" s="1"/>
  <c r="S199" i="5" s="1"/>
  <c r="T199" i="5" s="1"/>
  <c r="AE199" i="5"/>
  <c r="AF199" i="5" s="1"/>
  <c r="AG199" i="5" s="1"/>
  <c r="Q198" i="5"/>
  <c r="R198" i="5" s="1"/>
  <c r="AE198" i="5"/>
  <c r="AF198" i="5" s="1"/>
  <c r="AG198" i="5" s="1"/>
  <c r="U198" i="5"/>
  <c r="AD198" i="5" s="1"/>
  <c r="AC198" i="5"/>
  <c r="Q197" i="5"/>
  <c r="R197" i="5" s="1"/>
  <c r="S197" i="5" s="1"/>
  <c r="T197" i="5" s="1"/>
  <c r="AE197" i="5"/>
  <c r="AF197" i="5" s="1"/>
  <c r="AG197" i="5" s="1"/>
  <c r="Q195" i="5"/>
  <c r="R195" i="5" s="1"/>
  <c r="S195" i="5" s="1"/>
  <c r="T195" i="5" s="1"/>
  <c r="AE195" i="5"/>
  <c r="AF195" i="5" s="1"/>
  <c r="AG195" i="5" s="1"/>
  <c r="Q194" i="5"/>
  <c r="R194" i="5" s="1"/>
  <c r="S194" i="5" s="1"/>
  <c r="T194" i="5" s="1"/>
  <c r="AE194" i="5"/>
  <c r="AF194" i="5" s="1"/>
  <c r="AG194" i="5" s="1"/>
  <c r="N193" i="5"/>
  <c r="Q193" i="5"/>
  <c r="R193" i="5" s="1"/>
  <c r="S193" i="5" s="1"/>
  <c r="T193" i="5" s="1"/>
  <c r="AE193" i="5"/>
  <c r="AF193" i="5" s="1"/>
  <c r="AG193" i="5" s="1"/>
  <c r="Q192" i="5"/>
  <c r="R192" i="5" s="1"/>
  <c r="S192" i="5" s="1"/>
  <c r="T192" i="5" s="1"/>
  <c r="AE192" i="5"/>
  <c r="AF192" i="5" s="1"/>
  <c r="AG192" i="5" s="1"/>
  <c r="Q191" i="5"/>
  <c r="R191" i="5" s="1"/>
  <c r="S191" i="5" s="1"/>
  <c r="T191" i="5" s="1"/>
  <c r="AE191" i="5"/>
  <c r="AF191" i="5" s="1"/>
  <c r="AG191" i="5" s="1"/>
  <c r="Q190" i="5"/>
  <c r="R190" i="5" s="1"/>
  <c r="S190" i="5" s="1"/>
  <c r="T190" i="5" s="1"/>
  <c r="AE190" i="5"/>
  <c r="AF190" i="5" s="1"/>
  <c r="AG190" i="5" s="1"/>
  <c r="Q189" i="5"/>
  <c r="R189" i="5" s="1"/>
  <c r="S189" i="5" s="1"/>
  <c r="T189" i="5" s="1"/>
  <c r="AE189" i="5"/>
  <c r="AF189" i="5" s="1"/>
  <c r="AG189" i="5" s="1"/>
  <c r="Q188" i="5"/>
  <c r="R188" i="5" s="1"/>
  <c r="S188" i="5" s="1"/>
  <c r="T188" i="5" s="1"/>
  <c r="AE188" i="5"/>
  <c r="AF188" i="5" s="1"/>
  <c r="AG188" i="5" s="1"/>
  <c r="N187" i="5"/>
  <c r="Q187" i="5"/>
  <c r="R187" i="5" s="1"/>
  <c r="S187" i="5" s="1"/>
  <c r="T187" i="5" s="1"/>
  <c r="AE187" i="5"/>
  <c r="AF187" i="5" s="1"/>
  <c r="AG187" i="5" s="1"/>
  <c r="N186" i="5"/>
  <c r="Q186" i="5"/>
  <c r="R186" i="5" s="1"/>
  <c r="S186" i="5" s="1"/>
  <c r="T186" i="5" s="1"/>
  <c r="AE186" i="5"/>
  <c r="AF186" i="5" s="1"/>
  <c r="AG186" i="5" s="1"/>
  <c r="N184" i="5"/>
  <c r="Q184" i="5"/>
  <c r="R184" i="5" s="1"/>
  <c r="S184" i="5" s="1"/>
  <c r="T184" i="5" s="1"/>
  <c r="AE184" i="5"/>
  <c r="AF184" i="5" s="1"/>
  <c r="AG184" i="5" s="1"/>
  <c r="N183" i="5"/>
  <c r="Q183" i="5"/>
  <c r="R183" i="5" s="1"/>
  <c r="S183" i="5" s="1"/>
  <c r="T183" i="5" s="1"/>
  <c r="AE183" i="5"/>
  <c r="AF183" i="5" s="1"/>
  <c r="AG183" i="5" s="1"/>
  <c r="Q182" i="5"/>
  <c r="R182" i="5" s="1"/>
  <c r="S182" i="5" s="1"/>
  <c r="T182" i="5" s="1"/>
  <c r="AE182" i="5"/>
  <c r="AF182" i="5" s="1"/>
  <c r="AG182" i="5" s="1"/>
  <c r="Q181" i="5"/>
  <c r="R181" i="5" s="1"/>
  <c r="S181" i="5" s="1"/>
  <c r="T181" i="5" s="1"/>
  <c r="AE181" i="5"/>
  <c r="AF181" i="5" s="1"/>
  <c r="AG181" i="5" s="1"/>
  <c r="Q180" i="5"/>
  <c r="R180" i="5" s="1"/>
  <c r="AE180" i="5"/>
  <c r="AF180" i="5" s="1"/>
  <c r="AG180" i="5" s="1"/>
  <c r="U180" i="5"/>
  <c r="AD180" i="5" s="1"/>
  <c r="AC180" i="5"/>
  <c r="Q179" i="5"/>
  <c r="R179" i="5" s="1"/>
  <c r="S179" i="5" s="1"/>
  <c r="T179" i="5" s="1"/>
  <c r="AE179" i="5"/>
  <c r="AF179" i="5" s="1"/>
  <c r="AG179" i="5" s="1"/>
  <c r="Q178" i="5"/>
  <c r="R178" i="5" s="1"/>
  <c r="AE178" i="5"/>
  <c r="AF178" i="5" s="1"/>
  <c r="AG178" i="5" s="1"/>
  <c r="Q177" i="5"/>
  <c r="R177" i="5" s="1"/>
  <c r="AE177" i="5"/>
  <c r="AF177" i="5" s="1"/>
  <c r="AG177" i="5" s="1"/>
  <c r="U177" i="5"/>
  <c r="AD177" i="5" s="1"/>
  <c r="AC177" i="5"/>
  <c r="Q176" i="5"/>
  <c r="R176" i="5" s="1"/>
  <c r="AE176" i="5"/>
  <c r="AF176" i="5" s="1"/>
  <c r="AG176" i="5" s="1"/>
  <c r="Q175" i="5"/>
  <c r="R175" i="5" s="1"/>
  <c r="AE175" i="5"/>
  <c r="AF175" i="5" s="1"/>
  <c r="AG175" i="5" s="1"/>
  <c r="U175" i="5"/>
  <c r="AD175" i="5" s="1"/>
  <c r="AC175" i="5"/>
  <c r="Q174" i="5"/>
  <c r="R174" i="5" s="1"/>
  <c r="AE174" i="5"/>
  <c r="AF174" i="5" s="1"/>
  <c r="AG174" i="5" s="1"/>
  <c r="Q173" i="5"/>
  <c r="R173" i="5" s="1"/>
  <c r="AE173" i="5"/>
  <c r="AF173" i="5" s="1"/>
  <c r="AG173" i="5" s="1"/>
  <c r="Q172" i="5"/>
  <c r="R172" i="5" s="1"/>
  <c r="AE172" i="5"/>
  <c r="AF172" i="5" s="1"/>
  <c r="AG172" i="5" s="1"/>
  <c r="Q171" i="5"/>
  <c r="R171" i="5" s="1"/>
  <c r="AE171" i="5"/>
  <c r="AF171" i="5" s="1"/>
  <c r="AG171" i="5" s="1"/>
  <c r="U171" i="5"/>
  <c r="AD171" i="5" s="1"/>
  <c r="AC171" i="5"/>
  <c r="Q170" i="5"/>
  <c r="R170" i="5" s="1"/>
  <c r="AE170" i="5"/>
  <c r="AF170" i="5" s="1"/>
  <c r="AG170" i="5" s="1"/>
  <c r="U170" i="5"/>
  <c r="AD170" i="5" s="1"/>
  <c r="AC170" i="5"/>
  <c r="Q169" i="5"/>
  <c r="R169" i="5" s="1"/>
  <c r="AE169" i="5"/>
  <c r="AF169" i="5" s="1"/>
  <c r="AG169" i="5" s="1"/>
  <c r="Q168" i="5"/>
  <c r="R168" i="5" s="1"/>
  <c r="AE168" i="5"/>
  <c r="AF168" i="5" s="1"/>
  <c r="AG168" i="5" s="1"/>
  <c r="Q167" i="5"/>
  <c r="R167" i="5" s="1"/>
  <c r="AE167" i="5"/>
  <c r="AF167" i="5" s="1"/>
  <c r="AG167" i="5" s="1"/>
  <c r="Q166" i="5"/>
  <c r="R166" i="5" s="1"/>
  <c r="AE166" i="5"/>
  <c r="AF166" i="5" s="1"/>
  <c r="AG166" i="5" s="1"/>
  <c r="U166" i="5"/>
  <c r="AD166" i="5" s="1"/>
  <c r="AC166" i="5"/>
  <c r="Q165" i="5"/>
  <c r="R165" i="5" s="1"/>
  <c r="AE165" i="5"/>
  <c r="AF165" i="5" s="1"/>
  <c r="AG165" i="5" s="1"/>
  <c r="U165" i="5"/>
  <c r="AD165" i="5" s="1"/>
  <c r="AC165" i="5"/>
  <c r="Q164" i="5"/>
  <c r="R164" i="5" s="1"/>
  <c r="AE164" i="5"/>
  <c r="AF164" i="5" s="1"/>
  <c r="AG164" i="5" s="1"/>
  <c r="U164" i="5"/>
  <c r="AD164" i="5" s="1"/>
  <c r="AC164" i="5"/>
  <c r="Q163" i="5"/>
  <c r="R163" i="5" s="1"/>
  <c r="AE163" i="5"/>
  <c r="AF163" i="5" s="1"/>
  <c r="AG163" i="5" s="1"/>
  <c r="U163" i="5"/>
  <c r="AD163" i="5" s="1"/>
  <c r="AC163" i="5"/>
  <c r="Q162" i="5"/>
  <c r="R162" i="5" s="1"/>
  <c r="AE162" i="5"/>
  <c r="AF162" i="5" s="1"/>
  <c r="AG162" i="5" s="1"/>
  <c r="Q161" i="5"/>
  <c r="R161" i="5" s="1"/>
  <c r="AE161" i="5"/>
  <c r="AF161" i="5" s="1"/>
  <c r="AG161" i="5" s="1"/>
  <c r="Q160" i="5"/>
  <c r="R160" i="5" s="1"/>
  <c r="AE160" i="5"/>
  <c r="AF160" i="5" s="1"/>
  <c r="AG160" i="5" s="1"/>
  <c r="U160" i="5"/>
  <c r="AD160" i="5" s="1"/>
  <c r="AC160" i="5"/>
  <c r="Q159" i="5"/>
  <c r="R159" i="5" s="1"/>
  <c r="AE159" i="5"/>
  <c r="AF159" i="5" s="1"/>
  <c r="AG159" i="5" s="1"/>
  <c r="Q158" i="5"/>
  <c r="R158" i="5" s="1"/>
  <c r="AE158" i="5"/>
  <c r="AF158" i="5" s="1"/>
  <c r="AG158" i="5" s="1"/>
  <c r="U158" i="5"/>
  <c r="AD158" i="5" s="1"/>
  <c r="AC158" i="5"/>
  <c r="Q157" i="5"/>
  <c r="R157" i="5" s="1"/>
  <c r="AE157" i="5"/>
  <c r="AF157" i="5" s="1"/>
  <c r="AG157" i="5" s="1"/>
  <c r="Q156" i="5"/>
  <c r="R156" i="5" s="1"/>
  <c r="AE156" i="5"/>
  <c r="AF156" i="5" s="1"/>
  <c r="AG156" i="5" s="1"/>
  <c r="U156" i="5"/>
  <c r="AD156" i="5" s="1"/>
  <c r="AC156" i="5"/>
  <c r="Q155" i="5"/>
  <c r="R155" i="5" s="1"/>
  <c r="AE155" i="5"/>
  <c r="AF155" i="5" s="1"/>
  <c r="AG155" i="5" s="1"/>
  <c r="Q154" i="5"/>
  <c r="R154" i="5" s="1"/>
  <c r="AE154" i="5"/>
  <c r="AF154" i="5" s="1"/>
  <c r="AG154" i="5" s="1"/>
  <c r="Q153" i="5"/>
  <c r="R153" i="5" s="1"/>
  <c r="AE153" i="5"/>
  <c r="AF153" i="5" s="1"/>
  <c r="AG153" i="5" s="1"/>
  <c r="U153" i="5"/>
  <c r="AD153" i="5" s="1"/>
  <c r="AC153" i="5"/>
  <c r="Q152" i="5"/>
  <c r="R152" i="5" s="1"/>
  <c r="AE152" i="5"/>
  <c r="AF152" i="5" s="1"/>
  <c r="AG152" i="5" s="1"/>
  <c r="Q151" i="5"/>
  <c r="R151" i="5" s="1"/>
  <c r="AE151" i="5"/>
  <c r="AF151" i="5" s="1"/>
  <c r="AG151" i="5" s="1"/>
  <c r="U151" i="5"/>
  <c r="AD151" i="5" s="1"/>
  <c r="AC151" i="5"/>
  <c r="Q150" i="5"/>
  <c r="R150" i="5" s="1"/>
  <c r="AE150" i="5"/>
  <c r="AF150" i="5" s="1"/>
  <c r="AG150" i="5" s="1"/>
  <c r="U150" i="5"/>
  <c r="AD150" i="5" s="1"/>
  <c r="AC150" i="5"/>
  <c r="Q149" i="5"/>
  <c r="R149" i="5" s="1"/>
  <c r="AE149" i="5"/>
  <c r="AF149" i="5" s="1"/>
  <c r="AG149" i="5" s="1"/>
  <c r="U149" i="5"/>
  <c r="AD149" i="5" s="1"/>
  <c r="AC149" i="5"/>
  <c r="Q148" i="5"/>
  <c r="R148" i="5" s="1"/>
  <c r="AE148" i="5"/>
  <c r="AF148" i="5" s="1"/>
  <c r="AG148" i="5" s="1"/>
  <c r="Q147" i="5"/>
  <c r="R147" i="5" s="1"/>
  <c r="AE147" i="5"/>
  <c r="AF147" i="5" s="1"/>
  <c r="AG147" i="5" s="1"/>
  <c r="Q146" i="5"/>
  <c r="R146" i="5" s="1"/>
  <c r="AE146" i="5"/>
  <c r="AF146" i="5" s="1"/>
  <c r="AG146" i="5" s="1"/>
  <c r="Q145" i="5"/>
  <c r="R145" i="5" s="1"/>
  <c r="AE145" i="5"/>
  <c r="AF145" i="5" s="1"/>
  <c r="AG145" i="5" s="1"/>
  <c r="U145" i="5"/>
  <c r="AD145" i="5" s="1"/>
  <c r="AC145" i="5"/>
  <c r="Q144" i="5"/>
  <c r="R144" i="5" s="1"/>
  <c r="AE144" i="5"/>
  <c r="AF144" i="5" s="1"/>
  <c r="AG144" i="5" s="1"/>
  <c r="U144" i="5"/>
  <c r="AD144" i="5" s="1"/>
  <c r="AC144" i="5"/>
  <c r="Q143" i="5"/>
  <c r="R143" i="5" s="1"/>
  <c r="AE143" i="5"/>
  <c r="AF143" i="5" s="1"/>
  <c r="AG143" i="5" s="1"/>
  <c r="Q142" i="5"/>
  <c r="R142" i="5" s="1"/>
  <c r="AE142" i="5"/>
  <c r="AF142" i="5" s="1"/>
  <c r="AG142" i="5" s="1"/>
  <c r="Q141" i="5"/>
  <c r="R141" i="5" s="1"/>
  <c r="AE141" i="5"/>
  <c r="AF141" i="5" s="1"/>
  <c r="AG141" i="5" s="1"/>
  <c r="Q140" i="5"/>
  <c r="R140" i="5" s="1"/>
  <c r="S140" i="5" s="1"/>
  <c r="T140" i="5" s="1"/>
  <c r="U140" i="5" s="1"/>
  <c r="AE140" i="5"/>
  <c r="AF140" i="5" s="1"/>
  <c r="AG140" i="5" s="1"/>
  <c r="N139" i="5"/>
  <c r="Q139" i="5"/>
  <c r="R139" i="5" s="1"/>
  <c r="S139" i="5" s="1"/>
  <c r="T139" i="5" s="1"/>
  <c r="AE139" i="5"/>
  <c r="AF139" i="5" s="1"/>
  <c r="AG139" i="5" s="1"/>
  <c r="Q138" i="5"/>
  <c r="R138" i="5" s="1"/>
  <c r="S138" i="5" s="1"/>
  <c r="T138" i="5" s="1"/>
  <c r="U138" i="5" s="1"/>
  <c r="AE138" i="5"/>
  <c r="AF138" i="5" s="1"/>
  <c r="AG138" i="5" s="1"/>
  <c r="Q137" i="5"/>
  <c r="R137" i="5" s="1"/>
  <c r="S137" i="5" s="1"/>
  <c r="T137" i="5" s="1"/>
  <c r="U137" i="5" s="1"/>
  <c r="AE137" i="5"/>
  <c r="AF137" i="5" s="1"/>
  <c r="AG137" i="5" s="1"/>
  <c r="N136" i="5"/>
  <c r="Q136" i="5"/>
  <c r="R136" i="5" s="1"/>
  <c r="S136" i="5" s="1"/>
  <c r="T136" i="5" s="1"/>
  <c r="AE136" i="5"/>
  <c r="AF136" i="5" s="1"/>
  <c r="AG136" i="5" s="1"/>
  <c r="N135" i="5"/>
  <c r="Q135" i="5"/>
  <c r="R135" i="5" s="1"/>
  <c r="S135" i="5" s="1"/>
  <c r="T135" i="5" s="1"/>
  <c r="AE135" i="5"/>
  <c r="AF135" i="5" s="1"/>
  <c r="AG135" i="5" s="1"/>
  <c r="Q134" i="5"/>
  <c r="R134" i="5" s="1"/>
  <c r="S134" i="5" s="1"/>
  <c r="T134" i="5" s="1"/>
  <c r="U134" i="5" s="1"/>
  <c r="AE134" i="5"/>
  <c r="AF134" i="5" s="1"/>
  <c r="AG134" i="5" s="1"/>
  <c r="Q133" i="5"/>
  <c r="R133" i="5" s="1"/>
  <c r="S133" i="5" s="1"/>
  <c r="T133" i="5" s="1"/>
  <c r="U133" i="5" s="1"/>
  <c r="AE133" i="5"/>
  <c r="AF133" i="5" s="1"/>
  <c r="AG133" i="5" s="1"/>
  <c r="Q132" i="5"/>
  <c r="R132" i="5" s="1"/>
  <c r="S132" i="5" s="1"/>
  <c r="T132" i="5" s="1"/>
  <c r="U132" i="5" s="1"/>
  <c r="AE132" i="5"/>
  <c r="AF132" i="5" s="1"/>
  <c r="AG132" i="5" s="1"/>
  <c r="Q131" i="5"/>
  <c r="R131" i="5" s="1"/>
  <c r="S131" i="5" s="1"/>
  <c r="T131" i="5" s="1"/>
  <c r="U131" i="5" s="1"/>
  <c r="AE131" i="5"/>
  <c r="AF131" i="5" s="1"/>
  <c r="AG131" i="5" s="1"/>
  <c r="Q130" i="5"/>
  <c r="R130" i="5" s="1"/>
  <c r="S130" i="5" s="1"/>
  <c r="T130" i="5" s="1"/>
  <c r="U130" i="5" s="1"/>
  <c r="AE130" i="5"/>
  <c r="AF130" i="5" s="1"/>
  <c r="AG130" i="5" s="1"/>
  <c r="Q129" i="5"/>
  <c r="R129" i="5" s="1"/>
  <c r="S129" i="5" s="1"/>
  <c r="T129" i="5" s="1"/>
  <c r="U129" i="5" s="1"/>
  <c r="AE129" i="5"/>
  <c r="AF129" i="5" s="1"/>
  <c r="AG129" i="5" s="1"/>
  <c r="N128" i="5"/>
  <c r="Q128" i="5"/>
  <c r="R128" i="5" s="1"/>
  <c r="S128" i="5" s="1"/>
  <c r="T128" i="5" s="1"/>
  <c r="AE128" i="5"/>
  <c r="AF128" i="5" s="1"/>
  <c r="AG128" i="5" s="1"/>
  <c r="N127" i="5"/>
  <c r="Q127" i="5"/>
  <c r="R127" i="5" s="1"/>
  <c r="S127" i="5" s="1"/>
  <c r="T127" i="5" s="1"/>
  <c r="AE127" i="5"/>
  <c r="AF127" i="5" s="1"/>
  <c r="AG127" i="5" s="1"/>
  <c r="Q126" i="5"/>
  <c r="R126" i="5" s="1"/>
  <c r="S126" i="5" s="1"/>
  <c r="T126" i="5" s="1"/>
  <c r="U126" i="5" s="1"/>
  <c r="AE126" i="5"/>
  <c r="AF126" i="5" s="1"/>
  <c r="AG126" i="5" s="1"/>
  <c r="Q125" i="5"/>
  <c r="R125" i="5" s="1"/>
  <c r="S125" i="5" s="1"/>
  <c r="T125" i="5" s="1"/>
  <c r="U125" i="5" s="1"/>
  <c r="AE125" i="5"/>
  <c r="AF125" i="5" s="1"/>
  <c r="AG125" i="5" s="1"/>
  <c r="N124" i="5"/>
  <c r="Q124" i="5"/>
  <c r="R124" i="5" s="1"/>
  <c r="S124" i="5" s="1"/>
  <c r="T124" i="5" s="1"/>
  <c r="AE124" i="5"/>
  <c r="AF124" i="5" s="1"/>
  <c r="AG124" i="5" s="1"/>
  <c r="N123" i="5"/>
  <c r="Q123" i="5"/>
  <c r="R123" i="5" s="1"/>
  <c r="S123" i="5" s="1"/>
  <c r="T123" i="5" s="1"/>
  <c r="AE123" i="5"/>
  <c r="AF123" i="5" s="1"/>
  <c r="AG123" i="5" s="1"/>
  <c r="Q122" i="5"/>
  <c r="R122" i="5" s="1"/>
  <c r="S122" i="5" s="1"/>
  <c r="T122" i="5" s="1"/>
  <c r="U122" i="5" s="1"/>
  <c r="AE122" i="5"/>
  <c r="AF122" i="5" s="1"/>
  <c r="AG122" i="5" s="1"/>
  <c r="Q121" i="5"/>
  <c r="R121" i="5" s="1"/>
  <c r="AE121" i="5"/>
  <c r="AF121" i="5" s="1"/>
  <c r="AG121" i="5" s="1"/>
  <c r="U121" i="5"/>
  <c r="AD121" i="5" s="1"/>
  <c r="AC121" i="5"/>
  <c r="Q120" i="5"/>
  <c r="R120" i="5" s="1"/>
  <c r="AE120" i="5"/>
  <c r="AF120" i="5" s="1"/>
  <c r="AG120" i="5" s="1"/>
  <c r="Q118" i="5"/>
  <c r="R118" i="5" s="1"/>
  <c r="AE118" i="5"/>
  <c r="AF118" i="5" s="1"/>
  <c r="AG118" i="5" s="1"/>
  <c r="U118" i="5"/>
  <c r="AD118" i="5" s="1"/>
  <c r="AC118" i="5"/>
  <c r="Q117" i="5"/>
  <c r="R117" i="5" s="1"/>
  <c r="AE117" i="5"/>
  <c r="AF117" i="5" s="1"/>
  <c r="AG117" i="5" s="1"/>
  <c r="Q116" i="5"/>
  <c r="R116" i="5" s="1"/>
  <c r="AE116" i="5"/>
  <c r="AF116" i="5" s="1"/>
  <c r="AG116" i="5" s="1"/>
  <c r="Q115" i="5"/>
  <c r="R115" i="5" s="1"/>
  <c r="AE115" i="5"/>
  <c r="AF115" i="5" s="1"/>
  <c r="AG115" i="5" s="1"/>
  <c r="Q114" i="5"/>
  <c r="R114" i="5" s="1"/>
  <c r="AE114" i="5"/>
  <c r="AF114" i="5" s="1"/>
  <c r="AG114" i="5" s="1"/>
  <c r="U114" i="5"/>
  <c r="AD114" i="5" s="1"/>
  <c r="AC114" i="5"/>
  <c r="Q113" i="5"/>
  <c r="R113" i="5" s="1"/>
  <c r="AE113" i="5"/>
  <c r="AF113" i="5" s="1"/>
  <c r="AG113" i="5" s="1"/>
  <c r="Q112" i="5"/>
  <c r="R112" i="5" s="1"/>
  <c r="AE112" i="5"/>
  <c r="AF112" i="5" s="1"/>
  <c r="AG112" i="5" s="1"/>
  <c r="Q111" i="5"/>
  <c r="R111" i="5" s="1"/>
  <c r="AE111" i="5"/>
  <c r="AF111" i="5" s="1"/>
  <c r="AG111" i="5" s="1"/>
  <c r="U111" i="5"/>
  <c r="AD111" i="5" s="1"/>
  <c r="AC111" i="5"/>
  <c r="Q110" i="5"/>
  <c r="R110" i="5" s="1"/>
  <c r="AE110" i="5"/>
  <c r="AF110" i="5" s="1"/>
  <c r="AG110" i="5" s="1"/>
  <c r="Q109" i="5"/>
  <c r="R109" i="5" s="1"/>
  <c r="AE109" i="5"/>
  <c r="AF109" i="5" s="1"/>
  <c r="AG109" i="5" s="1"/>
  <c r="Q108" i="5"/>
  <c r="R108" i="5" s="1"/>
  <c r="AE108" i="5"/>
  <c r="AF108" i="5" s="1"/>
  <c r="AG108" i="5" s="1"/>
  <c r="Q107" i="5"/>
  <c r="R107" i="5" s="1"/>
  <c r="AE107" i="5"/>
  <c r="AF107" i="5" s="1"/>
  <c r="AG107" i="5" s="1"/>
  <c r="U107" i="5"/>
  <c r="AD107" i="5" s="1"/>
  <c r="AC107" i="5"/>
  <c r="Q106" i="5"/>
  <c r="R106" i="5" s="1"/>
  <c r="AE106" i="5"/>
  <c r="AF106" i="5" s="1"/>
  <c r="AG106" i="5" s="1"/>
  <c r="Q105" i="5"/>
  <c r="R105" i="5" s="1"/>
  <c r="AE105" i="5"/>
  <c r="AF105" i="5" s="1"/>
  <c r="AG105" i="5" s="1"/>
  <c r="U105" i="5"/>
  <c r="AD105" i="5" s="1"/>
  <c r="AC105" i="5"/>
  <c r="Q104" i="5"/>
  <c r="R104" i="5" s="1"/>
  <c r="AE104" i="5"/>
  <c r="AF104" i="5" s="1"/>
  <c r="AG104" i="5" s="1"/>
  <c r="Q103" i="5"/>
  <c r="R103" i="5" s="1"/>
  <c r="AE103" i="5"/>
  <c r="AF103" i="5" s="1"/>
  <c r="AG103" i="5" s="1"/>
  <c r="Q102" i="5"/>
  <c r="R102" i="5" s="1"/>
  <c r="AE102" i="5"/>
  <c r="AF102" i="5" s="1"/>
  <c r="AG102" i="5" s="1"/>
  <c r="Q101" i="5"/>
  <c r="R101" i="5" s="1"/>
  <c r="AE101" i="5"/>
  <c r="AF101" i="5" s="1"/>
  <c r="AG101" i="5" s="1"/>
  <c r="Q100" i="5"/>
  <c r="R100" i="5" s="1"/>
  <c r="AE100" i="5"/>
  <c r="AF100" i="5" s="1"/>
  <c r="AG100" i="5" s="1"/>
  <c r="Q99" i="5"/>
  <c r="R99" i="5" s="1"/>
  <c r="AE99" i="5"/>
  <c r="AF99" i="5" s="1"/>
  <c r="AG99" i="5" s="1"/>
  <c r="Q98" i="5"/>
  <c r="R98" i="5" s="1"/>
  <c r="AE98" i="5"/>
  <c r="AF98" i="5" s="1"/>
  <c r="AG98" i="5" s="1"/>
  <c r="U98" i="5"/>
  <c r="AD98" i="5" s="1"/>
  <c r="AC98" i="5"/>
  <c r="Q97" i="5"/>
  <c r="R97" i="5" s="1"/>
  <c r="AE97" i="5"/>
  <c r="AF97" i="5" s="1"/>
  <c r="AG97" i="5" s="1"/>
  <c r="U97" i="5"/>
  <c r="AD97" i="5" s="1"/>
  <c r="AC97" i="5"/>
  <c r="Q96" i="5"/>
  <c r="R96" i="5" s="1"/>
  <c r="AE96" i="5"/>
  <c r="AF96" i="5" s="1"/>
  <c r="AG96" i="5" s="1"/>
  <c r="U96" i="5"/>
  <c r="AD96" i="5" s="1"/>
  <c r="AC96" i="5"/>
  <c r="Q95" i="5"/>
  <c r="R95" i="5" s="1"/>
  <c r="AE95" i="5"/>
  <c r="AF95" i="5" s="1"/>
  <c r="AG95" i="5" s="1"/>
  <c r="Q94" i="5"/>
  <c r="R94" i="5" s="1"/>
  <c r="AE94" i="5"/>
  <c r="AF94" i="5" s="1"/>
  <c r="AG94" i="5" s="1"/>
  <c r="U94" i="5"/>
  <c r="AD94" i="5" s="1"/>
  <c r="AC94" i="5"/>
  <c r="Q93" i="5"/>
  <c r="R93" i="5" s="1"/>
  <c r="AE93" i="5"/>
  <c r="AF93" i="5" s="1"/>
  <c r="AG93" i="5" s="1"/>
  <c r="U93" i="5"/>
  <c r="AD93" i="5" s="1"/>
  <c r="AC93" i="5"/>
  <c r="Q92" i="5"/>
  <c r="R92" i="5" s="1"/>
  <c r="AE92" i="5"/>
  <c r="AF92" i="5" s="1"/>
  <c r="AG92" i="5" s="1"/>
  <c r="Q91" i="5"/>
  <c r="R91" i="5" s="1"/>
  <c r="AE91" i="5"/>
  <c r="AF91" i="5" s="1"/>
  <c r="AG91" i="5" s="1"/>
  <c r="U91" i="5"/>
  <c r="AD91" i="5" s="1"/>
  <c r="AC91" i="5"/>
  <c r="Q90" i="5"/>
  <c r="R90" i="5" s="1"/>
  <c r="AE90" i="5"/>
  <c r="AF90" i="5" s="1"/>
  <c r="AG90" i="5" s="1"/>
  <c r="Q89" i="5"/>
  <c r="R89" i="5" s="1"/>
  <c r="AE89" i="5"/>
  <c r="AF89" i="5" s="1"/>
  <c r="AG89" i="5" s="1"/>
  <c r="Q88" i="5"/>
  <c r="R88" i="5" s="1"/>
  <c r="AE88" i="5"/>
  <c r="AF88" i="5" s="1"/>
  <c r="AG88" i="5" s="1"/>
  <c r="U88" i="5"/>
  <c r="AD88" i="5" s="1"/>
  <c r="AC88" i="5"/>
  <c r="Q87" i="5"/>
  <c r="R87" i="5" s="1"/>
  <c r="AE87" i="5"/>
  <c r="AF87" i="5" s="1"/>
  <c r="AG87" i="5" s="1"/>
  <c r="Q86" i="5"/>
  <c r="R86" i="5" s="1"/>
  <c r="S86" i="5" s="1"/>
  <c r="T86" i="5" s="1"/>
  <c r="AE86" i="5"/>
  <c r="AF86" i="5" s="1"/>
  <c r="AG86" i="5" s="1"/>
  <c r="Q85" i="5"/>
  <c r="R85" i="5" s="1"/>
  <c r="AE85" i="5"/>
  <c r="AF85" i="5" s="1"/>
  <c r="AG85" i="5" s="1"/>
  <c r="Q84" i="5"/>
  <c r="R84" i="5" s="1"/>
  <c r="S84" i="5" s="1"/>
  <c r="T84" i="5" s="1"/>
  <c r="AE84" i="5"/>
  <c r="AF84" i="5" s="1"/>
  <c r="AG84" i="5" s="1"/>
  <c r="Q83" i="5"/>
  <c r="R83" i="5" s="1"/>
  <c r="S83" i="5" s="1"/>
  <c r="T83" i="5" s="1"/>
  <c r="AE83" i="5"/>
  <c r="AF83" i="5" s="1"/>
  <c r="AG83" i="5" s="1"/>
  <c r="Q82" i="5"/>
  <c r="R82" i="5" s="1"/>
  <c r="AE82" i="5"/>
  <c r="AF82" i="5" s="1"/>
  <c r="AG82" i="5" s="1"/>
  <c r="U82" i="5"/>
  <c r="AD82" i="5" s="1"/>
  <c r="AC82" i="5"/>
  <c r="Q81" i="5"/>
  <c r="R81" i="5" s="1"/>
  <c r="AE81" i="5"/>
  <c r="AF81" i="5" s="1"/>
  <c r="AG81" i="5" s="1"/>
  <c r="Q80" i="5"/>
  <c r="R80" i="5" s="1"/>
  <c r="AE80" i="5"/>
  <c r="AF80" i="5" s="1"/>
  <c r="AG80" i="5" s="1"/>
  <c r="Q79" i="5"/>
  <c r="R79" i="5" s="1"/>
  <c r="AE79" i="5"/>
  <c r="AF79" i="5" s="1"/>
  <c r="AG79" i="5" s="1"/>
  <c r="U79" i="5"/>
  <c r="AD79" i="5" s="1"/>
  <c r="AC79" i="5"/>
  <c r="Q78" i="5"/>
  <c r="R78" i="5" s="1"/>
  <c r="AE78" i="5"/>
  <c r="AF78" i="5" s="1"/>
  <c r="AG78" i="5" s="1"/>
  <c r="Q77" i="5"/>
  <c r="R77" i="5" s="1"/>
  <c r="AE77" i="5"/>
  <c r="AF77" i="5" s="1"/>
  <c r="AG77" i="5" s="1"/>
  <c r="Q76" i="5"/>
  <c r="R76" i="5" s="1"/>
  <c r="AE76" i="5"/>
  <c r="AF76" i="5" s="1"/>
  <c r="AG76" i="5" s="1"/>
  <c r="U76" i="5"/>
  <c r="AD76" i="5" s="1"/>
  <c r="AC76" i="5"/>
  <c r="Q75" i="5"/>
  <c r="R75" i="5" s="1"/>
  <c r="S75" i="5" s="1"/>
  <c r="T75" i="5" s="1"/>
  <c r="AE75" i="5"/>
  <c r="AF75" i="5" s="1"/>
  <c r="AG75" i="5" s="1"/>
  <c r="Q74" i="5"/>
  <c r="R74" i="5" s="1"/>
  <c r="AE74" i="5"/>
  <c r="AF74" i="5" s="1"/>
  <c r="AG74" i="5" s="1"/>
  <c r="Q73" i="5"/>
  <c r="R73" i="5" s="1"/>
  <c r="S73" i="5" s="1"/>
  <c r="T73" i="5" s="1"/>
  <c r="AE73" i="5"/>
  <c r="AF73" i="5" s="1"/>
  <c r="AG73" i="5" s="1"/>
  <c r="Q72" i="5"/>
  <c r="R72" i="5" s="1"/>
  <c r="S72" i="5" s="1"/>
  <c r="T72" i="5" s="1"/>
  <c r="AE72" i="5"/>
  <c r="AF72" i="5" s="1"/>
  <c r="AG72" i="5" s="1"/>
  <c r="Q71" i="5"/>
  <c r="R71" i="5" s="1"/>
  <c r="AE71" i="5"/>
  <c r="AF71" i="5" s="1"/>
  <c r="AG71" i="5" s="1"/>
  <c r="U71" i="5"/>
  <c r="AD71" i="5" s="1"/>
  <c r="AC71" i="5"/>
  <c r="Q70" i="5"/>
  <c r="R70" i="5" s="1"/>
  <c r="AE70" i="5"/>
  <c r="AF70" i="5" s="1"/>
  <c r="AG70" i="5" s="1"/>
  <c r="U70" i="5"/>
  <c r="AD70" i="5" s="1"/>
  <c r="AC70" i="5"/>
  <c r="Q69" i="5"/>
  <c r="R69" i="5" s="1"/>
  <c r="S69" i="5" s="1"/>
  <c r="T69" i="5" s="1"/>
  <c r="AE69" i="5"/>
  <c r="AF69" i="5" s="1"/>
  <c r="AG69" i="5" s="1"/>
  <c r="Q68" i="5"/>
  <c r="R68" i="5" s="1"/>
  <c r="S68" i="5" s="1"/>
  <c r="T68" i="5" s="1"/>
  <c r="AE68" i="5"/>
  <c r="AF68" i="5" s="1"/>
  <c r="AG68" i="5" s="1"/>
  <c r="Q67" i="5"/>
  <c r="R67" i="5" s="1"/>
  <c r="S67" i="5" s="1"/>
  <c r="T67" i="5" s="1"/>
  <c r="AE67" i="5"/>
  <c r="AF67" i="5" s="1"/>
  <c r="AG67" i="5" s="1"/>
  <c r="N66" i="5"/>
  <c r="Q66" i="5"/>
  <c r="R66" i="5" s="1"/>
  <c r="S66" i="5" s="1"/>
  <c r="T66" i="5" s="1"/>
  <c r="AE66" i="5"/>
  <c r="AF66" i="5" s="1"/>
  <c r="AG66" i="5" s="1"/>
  <c r="Q65" i="5"/>
  <c r="R65" i="5" s="1"/>
  <c r="S65" i="5" s="1"/>
  <c r="T65" i="5" s="1"/>
  <c r="AE65" i="5"/>
  <c r="AF65" i="5" s="1"/>
  <c r="AG65" i="5" s="1"/>
  <c r="N63" i="5"/>
  <c r="Q63" i="5"/>
  <c r="R63" i="5" s="1"/>
  <c r="S63" i="5" s="1"/>
  <c r="T63" i="5" s="1"/>
  <c r="AE63" i="5"/>
  <c r="AF63" i="5" s="1"/>
  <c r="AG63" i="5" s="1"/>
  <c r="AC62" i="5"/>
  <c r="N62" i="5"/>
  <c r="AD62" i="5" s="1"/>
  <c r="Q61" i="5"/>
  <c r="R61" i="5" s="1"/>
  <c r="S61" i="5" s="1"/>
  <c r="T61" i="5" s="1"/>
  <c r="AE61" i="5"/>
  <c r="AF61" i="5" s="1"/>
  <c r="AG61" i="5" s="1"/>
  <c r="Q60" i="5"/>
  <c r="R60" i="5" s="1"/>
  <c r="S60" i="5" s="1"/>
  <c r="T60" i="5" s="1"/>
  <c r="AE60" i="5"/>
  <c r="AF60" i="5" s="1"/>
  <c r="AG60" i="5" s="1"/>
  <c r="Q59" i="5"/>
  <c r="R59" i="5" s="1"/>
  <c r="AE59" i="5"/>
  <c r="AF59" i="5" s="1"/>
  <c r="AG59" i="5" s="1"/>
  <c r="Q58" i="5"/>
  <c r="R58" i="5" s="1"/>
  <c r="S58" i="5" s="1"/>
  <c r="T58" i="5" s="1"/>
  <c r="AE58" i="5"/>
  <c r="AF58" i="5" s="1"/>
  <c r="AG58" i="5" s="1"/>
  <c r="Q57" i="5"/>
  <c r="R57" i="5" s="1"/>
  <c r="AE57" i="5"/>
  <c r="AF57" i="5" s="1"/>
  <c r="AG57" i="5" s="1"/>
  <c r="U57" i="5"/>
  <c r="AD57" i="5" s="1"/>
  <c r="AC57" i="5"/>
  <c r="Q56" i="5"/>
  <c r="R56" i="5" s="1"/>
  <c r="AE56" i="5"/>
  <c r="AF56" i="5" s="1"/>
  <c r="AG56" i="5" s="1"/>
  <c r="Q55" i="5"/>
  <c r="R55" i="5" s="1"/>
  <c r="S55" i="5" s="1"/>
  <c r="T55" i="5" s="1"/>
  <c r="AE55" i="5"/>
  <c r="AF55" i="5" s="1"/>
  <c r="AG55" i="5" s="1"/>
  <c r="Q54" i="5"/>
  <c r="R54" i="5" s="1"/>
  <c r="AE54" i="5"/>
  <c r="AF54" i="5" s="1"/>
  <c r="AG54" i="5" s="1"/>
  <c r="U54" i="5"/>
  <c r="AD54" i="5" s="1"/>
  <c r="AC54" i="5"/>
  <c r="Q53" i="5"/>
  <c r="R53" i="5" s="1"/>
  <c r="AE53" i="5"/>
  <c r="AF53" i="5" s="1"/>
  <c r="AG53" i="5" s="1"/>
  <c r="Q52" i="5"/>
  <c r="R52" i="5" s="1"/>
  <c r="AE52" i="5"/>
  <c r="AF52" i="5" s="1"/>
  <c r="AG52" i="5" s="1"/>
  <c r="U52" i="5"/>
  <c r="AD52" i="5" s="1"/>
  <c r="AC52" i="5"/>
  <c r="Q51" i="5"/>
  <c r="R51" i="5" s="1"/>
  <c r="S51" i="5" s="1"/>
  <c r="T51" i="5" s="1"/>
  <c r="AE51" i="5"/>
  <c r="AF51" i="5" s="1"/>
  <c r="AG51" i="5" s="1"/>
  <c r="Q50" i="5"/>
  <c r="R50" i="5" s="1"/>
  <c r="S50" i="5" s="1"/>
  <c r="T50" i="5" s="1"/>
  <c r="AE50" i="5"/>
  <c r="AF50" i="5" s="1"/>
  <c r="AG50" i="5" s="1"/>
  <c r="Q49" i="5"/>
  <c r="R49" i="5" s="1"/>
  <c r="S49" i="5" s="1"/>
  <c r="T49" i="5" s="1"/>
  <c r="AE49" i="5"/>
  <c r="AF49" i="5" s="1"/>
  <c r="AG49" i="5" s="1"/>
  <c r="Q48" i="5"/>
  <c r="R48" i="5" s="1"/>
  <c r="AE48" i="5"/>
  <c r="AF48" i="5" s="1"/>
  <c r="AG48" i="5" s="1"/>
  <c r="U48" i="5"/>
  <c r="AD48" i="5" s="1"/>
  <c r="AC48" i="5"/>
  <c r="Q47" i="5"/>
  <c r="R47" i="5" s="1"/>
  <c r="S47" i="5" s="1"/>
  <c r="T47" i="5" s="1"/>
  <c r="AE47" i="5"/>
  <c r="AF47" i="5" s="1"/>
  <c r="AG47" i="5" s="1"/>
  <c r="Q45" i="5"/>
  <c r="R45" i="5" s="1"/>
  <c r="AE45" i="5"/>
  <c r="AF45" i="5" s="1"/>
  <c r="AG45" i="5" s="1"/>
  <c r="Q44" i="5"/>
  <c r="R44" i="5" s="1"/>
  <c r="S44" i="5" s="1"/>
  <c r="T44" i="5" s="1"/>
  <c r="AE44" i="5"/>
  <c r="AF44" i="5" s="1"/>
  <c r="AG44" i="5" s="1"/>
  <c r="Q43" i="5"/>
  <c r="R43" i="5" s="1"/>
  <c r="AE43" i="5"/>
  <c r="AF43" i="5" s="1"/>
  <c r="AG43" i="5" s="1"/>
  <c r="U43" i="5"/>
  <c r="AD43" i="5" s="1"/>
  <c r="AC43" i="5"/>
  <c r="Q42" i="5"/>
  <c r="R42" i="5" s="1"/>
  <c r="S42" i="5" s="1"/>
  <c r="T42" i="5" s="1"/>
  <c r="AE42" i="5"/>
  <c r="AF42" i="5" s="1"/>
  <c r="AG42" i="5" s="1"/>
  <c r="Q41" i="5"/>
  <c r="R41" i="5" s="1"/>
  <c r="AE41" i="5"/>
  <c r="AF41" i="5" s="1"/>
  <c r="AG41" i="5" s="1"/>
  <c r="Q40" i="5"/>
  <c r="R40" i="5" s="1"/>
  <c r="S40" i="5" s="1"/>
  <c r="T40" i="5" s="1"/>
  <c r="AE40" i="5"/>
  <c r="AF40" i="5" s="1"/>
  <c r="AG40" i="5" s="1"/>
  <c r="Q39" i="5"/>
  <c r="R39" i="5" s="1"/>
  <c r="S39" i="5" s="1"/>
  <c r="T39" i="5" s="1"/>
  <c r="AE39" i="5"/>
  <c r="AF39" i="5" s="1"/>
  <c r="AG39" i="5" s="1"/>
  <c r="Q38" i="5"/>
  <c r="R38" i="5" s="1"/>
  <c r="AE38" i="5"/>
  <c r="AF38" i="5" s="1"/>
  <c r="AG38" i="5" s="1"/>
  <c r="U38" i="5"/>
  <c r="AD38" i="5" s="1"/>
  <c r="AC38" i="5"/>
  <c r="Q37" i="5"/>
  <c r="R37" i="5" s="1"/>
  <c r="S37" i="5" s="1"/>
  <c r="T37" i="5" s="1"/>
  <c r="AE37" i="5"/>
  <c r="AF37" i="5" s="1"/>
  <c r="AG37" i="5" s="1"/>
  <c r="Q36" i="5"/>
  <c r="R36" i="5" s="1"/>
  <c r="AE36" i="5"/>
  <c r="AF36" i="5" s="1"/>
  <c r="AG36" i="5" s="1"/>
  <c r="Q35" i="5"/>
  <c r="R35" i="5" s="1"/>
  <c r="S35" i="5" s="1"/>
  <c r="T35" i="5" s="1"/>
  <c r="AE35" i="5"/>
  <c r="AF35" i="5" s="1"/>
  <c r="AG35" i="5" s="1"/>
  <c r="Q34" i="5"/>
  <c r="R34" i="5" s="1"/>
  <c r="S34" i="5" s="1"/>
  <c r="T34" i="5" s="1"/>
  <c r="AE34" i="5"/>
  <c r="AF34" i="5" s="1"/>
  <c r="AG34" i="5" s="1"/>
  <c r="Q33" i="5"/>
  <c r="R33" i="5" s="1"/>
  <c r="S33" i="5" s="1"/>
  <c r="T33" i="5" s="1"/>
  <c r="AE33" i="5"/>
  <c r="AF33" i="5" s="1"/>
  <c r="AG33" i="5" s="1"/>
  <c r="Q32" i="5"/>
  <c r="R32" i="5" s="1"/>
  <c r="AE32" i="5"/>
  <c r="AF32" i="5" s="1"/>
  <c r="AG32" i="5" s="1"/>
  <c r="Q31" i="5"/>
  <c r="R31" i="5" s="1"/>
  <c r="AE31" i="5"/>
  <c r="AF31" i="5" s="1"/>
  <c r="AG31" i="5" s="1"/>
  <c r="Q30" i="5"/>
  <c r="R30" i="5" s="1"/>
  <c r="AE30" i="5"/>
  <c r="AF30" i="5" s="1"/>
  <c r="AG30" i="5" s="1"/>
  <c r="U30" i="5"/>
  <c r="AD30" i="5" s="1"/>
  <c r="AC30" i="5"/>
  <c r="Q29" i="5"/>
  <c r="R29" i="5" s="1"/>
  <c r="S29" i="5" s="1"/>
  <c r="T29" i="5" s="1"/>
  <c r="AE29" i="5"/>
  <c r="AF29" i="5" s="1"/>
  <c r="AG29" i="5" s="1"/>
  <c r="Q28" i="5"/>
  <c r="R28" i="5" s="1"/>
  <c r="AE28" i="5"/>
  <c r="AF28" i="5" s="1"/>
  <c r="AG28" i="5" s="1"/>
  <c r="U28" i="5"/>
  <c r="AD28" i="5" s="1"/>
  <c r="AC28" i="5"/>
  <c r="Q27" i="5"/>
  <c r="R27" i="5" s="1"/>
  <c r="AE27" i="5"/>
  <c r="AF27" i="5" s="1"/>
  <c r="AG27" i="5" s="1"/>
  <c r="Q26" i="5"/>
  <c r="R26" i="5" s="1"/>
  <c r="AE26" i="5"/>
  <c r="AF26" i="5" s="1"/>
  <c r="AG26" i="5" s="1"/>
  <c r="U26" i="5"/>
  <c r="AD26" i="5" s="1"/>
  <c r="AC26" i="5"/>
  <c r="Q25" i="5"/>
  <c r="R25" i="5" s="1"/>
  <c r="AE25" i="5"/>
  <c r="AF25" i="5" s="1"/>
  <c r="AG25" i="5" s="1"/>
  <c r="U25" i="5"/>
  <c r="AD25" i="5" s="1"/>
  <c r="AC25" i="5"/>
  <c r="Q24" i="5"/>
  <c r="R24" i="5" s="1"/>
  <c r="S24" i="5" s="1"/>
  <c r="T24" i="5" s="1"/>
  <c r="AE24" i="5"/>
  <c r="AF24" i="5" s="1"/>
  <c r="AG24" i="5" s="1"/>
  <c r="Q23" i="5"/>
  <c r="R23" i="5" s="1"/>
  <c r="S23" i="5" s="1"/>
  <c r="T23" i="5" s="1"/>
  <c r="AE23" i="5"/>
  <c r="AF23" i="5" s="1"/>
  <c r="AG23" i="5" s="1"/>
  <c r="Q22" i="5"/>
  <c r="R22" i="5" s="1"/>
  <c r="AE22" i="5"/>
  <c r="AF22" i="5" s="1"/>
  <c r="AG22" i="5" s="1"/>
  <c r="U22" i="5"/>
  <c r="AD22" i="5" s="1"/>
  <c r="AC22" i="5"/>
  <c r="Q21" i="5"/>
  <c r="R21" i="5" s="1"/>
  <c r="S21" i="5" s="1"/>
  <c r="T21" i="5" s="1"/>
  <c r="AE21" i="5"/>
  <c r="AF21" i="5" s="1"/>
  <c r="AG21" i="5" s="1"/>
  <c r="Q20" i="5"/>
  <c r="R20" i="5" s="1"/>
  <c r="S20" i="5" s="1"/>
  <c r="T20" i="5" s="1"/>
  <c r="AE20" i="5"/>
  <c r="AF20" i="5" s="1"/>
  <c r="AG20" i="5" s="1"/>
  <c r="Q19" i="5"/>
  <c r="R19" i="5" s="1"/>
  <c r="S19" i="5" s="1"/>
  <c r="T19" i="5" s="1"/>
  <c r="AE19" i="5"/>
  <c r="AF19" i="5" s="1"/>
  <c r="AG19" i="5" s="1"/>
  <c r="Q18" i="5"/>
  <c r="R18" i="5" s="1"/>
  <c r="AE18" i="5"/>
  <c r="AF18" i="5" s="1"/>
  <c r="AG18" i="5" s="1"/>
  <c r="Q17" i="5"/>
  <c r="R17" i="5" s="1"/>
  <c r="AE17" i="5"/>
  <c r="AF17" i="5" s="1"/>
  <c r="AG17" i="5" s="1"/>
  <c r="Q16" i="5"/>
  <c r="R16" i="5" s="1"/>
  <c r="AE16" i="5"/>
  <c r="AF16" i="5" s="1"/>
  <c r="AG16" i="5" s="1"/>
  <c r="Q15" i="5"/>
  <c r="R15" i="5" s="1"/>
  <c r="S15" i="5" s="1"/>
  <c r="T15" i="5" s="1"/>
  <c r="AE15" i="5"/>
  <c r="AF15" i="5" s="1"/>
  <c r="AG15" i="5" s="1"/>
  <c r="Q14" i="5"/>
  <c r="R14" i="5" s="1"/>
  <c r="AE14" i="5"/>
  <c r="AF14" i="5" s="1"/>
  <c r="AG14" i="5" s="1"/>
  <c r="Q13" i="5"/>
  <c r="R13" i="5" s="1"/>
  <c r="S13" i="5" s="1"/>
  <c r="T13" i="5" s="1"/>
  <c r="AE13" i="5"/>
  <c r="AF13" i="5" s="1"/>
  <c r="AG13" i="5" s="1"/>
  <c r="Q12" i="5"/>
  <c r="R12" i="5" s="1"/>
  <c r="AE12" i="5"/>
  <c r="AF12" i="5" s="1"/>
  <c r="AG12" i="5" s="1"/>
  <c r="U12" i="5"/>
  <c r="AD12" i="5" s="1"/>
  <c r="AC12" i="5"/>
  <c r="Q11" i="5"/>
  <c r="R11" i="5" s="1"/>
  <c r="S11" i="5" s="1"/>
  <c r="T11" i="5" s="1"/>
  <c r="AE11" i="5"/>
  <c r="AF11" i="5" s="1"/>
  <c r="AG11" i="5" s="1"/>
  <c r="Q10" i="5"/>
  <c r="R10" i="5" s="1"/>
  <c r="S10" i="5" s="1"/>
  <c r="T10" i="5" s="1"/>
  <c r="AE10" i="5"/>
  <c r="AF10" i="5" s="1"/>
  <c r="AG10" i="5" s="1"/>
  <c r="Q9" i="5"/>
  <c r="R9" i="5" s="1"/>
  <c r="S9" i="5" s="1"/>
  <c r="T9" i="5" s="1"/>
  <c r="AE9" i="5"/>
  <c r="AF9" i="5" s="1"/>
  <c r="AG9" i="5" s="1"/>
  <c r="Q8" i="5"/>
  <c r="R8" i="5" s="1"/>
  <c r="AE8" i="5"/>
  <c r="AF8" i="5" s="1"/>
  <c r="AG8" i="5" s="1"/>
  <c r="U8" i="5"/>
  <c r="AD8" i="5" s="1"/>
  <c r="AC8" i="5"/>
  <c r="Q7" i="5"/>
  <c r="R7" i="5" s="1"/>
  <c r="S7" i="5" s="1"/>
  <c r="T7" i="5" s="1"/>
  <c r="AE7" i="5"/>
  <c r="AF7" i="5" s="1"/>
  <c r="AG7" i="5" s="1"/>
  <c r="Q6" i="5"/>
  <c r="R6" i="5" s="1"/>
  <c r="AE6" i="5"/>
  <c r="AF6" i="5" s="1"/>
  <c r="AG6" i="5" s="1"/>
  <c r="Q5" i="5"/>
  <c r="R5" i="5" s="1"/>
  <c r="AE5" i="5"/>
  <c r="AF5" i="5" s="1"/>
  <c r="AC418" i="5"/>
  <c r="J29" i="6" l="1"/>
  <c r="K29" i="6"/>
  <c r="C20" i="2" s="1"/>
  <c r="U907" i="5"/>
  <c r="AD907" i="5" s="1"/>
  <c r="AC907" i="5"/>
  <c r="AC535" i="5"/>
  <c r="U535" i="5"/>
  <c r="AD535" i="5" s="1"/>
  <c r="U196" i="5"/>
  <c r="AD196" i="5" s="1"/>
  <c r="AC196" i="5"/>
  <c r="AC119" i="5"/>
  <c r="U119" i="5"/>
  <c r="AD119" i="5" s="1"/>
  <c r="AC942" i="5"/>
  <c r="U942" i="5"/>
  <c r="AD942" i="5" s="1"/>
  <c r="AC930" i="5"/>
  <c r="U930" i="5"/>
  <c r="AD930" i="5" s="1"/>
  <c r="AC923" i="5"/>
  <c r="U923" i="5"/>
  <c r="AD923" i="5" s="1"/>
  <c r="AC911" i="5"/>
  <c r="U911" i="5"/>
  <c r="AD911" i="5" s="1"/>
  <c r="AC909" i="5"/>
  <c r="U909" i="5"/>
  <c r="AD909" i="5" s="1"/>
  <c r="AC906" i="5"/>
  <c r="U906" i="5"/>
  <c r="AD906" i="5" s="1"/>
  <c r="AC905" i="5"/>
  <c r="U905" i="5"/>
  <c r="AD905" i="5" s="1"/>
  <c r="AC771" i="5"/>
  <c r="U771" i="5"/>
  <c r="AD771" i="5" s="1"/>
  <c r="AC686" i="5"/>
  <c r="U686" i="5"/>
  <c r="AD686" i="5" s="1"/>
  <c r="AC439" i="5"/>
  <c r="U439" i="5"/>
  <c r="AD439" i="5" s="1"/>
  <c r="AC437" i="5"/>
  <c r="U437" i="5"/>
  <c r="AD437" i="5" s="1"/>
  <c r="AC436" i="5"/>
  <c r="U436" i="5"/>
  <c r="AD436" i="5" s="1"/>
  <c r="AC431" i="5"/>
  <c r="U431" i="5"/>
  <c r="AD431" i="5" s="1"/>
  <c r="AC428" i="5"/>
  <c r="U428" i="5"/>
  <c r="AD428" i="5" s="1"/>
  <c r="AC420" i="5"/>
  <c r="U420" i="5"/>
  <c r="AD420" i="5" s="1"/>
  <c r="AC417" i="5"/>
  <c r="U417" i="5"/>
  <c r="AD417" i="5" s="1"/>
  <c r="AC399" i="5"/>
  <c r="U399" i="5"/>
  <c r="AD399" i="5" s="1"/>
  <c r="AC389" i="5"/>
  <c r="U389" i="5"/>
  <c r="AD389" i="5" s="1"/>
  <c r="AC359" i="5"/>
  <c r="U359" i="5"/>
  <c r="AD359" i="5" s="1"/>
  <c r="AC357" i="5"/>
  <c r="U357" i="5"/>
  <c r="AD357" i="5" s="1"/>
  <c r="AC240" i="5"/>
  <c r="U240" i="5"/>
  <c r="AD240" i="5" s="1"/>
  <c r="AC205" i="5"/>
  <c r="U205" i="5"/>
  <c r="AD205" i="5" s="1"/>
  <c r="AC200" i="5"/>
  <c r="U200" i="5"/>
  <c r="AD200" i="5" s="1"/>
  <c r="AC195" i="5"/>
  <c r="U195" i="5"/>
  <c r="AD195" i="5" s="1"/>
  <c r="AC194" i="5"/>
  <c r="U194" i="5"/>
  <c r="AD194" i="5" s="1"/>
  <c r="AC179" i="5"/>
  <c r="U179" i="5"/>
  <c r="AD179" i="5" s="1"/>
  <c r="AC84" i="5"/>
  <c r="U84" i="5"/>
  <c r="AD84" i="5" s="1"/>
  <c r="AC83" i="5"/>
  <c r="U83" i="5"/>
  <c r="AD83" i="5" s="1"/>
  <c r="AC75" i="5"/>
  <c r="U75" i="5"/>
  <c r="AD75" i="5" s="1"/>
  <c r="AC73" i="5"/>
  <c r="U73" i="5"/>
  <c r="AD73" i="5" s="1"/>
  <c r="AC61" i="5"/>
  <c r="U61" i="5"/>
  <c r="AD61" i="5" s="1"/>
  <c r="AC55" i="5"/>
  <c r="U55" i="5"/>
  <c r="AD55" i="5" s="1"/>
  <c r="AC51" i="5"/>
  <c r="U51" i="5"/>
  <c r="AD51" i="5" s="1"/>
  <c r="AC49" i="5"/>
  <c r="U49" i="5"/>
  <c r="AD49" i="5" s="1"/>
  <c r="AC47" i="5"/>
  <c r="U47" i="5"/>
  <c r="AD47" i="5" s="1"/>
  <c r="AC44" i="5"/>
  <c r="U44" i="5"/>
  <c r="AD44" i="5" s="1"/>
  <c r="AC40" i="5"/>
  <c r="U40" i="5"/>
  <c r="AD40" i="5" s="1"/>
  <c r="AC39" i="5"/>
  <c r="U39" i="5"/>
  <c r="AD39" i="5" s="1"/>
  <c r="AC35" i="5"/>
  <c r="U35" i="5"/>
  <c r="AD35" i="5" s="1"/>
  <c r="AC24" i="5"/>
  <c r="U24" i="5"/>
  <c r="AD24" i="5" s="1"/>
  <c r="AC23" i="5"/>
  <c r="U23" i="5"/>
  <c r="AD23" i="5" s="1"/>
  <c r="AC21" i="5"/>
  <c r="U21" i="5"/>
  <c r="AD21" i="5" s="1"/>
  <c r="AC20" i="5"/>
  <c r="U20" i="5"/>
  <c r="AD20" i="5" s="1"/>
  <c r="AC19" i="5"/>
  <c r="U19" i="5"/>
  <c r="AD19" i="5" s="1"/>
  <c r="AC13" i="5"/>
  <c r="U13" i="5"/>
  <c r="AD13" i="5" s="1"/>
  <c r="AC11" i="5"/>
  <c r="U11" i="5"/>
  <c r="AD11" i="5" s="1"/>
  <c r="AC7" i="5"/>
  <c r="U7" i="5"/>
  <c r="AD7" i="5" s="1"/>
  <c r="AG5" i="5"/>
  <c r="B3" i="6" s="1"/>
  <c r="B4" i="6" s="1"/>
  <c r="B5" i="6"/>
  <c r="L29" i="6"/>
  <c r="E20" i="2" s="1"/>
  <c r="I29" i="6"/>
  <c r="D20" i="2" s="1"/>
  <c r="AG783" i="5"/>
  <c r="AG761" i="5"/>
  <c r="AG716" i="5"/>
  <c r="AG693" i="5"/>
  <c r="AG692" i="5"/>
  <c r="AG691" i="5"/>
  <c r="AG670" i="5"/>
  <c r="AG669" i="5"/>
  <c r="AG667" i="5"/>
  <c r="AG646" i="5"/>
  <c r="AG645" i="5"/>
  <c r="AG644" i="5"/>
  <c r="AG643" i="5"/>
  <c r="AG547" i="5"/>
  <c r="AG526" i="5"/>
  <c r="AG525" i="5"/>
  <c r="AG524" i="5"/>
  <c r="AG523" i="5"/>
  <c r="AG453" i="5"/>
  <c r="AG452" i="5"/>
  <c r="AG451" i="5"/>
  <c r="U939" i="5"/>
  <c r="AD939" i="5" s="1"/>
  <c r="AC939" i="5"/>
  <c r="U934" i="5"/>
  <c r="AD934" i="5" s="1"/>
  <c r="AC934" i="5"/>
  <c r="U931" i="5"/>
  <c r="AD931" i="5" s="1"/>
  <c r="AC931" i="5"/>
  <c r="U928" i="5"/>
  <c r="AD928" i="5" s="1"/>
  <c r="AC928" i="5"/>
  <c r="U922" i="5"/>
  <c r="AD922" i="5" s="1"/>
  <c r="AC922" i="5"/>
  <c r="U916" i="5"/>
  <c r="AD916" i="5" s="1"/>
  <c r="AC916" i="5"/>
  <c r="U915" i="5"/>
  <c r="AD915" i="5" s="1"/>
  <c r="AC915" i="5"/>
  <c r="U912" i="5"/>
  <c r="AD912" i="5" s="1"/>
  <c r="AC912" i="5"/>
  <c r="U904" i="5"/>
  <c r="AD904" i="5" s="1"/>
  <c r="AC904" i="5"/>
  <c r="U902" i="5"/>
  <c r="AD902" i="5" s="1"/>
  <c r="AC902" i="5"/>
  <c r="U897" i="5"/>
  <c r="AD897" i="5" s="1"/>
  <c r="AC897" i="5"/>
  <c r="U896" i="5"/>
  <c r="AD896" i="5" s="1"/>
  <c r="AC896" i="5"/>
  <c r="U895" i="5"/>
  <c r="AD895" i="5" s="1"/>
  <c r="AC895" i="5"/>
  <c r="U893" i="5"/>
  <c r="AD893" i="5" s="1"/>
  <c r="AC893" i="5"/>
  <c r="U892" i="5"/>
  <c r="AD892" i="5" s="1"/>
  <c r="AC892" i="5"/>
  <c r="U891" i="5"/>
  <c r="AD891" i="5" s="1"/>
  <c r="AC891" i="5"/>
  <c r="U890" i="5"/>
  <c r="AD890" i="5" s="1"/>
  <c r="AC890" i="5"/>
  <c r="U889" i="5"/>
  <c r="AD889" i="5" s="1"/>
  <c r="AC889" i="5"/>
  <c r="U888" i="5"/>
  <c r="AD888" i="5" s="1"/>
  <c r="AC888" i="5"/>
  <c r="U887" i="5"/>
  <c r="AD887" i="5" s="1"/>
  <c r="AC887" i="5"/>
  <c r="U770" i="5"/>
  <c r="AD770" i="5" s="1"/>
  <c r="AC770" i="5"/>
  <c r="U751" i="5"/>
  <c r="AD751" i="5" s="1"/>
  <c r="AC751" i="5"/>
  <c r="U750" i="5"/>
  <c r="AD750" i="5" s="1"/>
  <c r="AC750" i="5"/>
  <c r="U749" i="5"/>
  <c r="AD749" i="5" s="1"/>
  <c r="AC749" i="5"/>
  <c r="U748" i="5"/>
  <c r="AD748" i="5" s="1"/>
  <c r="AC748" i="5"/>
  <c r="U747" i="5"/>
  <c r="AD747" i="5" s="1"/>
  <c r="AC747" i="5"/>
  <c r="U746" i="5"/>
  <c r="AD746" i="5" s="1"/>
  <c r="AC746" i="5"/>
  <c r="U745" i="5"/>
  <c r="AD745" i="5" s="1"/>
  <c r="AC745" i="5"/>
  <c r="U744" i="5"/>
  <c r="AD744" i="5" s="1"/>
  <c r="AC744" i="5"/>
  <c r="U743" i="5"/>
  <c r="AD743" i="5" s="1"/>
  <c r="AC743" i="5"/>
  <c r="U742" i="5"/>
  <c r="AD742" i="5" s="1"/>
  <c r="AC742" i="5"/>
  <c r="U741" i="5"/>
  <c r="AD741" i="5" s="1"/>
  <c r="AC741" i="5"/>
  <c r="U740" i="5"/>
  <c r="AD740" i="5" s="1"/>
  <c r="AC740" i="5"/>
  <c r="U739" i="5"/>
  <c r="AD739" i="5" s="1"/>
  <c r="AG739" i="5" s="1"/>
  <c r="AC739" i="5"/>
  <c r="U738" i="5"/>
  <c r="AD738" i="5" s="1"/>
  <c r="AG738" i="5" s="1"/>
  <c r="AC738" i="5"/>
  <c r="U737" i="5"/>
  <c r="AD737" i="5" s="1"/>
  <c r="AC737" i="5"/>
  <c r="U736" i="5"/>
  <c r="AD736" i="5" s="1"/>
  <c r="AC736" i="5"/>
  <c r="U735" i="5"/>
  <c r="AD735" i="5" s="1"/>
  <c r="AC735" i="5"/>
  <c r="U734" i="5"/>
  <c r="AD734" i="5" s="1"/>
  <c r="AC734" i="5"/>
  <c r="U733" i="5"/>
  <c r="AD733" i="5" s="1"/>
  <c r="AC733" i="5"/>
  <c r="U732" i="5"/>
  <c r="AD732" i="5" s="1"/>
  <c r="AC732" i="5"/>
  <c r="U730" i="5"/>
  <c r="AD730" i="5" s="1"/>
  <c r="AC730" i="5"/>
  <c r="U728" i="5"/>
  <c r="AD728" i="5" s="1"/>
  <c r="AC728" i="5"/>
  <c r="U726" i="5"/>
  <c r="AD726" i="5" s="1"/>
  <c r="AC726" i="5"/>
  <c r="U725" i="5"/>
  <c r="AD725" i="5" s="1"/>
  <c r="AC725" i="5"/>
  <c r="U724" i="5"/>
  <c r="AD724" i="5" s="1"/>
  <c r="AC724" i="5"/>
  <c r="U723" i="5"/>
  <c r="AD723" i="5" s="1"/>
  <c r="AC723" i="5"/>
  <c r="U722" i="5"/>
  <c r="AD722" i="5" s="1"/>
  <c r="AC722" i="5"/>
  <c r="U721" i="5"/>
  <c r="AD721" i="5" s="1"/>
  <c r="AC721" i="5"/>
  <c r="U719" i="5"/>
  <c r="AD719" i="5" s="1"/>
  <c r="AC719" i="5"/>
  <c r="U715" i="5"/>
  <c r="AD715" i="5" s="1"/>
  <c r="AG715" i="5" s="1"/>
  <c r="AC715" i="5"/>
  <c r="U681" i="5"/>
  <c r="AD681" i="5" s="1"/>
  <c r="AC681" i="5"/>
  <c r="U680" i="5"/>
  <c r="AD680" i="5" s="1"/>
  <c r="AC680" i="5"/>
  <c r="U674" i="5"/>
  <c r="AD674" i="5" s="1"/>
  <c r="AC674" i="5"/>
  <c r="U673" i="5"/>
  <c r="AD673" i="5" s="1"/>
  <c r="AC673" i="5"/>
  <c r="U668" i="5"/>
  <c r="AD668" i="5" s="1"/>
  <c r="AG668" i="5" s="1"/>
  <c r="AC668" i="5"/>
  <c r="U666" i="5"/>
  <c r="AD666" i="5" s="1"/>
  <c r="AC666" i="5"/>
  <c r="U665" i="5"/>
  <c r="AD665" i="5" s="1"/>
  <c r="AC665" i="5"/>
  <c r="U663" i="5"/>
  <c r="AD663" i="5" s="1"/>
  <c r="AC663" i="5"/>
  <c r="U662" i="5"/>
  <c r="AD662" i="5" s="1"/>
  <c r="AC662" i="5"/>
  <c r="U661" i="5"/>
  <c r="AD661" i="5" s="1"/>
  <c r="AC661" i="5"/>
  <c r="U658" i="5"/>
  <c r="AD658" i="5" s="1"/>
  <c r="AC658" i="5"/>
  <c r="U657" i="5"/>
  <c r="AD657" i="5" s="1"/>
  <c r="AC657" i="5"/>
  <c r="U656" i="5"/>
  <c r="AD656" i="5" s="1"/>
  <c r="AC656" i="5"/>
  <c r="U655" i="5"/>
  <c r="AD655" i="5" s="1"/>
  <c r="AC655" i="5"/>
  <c r="U541" i="5"/>
  <c r="AD541" i="5" s="1"/>
  <c r="AC541" i="5"/>
  <c r="U540" i="5"/>
  <c r="AD540" i="5" s="1"/>
  <c r="AC540" i="5"/>
  <c r="U539" i="5"/>
  <c r="AD539" i="5" s="1"/>
  <c r="AC539" i="5"/>
  <c r="U538" i="5"/>
  <c r="AD538" i="5" s="1"/>
  <c r="AC538" i="5"/>
  <c r="U537" i="5"/>
  <c r="AD537" i="5" s="1"/>
  <c r="AC537" i="5"/>
  <c r="U536" i="5"/>
  <c r="AD536" i="5" s="1"/>
  <c r="AC536" i="5"/>
  <c r="U514" i="5"/>
  <c r="AD514" i="5" s="1"/>
  <c r="AC514" i="5"/>
  <c r="U513" i="5"/>
  <c r="AD513" i="5" s="1"/>
  <c r="AC513" i="5"/>
  <c r="U512" i="5"/>
  <c r="AD512" i="5" s="1"/>
  <c r="AC512" i="5"/>
  <c r="U511" i="5"/>
  <c r="AD511" i="5" s="1"/>
  <c r="AC511" i="5"/>
  <c r="U510" i="5"/>
  <c r="AD510" i="5" s="1"/>
  <c r="AC510" i="5"/>
  <c r="U509" i="5"/>
  <c r="AD509" i="5" s="1"/>
  <c r="AC509" i="5"/>
  <c r="U508" i="5"/>
  <c r="AD508" i="5" s="1"/>
  <c r="AC508" i="5"/>
  <c r="U507" i="5"/>
  <c r="AD507" i="5" s="1"/>
  <c r="AC507" i="5"/>
  <c r="U506" i="5"/>
  <c r="AD506" i="5" s="1"/>
  <c r="AC506" i="5"/>
  <c r="U505" i="5"/>
  <c r="AD505" i="5" s="1"/>
  <c r="AC505" i="5"/>
  <c r="U504" i="5"/>
  <c r="AD504" i="5" s="1"/>
  <c r="AC504" i="5"/>
  <c r="U503" i="5"/>
  <c r="AD503" i="5" s="1"/>
  <c r="AC503" i="5"/>
  <c r="U502" i="5"/>
  <c r="AD502" i="5" s="1"/>
  <c r="AG502" i="5" s="1"/>
  <c r="AC502" i="5"/>
  <c r="U501" i="5"/>
  <c r="AD501" i="5" s="1"/>
  <c r="AG501" i="5" s="1"/>
  <c r="AC501" i="5"/>
  <c r="U500" i="5"/>
  <c r="AD500" i="5" s="1"/>
  <c r="AG500" i="5" s="1"/>
  <c r="AC500" i="5"/>
  <c r="U499" i="5"/>
  <c r="AD499" i="5" s="1"/>
  <c r="AG499" i="5" s="1"/>
  <c r="AC499" i="5"/>
  <c r="U498" i="5"/>
  <c r="AD498" i="5" s="1"/>
  <c r="AC498" i="5"/>
  <c r="U497" i="5"/>
  <c r="AD497" i="5" s="1"/>
  <c r="AC497" i="5"/>
  <c r="U496" i="5"/>
  <c r="AD496" i="5" s="1"/>
  <c r="AC496" i="5"/>
  <c r="U495" i="5"/>
  <c r="AD495" i="5" s="1"/>
  <c r="AC495" i="5"/>
  <c r="U494" i="5"/>
  <c r="AD494" i="5" s="1"/>
  <c r="AC494" i="5"/>
  <c r="U493" i="5"/>
  <c r="AD493" i="5" s="1"/>
  <c r="AC493" i="5"/>
  <c r="U492" i="5"/>
  <c r="AD492" i="5" s="1"/>
  <c r="AC492" i="5"/>
  <c r="U491" i="5"/>
  <c r="AD491" i="5" s="1"/>
  <c r="AC491" i="5"/>
  <c r="U490" i="5"/>
  <c r="AD490" i="5" s="1"/>
  <c r="AC490" i="5"/>
  <c r="U489" i="5"/>
  <c r="AD489" i="5" s="1"/>
  <c r="AC489" i="5"/>
  <c r="U488" i="5"/>
  <c r="AD488" i="5" s="1"/>
  <c r="AC488" i="5"/>
  <c r="U487" i="5"/>
  <c r="AD487" i="5" s="1"/>
  <c r="AC487" i="5"/>
  <c r="U486" i="5"/>
  <c r="AD486" i="5" s="1"/>
  <c r="AC486" i="5"/>
  <c r="U485" i="5"/>
  <c r="AD485" i="5" s="1"/>
  <c r="AC485" i="5"/>
  <c r="U484" i="5"/>
  <c r="AD484" i="5" s="1"/>
  <c r="AC484" i="5"/>
  <c r="U483" i="5"/>
  <c r="AD483" i="5" s="1"/>
  <c r="AC483" i="5"/>
  <c r="U482" i="5"/>
  <c r="AD482" i="5" s="1"/>
  <c r="AC482" i="5"/>
  <c r="U481" i="5"/>
  <c r="AD481" i="5" s="1"/>
  <c r="AC481" i="5"/>
  <c r="U480" i="5"/>
  <c r="AD480" i="5" s="1"/>
  <c r="AC480" i="5"/>
  <c r="U479" i="5"/>
  <c r="AD479" i="5" s="1"/>
  <c r="AC479" i="5"/>
  <c r="U477" i="5"/>
  <c r="AD477" i="5" s="1"/>
  <c r="AG477" i="5" s="1"/>
  <c r="AC477" i="5"/>
  <c r="U442" i="5"/>
  <c r="AD442" i="5" s="1"/>
  <c r="AC442" i="5"/>
  <c r="U435" i="5"/>
  <c r="AD435" i="5" s="1"/>
  <c r="AC435" i="5"/>
  <c r="U405" i="5"/>
  <c r="AD405" i="5" s="1"/>
  <c r="AC405" i="5"/>
  <c r="U403" i="5"/>
  <c r="AD403" i="5" s="1"/>
  <c r="AC403" i="5"/>
  <c r="U397" i="5"/>
  <c r="AD397" i="5" s="1"/>
  <c r="AC397" i="5"/>
  <c r="U395" i="5"/>
  <c r="AD395" i="5" s="1"/>
  <c r="AC395" i="5"/>
  <c r="U390" i="5"/>
  <c r="AD390" i="5" s="1"/>
  <c r="AC390" i="5"/>
  <c r="U388" i="5"/>
  <c r="AD388" i="5" s="1"/>
  <c r="AC388" i="5"/>
  <c r="U387" i="5"/>
  <c r="AD387" i="5" s="1"/>
  <c r="AC387" i="5"/>
  <c r="U376" i="5"/>
  <c r="AD376" i="5" s="1"/>
  <c r="AC376" i="5"/>
  <c r="U375" i="5"/>
  <c r="AD375" i="5" s="1"/>
  <c r="AC375" i="5"/>
  <c r="U370" i="5"/>
  <c r="AD370" i="5" s="1"/>
  <c r="AC370" i="5"/>
  <c r="U321" i="5"/>
  <c r="AD321" i="5" s="1"/>
  <c r="AC321" i="5"/>
  <c r="U320" i="5"/>
  <c r="AD320" i="5" s="1"/>
  <c r="AC320" i="5"/>
  <c r="U319" i="5"/>
  <c r="AD319" i="5" s="1"/>
  <c r="AC319" i="5"/>
  <c r="U318" i="5"/>
  <c r="AD318" i="5" s="1"/>
  <c r="AC318" i="5"/>
  <c r="U317" i="5"/>
  <c r="AD317" i="5" s="1"/>
  <c r="AC317" i="5"/>
  <c r="U316" i="5"/>
  <c r="AD316" i="5" s="1"/>
  <c r="AC316" i="5"/>
  <c r="U315" i="5"/>
  <c r="AD315" i="5" s="1"/>
  <c r="AC315" i="5"/>
  <c r="U314" i="5"/>
  <c r="AD314" i="5" s="1"/>
  <c r="AC314" i="5"/>
  <c r="U312" i="5"/>
  <c r="AD312" i="5" s="1"/>
  <c r="AC312" i="5"/>
  <c r="U311" i="5"/>
  <c r="AD311" i="5" s="1"/>
  <c r="AC311" i="5"/>
  <c r="U310" i="5"/>
  <c r="AD310" i="5" s="1"/>
  <c r="AC310" i="5"/>
  <c r="U309" i="5"/>
  <c r="AD309" i="5" s="1"/>
  <c r="AC309" i="5"/>
  <c r="U308" i="5"/>
  <c r="AD308" i="5" s="1"/>
  <c r="AC308" i="5"/>
  <c r="U307" i="5"/>
  <c r="AD307" i="5" s="1"/>
  <c r="AC307" i="5"/>
  <c r="U306" i="5"/>
  <c r="AD306" i="5" s="1"/>
  <c r="AC306" i="5"/>
  <c r="U305" i="5"/>
  <c r="AD305" i="5" s="1"/>
  <c r="AC305" i="5"/>
  <c r="U304" i="5"/>
  <c r="AD304" i="5" s="1"/>
  <c r="AC304" i="5"/>
  <c r="U303" i="5"/>
  <c r="AD303" i="5" s="1"/>
  <c r="AC303" i="5"/>
  <c r="U302" i="5"/>
  <c r="AD302" i="5" s="1"/>
  <c r="AC302" i="5"/>
  <c r="U301" i="5"/>
  <c r="AD301" i="5" s="1"/>
  <c r="AC301" i="5"/>
  <c r="U300" i="5"/>
  <c r="AD300" i="5" s="1"/>
  <c r="AC300" i="5"/>
  <c r="U204" i="5"/>
  <c r="AD204" i="5" s="1"/>
  <c r="AC204" i="5"/>
  <c r="U203" i="5"/>
  <c r="AD203" i="5" s="1"/>
  <c r="AC203" i="5"/>
  <c r="U202" i="5"/>
  <c r="AD202" i="5" s="1"/>
  <c r="AC202" i="5"/>
  <c r="U201" i="5"/>
  <c r="AD201" i="5" s="1"/>
  <c r="AC201" i="5"/>
  <c r="U199" i="5"/>
  <c r="AD199" i="5" s="1"/>
  <c r="AC199" i="5"/>
  <c r="U197" i="5"/>
  <c r="AD197" i="5" s="1"/>
  <c r="AC197" i="5"/>
  <c r="U193" i="5"/>
  <c r="AD193" i="5" s="1"/>
  <c r="AC193" i="5"/>
  <c r="U192" i="5"/>
  <c r="AD192" i="5" s="1"/>
  <c r="AC192" i="5"/>
  <c r="U191" i="5"/>
  <c r="AD191" i="5" s="1"/>
  <c r="AC191" i="5"/>
  <c r="U190" i="5"/>
  <c r="AD190" i="5" s="1"/>
  <c r="AC190" i="5"/>
  <c r="U189" i="5"/>
  <c r="AD189" i="5" s="1"/>
  <c r="AC189" i="5"/>
  <c r="U188" i="5"/>
  <c r="AD188" i="5" s="1"/>
  <c r="AC188" i="5"/>
  <c r="U187" i="5"/>
  <c r="AD187" i="5" s="1"/>
  <c r="AC187" i="5"/>
  <c r="U186" i="5"/>
  <c r="AD186" i="5" s="1"/>
  <c r="AC186" i="5"/>
  <c r="U184" i="5"/>
  <c r="AD184" i="5" s="1"/>
  <c r="AC184" i="5"/>
  <c r="U183" i="5"/>
  <c r="AD183" i="5" s="1"/>
  <c r="AC183" i="5"/>
  <c r="U182" i="5"/>
  <c r="AD182" i="5" s="1"/>
  <c r="AC182" i="5"/>
  <c r="U181" i="5"/>
  <c r="AD181" i="5" s="1"/>
  <c r="AC181" i="5"/>
  <c r="U139" i="5"/>
  <c r="AD139" i="5" s="1"/>
  <c r="AC139" i="5"/>
  <c r="U136" i="5"/>
  <c r="AD136" i="5" s="1"/>
  <c r="AC136" i="5"/>
  <c r="U135" i="5"/>
  <c r="AD135" i="5" s="1"/>
  <c r="AC135" i="5"/>
  <c r="U128" i="5"/>
  <c r="AD128" i="5" s="1"/>
  <c r="AC128" i="5"/>
  <c r="U127" i="5"/>
  <c r="AD127" i="5" s="1"/>
  <c r="AC127" i="5"/>
  <c r="U124" i="5"/>
  <c r="AD124" i="5" s="1"/>
  <c r="AC124" i="5"/>
  <c r="U123" i="5"/>
  <c r="AD123" i="5" s="1"/>
  <c r="AC123" i="5"/>
  <c r="U86" i="5"/>
  <c r="AD86" i="5" s="1"/>
  <c r="AC86" i="5"/>
  <c r="U72" i="5"/>
  <c r="AD72" i="5" s="1"/>
  <c r="AC72" i="5"/>
  <c r="U69" i="5"/>
  <c r="AD69" i="5" s="1"/>
  <c r="AC69" i="5"/>
  <c r="U68" i="5"/>
  <c r="AD68" i="5" s="1"/>
  <c r="AC68" i="5"/>
  <c r="U67" i="5"/>
  <c r="AD67" i="5" s="1"/>
  <c r="AC67" i="5"/>
  <c r="U66" i="5"/>
  <c r="AD66" i="5" s="1"/>
  <c r="AC66" i="5"/>
  <c r="U65" i="5"/>
  <c r="AD65" i="5" s="1"/>
  <c r="AC65" i="5"/>
  <c r="U63" i="5"/>
  <c r="AD63" i="5" s="1"/>
  <c r="AC63" i="5"/>
  <c r="U60" i="5"/>
  <c r="AD60" i="5" s="1"/>
  <c r="AC60" i="5"/>
  <c r="U58" i="5"/>
  <c r="AD58" i="5" s="1"/>
  <c r="AC58" i="5"/>
  <c r="U50" i="5"/>
  <c r="AD50" i="5" s="1"/>
  <c r="AC50" i="5"/>
  <c r="U42" i="5"/>
  <c r="AD42" i="5" s="1"/>
  <c r="AC42" i="5"/>
  <c r="U37" i="5"/>
  <c r="AD37" i="5" s="1"/>
  <c r="AC37" i="5"/>
  <c r="U34" i="5"/>
  <c r="AD34" i="5" s="1"/>
  <c r="AC34" i="5"/>
  <c r="U33" i="5"/>
  <c r="AD33" i="5" s="1"/>
  <c r="AC33" i="5"/>
  <c r="U29" i="5"/>
  <c r="AD29" i="5" s="1"/>
  <c r="AC29" i="5"/>
  <c r="U15" i="5"/>
  <c r="AD15" i="5" s="1"/>
  <c r="AC15" i="5"/>
  <c r="U10" i="5"/>
  <c r="AD10" i="5" s="1"/>
  <c r="AC10" i="5"/>
  <c r="U9" i="5"/>
  <c r="AD9" i="5" s="1"/>
  <c r="AC9" i="5"/>
  <c r="B9" i="6" l="1"/>
  <c r="B10" i="6"/>
  <c r="D15" i="6"/>
  <c r="B12" i="2" s="1"/>
  <c r="F15" i="6"/>
  <c r="C16" i="6"/>
  <c r="C11" i="2" s="1"/>
  <c r="E16" i="6"/>
  <c r="G16" i="6"/>
  <c r="C17" i="6"/>
  <c r="D11" i="2" s="1"/>
  <c r="E17" i="6"/>
  <c r="H17" i="6"/>
  <c r="E7" i="2" s="1"/>
  <c r="B15" i="6"/>
  <c r="E15" i="6"/>
  <c r="B16" i="6"/>
  <c r="D16" i="6"/>
  <c r="C12" i="2" s="1"/>
  <c r="F16" i="6"/>
  <c r="B17" i="6"/>
  <c r="D17" i="6"/>
  <c r="D12" i="2" s="1"/>
  <c r="G17" i="6"/>
  <c r="C15" i="6"/>
  <c r="B11" i="2" s="1"/>
  <c r="H15" i="6"/>
  <c r="G15" i="6"/>
  <c r="H16" i="6"/>
  <c r="E6" i="2" s="1"/>
  <c r="F17" i="6"/>
  <c r="D8" i="6" l="1"/>
  <c r="B11" i="6"/>
  <c r="B5" i="2"/>
  <c r="B8" i="2" s="1"/>
  <c r="B25" i="6"/>
  <c r="B34" i="6"/>
  <c r="E34" i="6" s="1"/>
  <c r="B35" i="6"/>
  <c r="E35" i="6" s="1"/>
  <c r="B36" i="6"/>
  <c r="E36" i="6" s="1"/>
  <c r="C42" i="6"/>
  <c r="D9" i="6"/>
  <c r="B6" i="2"/>
  <c r="C25" i="6"/>
  <c r="G25" i="6" s="1"/>
  <c r="C34" i="6"/>
  <c r="G34" i="6" s="1"/>
  <c r="C35" i="6"/>
  <c r="G35" i="6" s="1"/>
  <c r="C36" i="6"/>
  <c r="G36" i="6" s="1"/>
  <c r="C43" i="6"/>
  <c r="D10" i="6"/>
  <c r="B7" i="2"/>
  <c r="D25" i="6"/>
  <c r="D34" i="6"/>
  <c r="D35" i="6"/>
  <c r="D36" i="6"/>
  <c r="C44" i="6"/>
  <c r="E5" i="2"/>
  <c r="E8" i="2" s="1"/>
  <c r="H18" i="6"/>
  <c r="B18" i="6"/>
  <c r="G18" i="6"/>
  <c r="G19" i="6" s="1"/>
  <c r="F18" i="6"/>
  <c r="E8" i="6" l="1"/>
  <c r="D11" i="6"/>
  <c r="B12" i="6" s="1"/>
  <c r="C5" i="2"/>
  <c r="C8" i="2" s="1"/>
  <c r="E25" i="6"/>
  <c r="L25" i="6" s="1"/>
  <c r="E16" i="2" s="1"/>
  <c r="B16" i="2"/>
  <c r="E9" i="6"/>
  <c r="D6" i="2" s="1"/>
  <c r="C6" i="2"/>
  <c r="E10" i="6"/>
  <c r="D7" i="2" s="1"/>
  <c r="C7" i="2"/>
  <c r="F25" i="6"/>
  <c r="H25" i="6"/>
  <c r="J25" i="6"/>
  <c r="K25" i="6"/>
  <c r="C16" i="2" s="1"/>
  <c r="F34" i="6"/>
  <c r="H34" i="6"/>
  <c r="J34" i="6"/>
  <c r="K34" i="6"/>
  <c r="B24" i="2" s="1"/>
  <c r="F35" i="6"/>
  <c r="H35" i="6"/>
  <c r="J35" i="6"/>
  <c r="K35" i="6"/>
  <c r="C24" i="2" s="1"/>
  <c r="F36" i="6"/>
  <c r="H36" i="6"/>
  <c r="H20" i="6"/>
  <c r="H21" i="6"/>
  <c r="J36" i="6" l="1"/>
  <c r="K36" i="6"/>
  <c r="D24" i="2" s="1"/>
  <c r="D5" i="2"/>
  <c r="D8" i="2" s="1"/>
  <c r="E11" i="6"/>
  <c r="L34" i="6"/>
  <c r="I34" i="6"/>
  <c r="B23" i="2"/>
  <c r="L35" i="6"/>
  <c r="I35" i="6"/>
  <c r="C23" i="2"/>
  <c r="L36" i="6"/>
  <c r="I36" i="6"/>
  <c r="D23" i="2"/>
  <c r="I25" i="6"/>
  <c r="D1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21" authorId="0" shapeId="0" xr:uid="{00000000-0006-0000-0500-000001000000}">
      <text>
        <r>
          <rPr>
            <sz val="10"/>
            <rFont val="Arial"/>
            <family val="2"/>
          </rPr>
          <t>67,998 = Part 1 expected season attendance. Rough scaling: assumes average-day economics mirror the design day.</t>
        </r>
      </text>
    </comment>
  </commentList>
</comments>
</file>

<file path=xl/sharedStrings.xml><?xml version="1.0" encoding="utf-8"?>
<sst xmlns="http://schemas.openxmlformats.org/spreadsheetml/2006/main" count="340" uniqueCount="262">
  <si>
    <t>Autumn Harvest Festival 2026: Vendor Booth Mix Optimization</t>
  </si>
  <si>
    <t>WDPR 2026 IE Case Study, Part 2. Built in 2026. Companion to festival_forecast_model.xlsx (Part 1).</t>
  </si>
  <si>
    <t>Purpose</t>
  </si>
  <si>
    <t>Recommend the number of Food &amp; Beverage, Merchandise, and Activities &amp; Experiences booths within 120 standard booth equivalents, balancing revenue, guest experience (queue time), variety, and operational feasibility.</t>
  </si>
  <si>
    <t>Method</t>
  </si>
  <si>
    <t>Three layers. (1) Demand and throughput: the Part 1 expected peak day (10,808 guests) is converted to transactions per hour by category, and Little's Law plus a per-booth M/M/1 queue give the minimum booths needed to hold peak utilization at or below 85%. (2) Integer program by exhaustive enumeration: every feasible (F, M, A) mix with F + M + 2A = 120 is evaluated on contribution margin, subject to service-level, variety, and feasibility constraints; the best is selected. (3) Stress test of the chosen mix under the Low and High peak days from Part 1.</t>
  </si>
  <si>
    <t>Why not pure revenue maximization</t>
  </si>
  <si>
    <t>Per space, F&amp;B earns roughly 3.4x Merchandise and 7x Activities. A revenue-only rule fills the grounds with food, starves the family activities that define the festival, and ignores that guests who stay longer buy more food. The model therefore treats Activities as a complement to F&amp;B (dwell effect) and imposes variety floors and an Activities ceiling as explicit, editable constraints.</t>
  </si>
  <si>
    <t>Revenue metric</t>
  </si>
  <si>
    <t>The case does not say how the festival earns from booths. This model uses vendor contribution margin (gross sales minus operating cost at the case's High / Medium / Low-Medium tiers). If leadership confirms a commission or rent model, set the commission rate on Inputs and read festival revenue on Recommendation.</t>
  </si>
  <si>
    <t>Sheet guide</t>
  </si>
  <si>
    <t>Inputs: every parameter with source. Demand: transactions, peak-hour rates, minimum booths per category and scenario. Optimizer: the enumeration grid (do not edit; formulas only). Recommendation: chosen mix, metrics, alternatives, stress test, optional 2025 delta. Summary: dashboard and charts.</t>
  </si>
  <si>
    <t>Color legend</t>
  </si>
  <si>
    <t>Blue text = editable input. Black = formula. Green = link to another sheet. Yellow fill = key assumption. Change inputs only on the Inputs sheet.</t>
  </si>
  <si>
    <t>Summary dashboard: recommended 2026 booth mix</t>
  </si>
  <si>
    <t>Method: Little's Law and per-booth M/M/1 queues set minimum capacity; an exhaustive-enumeration integer program picks the contribution-maximizing mix within service-level, variety, and feasibility constraints; stress-tested on Part 1 scenarios.</t>
  </si>
  <si>
    <t>Category</t>
  </si>
  <si>
    <t>Booths</t>
  </si>
  <si>
    <t>Space equivalents</t>
  </si>
  <si>
    <t>Share of space</t>
  </si>
  <si>
    <t>Design-day contribution ($)</t>
  </si>
  <si>
    <t>Food &amp; Beverage</t>
  </si>
  <si>
    <t>Merchandise</t>
  </si>
  <si>
    <t>Activities &amp; Experiences</t>
  </si>
  <si>
    <t>Total</t>
  </si>
  <si>
    <t>Guest experience on the expected design day</t>
  </si>
  <si>
    <t>F&amp;B</t>
  </si>
  <si>
    <t>Activities</t>
  </si>
  <si>
    <t>Peak-hour utilization</t>
  </si>
  <si>
    <t>Peak-hour wait (minutes)</t>
  </si>
  <si>
    <t>Minimum booths from queueing alone</t>
  </si>
  <si>
    <t>Alternative</t>
  </si>
  <si>
    <t>F / M / A</t>
  </si>
  <si>
    <t>Contribution ($)</t>
  </si>
  <si>
    <t>Max wait (min)</t>
  </si>
  <si>
    <t>Feasible?</t>
  </si>
  <si>
    <t>Stress test (recommended mix)</t>
  </si>
  <si>
    <t>Low day</t>
  </si>
  <si>
    <t>Expected day</t>
  </si>
  <si>
    <t>High day</t>
  </si>
  <si>
    <t>Max utilization</t>
  </si>
  <si>
    <t>Inputs and assumptions</t>
  </si>
  <si>
    <t>Blue = editable. Columns C/D/E = Low / Expected / High where the input varies by scenario; single-value inputs sit in column D.</t>
  </si>
  <si>
    <t>Parameter</t>
  </si>
  <si>
    <t>Key</t>
  </si>
  <si>
    <t>Low</t>
  </si>
  <si>
    <t>Expected</t>
  </si>
  <si>
    <t>High</t>
  </si>
  <si>
    <t>Source / rationale</t>
  </si>
  <si>
    <t>Demand (from Part 1 forecast)</t>
  </si>
  <si>
    <t>Design-day guests (Saturday of peak weekend)</t>
  </si>
  <si>
    <t>guests</t>
  </si>
  <si>
    <t>Part 1 model, Forecast!B34:D34 (peak weekend x 52% Saturday share). Expected is the sizing basis; Low/High are stress cases.</t>
  </si>
  <si>
    <t>Operating hours per day</t>
  </si>
  <si>
    <t>hours</t>
  </si>
  <si>
    <t>Case: 10:00 AM to 8:00 PM.</t>
  </si>
  <si>
    <t>Maximum standard booth equivalents</t>
  </si>
  <si>
    <t>space_total</t>
  </si>
  <si>
    <t>Case.</t>
  </si>
  <si>
    <t>Category economics (case ranges; Expected = midpoint)</t>
  </si>
  <si>
    <t>F&amp;B spend per transaction ($)</t>
  </si>
  <si>
    <t>spend_F</t>
  </si>
  <si>
    <t>Case: $18 to $25.</t>
  </si>
  <si>
    <t>Merchandise spend per transaction ($)</t>
  </si>
  <si>
    <t>spend_M</t>
  </si>
  <si>
    <t>Case: $12 to $20.</t>
  </si>
  <si>
    <t>Activities spend per transaction ($)</t>
  </si>
  <si>
    <t>spend_A</t>
  </si>
  <si>
    <t>Case: $5 to $12.</t>
  </si>
  <si>
    <t>F&amp;B participation (% of guests)</t>
  </si>
  <si>
    <t>part_F</t>
  </si>
  <si>
    <t>Case: 70 to 85%.</t>
  </si>
  <si>
    <t>Merchandise participation</t>
  </si>
  <si>
    <t>part_M</t>
  </si>
  <si>
    <t>Case: 25 to 40%. Used as the base at the reference booth count (assortment effect below).</t>
  </si>
  <si>
    <t>Activities participation</t>
  </si>
  <si>
    <t>part_A</t>
  </si>
  <si>
    <t>Case: 30 to 50%. Used as the base at the reference booth count.</t>
  </si>
  <si>
    <t>F&amp;B operating cost (% of sales): 'High'</t>
  </si>
  <si>
    <t>cost_F</t>
  </si>
  <si>
    <t>Prime cost (food + labor) benchmark is 55 to 65% of sales for F&amp;B operators (mobile-cuisine.com; foodnhotelasia.com); festival booths add propane, disposables, permits and run peaky hours, so total operating cost is placed at the top of the range.</t>
  </si>
  <si>
    <t>Merchandise operating cost: 'Medium'</t>
  </si>
  <si>
    <t>cost_M</t>
  </si>
  <si>
    <t>Retail keystone convention: COGS = 50% of selling price (50% gross margin), the stated expectation in gift and craft retail (priceva.com; craftybase.com); plus ~5% booth labor and packaging.</t>
  </si>
  <si>
    <t>Activities operating cost: 'Low-Medium'</t>
  </si>
  <si>
    <t>cost_A</t>
  </si>
  <si>
    <t>Team judgment, structural: supplies 10 to 15% of a $5 to $12 ticket, staff 25 to 30%. Consistent with the case ranking it below Merchandise.</t>
  </si>
  <si>
    <t>Space per F&amp;B booth</t>
  </si>
  <si>
    <t>space_F</t>
  </si>
  <si>
    <t>Space per Merchandise booth</t>
  </si>
  <si>
    <t>space_M</t>
  </si>
  <si>
    <t>Space per Activities booth</t>
  </si>
  <si>
    <t>space_A</t>
  </si>
  <si>
    <t>Case: twice a standard booth.</t>
  </si>
  <si>
    <t>Festival commission on vendor sales (optional)</t>
  </si>
  <si>
    <t>commission</t>
  </si>
  <si>
    <t>Set &gt; 0 if leadership confirms a revenue-share model. Festival revenue = commission x gross sales (Recommendation sheet).</t>
  </si>
  <si>
    <t>Throughput and queueing</t>
  </si>
  <si>
    <t>F&amp;B transactions per participating guest per day</t>
  </si>
  <si>
    <t>txn_F</t>
  </si>
  <si>
    <t>Team assumption: a meal plus a snack or drink for half of participants. Drives peak-hour arrivals.</t>
  </si>
  <si>
    <t>Merchandise transactions per participating guest</t>
  </si>
  <si>
    <t>txn_M</t>
  </si>
  <si>
    <t>Team assumption: mostly single purchases.</t>
  </si>
  <si>
    <t>Activities transactions per participating guest</t>
  </si>
  <si>
    <t>txn_A</t>
  </si>
  <si>
    <t>Team assumption: some guests do more than one activity.</t>
  </si>
  <si>
    <t>F&amp;B peak-hour share of daily transactions</t>
  </si>
  <si>
    <t>peak_F</t>
  </si>
  <si>
    <t>Team assumption: lunch hour carries 15% of the day's food transactions (1.5x the 10% flat average).</t>
  </si>
  <si>
    <t>Merchandise peak-hour share</t>
  </si>
  <si>
    <t>peak_M</t>
  </si>
  <si>
    <t>Team assumption: flatter than food.</t>
  </si>
  <si>
    <t>Activities peak-hour share</t>
  </si>
  <si>
    <t>peak_A</t>
  </si>
  <si>
    <t>Team assumption: early-afternoon family peak.</t>
  </si>
  <si>
    <t>F&amp;B service rate (transactions per booth per hour)</t>
  </si>
  <si>
    <t>mu_F</t>
  </si>
  <si>
    <t>Team assumption: ~65 seconds per order at a single window with pre-made items. Editable; the most important throughput parameter.</t>
  </si>
  <si>
    <t>Merchandise service rate</t>
  </si>
  <si>
    <t>mu_M</t>
  </si>
  <si>
    <t>Team assumption: ~90 seconds per sale including browsing conversion.</t>
  </si>
  <si>
    <t>Activities service rate</t>
  </si>
  <si>
    <t>mu_A</t>
  </si>
  <si>
    <t>Team assumption: activities cycle guests in small groups; ~100 seconds per guest.</t>
  </si>
  <si>
    <t>Maximum peak-hour utilization (service-level constraint)</t>
  </si>
  <si>
    <t>rho_ok</t>
  </si>
  <si>
    <t>Queueing rule of thumb: for an M/M/1 server, wait time grows as rho/(1-rho) and becomes unstable above ~85%. Standard capacity-planning threshold.</t>
  </si>
  <si>
    <t>Wait below which no guest balks (minutes)</t>
  </si>
  <si>
    <t>w_free</t>
  </si>
  <si>
    <t>Team assumption.</t>
  </si>
  <si>
    <t>Wait at which all marginal peak-window guests balk (minutes)</t>
  </si>
  <si>
    <t>w_max</t>
  </si>
  <si>
    <t>Team assumption. Balking is linear between w_free and w_max.</t>
  </si>
  <si>
    <t>Share of daily transactions occurring in the congested peak window</t>
  </si>
  <si>
    <t>p_win</t>
  </si>
  <si>
    <t>Team assumption: ~3 hours near peak intensity carry 45% of the day's transactions; only this share is exposed to balking.</t>
  </si>
  <si>
    <t>Behavioral links between categories</t>
  </si>
  <si>
    <t>Dwell effect: F&amp;B transactions per guest change per Activities booth above reference</t>
  </si>
  <si>
    <t>dwell</t>
  </si>
  <si>
    <t>Team assumption: each Activities booth beyond 20 adds 1% to F&amp;B transactions per guest (longer stays). Sensitivity: with 0 the optimum is 42/24/27; the recommendation barely moves.</t>
  </si>
  <si>
    <t>Reference Activities booth count</t>
  </si>
  <si>
    <t>ref_A</t>
  </si>
  <si>
    <t>Anchor for the dwell and assortment effects.</t>
  </si>
  <si>
    <t>Reference Merchandise booth count</t>
  </si>
  <si>
    <t>ref_M</t>
  </si>
  <si>
    <t>Anchor for the assortment effect.</t>
  </si>
  <si>
    <t>Assortment elasticity of participation (Merch and Activities)</t>
  </si>
  <si>
    <t>eps</t>
  </si>
  <si>
    <t>Team assumption: participation = base x (booths / reference)^0.3, capped at the case maximum. More variety draws more participants, with diminishing returns.</t>
  </si>
  <si>
    <t>Constraints (variety and feasibility)</t>
  </si>
  <si>
    <t>Maximum F&amp;B share of total space</t>
  </si>
  <si>
    <t>capF_share</t>
  </si>
  <si>
    <t>Variety: no more than half the grounds is food.</t>
  </si>
  <si>
    <t>Minimum Merchandise share of booth count</t>
  </si>
  <si>
    <t>floorM_share</t>
  </si>
  <si>
    <t>Variety: artisan merchandise is part of the festival identity.</t>
  </si>
  <si>
    <t>Minimum Activities share of total space</t>
  </si>
  <si>
    <t>floorA_share</t>
  </si>
  <si>
    <t>Variety: family-friendly activities are part of the festival identity.</t>
  </si>
  <si>
    <t>Maximum Activities share of total space</t>
  </si>
  <si>
    <t>capA_share</t>
  </si>
  <si>
    <t>Operational feasibility: Activities need staffing, safety buffers, and crowd flow. This bound binds in the optimum; see Recommendation.</t>
  </si>
  <si>
    <t>Step 1: Demand, peak-hour arrivals, and minimum booths (Little's Law + utilization target)</t>
  </si>
  <si>
    <t>Metric</t>
  </si>
  <si>
    <t>Logic</t>
  </si>
  <si>
    <t>Design-day guests</t>
  </si>
  <si>
    <t>Part 1 peak day by scenario.</t>
  </si>
  <si>
    <t>Operating hours</t>
  </si>
  <si>
    <t>Participation (expected midpoint)</t>
  </si>
  <si>
    <t>Case midpoint. Scenario variation enters through guest count.</t>
  </si>
  <si>
    <t>Transactions per participating guest</t>
  </si>
  <si>
    <t>Inputs.</t>
  </si>
  <si>
    <t>Transactions per day</t>
  </si>
  <si>
    <t>Guests x participation x transactions per guest.</t>
  </si>
  <si>
    <t>Peak-hour arrivals (lambda, per hour)</t>
  </si>
  <si>
    <t>Daily transactions x peak-hour share.</t>
  </si>
  <si>
    <t>Service rate per booth (mu, per hour)</t>
  </si>
  <si>
    <t>Minimum booths at target utilization</t>
  </si>
  <si>
    <t>ceil(lambda / (mu x rho_max)). Little's Law: servers needed = arrival rate / service rate per server.</t>
  </si>
  <si>
    <t>Space equivalents for minimum</t>
  </si>
  <si>
    <t>Booths x space per booth.</t>
  </si>
  <si>
    <t>Total space needed for minimums</t>
  </si>
  <si>
    <t>Compare to 120. Slack is what the optimizer allocates; a value above 120 means the day cannot be served at target utilization without more capacity (Part 3 link).</t>
  </si>
  <si>
    <t>Slack (120 minus minimums)</t>
  </si>
  <si>
    <t>Contribution per guest per space (why revenue alone would choose all F&amp;B)</t>
  </si>
  <si>
    <t>Sales per guest</t>
  </si>
  <si>
    <t>Contribution per guest</t>
  </si>
  <si>
    <t>Per space equivalent</t>
  </si>
  <si>
    <t>Ratio to F&amp;B</t>
  </si>
  <si>
    <t>Step 2: Integer program by exhaustive enumeration (every mix with F + M + 2A = 120)</t>
  </si>
  <si>
    <t>Each row is one candidate mix on the Expected design day. Feasible = all utilization &lt;= target AND variety/feasibility bounds. Score = total contribution if feasible, else -1. Best row is selected by MAX. Do not edit this sheet; change Inputs.</t>
  </si>
  <si>
    <t>F booths</t>
  </si>
  <si>
    <t>A booths</t>
  </si>
  <si>
    <t>M booths</t>
  </si>
  <si>
    <t>Spaces used</t>
  </si>
  <si>
    <t>Merch participation</t>
  </si>
  <si>
    <t>F&amp;B txns/guest</t>
  </si>
  <si>
    <t>F lambda/hr</t>
  </si>
  <si>
    <t>F rho</t>
  </si>
  <si>
    <t>F wait (min)</t>
  </si>
  <si>
    <t>F balk frac</t>
  </si>
  <si>
    <t>F captured txns</t>
  </si>
  <si>
    <t>F sales</t>
  </si>
  <si>
    <t>F contribution</t>
  </si>
  <si>
    <t>M lambda/hr</t>
  </si>
  <si>
    <t>M rho</t>
  </si>
  <si>
    <t>M wait (min)</t>
  </si>
  <si>
    <t>M balk frac</t>
  </si>
  <si>
    <t>M captured txns</t>
  </si>
  <si>
    <t>M sales</t>
  </si>
  <si>
    <t>M contribution</t>
  </si>
  <si>
    <t>A lambda/hr</t>
  </si>
  <si>
    <t>A rho</t>
  </si>
  <si>
    <t>A wait (min)</t>
  </si>
  <si>
    <t>A balk frac</t>
  </si>
  <si>
    <t>A captured txns</t>
  </si>
  <si>
    <t>A sales</t>
  </si>
  <si>
    <t>A contribution</t>
  </si>
  <si>
    <t>Total sales</t>
  </si>
  <si>
    <t>Total contribution</t>
  </si>
  <si>
    <t>Max rho</t>
  </si>
  <si>
    <t>Feasible (1/0)</t>
  </si>
  <si>
    <t>Score</t>
  </si>
  <si>
    <t>Step 3: Recommended booth mix, alternatives, and stress test</t>
  </si>
  <si>
    <t>Best feasible score (contribution, expected design day)</t>
  </si>
  <si>
    <t>Row of best mix in Optimizer</t>
  </si>
  <si>
    <t>Feasible mixes found</t>
  </si>
  <si>
    <t>Recommended mix</t>
  </si>
  <si>
    <t>Space per booth</t>
  </si>
  <si>
    <t>Check: space used = 120</t>
  </si>
  <si>
    <t>Expected design day, by category</t>
  </si>
  <si>
    <t>Peak-hour arrivals</t>
  </si>
  <si>
    <t>Utilization</t>
  </si>
  <si>
    <t>Peak wait (min)</t>
  </si>
  <si>
    <t>Balk fraction</t>
  </si>
  <si>
    <t>Captured transactions</t>
  </si>
  <si>
    <t>Gross sales ($)</t>
  </si>
  <si>
    <t>Festival revenue if commission model (commission x gross sales)</t>
  </si>
  <si>
    <t>Contribution per space equivalent (design day)</t>
  </si>
  <si>
    <t>Season estimate: design-day contribution scaled by (season total guests / design-day guests)</t>
  </si>
  <si>
    <t>Alternatives evaluated with the same model (why the recommendation beats intuitive rules)</t>
  </si>
  <si>
    <t>F</t>
  </si>
  <si>
    <t>M</t>
  </si>
  <si>
    <t>A</t>
  </si>
  <si>
    <t>Spaces</t>
  </si>
  <si>
    <t>Recommended (optimizer)</t>
  </si>
  <si>
    <t>Revenue-per-space rule (max F&amp;B)</t>
  </si>
  <si>
    <t>Equal space per category</t>
  </si>
  <si>
    <t>Proportional to participation</t>
  </si>
  <si>
    <t>Queueing minimums only (slack unused)</t>
  </si>
  <si>
    <t>Stress test: recommended mix under Low / Expected / High design days</t>
  </si>
  <si>
    <t>Scenario</t>
  </si>
  <si>
    <t>Within service level?</t>
  </si>
  <si>
    <t>Low design day</t>
  </si>
  <si>
    <t>Expected design day</t>
  </si>
  <si>
    <t>High design day</t>
  </si>
  <si>
    <t>Reading: if the High row shows F&amp;B utilization above 100% or the wait in the hundreds, the expected-day mix cannot absorb a High-scenario Saturday. That is a capacity problem, not a mix problem, and it is the operational case for Part 3 (longer hours spread the peak) or for flex capacity such as standby food trucks on Weekends 3 and 4.</t>
  </si>
  <si>
    <t>Optional: change from 2025 mix (enter 2025 counts if leadership provides them)</t>
  </si>
  <si>
    <t>2025 booths (enter)</t>
  </si>
  <si>
    <t>Recommended 2026</t>
  </si>
  <si>
    <t>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</si>
</sst>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quot;($&quot;#,##0\);\-"/>
    <numFmt numFmtId="167" formatCode="0.0"/>
    <numFmt numFmtId="168" formatCode="0.00\x"/>
  </numFmts>
  <fonts count="10" x14ac:knownFonts="1">
    <font>
      <sz val="11"/>
      <color theme="1"/>
      <name val="Calibri"/>
      <family val="2"/>
      <charset val="1"/>
    </font>
    <font>
      <b/>
      <sz val="14"/>
      <name val="Arial"/>
      <charset val="1"/>
    </font>
    <font>
      <sz val="10"/>
      <color rgb="FF000000"/>
      <name val="Arial"/>
      <charset val="1"/>
    </font>
    <font>
      <b/>
      <sz val="10"/>
      <color rgb="FF000000"/>
      <name val="Arial"/>
      <charset val="1"/>
    </font>
    <font>
      <b/>
      <sz val="11"/>
      <color rgb="FFFFFFFF"/>
      <name val="Arial"/>
      <charset val="1"/>
    </font>
    <font>
      <b/>
      <sz val="10"/>
      <color rgb="FF008000"/>
      <name val="Arial"/>
      <charset val="1"/>
    </font>
    <font>
      <sz val="10"/>
      <color rgb="FF008000"/>
      <name val="Arial"/>
      <charset val="1"/>
    </font>
    <font>
      <b/>
      <sz val="10"/>
      <name val="Arial"/>
      <charset val="1"/>
    </font>
    <font>
      <sz val="10"/>
      <color rgb="FF0000FF"/>
      <name val="Arial"/>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E2EFDA"/>
        <bgColor rgb="FFD9D9D9"/>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2">
    <xf numFmtId="0" fontId="0" fillId="0" borderId="0" xfId="0"/>
    <xf numFmtId="0" fontId="2" fillId="0" borderId="1" xfId="0" applyFont="1" applyBorder="1" applyAlignment="1">
      <alignment vertical="top" wrapText="1"/>
    </xf>
    <xf numFmtId="0" fontId="1" fillId="0" borderId="0" xfId="0" applyFont="1"/>
    <xf numFmtId="0" fontId="2" fillId="0" borderId="0" xfId="0" applyFont="1"/>
    <xf numFmtId="0" fontId="3" fillId="0" borderId="1" xfId="0" applyFont="1" applyBorder="1"/>
    <xf numFmtId="0" fontId="2" fillId="0" borderId="1" xfId="0" applyFont="1" applyBorder="1" applyAlignment="1">
      <alignment vertical="top" wrapText="1"/>
    </xf>
    <xf numFmtId="0" fontId="4" fillId="2" borderId="1" xfId="0" applyFont="1" applyFill="1" applyBorder="1" applyAlignment="1">
      <alignment vertical="center" wrapText="1"/>
    </xf>
    <xf numFmtId="0" fontId="3" fillId="3" borderId="1" xfId="0" applyFont="1" applyFill="1" applyBorder="1"/>
    <xf numFmtId="164" fontId="5" fillId="3" borderId="1" xfId="0" applyNumberFormat="1" applyFont="1" applyFill="1" applyBorder="1"/>
    <xf numFmtId="164" fontId="6" fillId="0" borderId="1" xfId="0" applyNumberFormat="1" applyFont="1" applyBorder="1"/>
    <xf numFmtId="165" fontId="6" fillId="0" borderId="1" xfId="0" applyNumberFormat="1" applyFont="1" applyBorder="1"/>
    <xf numFmtId="166" fontId="6" fillId="0" borderId="1" xfId="0" applyNumberFormat="1" applyFont="1" applyBorder="1"/>
    <xf numFmtId="164" fontId="3" fillId="0" borderId="1" xfId="0" applyNumberFormat="1" applyFont="1" applyBorder="1"/>
    <xf numFmtId="165" fontId="3" fillId="0" borderId="1" xfId="0" applyNumberFormat="1" applyFont="1" applyBorder="1"/>
    <xf numFmtId="166" fontId="3" fillId="0" borderId="1" xfId="0" applyNumberFormat="1" applyFont="1" applyBorder="1"/>
    <xf numFmtId="0" fontId="2" fillId="0" borderId="1" xfId="0" applyFont="1" applyBorder="1"/>
    <xf numFmtId="167" fontId="6" fillId="0" borderId="1" xfId="0" applyNumberFormat="1" applyFont="1" applyBorder="1"/>
    <xf numFmtId="0" fontId="6" fillId="0" borderId="1" xfId="0" applyFont="1" applyBorder="1"/>
    <xf numFmtId="0" fontId="7" fillId="0" borderId="0" xfId="0" applyFont="1"/>
    <xf numFmtId="0" fontId="2" fillId="4" borderId="1" xfId="0" applyFont="1" applyFill="1" applyBorder="1" applyAlignment="1">
      <alignment vertical="top" wrapText="1"/>
    </xf>
    <xf numFmtId="164" fontId="8" fillId="4" borderId="1" xfId="0" applyNumberFormat="1" applyFont="1" applyFill="1" applyBorder="1"/>
    <xf numFmtId="0" fontId="8" fillId="0" borderId="1" xfId="0" applyFont="1" applyBorder="1"/>
    <xf numFmtId="166" fontId="8" fillId="0" borderId="1" xfId="0" applyNumberFormat="1" applyFont="1" applyBorder="1"/>
    <xf numFmtId="165" fontId="8" fillId="0" borderId="1" xfId="0" applyNumberFormat="1" applyFont="1" applyBorder="1"/>
    <xf numFmtId="0" fontId="2" fillId="4" borderId="1" xfId="0" applyFont="1" applyFill="1" applyBorder="1"/>
    <xf numFmtId="165" fontId="8" fillId="4" borderId="1" xfId="0" applyNumberFormat="1" applyFont="1" applyFill="1" applyBorder="1"/>
    <xf numFmtId="2" fontId="8" fillId="0" borderId="1" xfId="0" applyNumberFormat="1" applyFont="1" applyBorder="1"/>
    <xf numFmtId="164" fontId="8" fillId="0" borderId="1" xfId="0" applyNumberFormat="1" applyFont="1" applyBorder="1"/>
    <xf numFmtId="167" fontId="8" fillId="0" borderId="1" xfId="0" applyNumberFormat="1" applyFont="1" applyBorder="1"/>
    <xf numFmtId="2" fontId="8" fillId="4" borderId="1" xfId="0" applyNumberFormat="1" applyFont="1" applyFill="1" applyBorder="1"/>
    <xf numFmtId="2" fontId="6" fillId="0" borderId="1" xfId="0" applyNumberFormat="1" applyFont="1" applyBorder="1"/>
    <xf numFmtId="164" fontId="2" fillId="0" borderId="1" xfId="0" applyNumberFormat="1" applyFont="1" applyBorder="1"/>
    <xf numFmtId="164" fontId="3" fillId="3" borderId="1" xfId="0" applyNumberFormat="1" applyFont="1" applyFill="1" applyBorder="1"/>
    <xf numFmtId="166" fontId="2" fillId="0" borderId="1" xfId="0" applyNumberFormat="1" applyFont="1" applyBorder="1"/>
    <xf numFmtId="168" fontId="2" fillId="0" borderId="1" xfId="0" applyNumberFormat="1" applyFont="1" applyBorder="1"/>
    <xf numFmtId="164" fontId="2" fillId="0" borderId="0" xfId="0" applyNumberFormat="1" applyFont="1"/>
    <xf numFmtId="165" fontId="2" fillId="0" borderId="0" xfId="0" applyNumberFormat="1" applyFont="1"/>
    <xf numFmtId="2" fontId="2" fillId="0" borderId="0" xfId="0" applyNumberFormat="1" applyFont="1"/>
    <xf numFmtId="167" fontId="2" fillId="0" borderId="0" xfId="0" applyNumberFormat="1" applyFont="1"/>
    <xf numFmtId="166" fontId="2" fillId="0" borderId="0" xfId="0" applyNumberFormat="1" applyFont="1"/>
    <xf numFmtId="165" fontId="2" fillId="0" borderId="1" xfId="0" applyNumberFormat="1" applyFont="1" applyBorder="1"/>
    <xf numFmtId="167" fontId="2" fillId="0" borderId="1"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Recommended mix: booths and space equivalents</a:t>
            </a:r>
          </a:p>
        </c:rich>
      </c:tx>
      <c:overlay val="0"/>
      <c:spPr>
        <a:noFill/>
        <a:ln w="0">
          <a:noFill/>
        </a:ln>
      </c:spPr>
    </c:title>
    <c:autoTitleDeleted val="0"/>
    <c:plotArea>
      <c:layout/>
      <c:barChart>
        <c:barDir val="col"/>
        <c:grouping val="clustered"/>
        <c:varyColors val="0"/>
        <c:ser>
          <c:idx val="0"/>
          <c:order val="0"/>
          <c:tx>
            <c:strRef>
              <c:f>Summary!$B$4</c:f>
              <c:strCache>
                <c:ptCount val="1"/>
                <c:pt idx="0">
                  <c:v>Booths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Summary!$A$5:$A$7</c:f>
              <c:strCache>
                <c:ptCount val="3"/>
                <c:pt idx="0">
                  <c:v>Food &amp; Beverage</c:v>
                </c:pt>
                <c:pt idx="1">
                  <c:v>Merchandise</c:v>
                </c:pt>
                <c:pt idx="2">
                  <c:v>Activities &amp; Experiences</c:v>
                </c:pt>
              </c:strCache>
            </c:strRef>
          </c:cat>
          <c:val>
            <c:numRef>
              <c:f>Summary!$B$5:$B$7</c:f>
              <c:numCache>
                <c:formatCode>#,##0;\(#,##0\);\-</c:formatCode>
                <c:ptCount val="3"/>
                <c:pt idx="0">
                  <c:v>45</c:v>
                </c:pt>
                <c:pt idx="1">
                  <c:v>21</c:v>
                </c:pt>
                <c:pt idx="2">
                  <c:v>27</c:v>
                </c:pt>
              </c:numCache>
            </c:numRef>
          </c:val>
          <c:extLst>
            <c:ext xmlns:c16="http://schemas.microsoft.com/office/drawing/2014/chart" uri="{C3380CC4-5D6E-409C-BE32-E72D297353CC}">
              <c16:uniqueId val="{00000000-697F-4265-8A96-24F1908F7024}"/>
            </c:ext>
          </c:extLst>
        </c:ser>
        <c:ser>
          <c:idx val="1"/>
          <c:order val="1"/>
          <c:tx>
            <c:strRef>
              <c:f>Summary!$C$4</c:f>
              <c:strCache>
                <c:ptCount val="1"/>
                <c:pt idx="0">
                  <c:v>Space equivalents</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Summary!$A$5:$A$7</c:f>
              <c:strCache>
                <c:ptCount val="3"/>
                <c:pt idx="0">
                  <c:v>Food &amp; Beverage</c:v>
                </c:pt>
                <c:pt idx="1">
                  <c:v>Merchandise</c:v>
                </c:pt>
                <c:pt idx="2">
                  <c:v>Activities &amp; Experiences</c:v>
                </c:pt>
              </c:strCache>
            </c:strRef>
          </c:cat>
          <c:val>
            <c:numRef>
              <c:f>Summary!$C$5:$C$7</c:f>
              <c:numCache>
                <c:formatCode>#,##0;\(#,##0\);\-</c:formatCode>
                <c:ptCount val="3"/>
                <c:pt idx="0">
                  <c:v>45</c:v>
                </c:pt>
                <c:pt idx="1">
                  <c:v>21</c:v>
                </c:pt>
                <c:pt idx="2">
                  <c:v>54</c:v>
                </c:pt>
              </c:numCache>
            </c:numRef>
          </c:val>
          <c:extLst>
            <c:ext xmlns:c16="http://schemas.microsoft.com/office/drawing/2014/chart" uri="{C3380CC4-5D6E-409C-BE32-E72D297353CC}">
              <c16:uniqueId val="{00000001-697F-4265-8A96-24F1908F7024}"/>
            </c:ext>
          </c:extLst>
        </c:ser>
        <c:dLbls>
          <c:showLegendKey val="0"/>
          <c:showVal val="0"/>
          <c:showCatName val="0"/>
          <c:showSerName val="0"/>
          <c:showPercent val="0"/>
          <c:showBubbleSize val="0"/>
        </c:dLbls>
        <c:gapWidth val="150"/>
        <c:axId val="28869595"/>
        <c:axId val="97559470"/>
      </c:barChart>
      <c:catAx>
        <c:axId val="288695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559470"/>
        <c:crosses val="autoZero"/>
        <c:auto val="1"/>
        <c:lblAlgn val="ctr"/>
        <c:lblOffset val="100"/>
        <c:noMultiLvlLbl val="0"/>
      </c:catAx>
      <c:valAx>
        <c:axId val="9755947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886959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Design-day contribution: recommendation vs alternatives</a:t>
            </a:r>
          </a:p>
        </c:rich>
      </c:tx>
      <c:overlay val="0"/>
      <c:spPr>
        <a:noFill/>
        <a:ln w="0">
          <a:noFill/>
        </a:ln>
      </c:spPr>
    </c:title>
    <c:autoTitleDeleted val="0"/>
    <c:plotArea>
      <c:layout/>
      <c:barChart>
        <c:barDir val="bar"/>
        <c:grouping val="clustered"/>
        <c:varyColors val="0"/>
        <c:ser>
          <c:idx val="0"/>
          <c:order val="0"/>
          <c:tx>
            <c:strRef>
              <c:f>Summary!$C$15</c:f>
              <c:strCache>
                <c:ptCount val="1"/>
                <c:pt idx="0">
                  <c:v>Contribution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Summary!$A$16:$A$20</c:f>
              <c:strCache>
                <c:ptCount val="5"/>
                <c:pt idx="0">
                  <c:v>Recommended (optimizer)</c:v>
                </c:pt>
                <c:pt idx="1">
                  <c:v>Revenue-per-space rule (max F&amp;B)</c:v>
                </c:pt>
                <c:pt idx="2">
                  <c:v>Equal space per category</c:v>
                </c:pt>
                <c:pt idx="3">
                  <c:v>Proportional to participation</c:v>
                </c:pt>
                <c:pt idx="4">
                  <c:v>Queueing minimums only (slack unused)</c:v>
                </c:pt>
              </c:strCache>
            </c:strRef>
          </c:cat>
          <c:val>
            <c:numRef>
              <c:f>Summary!$C$16:$C$20</c:f>
              <c:numCache>
                <c:formatCode>\$#,##0;"($"#,##0\);\-</c:formatCode>
                <c:ptCount val="5"/>
                <c:pt idx="0">
                  <c:v>155553.05712754704</c:v>
                </c:pt>
                <c:pt idx="1">
                  <c:v>130502.74391106554</c:v>
                </c:pt>
                <c:pt idx="2">
                  <c:v>136820.60722102277</c:v>
                </c:pt>
                <c:pt idx="3">
                  <c:v>146072.90264055179</c:v>
                </c:pt>
                <c:pt idx="4">
                  <c:v>137570.9505413305</c:v>
                </c:pt>
              </c:numCache>
            </c:numRef>
          </c:val>
          <c:extLst>
            <c:ext xmlns:c16="http://schemas.microsoft.com/office/drawing/2014/chart" uri="{C3380CC4-5D6E-409C-BE32-E72D297353CC}">
              <c16:uniqueId val="{00000000-CC60-4E2B-9F41-C04305B7A855}"/>
            </c:ext>
          </c:extLst>
        </c:ser>
        <c:dLbls>
          <c:showLegendKey val="0"/>
          <c:showVal val="0"/>
          <c:showCatName val="0"/>
          <c:showSerName val="0"/>
          <c:showPercent val="0"/>
          <c:showBubbleSize val="0"/>
        </c:dLbls>
        <c:gapWidth val="150"/>
        <c:axId val="82826676"/>
        <c:axId val="86540113"/>
      </c:barChart>
      <c:catAx>
        <c:axId val="8282667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540113"/>
        <c:crosses val="autoZero"/>
        <c:auto val="1"/>
        <c:lblAlgn val="ctr"/>
        <c:lblOffset val="100"/>
        <c:noMultiLvlLbl val="0"/>
      </c:catAx>
      <c:valAx>
        <c:axId val="86540113"/>
        <c:scaling>
          <c:orientation val="minMax"/>
        </c:scaling>
        <c:delete val="0"/>
        <c:axPos val="b"/>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8266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xdr:row>
      <xdr:rowOff>160920</xdr:rowOff>
    </xdr:from>
    <xdr:to>
      <xdr:col>14</xdr:col>
      <xdr:colOff>147600</xdr:colOff>
      <xdr:row>15</xdr:row>
      <xdr:rowOff>82800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17</xdr:row>
      <xdr:rowOff>50040</xdr:rowOff>
    </xdr:from>
    <xdr:to>
      <xdr:col>14</xdr:col>
      <xdr:colOff>147600</xdr:colOff>
      <xdr:row>31</xdr:row>
      <xdr:rowOff>82800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showGridLines="0" zoomScaleNormal="100" workbookViewId="0"/>
  </sheetViews>
  <sheetFormatPr defaultColWidth="8.7109375" defaultRowHeight="15" x14ac:dyDescent="0.25"/>
  <cols>
    <col min="1" max="1" width="26" customWidth="1"/>
    <col min="2" max="2" width="110" customWidth="1"/>
  </cols>
  <sheetData>
    <row r="1" spans="1:2" ht="18" x14ac:dyDescent="0.25">
      <c r="A1" s="2" t="s">
        <v>0</v>
      </c>
    </row>
    <row r="2" spans="1:2" x14ac:dyDescent="0.25">
      <c r="A2" s="3" t="s">
        <v>1</v>
      </c>
    </row>
    <row r="4" spans="1:2" ht="69.75" customHeight="1" x14ac:dyDescent="0.25">
      <c r="A4" s="4" t="s">
        <v>2</v>
      </c>
      <c r="B4" s="5" t="s">
        <v>3</v>
      </c>
    </row>
    <row r="5" spans="1:2" ht="69.75" customHeight="1" x14ac:dyDescent="0.25">
      <c r="A5" s="4" t="s">
        <v>4</v>
      </c>
      <c r="B5" s="5" t="s">
        <v>5</v>
      </c>
    </row>
    <row r="6" spans="1:2" ht="69.75" customHeight="1" x14ac:dyDescent="0.25">
      <c r="A6" s="4" t="s">
        <v>6</v>
      </c>
      <c r="B6" s="5" t="s">
        <v>7</v>
      </c>
    </row>
    <row r="7" spans="1:2" ht="69.75" customHeight="1" x14ac:dyDescent="0.25">
      <c r="A7" s="4" t="s">
        <v>8</v>
      </c>
      <c r="B7" s="5" t="s">
        <v>9</v>
      </c>
    </row>
    <row r="8" spans="1:2" ht="69.75" customHeight="1" x14ac:dyDescent="0.25">
      <c r="A8" s="4" t="s">
        <v>10</v>
      </c>
      <c r="B8" s="5" t="s">
        <v>11</v>
      </c>
    </row>
    <row r="9" spans="1:2" ht="69.75" customHeight="1" x14ac:dyDescent="0.25">
      <c r="A9" s="4" t="s">
        <v>12</v>
      </c>
      <c r="B9" s="5"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zoomScaleNormal="100" workbookViewId="0"/>
  </sheetViews>
  <sheetFormatPr defaultColWidth="8.7109375" defaultRowHeight="15" x14ac:dyDescent="0.25"/>
  <cols>
    <col min="1" max="1" width="44" customWidth="1"/>
    <col min="2" max="2" width="16" customWidth="1"/>
    <col min="3" max="3" width="18" customWidth="1"/>
    <col min="4" max="4" width="16" customWidth="1"/>
    <col min="5" max="5" width="22" customWidth="1"/>
  </cols>
  <sheetData>
    <row r="1" spans="1:6" ht="18" x14ac:dyDescent="0.25">
      <c r="A1" s="2" t="s">
        <v>14</v>
      </c>
    </row>
    <row r="2" spans="1:6" ht="30" customHeight="1" x14ac:dyDescent="0.25">
      <c r="A2" s="1" t="s">
        <v>15</v>
      </c>
      <c r="B2" s="1"/>
      <c r="C2" s="1"/>
      <c r="D2" s="1"/>
      <c r="E2" s="1"/>
      <c r="F2" s="1"/>
    </row>
    <row r="4" spans="1:6" ht="30" x14ac:dyDescent="0.25">
      <c r="A4" s="6" t="s">
        <v>16</v>
      </c>
      <c r="B4" s="6" t="s">
        <v>17</v>
      </c>
      <c r="C4" s="6" t="s">
        <v>18</v>
      </c>
      <c r="D4" s="6" t="s">
        <v>19</v>
      </c>
      <c r="E4" s="6" t="s">
        <v>20</v>
      </c>
    </row>
    <row r="5" spans="1:6" x14ac:dyDescent="0.25">
      <c r="A5" s="7" t="s">
        <v>21</v>
      </c>
      <c r="B5" s="8">
        <f>Recommendation!B8</f>
        <v>45</v>
      </c>
      <c r="C5" s="9">
        <f>Recommendation!D8</f>
        <v>45</v>
      </c>
      <c r="D5" s="10">
        <f>Recommendation!E8</f>
        <v>0.375</v>
      </c>
      <c r="E5" s="11">
        <f>Recommendation!H15</f>
        <v>101164.60252500001</v>
      </c>
    </row>
    <row r="6" spans="1:6" x14ac:dyDescent="0.25">
      <c r="A6" s="7" t="s">
        <v>22</v>
      </c>
      <c r="B6" s="8">
        <f>Recommendation!B9</f>
        <v>21</v>
      </c>
      <c r="C6" s="9">
        <f>Recommendation!D9</f>
        <v>21</v>
      </c>
      <c r="D6" s="10">
        <f>Recommendation!E9</f>
        <v>0.17499999999999999</v>
      </c>
      <c r="E6" s="11">
        <f>Recommendation!H16</f>
        <v>26402.050925014326</v>
      </c>
    </row>
    <row r="7" spans="1:6" x14ac:dyDescent="0.25">
      <c r="A7" s="7" t="s">
        <v>23</v>
      </c>
      <c r="B7" s="8">
        <f>Recommendation!B10</f>
        <v>27</v>
      </c>
      <c r="C7" s="9">
        <f>Recommendation!D10</f>
        <v>54</v>
      </c>
      <c r="D7" s="10">
        <f>Recommendation!E10</f>
        <v>0.45</v>
      </c>
      <c r="E7" s="11">
        <f>Recommendation!H17</f>
        <v>27986.4036775327</v>
      </c>
    </row>
    <row r="8" spans="1:6" x14ac:dyDescent="0.25">
      <c r="A8" s="4" t="s">
        <v>24</v>
      </c>
      <c r="B8" s="12">
        <f>SUM(B5:B7)</f>
        <v>93</v>
      </c>
      <c r="C8" s="12">
        <f>SUM(C5:C7)</f>
        <v>120</v>
      </c>
      <c r="D8" s="13">
        <f>SUM(D5:D7)</f>
        <v>1</v>
      </c>
      <c r="E8" s="14">
        <f>SUM(E5:E7)</f>
        <v>155553.05712754704</v>
      </c>
    </row>
    <row r="10" spans="1:6" ht="30" x14ac:dyDescent="0.25">
      <c r="A10" s="6" t="s">
        <v>25</v>
      </c>
      <c r="B10" s="6" t="s">
        <v>26</v>
      </c>
      <c r="C10" s="6" t="s">
        <v>22</v>
      </c>
      <c r="D10" s="6" t="s">
        <v>27</v>
      </c>
    </row>
    <row r="11" spans="1:6" x14ac:dyDescent="0.25">
      <c r="A11" s="15" t="s">
        <v>28</v>
      </c>
      <c r="B11" s="10">
        <f>Recommendation!C15</f>
        <v>0.81477581818181821</v>
      </c>
      <c r="C11" s="10">
        <f>Recommendation!C16</f>
        <v>0.52385021676615728</v>
      </c>
      <c r="D11" s="10">
        <f>Recommendation!C17</f>
        <v>0.78090507944940324</v>
      </c>
    </row>
    <row r="12" spans="1:6" x14ac:dyDescent="0.25">
      <c r="A12" s="15" t="s">
        <v>29</v>
      </c>
      <c r="B12" s="16">
        <f>Recommendation!D15</f>
        <v>4.798759742828504</v>
      </c>
      <c r="C12" s="16">
        <f>Recommendation!D16</f>
        <v>1.6502692069132636</v>
      </c>
      <c r="D12" s="16">
        <f>Recommendation!D17</f>
        <v>6.1101116290101798</v>
      </c>
    </row>
    <row r="13" spans="1:6" x14ac:dyDescent="0.25">
      <c r="A13" s="15" t="s">
        <v>30</v>
      </c>
      <c r="B13" s="9">
        <f>Demand!C13</f>
        <v>41</v>
      </c>
      <c r="C13" s="9">
        <f>Demand!C22</f>
        <v>14</v>
      </c>
      <c r="D13" s="9">
        <f>Demand!C31</f>
        <v>23</v>
      </c>
    </row>
    <row r="15" spans="1:6" x14ac:dyDescent="0.25">
      <c r="A15" s="6" t="s">
        <v>31</v>
      </c>
      <c r="B15" s="6" t="s">
        <v>32</v>
      </c>
      <c r="C15" s="6" t="s">
        <v>33</v>
      </c>
      <c r="D15" s="6" t="s">
        <v>34</v>
      </c>
      <c r="E15" s="6" t="s">
        <v>35</v>
      </c>
    </row>
    <row r="16" spans="1:6" x14ac:dyDescent="0.25">
      <c r="A16" s="17" t="str">
        <f>Recommendation!A25</f>
        <v>Recommended (optimizer)</v>
      </c>
      <c r="B16" s="17" t="str">
        <f>Recommendation!B25&amp;" / "&amp;Recommendation!C25&amp;" / "&amp;Recommendation!D25</f>
        <v>45 / 21 / 27</v>
      </c>
      <c r="C16" s="11">
        <f>Recommendation!K25</f>
        <v>155553.05712754704</v>
      </c>
      <c r="D16" s="16">
        <f>Recommendation!I25</f>
        <v>6.1101116290101798</v>
      </c>
      <c r="E16" s="17" t="str">
        <f>Recommendation!L25</f>
        <v>Yes</v>
      </c>
    </row>
    <row r="17" spans="1:5" x14ac:dyDescent="0.25">
      <c r="A17" s="17" t="str">
        <f>Recommendation!A26</f>
        <v>Revenue-per-space rule (max F&amp;B)</v>
      </c>
      <c r="B17" s="17" t="str">
        <f>Recommendation!B26&amp;" / "&amp;Recommendation!C26&amp;" / "&amp;Recommendation!D26</f>
        <v>60 / 36 / 12</v>
      </c>
      <c r="C17" s="11">
        <f>Recommendation!K26</f>
        <v>130502.74391106554</v>
      </c>
      <c r="D17" s="16">
        <f>Recommendation!I26</f>
        <v>999</v>
      </c>
      <c r="E17" s="17" t="str">
        <f>Recommendation!L26</f>
        <v>No</v>
      </c>
    </row>
    <row r="18" spans="1:5" x14ac:dyDescent="0.25">
      <c r="A18" s="17" t="str">
        <f>Recommendation!A27</f>
        <v>Equal space per category</v>
      </c>
      <c r="B18" s="17" t="str">
        <f>Recommendation!B27&amp;" / "&amp;Recommendation!C27&amp;" / "&amp;Recommendation!D27</f>
        <v>40 / 40 / 20</v>
      </c>
      <c r="C18" s="11">
        <f>Recommendation!K27</f>
        <v>136820.60722102277</v>
      </c>
      <c r="D18" s="16">
        <f>Recommendation!I27</f>
        <v>45.195896922691851</v>
      </c>
      <c r="E18" s="17" t="str">
        <f>Recommendation!L27</f>
        <v>No</v>
      </c>
    </row>
    <row r="19" spans="1:5" x14ac:dyDescent="0.25">
      <c r="A19" s="17" t="str">
        <f>Recommendation!A28</f>
        <v>Proportional to participation</v>
      </c>
      <c r="B19" s="17" t="str">
        <f>Recommendation!B28&amp;" / "&amp;Recommendation!C28&amp;" / "&amp;Recommendation!D28</f>
        <v>52 / 22 / 23</v>
      </c>
      <c r="C19" s="11">
        <f>Recommendation!K28</f>
        <v>146072.90264055179</v>
      </c>
      <c r="D19" s="16">
        <f>Recommendation!I28</f>
        <v>11.854746377182334</v>
      </c>
      <c r="E19" s="17" t="str">
        <f>Recommendation!L28</f>
        <v>No</v>
      </c>
    </row>
    <row r="20" spans="1:5" x14ac:dyDescent="0.25">
      <c r="A20" s="17" t="str">
        <f>Recommendation!A29</f>
        <v>Queueing minimums only (slack unused)</v>
      </c>
      <c r="B20" s="17" t="str">
        <f>Recommendation!B29&amp;" / "&amp;Recommendation!C29&amp;" / "&amp;Recommendation!D29</f>
        <v>41 / 14 / 23</v>
      </c>
      <c r="C20" s="11">
        <f>Recommendation!K29</f>
        <v>137570.9505413305</v>
      </c>
      <c r="D20" s="16">
        <f>Recommendation!I29</f>
        <v>11.854746377182334</v>
      </c>
      <c r="E20" s="17" t="str">
        <f>Recommendation!L29</f>
        <v>No</v>
      </c>
    </row>
    <row r="22" spans="1:5" x14ac:dyDescent="0.25">
      <c r="A22" s="6" t="s">
        <v>36</v>
      </c>
      <c r="B22" s="6" t="s">
        <v>37</v>
      </c>
      <c r="C22" s="6" t="s">
        <v>38</v>
      </c>
      <c r="D22" s="6" t="s">
        <v>39</v>
      </c>
    </row>
    <row r="23" spans="1:5" x14ac:dyDescent="0.25">
      <c r="A23" s="15" t="s">
        <v>40</v>
      </c>
      <c r="B23" s="10">
        <f>MAX(Recommendation!F34:H34)</f>
        <v>0.69491150000000002</v>
      </c>
      <c r="C23" s="10">
        <f>MAX(Recommendation!F35:H35)</f>
        <v>0.81477581818181821</v>
      </c>
      <c r="D23" s="10">
        <f>MAX(Recommendation!F36:H36)</f>
        <v>1.0175651363636367</v>
      </c>
    </row>
    <row r="24" spans="1:5" x14ac:dyDescent="0.25">
      <c r="A24" s="15" t="s">
        <v>33</v>
      </c>
      <c r="B24" s="11">
        <f>Recommendation!K34</f>
        <v>133491.45253628105</v>
      </c>
      <c r="C24" s="11">
        <f>Recommendation!K35</f>
        <v>155553.05712754704</v>
      </c>
      <c r="D24" s="11">
        <f>Recommendation!K36</f>
        <v>122347.96396244154</v>
      </c>
    </row>
  </sheetData>
  <mergeCells count="1">
    <mergeCell ref="A2:F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showGridLines="0" topLeftCell="A21" zoomScaleNormal="100" workbookViewId="0">
      <selection activeCell="B13" sqref="B13"/>
    </sheetView>
  </sheetViews>
  <sheetFormatPr defaultColWidth="8.7109375" defaultRowHeight="15" x14ac:dyDescent="0.25"/>
  <cols>
    <col min="1" max="1" width="52" customWidth="1"/>
    <col min="2" max="2" width="13" customWidth="1"/>
    <col min="3" max="5" width="12" customWidth="1"/>
    <col min="6" max="6" width="80" customWidth="1"/>
  </cols>
  <sheetData>
    <row r="1" spans="1:6" ht="18" x14ac:dyDescent="0.25">
      <c r="A1" s="2" t="s">
        <v>41</v>
      </c>
    </row>
    <row r="2" spans="1:6" ht="27.75" customHeight="1" x14ac:dyDescent="0.25">
      <c r="A2" s="1" t="s">
        <v>42</v>
      </c>
      <c r="B2" s="1"/>
      <c r="C2" s="1"/>
      <c r="D2" s="1"/>
      <c r="E2" s="1"/>
      <c r="F2" s="1"/>
    </row>
    <row r="4" spans="1:6" x14ac:dyDescent="0.25">
      <c r="A4" s="6" t="s">
        <v>43</v>
      </c>
      <c r="B4" s="6" t="s">
        <v>44</v>
      </c>
      <c r="C4" s="6" t="s">
        <v>45</v>
      </c>
      <c r="D4" s="6" t="s">
        <v>46</v>
      </c>
      <c r="E4" s="6" t="s">
        <v>47</v>
      </c>
      <c r="F4" s="6" t="s">
        <v>48</v>
      </c>
    </row>
    <row r="5" spans="1:6" x14ac:dyDescent="0.25">
      <c r="A5" s="18" t="s">
        <v>49</v>
      </c>
    </row>
    <row r="6" spans="1:6" ht="39.75" customHeight="1" x14ac:dyDescent="0.25">
      <c r="A6" s="19" t="s">
        <v>50</v>
      </c>
      <c r="B6" s="15" t="s">
        <v>51</v>
      </c>
      <c r="C6" s="20">
        <v>9218</v>
      </c>
      <c r="D6" s="20">
        <v>10808</v>
      </c>
      <c r="E6" s="20">
        <v>13498</v>
      </c>
      <c r="F6" s="5" t="s">
        <v>52</v>
      </c>
    </row>
    <row r="7" spans="1:6" ht="39.75" customHeight="1" x14ac:dyDescent="0.25">
      <c r="A7" s="5" t="s">
        <v>53</v>
      </c>
      <c r="B7" s="15" t="s">
        <v>54</v>
      </c>
      <c r="C7" s="15"/>
      <c r="D7" s="21">
        <v>10</v>
      </c>
      <c r="E7" s="15"/>
      <c r="F7" s="5" t="s">
        <v>55</v>
      </c>
    </row>
    <row r="8" spans="1:6" ht="39.75" customHeight="1" x14ac:dyDescent="0.25">
      <c r="A8" s="5" t="s">
        <v>56</v>
      </c>
      <c r="B8" s="15" t="s">
        <v>57</v>
      </c>
      <c r="C8" s="15"/>
      <c r="D8" s="21">
        <v>120</v>
      </c>
      <c r="E8" s="15"/>
      <c r="F8" s="5" t="s">
        <v>58</v>
      </c>
    </row>
    <row r="10" spans="1:6" x14ac:dyDescent="0.25">
      <c r="A10" s="18" t="s">
        <v>59</v>
      </c>
    </row>
    <row r="11" spans="1:6" ht="39.75" customHeight="1" x14ac:dyDescent="0.25">
      <c r="A11" s="5" t="s">
        <v>60</v>
      </c>
      <c r="B11" s="15" t="s">
        <v>61</v>
      </c>
      <c r="C11" s="22">
        <v>18</v>
      </c>
      <c r="D11" s="22">
        <v>21.5</v>
      </c>
      <c r="E11" s="22">
        <v>25</v>
      </c>
      <c r="F11" s="5" t="s">
        <v>62</v>
      </c>
    </row>
    <row r="12" spans="1:6" ht="39.75" customHeight="1" x14ac:dyDescent="0.25">
      <c r="A12" s="5" t="s">
        <v>63</v>
      </c>
      <c r="B12" s="15" t="s">
        <v>64</v>
      </c>
      <c r="C12" s="22">
        <v>12</v>
      </c>
      <c r="D12" s="22">
        <v>16</v>
      </c>
      <c r="E12" s="22">
        <v>20</v>
      </c>
      <c r="F12" s="5" t="s">
        <v>65</v>
      </c>
    </row>
    <row r="13" spans="1:6" ht="39.75" customHeight="1" x14ac:dyDescent="0.25">
      <c r="A13" s="5" t="s">
        <v>66</v>
      </c>
      <c r="B13" s="15" t="s">
        <v>67</v>
      </c>
      <c r="C13" s="22">
        <v>5</v>
      </c>
      <c r="D13" s="22">
        <v>8.5</v>
      </c>
      <c r="E13" s="22">
        <v>12</v>
      </c>
      <c r="F13" s="5" t="s">
        <v>68</v>
      </c>
    </row>
    <row r="14" spans="1:6" ht="39.75" customHeight="1" x14ac:dyDescent="0.25">
      <c r="A14" s="5" t="s">
        <v>69</v>
      </c>
      <c r="B14" s="15" t="s">
        <v>70</v>
      </c>
      <c r="C14" s="23">
        <v>0.7</v>
      </c>
      <c r="D14" s="23">
        <v>0.77500000000000002</v>
      </c>
      <c r="E14" s="23">
        <v>0.85</v>
      </c>
      <c r="F14" s="5" t="s">
        <v>71</v>
      </c>
    </row>
    <row r="15" spans="1:6" ht="39.75" customHeight="1" x14ac:dyDescent="0.25">
      <c r="A15" s="5" t="s">
        <v>72</v>
      </c>
      <c r="B15" s="15" t="s">
        <v>73</v>
      </c>
      <c r="C15" s="23">
        <v>0.25</v>
      </c>
      <c r="D15" s="23">
        <v>0.32500000000000001</v>
      </c>
      <c r="E15" s="23">
        <v>0.4</v>
      </c>
      <c r="F15" s="5" t="s">
        <v>74</v>
      </c>
    </row>
    <row r="16" spans="1:6" ht="39.75" customHeight="1" x14ac:dyDescent="0.25">
      <c r="A16" s="5" t="s">
        <v>75</v>
      </c>
      <c r="B16" s="15" t="s">
        <v>76</v>
      </c>
      <c r="C16" s="23">
        <v>0.3</v>
      </c>
      <c r="D16" s="23">
        <v>0.4</v>
      </c>
      <c r="E16" s="23">
        <v>0.5</v>
      </c>
      <c r="F16" s="5" t="s">
        <v>77</v>
      </c>
    </row>
    <row r="17" spans="1:6" ht="39.75" customHeight="1" x14ac:dyDescent="0.25">
      <c r="A17" s="19" t="s">
        <v>78</v>
      </c>
      <c r="B17" s="15" t="s">
        <v>79</v>
      </c>
      <c r="C17" s="24"/>
      <c r="D17" s="25">
        <v>0.65</v>
      </c>
      <c r="E17" s="24"/>
      <c r="F17" s="5" t="s">
        <v>80</v>
      </c>
    </row>
    <row r="18" spans="1:6" ht="39.75" customHeight="1" x14ac:dyDescent="0.25">
      <c r="A18" s="19" t="s">
        <v>81</v>
      </c>
      <c r="B18" s="15" t="s">
        <v>82</v>
      </c>
      <c r="C18" s="24"/>
      <c r="D18" s="25">
        <v>0.55000000000000004</v>
      </c>
      <c r="E18" s="24"/>
      <c r="F18" s="5" t="s">
        <v>83</v>
      </c>
    </row>
    <row r="19" spans="1:6" ht="39.75" customHeight="1" x14ac:dyDescent="0.25">
      <c r="A19" s="19" t="s">
        <v>84</v>
      </c>
      <c r="B19" s="15" t="s">
        <v>85</v>
      </c>
      <c r="C19" s="24"/>
      <c r="D19" s="25">
        <v>0.4</v>
      </c>
      <c r="E19" s="24"/>
      <c r="F19" s="5" t="s">
        <v>86</v>
      </c>
    </row>
    <row r="20" spans="1:6" ht="39.75" customHeight="1" x14ac:dyDescent="0.25">
      <c r="A20" s="5" t="s">
        <v>87</v>
      </c>
      <c r="B20" s="15" t="s">
        <v>88</v>
      </c>
      <c r="C20" s="15"/>
      <c r="D20" s="21">
        <v>1</v>
      </c>
      <c r="E20" s="15"/>
      <c r="F20" s="5" t="s">
        <v>58</v>
      </c>
    </row>
    <row r="21" spans="1:6" ht="39.75" customHeight="1" x14ac:dyDescent="0.25">
      <c r="A21" s="5" t="s">
        <v>89</v>
      </c>
      <c r="B21" s="15" t="s">
        <v>90</v>
      </c>
      <c r="C21" s="15"/>
      <c r="D21" s="21">
        <v>1</v>
      </c>
      <c r="E21" s="15"/>
      <c r="F21" s="5" t="s">
        <v>58</v>
      </c>
    </row>
    <row r="22" spans="1:6" ht="39.75" customHeight="1" x14ac:dyDescent="0.25">
      <c r="A22" s="5" t="s">
        <v>91</v>
      </c>
      <c r="B22" s="15" t="s">
        <v>92</v>
      </c>
      <c r="C22" s="15"/>
      <c r="D22" s="21">
        <v>2</v>
      </c>
      <c r="E22" s="15"/>
      <c r="F22" s="5" t="s">
        <v>93</v>
      </c>
    </row>
    <row r="23" spans="1:6" ht="39.75" customHeight="1" x14ac:dyDescent="0.25">
      <c r="A23" s="5" t="s">
        <v>94</v>
      </c>
      <c r="B23" s="15" t="s">
        <v>95</v>
      </c>
      <c r="C23" s="15"/>
      <c r="D23" s="23">
        <v>0</v>
      </c>
      <c r="E23" s="15"/>
      <c r="F23" s="5" t="s">
        <v>96</v>
      </c>
    </row>
    <row r="25" spans="1:6" x14ac:dyDescent="0.25">
      <c r="A25" s="18" t="s">
        <v>97</v>
      </c>
    </row>
    <row r="26" spans="1:6" ht="39.75" customHeight="1" x14ac:dyDescent="0.25">
      <c r="A26" s="5" t="s">
        <v>98</v>
      </c>
      <c r="B26" s="15" t="s">
        <v>99</v>
      </c>
      <c r="C26" s="15"/>
      <c r="D26" s="26">
        <v>1.5</v>
      </c>
      <c r="E26" s="15"/>
      <c r="F26" s="5" t="s">
        <v>100</v>
      </c>
    </row>
    <row r="27" spans="1:6" ht="39.75" customHeight="1" x14ac:dyDescent="0.25">
      <c r="A27" s="5" t="s">
        <v>101</v>
      </c>
      <c r="B27" s="15" t="s">
        <v>102</v>
      </c>
      <c r="C27" s="15"/>
      <c r="D27" s="26">
        <v>1.1000000000000001</v>
      </c>
      <c r="E27" s="15"/>
      <c r="F27" s="5" t="s">
        <v>103</v>
      </c>
    </row>
    <row r="28" spans="1:6" ht="39.75" customHeight="1" x14ac:dyDescent="0.25">
      <c r="A28" s="5" t="s">
        <v>104</v>
      </c>
      <c r="B28" s="15" t="s">
        <v>105</v>
      </c>
      <c r="C28" s="15"/>
      <c r="D28" s="26">
        <v>1.2</v>
      </c>
      <c r="E28" s="15"/>
      <c r="F28" s="5" t="s">
        <v>106</v>
      </c>
    </row>
    <row r="29" spans="1:6" ht="39.75" customHeight="1" x14ac:dyDescent="0.25">
      <c r="A29" s="19" t="s">
        <v>107</v>
      </c>
      <c r="B29" s="15" t="s">
        <v>108</v>
      </c>
      <c r="C29" s="24"/>
      <c r="D29" s="25">
        <v>0.15</v>
      </c>
      <c r="E29" s="24"/>
      <c r="F29" s="5" t="s">
        <v>109</v>
      </c>
    </row>
    <row r="30" spans="1:6" ht="39.75" customHeight="1" x14ac:dyDescent="0.25">
      <c r="A30" s="5" t="s">
        <v>110</v>
      </c>
      <c r="B30" s="15" t="s">
        <v>111</v>
      </c>
      <c r="C30" s="15"/>
      <c r="D30" s="23">
        <v>0.12</v>
      </c>
      <c r="E30" s="15"/>
      <c r="F30" s="5" t="s">
        <v>112</v>
      </c>
    </row>
    <row r="31" spans="1:6" ht="39.75" customHeight="1" x14ac:dyDescent="0.25">
      <c r="A31" s="5" t="s">
        <v>113</v>
      </c>
      <c r="B31" s="15" t="s">
        <v>114</v>
      </c>
      <c r="C31" s="15"/>
      <c r="D31" s="23">
        <v>0.13</v>
      </c>
      <c r="E31" s="15"/>
      <c r="F31" s="5" t="s">
        <v>115</v>
      </c>
    </row>
    <row r="32" spans="1:6" ht="39.75" customHeight="1" x14ac:dyDescent="0.25">
      <c r="A32" s="19" t="s">
        <v>116</v>
      </c>
      <c r="B32" s="15" t="s">
        <v>117</v>
      </c>
      <c r="C32" s="24"/>
      <c r="D32" s="20">
        <v>55</v>
      </c>
      <c r="E32" s="24"/>
      <c r="F32" s="5" t="s">
        <v>118</v>
      </c>
    </row>
    <row r="33" spans="1:6" ht="39.75" customHeight="1" x14ac:dyDescent="0.25">
      <c r="A33" s="5" t="s">
        <v>119</v>
      </c>
      <c r="B33" s="15" t="s">
        <v>120</v>
      </c>
      <c r="C33" s="15"/>
      <c r="D33" s="27">
        <v>40</v>
      </c>
      <c r="E33" s="15"/>
      <c r="F33" s="5" t="s">
        <v>121</v>
      </c>
    </row>
    <row r="34" spans="1:6" ht="39.75" customHeight="1" x14ac:dyDescent="0.25">
      <c r="A34" s="5" t="s">
        <v>122</v>
      </c>
      <c r="B34" s="15" t="s">
        <v>123</v>
      </c>
      <c r="C34" s="15"/>
      <c r="D34" s="27">
        <v>35</v>
      </c>
      <c r="E34" s="15"/>
      <c r="F34" s="5" t="s">
        <v>124</v>
      </c>
    </row>
    <row r="35" spans="1:6" ht="39.75" customHeight="1" x14ac:dyDescent="0.25">
      <c r="A35" s="19" t="s">
        <v>125</v>
      </c>
      <c r="B35" s="15" t="s">
        <v>126</v>
      </c>
      <c r="C35" s="24"/>
      <c r="D35" s="25">
        <v>0.85</v>
      </c>
      <c r="E35" s="24"/>
      <c r="F35" s="5" t="s">
        <v>127</v>
      </c>
    </row>
    <row r="36" spans="1:6" ht="39.75" customHeight="1" x14ac:dyDescent="0.25">
      <c r="A36" s="5" t="s">
        <v>128</v>
      </c>
      <c r="B36" s="15" t="s">
        <v>129</v>
      </c>
      <c r="C36" s="15"/>
      <c r="D36" s="28">
        <v>5</v>
      </c>
      <c r="E36" s="15"/>
      <c r="F36" s="5" t="s">
        <v>130</v>
      </c>
    </row>
    <row r="37" spans="1:6" ht="39.75" customHeight="1" x14ac:dyDescent="0.25">
      <c r="A37" s="5" t="s">
        <v>131</v>
      </c>
      <c r="B37" s="15" t="s">
        <v>132</v>
      </c>
      <c r="C37" s="15"/>
      <c r="D37" s="28">
        <v>20</v>
      </c>
      <c r="E37" s="15"/>
      <c r="F37" s="5" t="s">
        <v>133</v>
      </c>
    </row>
    <row r="38" spans="1:6" ht="39.75" customHeight="1" x14ac:dyDescent="0.25">
      <c r="A38" s="5" t="s">
        <v>134</v>
      </c>
      <c r="B38" s="15" t="s">
        <v>135</v>
      </c>
      <c r="C38" s="15"/>
      <c r="D38" s="23">
        <v>0.45</v>
      </c>
      <c r="E38" s="15"/>
      <c r="F38" s="5" t="s">
        <v>136</v>
      </c>
    </row>
    <row r="40" spans="1:6" x14ac:dyDescent="0.25">
      <c r="A40" s="18" t="s">
        <v>137</v>
      </c>
    </row>
    <row r="41" spans="1:6" ht="39.75" customHeight="1" x14ac:dyDescent="0.25">
      <c r="A41" s="19" t="s">
        <v>138</v>
      </c>
      <c r="B41" s="15" t="s">
        <v>139</v>
      </c>
      <c r="C41" s="24"/>
      <c r="D41" s="29">
        <v>0.01</v>
      </c>
      <c r="E41" s="24"/>
      <c r="F41" s="5" t="s">
        <v>140</v>
      </c>
    </row>
    <row r="42" spans="1:6" ht="39.75" customHeight="1" x14ac:dyDescent="0.25">
      <c r="A42" s="5" t="s">
        <v>141</v>
      </c>
      <c r="B42" s="15" t="s">
        <v>142</v>
      </c>
      <c r="C42" s="15"/>
      <c r="D42" s="27">
        <v>20</v>
      </c>
      <c r="E42" s="15"/>
      <c r="F42" s="5" t="s">
        <v>143</v>
      </c>
    </row>
    <row r="43" spans="1:6" ht="39.75" customHeight="1" x14ac:dyDescent="0.25">
      <c r="A43" s="5" t="s">
        <v>144</v>
      </c>
      <c r="B43" s="15" t="s">
        <v>145</v>
      </c>
      <c r="C43" s="15"/>
      <c r="D43" s="27">
        <v>25</v>
      </c>
      <c r="E43" s="15"/>
      <c r="F43" s="5" t="s">
        <v>146</v>
      </c>
    </row>
    <row r="44" spans="1:6" ht="39.75" customHeight="1" x14ac:dyDescent="0.25">
      <c r="A44" s="5" t="s">
        <v>147</v>
      </c>
      <c r="B44" s="15" t="s">
        <v>148</v>
      </c>
      <c r="C44" s="15"/>
      <c r="D44" s="26">
        <v>0.3</v>
      </c>
      <c r="E44" s="15"/>
      <c r="F44" s="5" t="s">
        <v>149</v>
      </c>
    </row>
    <row r="46" spans="1:6" x14ac:dyDescent="0.25">
      <c r="A46" s="18" t="s">
        <v>150</v>
      </c>
    </row>
    <row r="47" spans="1:6" ht="39.75" customHeight="1" x14ac:dyDescent="0.25">
      <c r="A47" s="5" t="s">
        <v>151</v>
      </c>
      <c r="B47" s="15" t="s">
        <v>152</v>
      </c>
      <c r="C47" s="15"/>
      <c r="D47" s="23">
        <v>0.5</v>
      </c>
      <c r="E47" s="15"/>
      <c r="F47" s="5" t="s">
        <v>153</v>
      </c>
    </row>
    <row r="48" spans="1:6" ht="39.75" customHeight="1" x14ac:dyDescent="0.25">
      <c r="A48" s="5" t="s">
        <v>154</v>
      </c>
      <c r="B48" s="15" t="s">
        <v>155</v>
      </c>
      <c r="C48" s="15"/>
      <c r="D48" s="23">
        <v>0.15</v>
      </c>
      <c r="E48" s="15"/>
      <c r="F48" s="5" t="s">
        <v>156</v>
      </c>
    </row>
    <row r="49" spans="1:6" ht="39.75" customHeight="1" x14ac:dyDescent="0.25">
      <c r="A49" s="5" t="s">
        <v>157</v>
      </c>
      <c r="B49" s="15" t="s">
        <v>158</v>
      </c>
      <c r="C49" s="15"/>
      <c r="D49" s="23">
        <v>0.2</v>
      </c>
      <c r="E49" s="15"/>
      <c r="F49" s="5" t="s">
        <v>159</v>
      </c>
    </row>
    <row r="50" spans="1:6" ht="39.75" customHeight="1" x14ac:dyDescent="0.25">
      <c r="A50" s="19" t="s">
        <v>160</v>
      </c>
      <c r="B50" s="15" t="s">
        <v>161</v>
      </c>
      <c r="C50" s="24"/>
      <c r="D50" s="25">
        <v>0.45</v>
      </c>
      <c r="E50" s="24"/>
      <c r="F50" s="5" t="s">
        <v>162</v>
      </c>
    </row>
  </sheetData>
  <mergeCells count="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1"/>
  <sheetViews>
    <sheetView showGridLines="0" zoomScaleNormal="100" workbookViewId="0">
      <selection activeCell="O13" sqref="O13"/>
    </sheetView>
  </sheetViews>
  <sheetFormatPr defaultColWidth="8.7109375" defaultRowHeight="15" x14ac:dyDescent="0.25"/>
  <cols>
    <col min="1" max="1" width="44" customWidth="1"/>
    <col min="2" max="4" width="14" customWidth="1"/>
    <col min="5" max="5" width="60" customWidth="1"/>
  </cols>
  <sheetData>
    <row r="1" spans="1:5" ht="18" x14ac:dyDescent="0.25">
      <c r="A1" s="2" t="s">
        <v>163</v>
      </c>
    </row>
    <row r="3" spans="1:5" x14ac:dyDescent="0.25">
      <c r="A3" s="6" t="s">
        <v>164</v>
      </c>
      <c r="B3" s="6" t="s">
        <v>45</v>
      </c>
      <c r="C3" s="6" t="s">
        <v>46</v>
      </c>
      <c r="D3" s="6" t="s">
        <v>47</v>
      </c>
      <c r="E3" s="6" t="s">
        <v>165</v>
      </c>
    </row>
    <row r="4" spans="1:5" ht="27.75" customHeight="1" x14ac:dyDescent="0.25">
      <c r="A4" s="15" t="s">
        <v>166</v>
      </c>
      <c r="B4" s="9">
        <f>Inputs!$C$6</f>
        <v>9218</v>
      </c>
      <c r="C4" s="9">
        <f>Inputs!$D$6</f>
        <v>10808</v>
      </c>
      <c r="D4" s="9">
        <f>Inputs!$E$6</f>
        <v>13498</v>
      </c>
      <c r="E4" s="5" t="s">
        <v>167</v>
      </c>
    </row>
    <row r="5" spans="1:5" ht="27.75" customHeight="1" x14ac:dyDescent="0.25">
      <c r="A5" s="15" t="s">
        <v>168</v>
      </c>
      <c r="B5" s="9">
        <f>Inputs!$D$7</f>
        <v>10</v>
      </c>
      <c r="C5" s="9">
        <f>Inputs!$D$7</f>
        <v>10</v>
      </c>
      <c r="D5" s="9">
        <f>Inputs!$D$7</f>
        <v>10</v>
      </c>
      <c r="E5" s="5"/>
    </row>
    <row r="7" spans="1:5" x14ac:dyDescent="0.25">
      <c r="A7" s="18" t="s">
        <v>21</v>
      </c>
    </row>
    <row r="8" spans="1:5" ht="27.75" customHeight="1" x14ac:dyDescent="0.25">
      <c r="A8" s="15" t="s">
        <v>169</v>
      </c>
      <c r="B8" s="10">
        <f>Inputs!$D$14</f>
        <v>0.77500000000000002</v>
      </c>
      <c r="C8" s="10">
        <f>Inputs!$D$14</f>
        <v>0.77500000000000002</v>
      </c>
      <c r="D8" s="10">
        <f>Inputs!$D$14</f>
        <v>0.77500000000000002</v>
      </c>
      <c r="E8" s="5" t="s">
        <v>170</v>
      </c>
    </row>
    <row r="9" spans="1:5" ht="27.75" customHeight="1" x14ac:dyDescent="0.25">
      <c r="A9" s="15" t="s">
        <v>171</v>
      </c>
      <c r="B9" s="30">
        <f>Inputs!$D$26</f>
        <v>1.5</v>
      </c>
      <c r="C9" s="30">
        <f>Inputs!$D$26</f>
        <v>1.5</v>
      </c>
      <c r="D9" s="30">
        <f>Inputs!$D$26</f>
        <v>1.5</v>
      </c>
      <c r="E9" s="5" t="s">
        <v>172</v>
      </c>
    </row>
    <row r="10" spans="1:5" ht="27.75" customHeight="1" x14ac:dyDescent="0.25">
      <c r="A10" s="15" t="s">
        <v>173</v>
      </c>
      <c r="B10" s="31">
        <f>B$4*B8*B9</f>
        <v>10715.924999999999</v>
      </c>
      <c r="C10" s="31">
        <f>C$4*C8*C9</f>
        <v>12564.300000000001</v>
      </c>
      <c r="D10" s="31">
        <f>D$4*D8*D9</f>
        <v>15691.425000000001</v>
      </c>
      <c r="E10" s="5" t="s">
        <v>174</v>
      </c>
    </row>
    <row r="11" spans="1:5" ht="27.75" customHeight="1" x14ac:dyDescent="0.25">
      <c r="A11" s="15" t="s">
        <v>175</v>
      </c>
      <c r="B11" s="9">
        <f>B10*Inputs!$D$29</f>
        <v>1607.3887499999998</v>
      </c>
      <c r="C11" s="9">
        <f>C10*Inputs!$D$29</f>
        <v>1884.645</v>
      </c>
      <c r="D11" s="9">
        <f>D10*Inputs!$D$29</f>
        <v>2353.7137499999999</v>
      </c>
      <c r="E11" s="5" t="s">
        <v>176</v>
      </c>
    </row>
    <row r="12" spans="1:5" ht="27.75" customHeight="1" x14ac:dyDescent="0.25">
      <c r="A12" s="15" t="s">
        <v>177</v>
      </c>
      <c r="B12" s="9">
        <f>Inputs!$D$32</f>
        <v>55</v>
      </c>
      <c r="C12" s="9">
        <f>Inputs!$D$32</f>
        <v>55</v>
      </c>
      <c r="D12" s="9">
        <f>Inputs!$D$32</f>
        <v>55</v>
      </c>
      <c r="E12" s="5" t="s">
        <v>172</v>
      </c>
    </row>
    <row r="13" spans="1:5" ht="27.75" customHeight="1" x14ac:dyDescent="0.25">
      <c r="A13" s="7" t="s">
        <v>178</v>
      </c>
      <c r="B13" s="8">
        <f>ROUNDUP(B11/(B12*Inputs!$D$35),0)</f>
        <v>35</v>
      </c>
      <c r="C13" s="8">
        <f>ROUNDUP(C11/(C12*Inputs!$D$35),0)</f>
        <v>41</v>
      </c>
      <c r="D13" s="8">
        <f>ROUNDUP(D11/(D12*Inputs!$D$35),0)</f>
        <v>51</v>
      </c>
      <c r="E13" s="5" t="s">
        <v>179</v>
      </c>
    </row>
    <row r="14" spans="1:5" ht="27.75" customHeight="1" x14ac:dyDescent="0.25">
      <c r="A14" s="15" t="s">
        <v>180</v>
      </c>
      <c r="B14" s="9">
        <f>B13*Inputs!$D$20</f>
        <v>35</v>
      </c>
      <c r="C14" s="9">
        <f>C13*Inputs!$D$20</f>
        <v>41</v>
      </c>
      <c r="D14" s="9">
        <f>D13*Inputs!$D$20</f>
        <v>51</v>
      </c>
      <c r="E14" s="5" t="s">
        <v>181</v>
      </c>
    </row>
    <row r="16" spans="1:5" x14ac:dyDescent="0.25">
      <c r="A16" s="18" t="s">
        <v>22</v>
      </c>
    </row>
    <row r="17" spans="1:5" ht="27.75" customHeight="1" x14ac:dyDescent="0.25">
      <c r="A17" s="15" t="s">
        <v>169</v>
      </c>
      <c r="B17" s="10">
        <f>Inputs!$D$15</f>
        <v>0.32500000000000001</v>
      </c>
      <c r="C17" s="10">
        <f>Inputs!$D$15</f>
        <v>0.32500000000000001</v>
      </c>
      <c r="D17" s="10">
        <f>Inputs!$D$15</f>
        <v>0.32500000000000001</v>
      </c>
      <c r="E17" s="5" t="s">
        <v>170</v>
      </c>
    </row>
    <row r="18" spans="1:5" ht="27.75" customHeight="1" x14ac:dyDescent="0.25">
      <c r="A18" s="15" t="s">
        <v>171</v>
      </c>
      <c r="B18" s="30">
        <f>Inputs!$D$27</f>
        <v>1.1000000000000001</v>
      </c>
      <c r="C18" s="30">
        <f>Inputs!$D$27</f>
        <v>1.1000000000000001</v>
      </c>
      <c r="D18" s="30">
        <f>Inputs!$D$27</f>
        <v>1.1000000000000001</v>
      </c>
      <c r="E18" s="5" t="s">
        <v>172</v>
      </c>
    </row>
    <row r="19" spans="1:5" ht="27.75" customHeight="1" x14ac:dyDescent="0.25">
      <c r="A19" s="15" t="s">
        <v>173</v>
      </c>
      <c r="B19" s="31">
        <f>B$4*B17*B18</f>
        <v>3295.4349999999999</v>
      </c>
      <c r="C19" s="31">
        <f>C$4*C17*C18</f>
        <v>3863.86</v>
      </c>
      <c r="D19" s="31">
        <f>D$4*D17*D18</f>
        <v>4825.5350000000008</v>
      </c>
      <c r="E19" s="5" t="s">
        <v>174</v>
      </c>
    </row>
    <row r="20" spans="1:5" ht="27.75" customHeight="1" x14ac:dyDescent="0.25">
      <c r="A20" s="15" t="s">
        <v>175</v>
      </c>
      <c r="B20" s="9">
        <f>B19*Inputs!$D$30</f>
        <v>395.4522</v>
      </c>
      <c r="C20" s="9">
        <f>C19*Inputs!$D$30</f>
        <v>463.66320000000002</v>
      </c>
      <c r="D20" s="9">
        <f>D19*Inputs!$D$30</f>
        <v>579.06420000000003</v>
      </c>
      <c r="E20" s="5" t="s">
        <v>176</v>
      </c>
    </row>
    <row r="21" spans="1:5" ht="27.75" customHeight="1" x14ac:dyDescent="0.25">
      <c r="A21" s="15" t="s">
        <v>177</v>
      </c>
      <c r="B21" s="9">
        <f>Inputs!$D$33</f>
        <v>40</v>
      </c>
      <c r="C21" s="9">
        <f>Inputs!$D$33</f>
        <v>40</v>
      </c>
      <c r="D21" s="9">
        <f>Inputs!$D$33</f>
        <v>40</v>
      </c>
      <c r="E21" s="5" t="s">
        <v>172</v>
      </c>
    </row>
    <row r="22" spans="1:5" ht="27.75" customHeight="1" x14ac:dyDescent="0.25">
      <c r="A22" s="7" t="s">
        <v>178</v>
      </c>
      <c r="B22" s="8">
        <f>ROUNDUP(B20/(B21*Inputs!$D$35),0)</f>
        <v>12</v>
      </c>
      <c r="C22" s="8">
        <f>ROUNDUP(C20/(C21*Inputs!$D$35),0)</f>
        <v>14</v>
      </c>
      <c r="D22" s="8">
        <f>ROUNDUP(D20/(D21*Inputs!$D$35),0)</f>
        <v>18</v>
      </c>
      <c r="E22" s="5" t="s">
        <v>179</v>
      </c>
    </row>
    <row r="23" spans="1:5" ht="27.75" customHeight="1" x14ac:dyDescent="0.25">
      <c r="A23" s="15" t="s">
        <v>180</v>
      </c>
      <c r="B23" s="9">
        <f>B22*Inputs!$D$21</f>
        <v>12</v>
      </c>
      <c r="C23" s="9">
        <f>C22*Inputs!$D$21</f>
        <v>14</v>
      </c>
      <c r="D23" s="9">
        <f>D22*Inputs!$D$21</f>
        <v>18</v>
      </c>
      <c r="E23" s="5" t="s">
        <v>181</v>
      </c>
    </row>
    <row r="25" spans="1:5" x14ac:dyDescent="0.25">
      <c r="A25" s="18" t="s">
        <v>23</v>
      </c>
    </row>
    <row r="26" spans="1:5" ht="27.75" customHeight="1" x14ac:dyDescent="0.25">
      <c r="A26" s="15" t="s">
        <v>169</v>
      </c>
      <c r="B26" s="10">
        <f>Inputs!$D$16</f>
        <v>0.4</v>
      </c>
      <c r="C26" s="10">
        <f>Inputs!$D$16</f>
        <v>0.4</v>
      </c>
      <c r="D26" s="10">
        <f>Inputs!$D$16</f>
        <v>0.4</v>
      </c>
      <c r="E26" s="5" t="s">
        <v>170</v>
      </c>
    </row>
    <row r="27" spans="1:5" ht="27.75" customHeight="1" x14ac:dyDescent="0.25">
      <c r="A27" s="15" t="s">
        <v>171</v>
      </c>
      <c r="B27" s="30">
        <f>Inputs!$D$28</f>
        <v>1.2</v>
      </c>
      <c r="C27" s="30">
        <f>Inputs!$D$28</f>
        <v>1.2</v>
      </c>
      <c r="D27" s="30">
        <f>Inputs!$D$28</f>
        <v>1.2</v>
      </c>
      <c r="E27" s="5" t="s">
        <v>172</v>
      </c>
    </row>
    <row r="28" spans="1:5" ht="27.75" customHeight="1" x14ac:dyDescent="0.25">
      <c r="A28" s="15" t="s">
        <v>173</v>
      </c>
      <c r="B28" s="31">
        <f>B$4*B26*B27</f>
        <v>4424.6400000000003</v>
      </c>
      <c r="C28" s="31">
        <f>C$4*C26*C27</f>
        <v>5187.8399999999992</v>
      </c>
      <c r="D28" s="31">
        <f>D$4*D26*D27</f>
        <v>6479.0400000000009</v>
      </c>
      <c r="E28" s="5" t="s">
        <v>174</v>
      </c>
    </row>
    <row r="29" spans="1:5" ht="27.75" customHeight="1" x14ac:dyDescent="0.25">
      <c r="A29" s="15" t="s">
        <v>175</v>
      </c>
      <c r="B29" s="9">
        <f>B28*Inputs!$D$31</f>
        <v>575.20320000000004</v>
      </c>
      <c r="C29" s="9">
        <f>C28*Inputs!$D$31</f>
        <v>674.41919999999993</v>
      </c>
      <c r="D29" s="9">
        <f>D28*Inputs!$D$31</f>
        <v>842.27520000000015</v>
      </c>
      <c r="E29" s="5" t="s">
        <v>176</v>
      </c>
    </row>
    <row r="30" spans="1:5" ht="27.75" customHeight="1" x14ac:dyDescent="0.25">
      <c r="A30" s="15" t="s">
        <v>177</v>
      </c>
      <c r="B30" s="9">
        <f>Inputs!$D$34</f>
        <v>35</v>
      </c>
      <c r="C30" s="9">
        <f>Inputs!$D$34</f>
        <v>35</v>
      </c>
      <c r="D30" s="9">
        <f>Inputs!$D$34</f>
        <v>35</v>
      </c>
      <c r="E30" s="5" t="s">
        <v>172</v>
      </c>
    </row>
    <row r="31" spans="1:5" ht="27.75" customHeight="1" x14ac:dyDescent="0.25">
      <c r="A31" s="7" t="s">
        <v>178</v>
      </c>
      <c r="B31" s="8">
        <f>ROUNDUP(B29/(B30*Inputs!$D$35),0)</f>
        <v>20</v>
      </c>
      <c r="C31" s="8">
        <f>ROUNDUP(C29/(C30*Inputs!$D$35),0)</f>
        <v>23</v>
      </c>
      <c r="D31" s="8">
        <f>ROUNDUP(D29/(D30*Inputs!$D$35),0)</f>
        <v>29</v>
      </c>
      <c r="E31" s="5" t="s">
        <v>179</v>
      </c>
    </row>
    <row r="32" spans="1:5" ht="27.75" customHeight="1" x14ac:dyDescent="0.25">
      <c r="A32" s="15" t="s">
        <v>180</v>
      </c>
      <c r="B32" s="9">
        <f>B31*Inputs!$D$22</f>
        <v>40</v>
      </c>
      <c r="C32" s="9">
        <f>C31*Inputs!$D$22</f>
        <v>46</v>
      </c>
      <c r="D32" s="9">
        <f>D31*Inputs!$D$22</f>
        <v>58</v>
      </c>
      <c r="E32" s="5" t="s">
        <v>181</v>
      </c>
    </row>
    <row r="34" spans="1:5" ht="39.75" customHeight="1" x14ac:dyDescent="0.25">
      <c r="A34" s="7" t="s">
        <v>182</v>
      </c>
      <c r="B34" s="32">
        <f>B14+B23+B32</f>
        <v>87</v>
      </c>
      <c r="C34" s="32">
        <f>C14+C23+C32</f>
        <v>101</v>
      </c>
      <c r="D34" s="32">
        <f>D14+D23+D32</f>
        <v>127</v>
      </c>
      <c r="E34" s="5" t="s">
        <v>183</v>
      </c>
    </row>
    <row r="35" spans="1:5" x14ac:dyDescent="0.25">
      <c r="A35" s="15" t="s">
        <v>184</v>
      </c>
      <c r="B35" s="31">
        <f>Inputs!$D$8-B34</f>
        <v>33</v>
      </c>
      <c r="C35" s="31">
        <f>Inputs!$D$8-C34</f>
        <v>19</v>
      </c>
      <c r="D35" s="31">
        <f>Inputs!$D$8-D34</f>
        <v>-7</v>
      </c>
    </row>
    <row r="37" spans="1:5" x14ac:dyDescent="0.25">
      <c r="A37" s="18" t="s">
        <v>185</v>
      </c>
    </row>
    <row r="38" spans="1:5" ht="30" x14ac:dyDescent="0.25">
      <c r="A38" s="6" t="s">
        <v>16</v>
      </c>
      <c r="B38" s="6" t="s">
        <v>186</v>
      </c>
      <c r="C38" s="6" t="s">
        <v>187</v>
      </c>
      <c r="D38" s="6" t="s">
        <v>188</v>
      </c>
      <c r="E38" s="6" t="s">
        <v>189</v>
      </c>
    </row>
    <row r="39" spans="1:5" x14ac:dyDescent="0.25">
      <c r="A39" s="15" t="s">
        <v>21</v>
      </c>
      <c r="B39" s="11">
        <f>Inputs!$D$14*Inputs!$D$26*Inputs!$D$11</f>
        <v>24.993750000000002</v>
      </c>
      <c r="C39" s="33">
        <f>B39*(1-Inputs!$D$17)</f>
        <v>8.7478125000000002</v>
      </c>
      <c r="D39" s="33">
        <f>C39/Inputs!$D$20</f>
        <v>8.7478125000000002</v>
      </c>
      <c r="E39" s="34">
        <f>D39/$D$39</f>
        <v>1</v>
      </c>
    </row>
    <row r="40" spans="1:5" x14ac:dyDescent="0.25">
      <c r="A40" s="15" t="s">
        <v>22</v>
      </c>
      <c r="B40" s="11">
        <f>Inputs!$D$15*Inputs!$D$27*Inputs!$D$12</f>
        <v>5.7200000000000006</v>
      </c>
      <c r="C40" s="33">
        <f>B40*(1-Inputs!$D$18)</f>
        <v>2.5739999999999998</v>
      </c>
      <c r="D40" s="33">
        <f>C40/Inputs!$D$21</f>
        <v>2.5739999999999998</v>
      </c>
      <c r="E40" s="34">
        <f>D40/$D$39</f>
        <v>0.29424498981888325</v>
      </c>
    </row>
    <row r="41" spans="1:5" x14ac:dyDescent="0.25">
      <c r="A41" s="15" t="s">
        <v>23</v>
      </c>
      <c r="B41" s="11">
        <f>Inputs!$D$16*Inputs!$D$28*Inputs!$D$13</f>
        <v>4.08</v>
      </c>
      <c r="C41" s="33">
        <f>B41*(1-Inputs!$D$19)</f>
        <v>2.448</v>
      </c>
      <c r="D41" s="33">
        <f>C41/Inputs!$D$22</f>
        <v>1.224</v>
      </c>
      <c r="E41" s="34">
        <f>D41/$D$39</f>
        <v>0.13992069445932911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946"/>
  <sheetViews>
    <sheetView showGridLines="0" zoomScaleNormal="100" workbookViewId="0">
      <pane ySplit="4" topLeftCell="A5" activePane="bottomLeft" state="frozen"/>
      <selection pane="bottomLeft"/>
    </sheetView>
  </sheetViews>
  <sheetFormatPr defaultColWidth="8.7109375" defaultRowHeight="15" x14ac:dyDescent="0.25"/>
  <cols>
    <col min="1" max="3" width="9" customWidth="1"/>
    <col min="4" max="4" width="10" customWidth="1"/>
    <col min="5" max="6" width="12" customWidth="1"/>
    <col min="7" max="7" width="11" customWidth="1"/>
  </cols>
  <sheetData>
    <row r="1" spans="1:33" ht="18" x14ac:dyDescent="0.25">
      <c r="A1" s="2" t="s">
        <v>190</v>
      </c>
    </row>
    <row r="2" spans="1:33" ht="30" customHeight="1" x14ac:dyDescent="0.25">
      <c r="A2" s="1" t="s">
        <v>191</v>
      </c>
      <c r="B2" s="1"/>
      <c r="C2" s="1"/>
      <c r="D2" s="1"/>
      <c r="E2" s="1"/>
      <c r="F2" s="1"/>
      <c r="G2" s="1"/>
      <c r="H2" s="1"/>
      <c r="I2" s="1"/>
      <c r="J2" s="1"/>
      <c r="K2" s="1"/>
      <c r="L2" s="1"/>
      <c r="M2" s="1"/>
      <c r="N2" s="1"/>
      <c r="O2" s="1"/>
      <c r="P2" s="1"/>
      <c r="Q2" s="1"/>
      <c r="R2" s="1"/>
      <c r="S2" s="1"/>
      <c r="T2" s="1"/>
      <c r="U2" s="1"/>
      <c r="V2" s="1"/>
      <c r="W2" s="1"/>
      <c r="X2" s="1"/>
      <c r="Y2" s="1"/>
      <c r="Z2" s="1"/>
    </row>
    <row r="4" spans="1:33" ht="45" x14ac:dyDescent="0.25">
      <c r="A4" s="6" t="s">
        <v>192</v>
      </c>
      <c r="B4" s="6" t="s">
        <v>193</v>
      </c>
      <c r="C4" s="6" t="s">
        <v>194</v>
      </c>
      <c r="D4" s="6" t="s">
        <v>195</v>
      </c>
      <c r="E4" s="6" t="s">
        <v>196</v>
      </c>
      <c r="F4" s="6" t="s">
        <v>75</v>
      </c>
      <c r="G4" s="6" t="s">
        <v>197</v>
      </c>
      <c r="H4" s="6" t="s">
        <v>198</v>
      </c>
      <c r="I4" s="6" t="s">
        <v>199</v>
      </c>
      <c r="J4" s="6" t="s">
        <v>200</v>
      </c>
      <c r="K4" s="6" t="s">
        <v>201</v>
      </c>
      <c r="L4" s="6" t="s">
        <v>202</v>
      </c>
      <c r="M4" s="6" t="s">
        <v>203</v>
      </c>
      <c r="N4" s="6" t="s">
        <v>204</v>
      </c>
      <c r="O4" s="6" t="s">
        <v>205</v>
      </c>
      <c r="P4" s="6" t="s">
        <v>206</v>
      </c>
      <c r="Q4" s="6" t="s">
        <v>207</v>
      </c>
      <c r="R4" s="6" t="s">
        <v>208</v>
      </c>
      <c r="S4" s="6" t="s">
        <v>209</v>
      </c>
      <c r="T4" s="6" t="s">
        <v>210</v>
      </c>
      <c r="U4" s="6" t="s">
        <v>211</v>
      </c>
      <c r="V4" s="6" t="s">
        <v>212</v>
      </c>
      <c r="W4" s="6" t="s">
        <v>213</v>
      </c>
      <c r="X4" s="6" t="s">
        <v>214</v>
      </c>
      <c r="Y4" s="6" t="s">
        <v>215</v>
      </c>
      <c r="Z4" s="6" t="s">
        <v>216</v>
      </c>
      <c r="AA4" s="6" t="s">
        <v>217</v>
      </c>
      <c r="AB4" s="6" t="s">
        <v>218</v>
      </c>
      <c r="AC4" s="6" t="s">
        <v>219</v>
      </c>
      <c r="AD4" s="6" t="s">
        <v>220</v>
      </c>
      <c r="AE4" s="6" t="s">
        <v>221</v>
      </c>
      <c r="AF4" s="6" t="s">
        <v>222</v>
      </c>
      <c r="AG4" s="6" t="s">
        <v>223</v>
      </c>
    </row>
    <row r="5" spans="1:33" x14ac:dyDescent="0.25">
      <c r="A5" s="35">
        <v>25</v>
      </c>
      <c r="B5" s="35">
        <v>10</v>
      </c>
      <c r="C5" s="35">
        <f>Inputs!$D$8-A5-Inputs!$D$22*B5</f>
        <v>75</v>
      </c>
      <c r="D5" s="35">
        <f>A5*Inputs!$D$20+C5*Inputs!$D$21+B5*Inputs!$D$22</f>
        <v>120</v>
      </c>
      <c r="E5" s="36">
        <f>MIN(Inputs!$E$15,Inputs!$D$15*(C5/Inputs!$D$43)^Inputs!$D$44)</f>
        <v>0.4</v>
      </c>
      <c r="F5" s="36">
        <f>MIN(Inputs!$E$16,Inputs!$D$16*(B5/Inputs!$D$42)^Inputs!$D$44)</f>
        <v>0.32490095854249423</v>
      </c>
      <c r="G5" s="37">
        <f>Inputs!$D$26*(1+Inputs!$D$41*(B5-Inputs!$D$42))</f>
        <v>1.35</v>
      </c>
      <c r="H5" s="35">
        <f>Inputs!$D$6*Inputs!$D$14*G5*Inputs!$D$29</f>
        <v>1696.1805000000004</v>
      </c>
      <c r="I5" s="36">
        <f>H5/(A5*Inputs!$D$32)</f>
        <v>1.2335858181818184</v>
      </c>
      <c r="J5" s="38">
        <f>IF(I5&gt;=1,999,I5/(Inputs!$D$32*(1-I5))*60)</f>
        <v>999</v>
      </c>
      <c r="K5" s="37">
        <f>MIN(1,MAX(0,(J5-Inputs!$D$36)/(Inputs!$D$37-Inputs!$D$36)))</f>
        <v>1</v>
      </c>
      <c r="L5" s="35">
        <f>Inputs!$D$6*Inputs!$D$14*G5*(1-Inputs!$D$38*K5)</f>
        <v>6219.3285000000024</v>
      </c>
      <c r="M5" s="39">
        <f>L5*Inputs!$D$11</f>
        <v>133715.56275000004</v>
      </c>
      <c r="N5" s="39">
        <f>M5*(1-Inputs!$D$17)</f>
        <v>46800.446962500013</v>
      </c>
      <c r="O5" s="35">
        <f>Inputs!$D$6*E5*Inputs!$D$27*Inputs!$D$30</f>
        <v>570.66240000000005</v>
      </c>
      <c r="P5" s="36">
        <f>O5/(C5*Inputs!$D$33)</f>
        <v>0.19022080000000002</v>
      </c>
      <c r="Q5" s="38">
        <f>IF(P5&gt;=1,999,P5/(Inputs!$D$33*(1-P5))*60)</f>
        <v>0.35235679059180591</v>
      </c>
      <c r="R5" s="37">
        <f>MIN(1,MAX(0,(Q5-Inputs!$D$36)/(Inputs!$D$37-Inputs!$D$36)))</f>
        <v>0</v>
      </c>
      <c r="S5" s="35">
        <f>Inputs!$D$6*E5*Inputs!$D$27*(1-Inputs!$D$38*R5)</f>
        <v>4755.5200000000004</v>
      </c>
      <c r="T5" s="39">
        <f>S5*Inputs!$D$12</f>
        <v>76088.320000000007</v>
      </c>
      <c r="U5" s="39">
        <f>T5*(1-Inputs!$D$18)</f>
        <v>34239.743999999999</v>
      </c>
      <c r="V5" s="35">
        <f>Inputs!$D$6*F5*Inputs!$D$28*Inputs!$D$31</f>
        <v>547.7986113486553</v>
      </c>
      <c r="W5" s="36">
        <f>V5/(B5*Inputs!$D$34)</f>
        <v>1.5651388895675866</v>
      </c>
      <c r="X5" s="38">
        <f>IF(W5&gt;=1,999,W5/(Inputs!$D$34*(1-W5))*60)</f>
        <v>999</v>
      </c>
      <c r="Y5" s="37">
        <f>MIN(1,MAX(0,(X5-Inputs!$D$36)/(Inputs!$D$37-Inputs!$D$36)))</f>
        <v>1</v>
      </c>
      <c r="Z5" s="35">
        <f>Inputs!$D$6*F5*Inputs!$D$28*(1-Inputs!$D$38*Y5)</f>
        <v>2317.6095095520031</v>
      </c>
      <c r="AA5" s="39">
        <f>Z5*Inputs!$D$13</f>
        <v>19699.680831192025</v>
      </c>
      <c r="AB5" s="39">
        <f>AA5*(1-Inputs!$D$19)</f>
        <v>11819.808498715214</v>
      </c>
      <c r="AC5" s="39">
        <f t="shared" ref="AC5:AC68" si="0">M5+T5+AA5</f>
        <v>229503.56358119208</v>
      </c>
      <c r="AD5" s="39">
        <f t="shared" ref="AD5:AD68" si="1">N5+U5+AB5</f>
        <v>92859.999461215222</v>
      </c>
      <c r="AE5" s="36">
        <f t="shared" ref="AE5:AE68" si="2">MAX(I5,P5,W5)</f>
        <v>1.5651388895675866</v>
      </c>
      <c r="AF5" s="35">
        <f>IF(AND(AE5&lt;=Inputs!$D$35,C5&gt;=Inputs!$D$48*(A5+B5+C5),B5*Inputs!$D$22&lt;=Inputs!$D$50*Inputs!$D$8,B5*Inputs!$D$22&gt;=Inputs!$D$49*Inputs!$D$8,A5*Inputs!$D$20&lt;=Inputs!$D$47*Inputs!$D$8,C5&gt;=1),1,0)</f>
        <v>0</v>
      </c>
      <c r="AG5" s="39">
        <f t="shared" ref="AG5:AG68" si="3">IF(AF5=1,AD5,-1)</f>
        <v>-1</v>
      </c>
    </row>
    <row r="6" spans="1:33" x14ac:dyDescent="0.25">
      <c r="A6" s="35">
        <v>25</v>
      </c>
      <c r="B6" s="35">
        <v>11</v>
      </c>
      <c r="C6" s="35">
        <f>Inputs!$D$8-A6-Inputs!$D$22*B6</f>
        <v>73</v>
      </c>
      <c r="D6" s="35">
        <f>A6*Inputs!$D$20+C6*Inputs!$D$21+B6*Inputs!$D$22</f>
        <v>120</v>
      </c>
      <c r="E6" s="36">
        <f>MIN(Inputs!$E$15,Inputs!$D$15*(C6/Inputs!$D$43)^Inputs!$D$44)</f>
        <v>0.4</v>
      </c>
      <c r="F6" s="36">
        <f>MIN(Inputs!$E$16,Inputs!$D$16*(B6/Inputs!$D$42)^Inputs!$D$44)</f>
        <v>0.33432495758166098</v>
      </c>
      <c r="G6" s="37">
        <f>Inputs!$D$26*(1+Inputs!$D$41*(B6-Inputs!$D$42))</f>
        <v>1.365</v>
      </c>
      <c r="H6" s="35">
        <f>Inputs!$D$6*Inputs!$D$14*G6*Inputs!$D$29</f>
        <v>1715.0269500000002</v>
      </c>
      <c r="I6" s="36">
        <f>H6/(A6*Inputs!$D$32)</f>
        <v>1.2472923272727274</v>
      </c>
      <c r="J6" s="38">
        <f>IF(I6&gt;=1,999,I6/(Inputs!$D$32*(1-I6))*60)</f>
        <v>999</v>
      </c>
      <c r="K6" s="37">
        <f>MIN(1,MAX(0,(J6-Inputs!$D$36)/(Inputs!$D$37-Inputs!$D$36)))</f>
        <v>1</v>
      </c>
      <c r="L6" s="35">
        <f>Inputs!$D$6*Inputs!$D$14*G6*(1-Inputs!$D$38*K6)</f>
        <v>6288.4321500000005</v>
      </c>
      <c r="M6" s="39">
        <f>L6*Inputs!$D$11</f>
        <v>135201.29122500002</v>
      </c>
      <c r="N6" s="39">
        <f>M6*(1-Inputs!$D$17)</f>
        <v>47320.451928750008</v>
      </c>
      <c r="O6" s="35">
        <f>Inputs!$D$6*E6*Inputs!$D$27*Inputs!$D$30</f>
        <v>570.66240000000005</v>
      </c>
      <c r="P6" s="36">
        <f>O6/(C6*Inputs!$D$33)</f>
        <v>0.1954323287671233</v>
      </c>
      <c r="Q6" s="38">
        <f>IF(P6&gt;=1,999,P6/(Inputs!$D$33*(1-P6))*60)</f>
        <v>0.36435529742511252</v>
      </c>
      <c r="R6" s="37">
        <f>MIN(1,MAX(0,(Q6-Inputs!$D$36)/(Inputs!$D$37-Inputs!$D$36)))</f>
        <v>0</v>
      </c>
      <c r="S6" s="35">
        <f>Inputs!$D$6*E6*Inputs!$D$27*(1-Inputs!$D$38*R6)</f>
        <v>4755.5200000000004</v>
      </c>
      <c r="T6" s="39">
        <f>S6*Inputs!$D$12</f>
        <v>76088.320000000007</v>
      </c>
      <c r="U6" s="39">
        <f>T6*(1-Inputs!$D$18)</f>
        <v>34239.743999999999</v>
      </c>
      <c r="V6" s="35">
        <f>Inputs!$D$6*F6*Inputs!$D$28*Inputs!$D$31</f>
        <v>563.68792608064427</v>
      </c>
      <c r="W6" s="36">
        <f>V6/(B6*Inputs!$D$34)</f>
        <v>1.4641244833263487</v>
      </c>
      <c r="X6" s="38">
        <f>IF(W6&gt;=1,999,W6/(Inputs!$D$34*(1-W6))*60)</f>
        <v>999</v>
      </c>
      <c r="Y6" s="37">
        <f>MIN(1,MAX(0,(X6-Inputs!$D$36)/(Inputs!$D$37-Inputs!$D$36)))</f>
        <v>1</v>
      </c>
      <c r="Z6" s="35">
        <f>Inputs!$D$6*F6*Inputs!$D$28*(1-Inputs!$D$38*Y6)</f>
        <v>2384.8335334181106</v>
      </c>
      <c r="AA6" s="39">
        <f>Z6*Inputs!$D$13</f>
        <v>20271.08503405394</v>
      </c>
      <c r="AB6" s="39">
        <f>AA6*(1-Inputs!$D$19)</f>
        <v>12162.651020432364</v>
      </c>
      <c r="AC6" s="39">
        <f t="shared" si="0"/>
        <v>231560.69625905398</v>
      </c>
      <c r="AD6" s="39">
        <f t="shared" si="1"/>
        <v>93722.846949182363</v>
      </c>
      <c r="AE6" s="36">
        <f t="shared" si="2"/>
        <v>1.4641244833263487</v>
      </c>
      <c r="AF6" s="35">
        <f>IF(AND(AE6&lt;=Inputs!$D$35,C6&gt;=Inputs!$D$48*(A6+B6+C6),B6*Inputs!$D$22&lt;=Inputs!$D$50*Inputs!$D$8,B6*Inputs!$D$22&gt;=Inputs!$D$49*Inputs!$D$8,A6*Inputs!$D$20&lt;=Inputs!$D$47*Inputs!$D$8,C6&gt;=1),1,0)</f>
        <v>0</v>
      </c>
      <c r="AG6" s="39">
        <f t="shared" si="3"/>
        <v>-1</v>
      </c>
    </row>
    <row r="7" spans="1:33" x14ac:dyDescent="0.25">
      <c r="A7" s="35">
        <v>25</v>
      </c>
      <c r="B7" s="35">
        <v>12</v>
      </c>
      <c r="C7" s="35">
        <f>Inputs!$D$8-A7-Inputs!$D$22*B7</f>
        <v>71</v>
      </c>
      <c r="D7" s="35">
        <f>A7*Inputs!$D$20+C7*Inputs!$D$21+B7*Inputs!$D$22</f>
        <v>120</v>
      </c>
      <c r="E7" s="36">
        <f>MIN(Inputs!$E$15,Inputs!$D$15*(C7/Inputs!$D$43)^Inputs!$D$44)</f>
        <v>0.4</v>
      </c>
      <c r="F7" s="36">
        <f>MIN(Inputs!$E$16,Inputs!$D$16*(B7/Inputs!$D$42)^Inputs!$D$44)</f>
        <v>0.34316688017763797</v>
      </c>
      <c r="G7" s="37">
        <f>Inputs!$D$26*(1+Inputs!$D$41*(B7-Inputs!$D$42))</f>
        <v>1.3800000000000001</v>
      </c>
      <c r="H7" s="35">
        <f>Inputs!$D$6*Inputs!$D$14*G7*Inputs!$D$29</f>
        <v>1733.8734000000004</v>
      </c>
      <c r="I7" s="36">
        <f>H7/(A7*Inputs!$D$32)</f>
        <v>1.2609988363636366</v>
      </c>
      <c r="J7" s="38">
        <f>IF(I7&gt;=1,999,I7/(Inputs!$D$32*(1-I7))*60)</f>
        <v>999</v>
      </c>
      <c r="K7" s="37">
        <f>MIN(1,MAX(0,(J7-Inputs!$D$36)/(Inputs!$D$37-Inputs!$D$36)))</f>
        <v>1</v>
      </c>
      <c r="L7" s="35">
        <f>Inputs!$D$6*Inputs!$D$14*G7*(1-Inputs!$D$38*K7)</f>
        <v>6357.5358000000024</v>
      </c>
      <c r="M7" s="39">
        <f>L7*Inputs!$D$11</f>
        <v>136687.01970000006</v>
      </c>
      <c r="N7" s="39">
        <f>M7*(1-Inputs!$D$17)</f>
        <v>47840.456895000018</v>
      </c>
      <c r="O7" s="35">
        <f>Inputs!$D$6*E7*Inputs!$D$27*Inputs!$D$30</f>
        <v>570.66240000000005</v>
      </c>
      <c r="P7" s="36">
        <f>O7/(C7*Inputs!$D$33)</f>
        <v>0.20093746478873242</v>
      </c>
      <c r="Q7" s="38">
        <f>IF(P7&gt;=1,999,P7/(Inputs!$D$33*(1-P7))*60)</f>
        <v>0.37719976084651319</v>
      </c>
      <c r="R7" s="37">
        <f>MIN(1,MAX(0,(Q7-Inputs!$D$36)/(Inputs!$D$37-Inputs!$D$36)))</f>
        <v>0</v>
      </c>
      <c r="S7" s="35">
        <f>Inputs!$D$6*E7*Inputs!$D$27*(1-Inputs!$D$38*R7)</f>
        <v>4755.5200000000004</v>
      </c>
      <c r="T7" s="39">
        <f>S7*Inputs!$D$12</f>
        <v>76088.320000000007</v>
      </c>
      <c r="U7" s="39">
        <f>T7*(1-Inputs!$D$18)</f>
        <v>34239.743999999999</v>
      </c>
      <c r="V7" s="35">
        <f>Inputs!$D$6*F7*Inputs!$D$28*Inputs!$D$31</f>
        <v>578.5958319897461</v>
      </c>
      <c r="W7" s="36">
        <f>V7/(B7*Inputs!$D$34)</f>
        <v>1.3776091237851098</v>
      </c>
      <c r="X7" s="38">
        <f>IF(W7&gt;=1,999,W7/(Inputs!$D$34*(1-W7))*60)</f>
        <v>999</v>
      </c>
      <c r="Y7" s="37">
        <f>MIN(1,MAX(0,(X7-Inputs!$D$36)/(Inputs!$D$37-Inputs!$D$36)))</f>
        <v>1</v>
      </c>
      <c r="Z7" s="35">
        <f>Inputs!$D$6*F7*Inputs!$D$28*(1-Inputs!$D$38*Y7)</f>
        <v>2447.9054430335414</v>
      </c>
      <c r="AA7" s="39">
        <f>Z7*Inputs!$D$13</f>
        <v>20807.1962657851</v>
      </c>
      <c r="AB7" s="39">
        <f>AA7*(1-Inputs!$D$19)</f>
        <v>12484.31775947106</v>
      </c>
      <c r="AC7" s="39">
        <f t="shared" si="0"/>
        <v>233582.53596578518</v>
      </c>
      <c r="AD7" s="39">
        <f t="shared" si="1"/>
        <v>94564.518654471074</v>
      </c>
      <c r="AE7" s="36">
        <f t="shared" si="2"/>
        <v>1.3776091237851098</v>
      </c>
      <c r="AF7" s="35">
        <f>IF(AND(AE7&lt;=Inputs!$D$35,C7&gt;=Inputs!$D$48*(A7+B7+C7),B7*Inputs!$D$22&lt;=Inputs!$D$50*Inputs!$D$8,B7*Inputs!$D$22&gt;=Inputs!$D$49*Inputs!$D$8,A7*Inputs!$D$20&lt;=Inputs!$D$47*Inputs!$D$8,C7&gt;=1),1,0)</f>
        <v>0</v>
      </c>
      <c r="AG7" s="39">
        <f t="shared" si="3"/>
        <v>-1</v>
      </c>
    </row>
    <row r="8" spans="1:33" x14ac:dyDescent="0.25">
      <c r="A8" s="35">
        <v>25</v>
      </c>
      <c r="B8" s="35">
        <v>13</v>
      </c>
      <c r="C8" s="35">
        <f>Inputs!$D$8-A8-Inputs!$D$22*B8</f>
        <v>69</v>
      </c>
      <c r="D8" s="35">
        <f>A8*Inputs!$D$20+C8*Inputs!$D$21+B8*Inputs!$D$22</f>
        <v>120</v>
      </c>
      <c r="E8" s="36">
        <f>MIN(Inputs!$E$15,Inputs!$D$15*(C8/Inputs!$D$43)^Inputs!$D$44)</f>
        <v>0.4</v>
      </c>
      <c r="F8" s="36">
        <f>MIN(Inputs!$E$16,Inputs!$D$16*(B8/Inputs!$D$42)^Inputs!$D$44)</f>
        <v>0.35150701637190523</v>
      </c>
      <c r="G8" s="37">
        <f>Inputs!$D$26*(1+Inputs!$D$41*(B8-Inputs!$D$42))</f>
        <v>1.395</v>
      </c>
      <c r="H8" s="35">
        <f>Inputs!$D$6*Inputs!$D$14*G8*Inputs!$D$29</f>
        <v>1752.7198500000002</v>
      </c>
      <c r="I8" s="36">
        <f>H8/(A8*Inputs!$D$32)</f>
        <v>1.2747053454545456</v>
      </c>
      <c r="J8" s="38">
        <f>IF(I8&gt;=1,999,I8/(Inputs!$D$32*(1-I8))*60)</f>
        <v>999</v>
      </c>
      <c r="K8" s="37">
        <f>MIN(1,MAX(0,(J8-Inputs!$D$36)/(Inputs!$D$37-Inputs!$D$36)))</f>
        <v>1</v>
      </c>
      <c r="L8" s="35">
        <f>Inputs!$D$6*Inputs!$D$14*G8*(1-Inputs!$D$38*K8)</f>
        <v>6426.6394500000006</v>
      </c>
      <c r="M8" s="39">
        <f>L8*Inputs!$D$11</f>
        <v>138172.74817500002</v>
      </c>
      <c r="N8" s="39">
        <f>M8*(1-Inputs!$D$17)</f>
        <v>48360.461861250005</v>
      </c>
      <c r="O8" s="35">
        <f>Inputs!$D$6*E8*Inputs!$D$27*Inputs!$D$30</f>
        <v>570.66240000000005</v>
      </c>
      <c r="P8" s="36">
        <f>O8/(C8*Inputs!$D$33)</f>
        <v>0.2067617391304348</v>
      </c>
      <c r="Q8" s="38">
        <f>IF(P8&gt;=1,999,P8/(Inputs!$D$33*(1-P8))*60)</f>
        <v>0.3909829164766549</v>
      </c>
      <c r="R8" s="37">
        <f>MIN(1,MAX(0,(Q8-Inputs!$D$36)/(Inputs!$D$37-Inputs!$D$36)))</f>
        <v>0</v>
      </c>
      <c r="S8" s="35">
        <f>Inputs!$D$6*E8*Inputs!$D$27*(1-Inputs!$D$38*R8)</f>
        <v>4755.5200000000004</v>
      </c>
      <c r="T8" s="39">
        <f>S8*Inputs!$D$12</f>
        <v>76088.320000000007</v>
      </c>
      <c r="U8" s="39">
        <f>T8*(1-Inputs!$D$18)</f>
        <v>34239.743999999999</v>
      </c>
      <c r="V8" s="35">
        <f>Inputs!$D$6*F8*Inputs!$D$28*Inputs!$D$31</f>
        <v>592.65770193981814</v>
      </c>
      <c r="W8" s="36">
        <f>V8/(B8*Inputs!$D$34)</f>
        <v>1.3025443998677322</v>
      </c>
      <c r="X8" s="38">
        <f>IF(W8&gt;=1,999,W8/(Inputs!$D$34*(1-W8))*60)</f>
        <v>999</v>
      </c>
      <c r="Y8" s="37">
        <f>MIN(1,MAX(0,(X8-Inputs!$D$36)/(Inputs!$D$37-Inputs!$D$36)))</f>
        <v>1</v>
      </c>
      <c r="Z8" s="35">
        <f>Inputs!$D$6*F8*Inputs!$D$28*(1-Inputs!$D$38*Y8)</f>
        <v>2507.3979697453847</v>
      </c>
      <c r="AA8" s="39">
        <f>Z8*Inputs!$D$13</f>
        <v>21312.882742835769</v>
      </c>
      <c r="AB8" s="39">
        <f>AA8*(1-Inputs!$D$19)</f>
        <v>12787.729645701462</v>
      </c>
      <c r="AC8" s="39">
        <f t="shared" si="0"/>
        <v>235573.95091783578</v>
      </c>
      <c r="AD8" s="39">
        <f t="shared" si="1"/>
        <v>95387.935506951457</v>
      </c>
      <c r="AE8" s="36">
        <f t="shared" si="2"/>
        <v>1.3025443998677322</v>
      </c>
      <c r="AF8" s="35">
        <f>IF(AND(AE8&lt;=Inputs!$D$35,C8&gt;=Inputs!$D$48*(A8+B8+C8),B8*Inputs!$D$22&lt;=Inputs!$D$50*Inputs!$D$8,B8*Inputs!$D$22&gt;=Inputs!$D$49*Inputs!$D$8,A8*Inputs!$D$20&lt;=Inputs!$D$47*Inputs!$D$8,C8&gt;=1),1,0)</f>
        <v>0</v>
      </c>
      <c r="AG8" s="39">
        <f t="shared" si="3"/>
        <v>-1</v>
      </c>
    </row>
    <row r="9" spans="1:33" x14ac:dyDescent="0.25">
      <c r="A9" s="35">
        <v>25</v>
      </c>
      <c r="B9" s="35">
        <v>14</v>
      </c>
      <c r="C9" s="35">
        <f>Inputs!$D$8-A9-Inputs!$D$22*B9</f>
        <v>67</v>
      </c>
      <c r="D9" s="35">
        <f>A9*Inputs!$D$20+C9*Inputs!$D$21+B9*Inputs!$D$22</f>
        <v>120</v>
      </c>
      <c r="E9" s="36">
        <f>MIN(Inputs!$E$15,Inputs!$D$15*(C9/Inputs!$D$43)^Inputs!$D$44)</f>
        <v>0.4</v>
      </c>
      <c r="F9" s="36">
        <f>MIN(Inputs!$E$16,Inputs!$D$16*(B9/Inputs!$D$42)^Inputs!$D$44)</f>
        <v>0.35940937671625589</v>
      </c>
      <c r="G9" s="37">
        <f>Inputs!$D$26*(1+Inputs!$D$41*(B9-Inputs!$D$42))</f>
        <v>1.41</v>
      </c>
      <c r="H9" s="35">
        <f>Inputs!$D$6*Inputs!$D$14*G9*Inputs!$D$29</f>
        <v>1771.5663000000002</v>
      </c>
      <c r="I9" s="36">
        <f>H9/(A9*Inputs!$D$32)</f>
        <v>1.2884118545454546</v>
      </c>
      <c r="J9" s="38">
        <f>IF(I9&gt;=1,999,I9/(Inputs!$D$32*(1-I9))*60)</f>
        <v>999</v>
      </c>
      <c r="K9" s="37">
        <f>MIN(1,MAX(0,(J9-Inputs!$D$36)/(Inputs!$D$37-Inputs!$D$36)))</f>
        <v>1</v>
      </c>
      <c r="L9" s="35">
        <f>Inputs!$D$6*Inputs!$D$14*G9*(1-Inputs!$D$38*K9)</f>
        <v>6495.7431000000006</v>
      </c>
      <c r="M9" s="39">
        <f>L9*Inputs!$D$11</f>
        <v>139658.47665000003</v>
      </c>
      <c r="N9" s="39">
        <f>M9*(1-Inputs!$D$17)</f>
        <v>48880.466827500008</v>
      </c>
      <c r="O9" s="35">
        <f>Inputs!$D$6*E9*Inputs!$D$27*Inputs!$D$30</f>
        <v>570.66240000000005</v>
      </c>
      <c r="P9" s="36">
        <f>O9/(C9*Inputs!$D$33)</f>
        <v>0.21293373134328361</v>
      </c>
      <c r="Q9" s="38">
        <f>IF(P9&gt;=1,999,P9/(Inputs!$D$33*(1-P9))*60)</f>
        <v>0.40581156852274392</v>
      </c>
      <c r="R9" s="37">
        <f>MIN(1,MAX(0,(Q9-Inputs!$D$36)/(Inputs!$D$37-Inputs!$D$36)))</f>
        <v>0</v>
      </c>
      <c r="S9" s="35">
        <f>Inputs!$D$6*E9*Inputs!$D$27*(1-Inputs!$D$38*R9)</f>
        <v>4755.5200000000004</v>
      </c>
      <c r="T9" s="39">
        <f>S9*Inputs!$D$12</f>
        <v>76088.320000000007</v>
      </c>
      <c r="U9" s="39">
        <f>T9*(1-Inputs!$D$18)</f>
        <v>34239.743999999999</v>
      </c>
      <c r="V9" s="35">
        <f>Inputs!$D$6*F9*Inputs!$D$28*Inputs!$D$31</f>
        <v>605.98146079368973</v>
      </c>
      <c r="W9" s="36">
        <f>V9/(B9*Inputs!$D$34)</f>
        <v>1.2366968587626321</v>
      </c>
      <c r="X9" s="38">
        <f>IF(W9&gt;=1,999,W9/(Inputs!$D$34*(1-W9))*60)</f>
        <v>999</v>
      </c>
      <c r="Y9" s="37">
        <f>MIN(1,MAX(0,(X9-Inputs!$D$36)/(Inputs!$D$37-Inputs!$D$36)))</f>
        <v>1</v>
      </c>
      <c r="Z9" s="35">
        <f>Inputs!$D$6*F9*Inputs!$D$28*(1-Inputs!$D$38*Y9)</f>
        <v>2563.7677187425338</v>
      </c>
      <c r="AA9" s="39">
        <f>Z9*Inputs!$D$13</f>
        <v>21792.025609311539</v>
      </c>
      <c r="AB9" s="39">
        <f>AA9*(1-Inputs!$D$19)</f>
        <v>13075.215365586922</v>
      </c>
      <c r="AC9" s="39">
        <f t="shared" si="0"/>
        <v>237538.82225931156</v>
      </c>
      <c r="AD9" s="39">
        <f t="shared" si="1"/>
        <v>96195.426193086925</v>
      </c>
      <c r="AE9" s="36">
        <f t="shared" si="2"/>
        <v>1.2884118545454546</v>
      </c>
      <c r="AF9" s="35">
        <f>IF(AND(AE9&lt;=Inputs!$D$35,C9&gt;=Inputs!$D$48*(A9+B9+C9),B9*Inputs!$D$22&lt;=Inputs!$D$50*Inputs!$D$8,B9*Inputs!$D$22&gt;=Inputs!$D$49*Inputs!$D$8,A9*Inputs!$D$20&lt;=Inputs!$D$47*Inputs!$D$8,C9&gt;=1),1,0)</f>
        <v>0</v>
      </c>
      <c r="AG9" s="39">
        <f t="shared" si="3"/>
        <v>-1</v>
      </c>
    </row>
    <row r="10" spans="1:33" x14ac:dyDescent="0.25">
      <c r="A10" s="35">
        <v>25</v>
      </c>
      <c r="B10" s="35">
        <v>15</v>
      </c>
      <c r="C10" s="35">
        <f>Inputs!$D$8-A10-Inputs!$D$22*B10</f>
        <v>65</v>
      </c>
      <c r="D10" s="35">
        <f>A10*Inputs!$D$20+C10*Inputs!$D$21+B10*Inputs!$D$22</f>
        <v>120</v>
      </c>
      <c r="E10" s="36">
        <f>MIN(Inputs!$E$15,Inputs!$D$15*(C10/Inputs!$D$43)^Inputs!$D$44)</f>
        <v>0.4</v>
      </c>
      <c r="F10" s="36">
        <f>MIN(Inputs!$E$16,Inputs!$D$16*(B10/Inputs!$D$42)^Inputs!$D$44)</f>
        <v>0.36692590185696072</v>
      </c>
      <c r="G10" s="37">
        <f>Inputs!$D$26*(1+Inputs!$D$41*(B10-Inputs!$D$42))</f>
        <v>1.4249999999999998</v>
      </c>
      <c r="H10" s="35">
        <f>Inputs!$D$6*Inputs!$D$14*G10*Inputs!$D$29</f>
        <v>1790.4127499999997</v>
      </c>
      <c r="I10" s="36">
        <f>H10/(A10*Inputs!$D$32)</f>
        <v>1.3021183636363634</v>
      </c>
      <c r="J10" s="38">
        <f>IF(I10&gt;=1,999,I10/(Inputs!$D$32*(1-I10))*60)</f>
        <v>999</v>
      </c>
      <c r="K10" s="37">
        <f>MIN(1,MAX(0,(J10-Inputs!$D$36)/(Inputs!$D$37-Inputs!$D$36)))</f>
        <v>1</v>
      </c>
      <c r="L10" s="35">
        <f>Inputs!$D$6*Inputs!$D$14*G10*(1-Inputs!$D$38*K10)</f>
        <v>6564.8467499999997</v>
      </c>
      <c r="M10" s="39">
        <f>L10*Inputs!$D$11</f>
        <v>141144.20512500001</v>
      </c>
      <c r="N10" s="39">
        <f>M10*(1-Inputs!$D$17)</f>
        <v>49400.471793750003</v>
      </c>
      <c r="O10" s="35">
        <f>Inputs!$D$6*E10*Inputs!$D$27*Inputs!$D$30</f>
        <v>570.66240000000005</v>
      </c>
      <c r="P10" s="36">
        <f>O10/(C10*Inputs!$D$33)</f>
        <v>0.21948553846153848</v>
      </c>
      <c r="Q10" s="38">
        <f>IF(P10&gt;=1,999,P10/(Inputs!$D$33*(1-P10))*60)</f>
        <v>0.42180936281868536</v>
      </c>
      <c r="R10" s="37">
        <f>MIN(1,MAX(0,(Q10-Inputs!$D$36)/(Inputs!$D$37-Inputs!$D$36)))</f>
        <v>0</v>
      </c>
      <c r="S10" s="35">
        <f>Inputs!$D$6*E10*Inputs!$D$27*(1-Inputs!$D$38*R10)</f>
        <v>4755.5200000000004</v>
      </c>
      <c r="T10" s="39">
        <f>S10*Inputs!$D$12</f>
        <v>76088.320000000007</v>
      </c>
      <c r="U10" s="39">
        <f>T10*(1-Inputs!$D$18)</f>
        <v>34239.743999999999</v>
      </c>
      <c r="V10" s="35">
        <f>Inputs!$D$6*F10*Inputs!$D$28*Inputs!$D$31</f>
        <v>618.65468297412497</v>
      </c>
      <c r="W10" s="36">
        <f>V10/(B10*Inputs!$D$34)</f>
        <v>1.1783898723316666</v>
      </c>
      <c r="X10" s="38">
        <f>IF(W10&gt;=1,999,W10/(Inputs!$D$34*(1-W10))*60)</f>
        <v>999</v>
      </c>
      <c r="Y10" s="37">
        <f>MIN(1,MAX(0,(X10-Inputs!$D$36)/(Inputs!$D$37-Inputs!$D$36)))</f>
        <v>1</v>
      </c>
      <c r="Z10" s="35">
        <f>Inputs!$D$6*F10*Inputs!$D$28*(1-Inputs!$D$38*Y10)</f>
        <v>2617.3851971982212</v>
      </c>
      <c r="AA10" s="39">
        <f>Z10*Inputs!$D$13</f>
        <v>22247.774176184881</v>
      </c>
      <c r="AB10" s="39">
        <f>AA10*(1-Inputs!$D$19)</f>
        <v>13348.664505710929</v>
      </c>
      <c r="AC10" s="39">
        <f t="shared" si="0"/>
        <v>239480.29930118489</v>
      </c>
      <c r="AD10" s="39">
        <f t="shared" si="1"/>
        <v>96988.880299460929</v>
      </c>
      <c r="AE10" s="36">
        <f t="shared" si="2"/>
        <v>1.3021183636363634</v>
      </c>
      <c r="AF10" s="35">
        <f>IF(AND(AE10&lt;=Inputs!$D$35,C10&gt;=Inputs!$D$48*(A10+B10+C10),B10*Inputs!$D$22&lt;=Inputs!$D$50*Inputs!$D$8,B10*Inputs!$D$22&gt;=Inputs!$D$49*Inputs!$D$8,A10*Inputs!$D$20&lt;=Inputs!$D$47*Inputs!$D$8,C10&gt;=1),1,0)</f>
        <v>0</v>
      </c>
      <c r="AG10" s="39">
        <f t="shared" si="3"/>
        <v>-1</v>
      </c>
    </row>
    <row r="11" spans="1:33" x14ac:dyDescent="0.25">
      <c r="A11" s="35">
        <v>25</v>
      </c>
      <c r="B11" s="35">
        <v>16</v>
      </c>
      <c r="C11" s="35">
        <f>Inputs!$D$8-A11-Inputs!$D$22*B11</f>
        <v>63</v>
      </c>
      <c r="D11" s="35">
        <f>A11*Inputs!$D$20+C11*Inputs!$D$21+B11*Inputs!$D$22</f>
        <v>120</v>
      </c>
      <c r="E11" s="36">
        <f>MIN(Inputs!$E$15,Inputs!$D$15*(C11/Inputs!$D$43)^Inputs!$D$44)</f>
        <v>0.4</v>
      </c>
      <c r="F11" s="36">
        <f>MIN(Inputs!$E$16,Inputs!$D$16*(B11/Inputs!$D$42)^Inputs!$D$44)</f>
        <v>0.37409937912904856</v>
      </c>
      <c r="G11" s="37">
        <f>Inputs!$D$26*(1+Inputs!$D$41*(B11-Inputs!$D$42))</f>
        <v>1.44</v>
      </c>
      <c r="H11" s="35">
        <f>Inputs!$D$6*Inputs!$D$14*G11*Inputs!$D$29</f>
        <v>1809.2592000000002</v>
      </c>
      <c r="I11" s="36">
        <f>H11/(A11*Inputs!$D$32)</f>
        <v>1.3158248727272728</v>
      </c>
      <c r="J11" s="38">
        <f>IF(I11&gt;=1,999,I11/(Inputs!$D$32*(1-I11))*60)</f>
        <v>999</v>
      </c>
      <c r="K11" s="37">
        <f>MIN(1,MAX(0,(J11-Inputs!$D$36)/(Inputs!$D$37-Inputs!$D$36)))</f>
        <v>1</v>
      </c>
      <c r="L11" s="35">
        <f>Inputs!$D$6*Inputs!$D$14*G11*(1-Inputs!$D$38*K11)</f>
        <v>6633.9504000000006</v>
      </c>
      <c r="M11" s="39">
        <f>L11*Inputs!$D$11</f>
        <v>142629.93360000002</v>
      </c>
      <c r="N11" s="39">
        <f>M11*(1-Inputs!$D$17)</f>
        <v>49920.476760000005</v>
      </c>
      <c r="O11" s="35">
        <f>Inputs!$D$6*E11*Inputs!$D$27*Inputs!$D$30</f>
        <v>570.66240000000005</v>
      </c>
      <c r="P11" s="36">
        <f>O11/(C11*Inputs!$D$33)</f>
        <v>0.22645333333333334</v>
      </c>
      <c r="Q11" s="38">
        <f>IF(P11&gt;=1,999,P11/(Inputs!$D$33*(1-P11))*60)</f>
        <v>0.43912024269167138</v>
      </c>
      <c r="R11" s="37">
        <f>MIN(1,MAX(0,(Q11-Inputs!$D$36)/(Inputs!$D$37-Inputs!$D$36)))</f>
        <v>0</v>
      </c>
      <c r="S11" s="35">
        <f>Inputs!$D$6*E11*Inputs!$D$27*(1-Inputs!$D$38*R11)</f>
        <v>4755.5200000000004</v>
      </c>
      <c r="T11" s="39">
        <f>S11*Inputs!$D$12</f>
        <v>76088.320000000007</v>
      </c>
      <c r="U11" s="39">
        <f>T11*(1-Inputs!$D$18)</f>
        <v>34239.743999999999</v>
      </c>
      <c r="V11" s="35">
        <f>Inputs!$D$6*F11*Inputs!$D$28*Inputs!$D$31</f>
        <v>630.74950998177405</v>
      </c>
      <c r="W11" s="36">
        <f>V11/(B11*Inputs!$D$34)</f>
        <v>1.1263384106817393</v>
      </c>
      <c r="X11" s="38">
        <f>IF(W11&gt;=1,999,W11/(Inputs!$D$34*(1-W11))*60)</f>
        <v>999</v>
      </c>
      <c r="Y11" s="37">
        <f>MIN(1,MAX(0,(X11-Inputs!$D$36)/(Inputs!$D$37-Inputs!$D$36)))</f>
        <v>1</v>
      </c>
      <c r="Z11" s="35">
        <f>Inputs!$D$6*F11*Inputs!$D$28*(1-Inputs!$D$38*Y11)</f>
        <v>2668.5556191536598</v>
      </c>
      <c r="AA11" s="39">
        <f>Z11*Inputs!$D$13</f>
        <v>22682.722762806108</v>
      </c>
      <c r="AB11" s="39">
        <f>AA11*(1-Inputs!$D$19)</f>
        <v>13609.633657683664</v>
      </c>
      <c r="AC11" s="39">
        <f t="shared" si="0"/>
        <v>241400.97636280613</v>
      </c>
      <c r="AD11" s="39">
        <f t="shared" si="1"/>
        <v>97769.854417683659</v>
      </c>
      <c r="AE11" s="36">
        <f t="shared" si="2"/>
        <v>1.3158248727272728</v>
      </c>
      <c r="AF11" s="35">
        <f>IF(AND(AE11&lt;=Inputs!$D$35,C11&gt;=Inputs!$D$48*(A11+B11+C11),B11*Inputs!$D$22&lt;=Inputs!$D$50*Inputs!$D$8,B11*Inputs!$D$22&gt;=Inputs!$D$49*Inputs!$D$8,A11*Inputs!$D$20&lt;=Inputs!$D$47*Inputs!$D$8,C11&gt;=1),1,0)</f>
        <v>0</v>
      </c>
      <c r="AG11" s="39">
        <f t="shared" si="3"/>
        <v>-1</v>
      </c>
    </row>
    <row r="12" spans="1:33" x14ac:dyDescent="0.25">
      <c r="A12" s="35">
        <v>25</v>
      </c>
      <c r="B12" s="35">
        <v>17</v>
      </c>
      <c r="C12" s="35">
        <f>Inputs!$D$8-A12-Inputs!$D$22*B12</f>
        <v>61</v>
      </c>
      <c r="D12" s="35">
        <f>A12*Inputs!$D$20+C12*Inputs!$D$21+B12*Inputs!$D$22</f>
        <v>120</v>
      </c>
      <c r="E12" s="36">
        <f>MIN(Inputs!$E$15,Inputs!$D$15*(C12/Inputs!$D$43)^Inputs!$D$44)</f>
        <v>0.4</v>
      </c>
      <c r="F12" s="36">
        <f>MIN(Inputs!$E$16,Inputs!$D$16*(B12/Inputs!$D$42)^Inputs!$D$44)</f>
        <v>0.3809655184437048</v>
      </c>
      <c r="G12" s="37">
        <f>Inputs!$D$26*(1+Inputs!$D$41*(B12-Inputs!$D$42))</f>
        <v>1.4550000000000001</v>
      </c>
      <c r="H12" s="35">
        <f>Inputs!$D$6*Inputs!$D$14*G12*Inputs!$D$29</f>
        <v>1828.1056500000002</v>
      </c>
      <c r="I12" s="36">
        <f>H12/(A12*Inputs!$D$32)</f>
        <v>1.329531381818182</v>
      </c>
      <c r="J12" s="38">
        <f>IF(I12&gt;=1,999,I12/(Inputs!$D$32*(1-I12))*60)</f>
        <v>999</v>
      </c>
      <c r="K12" s="37">
        <f>MIN(1,MAX(0,(J12-Inputs!$D$36)/(Inputs!$D$37-Inputs!$D$36)))</f>
        <v>1</v>
      </c>
      <c r="L12" s="35">
        <f>Inputs!$D$6*Inputs!$D$14*G12*(1-Inputs!$D$38*K12)</f>
        <v>6703.0540500000006</v>
      </c>
      <c r="M12" s="39">
        <f>L12*Inputs!$D$11</f>
        <v>144115.662075</v>
      </c>
      <c r="N12" s="39">
        <f>M12*(1-Inputs!$D$17)</f>
        <v>50440.48172625</v>
      </c>
      <c r="O12" s="35">
        <f>Inputs!$D$6*E12*Inputs!$D$27*Inputs!$D$30</f>
        <v>570.66240000000005</v>
      </c>
      <c r="P12" s="36">
        <f>O12/(C12*Inputs!$D$33)</f>
        <v>0.23387803278688526</v>
      </c>
      <c r="Q12" s="38">
        <f>IF(P12&gt;=1,999,P12/(Inputs!$D$33*(1-P12))*60)</f>
        <v>0.45791279221046005</v>
      </c>
      <c r="R12" s="37">
        <f>MIN(1,MAX(0,(Q12-Inputs!$D$36)/(Inputs!$D$37-Inputs!$D$36)))</f>
        <v>0</v>
      </c>
      <c r="S12" s="35">
        <f>Inputs!$D$6*E12*Inputs!$D$27*(1-Inputs!$D$38*R12)</f>
        <v>4755.5200000000004</v>
      </c>
      <c r="T12" s="39">
        <f>S12*Inputs!$D$12</f>
        <v>76088.320000000007</v>
      </c>
      <c r="U12" s="39">
        <f>T12*(1-Inputs!$D$18)</f>
        <v>34239.743999999999</v>
      </c>
      <c r="V12" s="35">
        <f>Inputs!$D$6*F12*Inputs!$D$28*Inputs!$D$31</f>
        <v>642.32615044097156</v>
      </c>
      <c r="W12" s="36">
        <f>V12/(B12*Inputs!$D$34)</f>
        <v>1.0795397486402882</v>
      </c>
      <c r="X12" s="38">
        <f>IF(W12&gt;=1,999,W12/(Inputs!$D$34*(1-W12))*60)</f>
        <v>999</v>
      </c>
      <c r="Y12" s="37">
        <f>MIN(1,MAX(0,(X12-Inputs!$D$36)/(Inputs!$D$37-Inputs!$D$36)))</f>
        <v>1</v>
      </c>
      <c r="Z12" s="35">
        <f>Inputs!$D$6*F12*Inputs!$D$28*(1-Inputs!$D$38*Y12)</f>
        <v>2717.5337134041106</v>
      </c>
      <c r="AA12" s="39">
        <f>Z12*Inputs!$D$13</f>
        <v>23099.03656393494</v>
      </c>
      <c r="AB12" s="39">
        <f>AA12*(1-Inputs!$D$19)</f>
        <v>13859.421938360963</v>
      </c>
      <c r="AC12" s="39">
        <f t="shared" si="0"/>
        <v>243303.01863893494</v>
      </c>
      <c r="AD12" s="39">
        <f t="shared" si="1"/>
        <v>98539.647664610966</v>
      </c>
      <c r="AE12" s="36">
        <f t="shared" si="2"/>
        <v>1.329531381818182</v>
      </c>
      <c r="AF12" s="35">
        <f>IF(AND(AE12&lt;=Inputs!$D$35,C12&gt;=Inputs!$D$48*(A12+B12+C12),B12*Inputs!$D$22&lt;=Inputs!$D$50*Inputs!$D$8,B12*Inputs!$D$22&gt;=Inputs!$D$49*Inputs!$D$8,A12*Inputs!$D$20&lt;=Inputs!$D$47*Inputs!$D$8,C12&gt;=1),1,0)</f>
        <v>0</v>
      </c>
      <c r="AG12" s="39">
        <f t="shared" si="3"/>
        <v>-1</v>
      </c>
    </row>
    <row r="13" spans="1:33" x14ac:dyDescent="0.25">
      <c r="A13" s="35">
        <v>25</v>
      </c>
      <c r="B13" s="35">
        <v>18</v>
      </c>
      <c r="C13" s="35">
        <f>Inputs!$D$8-A13-Inputs!$D$22*B13</f>
        <v>59</v>
      </c>
      <c r="D13" s="35">
        <f>A13*Inputs!$D$20+C13*Inputs!$D$21+B13*Inputs!$D$22</f>
        <v>120</v>
      </c>
      <c r="E13" s="36">
        <f>MIN(Inputs!$E$15,Inputs!$D$15*(C13/Inputs!$D$43)^Inputs!$D$44)</f>
        <v>0.4</v>
      </c>
      <c r="F13" s="36">
        <f>MIN(Inputs!$E$16,Inputs!$D$16*(B13/Inputs!$D$42)^Inputs!$D$44)</f>
        <v>0.38755446447890535</v>
      </c>
      <c r="G13" s="37">
        <f>Inputs!$D$26*(1+Inputs!$D$41*(B13-Inputs!$D$42))</f>
        <v>1.47</v>
      </c>
      <c r="H13" s="35">
        <f>Inputs!$D$6*Inputs!$D$14*G13*Inputs!$D$29</f>
        <v>1846.9521</v>
      </c>
      <c r="I13" s="36">
        <f>H13/(A13*Inputs!$D$32)</f>
        <v>1.343237890909091</v>
      </c>
      <c r="J13" s="38">
        <f>IF(I13&gt;=1,999,I13/(Inputs!$D$32*(1-I13))*60)</f>
        <v>999</v>
      </c>
      <c r="K13" s="37">
        <f>MIN(1,MAX(0,(J13-Inputs!$D$36)/(Inputs!$D$37-Inputs!$D$36)))</f>
        <v>1</v>
      </c>
      <c r="L13" s="35">
        <f>Inputs!$D$6*Inputs!$D$14*G13*(1-Inputs!$D$38*K13)</f>
        <v>6772.1577000000016</v>
      </c>
      <c r="M13" s="39">
        <f>L13*Inputs!$D$11</f>
        <v>145601.39055000004</v>
      </c>
      <c r="N13" s="39">
        <f>M13*(1-Inputs!$D$17)</f>
        <v>50960.48669250001</v>
      </c>
      <c r="O13" s="35">
        <f>Inputs!$D$6*E13*Inputs!$D$27*Inputs!$D$30</f>
        <v>570.66240000000005</v>
      </c>
      <c r="P13" s="36">
        <f>O13/(C13*Inputs!$D$33)</f>
        <v>0.24180610169491529</v>
      </c>
      <c r="Q13" s="38">
        <f>IF(P13&gt;=1,999,P13/(Inputs!$D$33*(1-P13))*60)</f>
        <v>0.47838574453473742</v>
      </c>
      <c r="R13" s="37">
        <f>MIN(1,MAX(0,(Q13-Inputs!$D$36)/(Inputs!$D$37-Inputs!$D$36)))</f>
        <v>0</v>
      </c>
      <c r="S13" s="35">
        <f>Inputs!$D$6*E13*Inputs!$D$27*(1-Inputs!$D$38*R13)</f>
        <v>4755.5200000000004</v>
      </c>
      <c r="T13" s="39">
        <f>S13*Inputs!$D$12</f>
        <v>76088.320000000007</v>
      </c>
      <c r="U13" s="39">
        <f>T13*(1-Inputs!$D$18)</f>
        <v>34239.743999999999</v>
      </c>
      <c r="V13" s="35">
        <f>Inputs!$D$6*F13*Inputs!$D$28*Inputs!$D$31</f>
        <v>653.43542972572936</v>
      </c>
      <c r="W13" s="36">
        <f>V13/(B13*Inputs!$D$34)</f>
        <v>1.037199094802745</v>
      </c>
      <c r="X13" s="38">
        <f>IF(W13&gt;=1,999,W13/(Inputs!$D$34*(1-W13))*60)</f>
        <v>999</v>
      </c>
      <c r="Y13" s="37">
        <f>MIN(1,MAX(0,(X13-Inputs!$D$36)/(Inputs!$D$37-Inputs!$D$36)))</f>
        <v>1</v>
      </c>
      <c r="Z13" s="35">
        <f>Inputs!$D$6*F13*Inputs!$D$28*(1-Inputs!$D$38*Y13)</f>
        <v>2764.534510378086</v>
      </c>
      <c r="AA13" s="39">
        <f>Z13*Inputs!$D$13</f>
        <v>23498.543338213731</v>
      </c>
      <c r="AB13" s="39">
        <f>AA13*(1-Inputs!$D$19)</f>
        <v>14099.126002928238</v>
      </c>
      <c r="AC13" s="39">
        <f t="shared" si="0"/>
        <v>245188.25388821377</v>
      </c>
      <c r="AD13" s="39">
        <f t="shared" si="1"/>
        <v>99299.356695428258</v>
      </c>
      <c r="AE13" s="36">
        <f t="shared" si="2"/>
        <v>1.343237890909091</v>
      </c>
      <c r="AF13" s="35">
        <f>IF(AND(AE13&lt;=Inputs!$D$35,C13&gt;=Inputs!$D$48*(A13+B13+C13),B13*Inputs!$D$22&lt;=Inputs!$D$50*Inputs!$D$8,B13*Inputs!$D$22&gt;=Inputs!$D$49*Inputs!$D$8,A13*Inputs!$D$20&lt;=Inputs!$D$47*Inputs!$D$8,C13&gt;=1),1,0)</f>
        <v>0</v>
      </c>
      <c r="AG13" s="39">
        <f t="shared" si="3"/>
        <v>-1</v>
      </c>
    </row>
    <row r="14" spans="1:33" x14ac:dyDescent="0.25">
      <c r="A14" s="35">
        <v>25</v>
      </c>
      <c r="B14" s="35">
        <v>19</v>
      </c>
      <c r="C14" s="35">
        <f>Inputs!$D$8-A14-Inputs!$D$22*B14</f>
        <v>57</v>
      </c>
      <c r="D14" s="35">
        <f>A14*Inputs!$D$20+C14*Inputs!$D$21+B14*Inputs!$D$22</f>
        <v>120</v>
      </c>
      <c r="E14" s="36">
        <f>MIN(Inputs!$E$15,Inputs!$D$15*(C14/Inputs!$D$43)^Inputs!$D$44)</f>
        <v>0.4</v>
      </c>
      <c r="F14" s="36">
        <f>MIN(Inputs!$E$16,Inputs!$D$16*(B14/Inputs!$D$42)^Inputs!$D$44)</f>
        <v>0.39389192072703005</v>
      </c>
      <c r="G14" s="37">
        <f>Inputs!$D$26*(1+Inputs!$D$41*(B14-Inputs!$D$42))</f>
        <v>1.4849999999999999</v>
      </c>
      <c r="H14" s="35">
        <f>Inputs!$D$6*Inputs!$D$14*G14*Inputs!$D$29</f>
        <v>1865.7985499999998</v>
      </c>
      <c r="I14" s="36">
        <f>H14/(A14*Inputs!$D$32)</f>
        <v>1.3569443999999997</v>
      </c>
      <c r="J14" s="38">
        <f>IF(I14&gt;=1,999,I14/(Inputs!$D$32*(1-I14))*60)</f>
        <v>999</v>
      </c>
      <c r="K14" s="37">
        <f>MIN(1,MAX(0,(J14-Inputs!$D$36)/(Inputs!$D$37-Inputs!$D$36)))</f>
        <v>1</v>
      </c>
      <c r="L14" s="35">
        <f>Inputs!$D$6*Inputs!$D$14*G14*(1-Inputs!$D$38*K14)</f>
        <v>6841.2613499999998</v>
      </c>
      <c r="M14" s="39">
        <f>L14*Inputs!$D$11</f>
        <v>147087.11902499999</v>
      </c>
      <c r="N14" s="39">
        <f>M14*(1-Inputs!$D$17)</f>
        <v>51480.491658749997</v>
      </c>
      <c r="O14" s="35">
        <f>Inputs!$D$6*E14*Inputs!$D$27*Inputs!$D$30</f>
        <v>570.66240000000005</v>
      </c>
      <c r="P14" s="36">
        <f>O14/(C14*Inputs!$D$33)</f>
        <v>0.25029052631578952</v>
      </c>
      <c r="Q14" s="38">
        <f>IF(P14&gt;=1,999,P14/(Inputs!$D$33*(1-P14))*60)</f>
        <v>0.50077503706699034</v>
      </c>
      <c r="R14" s="37">
        <f>MIN(1,MAX(0,(Q14-Inputs!$D$36)/(Inputs!$D$37-Inputs!$D$36)))</f>
        <v>0</v>
      </c>
      <c r="S14" s="35">
        <f>Inputs!$D$6*E14*Inputs!$D$27*(1-Inputs!$D$38*R14)</f>
        <v>4755.5200000000004</v>
      </c>
      <c r="T14" s="39">
        <f>S14*Inputs!$D$12</f>
        <v>76088.320000000007</v>
      </c>
      <c r="U14" s="39">
        <f>T14*(1-Inputs!$D$18)</f>
        <v>34239.743999999999</v>
      </c>
      <c r="V14" s="35">
        <f>Inputs!$D$6*F14*Inputs!$D$28*Inputs!$D$31</f>
        <v>664.12068515796761</v>
      </c>
      <c r="W14" s="36">
        <f>V14/(B14*Inputs!$D$34)</f>
        <v>0.99867772204205651</v>
      </c>
      <c r="X14" s="38">
        <f>IF(W14&gt;=1,999,W14/(Inputs!$D$34*(1-W14))*60)</f>
        <v>1294.749671797274</v>
      </c>
      <c r="Y14" s="37">
        <f>MIN(1,MAX(0,(X14-Inputs!$D$36)/(Inputs!$D$37-Inputs!$D$36)))</f>
        <v>1</v>
      </c>
      <c r="Z14" s="35">
        <f>Inputs!$D$6*F14*Inputs!$D$28*(1-Inputs!$D$38*Y14)</f>
        <v>2809.7413602837091</v>
      </c>
      <c r="AA14" s="39">
        <f>Z14*Inputs!$D$13</f>
        <v>23882.801562411529</v>
      </c>
      <c r="AB14" s="39">
        <f>AA14*(1-Inputs!$D$19)</f>
        <v>14329.680937446918</v>
      </c>
      <c r="AC14" s="39">
        <f t="shared" si="0"/>
        <v>247058.24058741154</v>
      </c>
      <c r="AD14" s="39">
        <f t="shared" si="1"/>
        <v>100049.91659619691</v>
      </c>
      <c r="AE14" s="36">
        <f t="shared" si="2"/>
        <v>1.3569443999999997</v>
      </c>
      <c r="AF14" s="35">
        <f>IF(AND(AE14&lt;=Inputs!$D$35,C14&gt;=Inputs!$D$48*(A14+B14+C14),B14*Inputs!$D$22&lt;=Inputs!$D$50*Inputs!$D$8,B14*Inputs!$D$22&gt;=Inputs!$D$49*Inputs!$D$8,A14*Inputs!$D$20&lt;=Inputs!$D$47*Inputs!$D$8,C14&gt;=1),1,0)</f>
        <v>0</v>
      </c>
      <c r="AG14" s="39">
        <f t="shared" si="3"/>
        <v>-1</v>
      </c>
    </row>
    <row r="15" spans="1:33" x14ac:dyDescent="0.25">
      <c r="A15" s="35">
        <v>25</v>
      </c>
      <c r="B15" s="35">
        <v>20</v>
      </c>
      <c r="C15" s="35">
        <f>Inputs!$D$8-A15-Inputs!$D$22*B15</f>
        <v>55</v>
      </c>
      <c r="D15" s="35">
        <f>A15*Inputs!$D$20+C15*Inputs!$D$21+B15*Inputs!$D$22</f>
        <v>120</v>
      </c>
      <c r="E15" s="36">
        <f>MIN(Inputs!$E$15,Inputs!$D$15*(C15/Inputs!$D$43)^Inputs!$D$44)</f>
        <v>0.4</v>
      </c>
      <c r="F15" s="36">
        <f>MIN(Inputs!$E$16,Inputs!$D$16*(B15/Inputs!$D$42)^Inputs!$D$44)</f>
        <v>0.4</v>
      </c>
      <c r="G15" s="37">
        <f>Inputs!$D$26*(1+Inputs!$D$41*(B15-Inputs!$D$42))</f>
        <v>1.5</v>
      </c>
      <c r="H15" s="35">
        <f>Inputs!$D$6*Inputs!$D$14*G15*Inputs!$D$29</f>
        <v>1884.645</v>
      </c>
      <c r="I15" s="36">
        <f>H15/(A15*Inputs!$D$32)</f>
        <v>1.3706509090909091</v>
      </c>
      <c r="J15" s="38">
        <f>IF(I15&gt;=1,999,I15/(Inputs!$D$32*(1-I15))*60)</f>
        <v>999</v>
      </c>
      <c r="K15" s="37">
        <f>MIN(1,MAX(0,(J15-Inputs!$D$36)/(Inputs!$D$37-Inputs!$D$36)))</f>
        <v>1</v>
      </c>
      <c r="L15" s="35">
        <f>Inputs!$D$6*Inputs!$D$14*G15*(1-Inputs!$D$38*K15)</f>
        <v>6910.3650000000016</v>
      </c>
      <c r="M15" s="39">
        <f>L15*Inputs!$D$11</f>
        <v>148572.84750000003</v>
      </c>
      <c r="N15" s="39">
        <f>M15*(1-Inputs!$D$17)</f>
        <v>52000.496625000007</v>
      </c>
      <c r="O15" s="35">
        <f>Inputs!$D$6*E15*Inputs!$D$27*Inputs!$D$30</f>
        <v>570.66240000000005</v>
      </c>
      <c r="P15" s="36">
        <f>O15/(C15*Inputs!$D$33)</f>
        <v>0.25939200000000001</v>
      </c>
      <c r="Q15" s="38">
        <f>IF(P15&gt;=1,999,P15/(Inputs!$D$33*(1-P15))*60)</f>
        <v>0.52536294503975123</v>
      </c>
      <c r="R15" s="37">
        <f>MIN(1,MAX(0,(Q15-Inputs!$D$36)/(Inputs!$D$37-Inputs!$D$36)))</f>
        <v>0</v>
      </c>
      <c r="S15" s="35">
        <f>Inputs!$D$6*E15*Inputs!$D$27*(1-Inputs!$D$38*R15)</f>
        <v>4755.5200000000004</v>
      </c>
      <c r="T15" s="39">
        <f>S15*Inputs!$D$12</f>
        <v>76088.320000000007</v>
      </c>
      <c r="U15" s="39">
        <f>T15*(1-Inputs!$D$18)</f>
        <v>34239.743999999999</v>
      </c>
      <c r="V15" s="35">
        <f>Inputs!$D$6*F15*Inputs!$D$28*Inputs!$D$31</f>
        <v>674.41919999999993</v>
      </c>
      <c r="W15" s="36">
        <f>V15/(B15*Inputs!$D$34)</f>
        <v>0.96345599999999987</v>
      </c>
      <c r="X15" s="38">
        <f>IF(W15&gt;=1,999,W15/(Inputs!$D$34*(1-W15))*60)</f>
        <v>45.195896922691851</v>
      </c>
      <c r="Y15" s="37">
        <f>MIN(1,MAX(0,(X15-Inputs!$D$36)/(Inputs!$D$37-Inputs!$D$36)))</f>
        <v>1</v>
      </c>
      <c r="Z15" s="35">
        <f>Inputs!$D$6*F15*Inputs!$D$28*(1-Inputs!$D$38*Y15)</f>
        <v>2853.3119999999999</v>
      </c>
      <c r="AA15" s="39">
        <f>Z15*Inputs!$D$13</f>
        <v>24253.151999999998</v>
      </c>
      <c r="AB15" s="39">
        <f>AA15*(1-Inputs!$D$19)</f>
        <v>14551.891199999998</v>
      </c>
      <c r="AC15" s="39">
        <f t="shared" si="0"/>
        <v>248914.31950000004</v>
      </c>
      <c r="AD15" s="39">
        <f t="shared" si="1"/>
        <v>100792.131825</v>
      </c>
      <c r="AE15" s="36">
        <f t="shared" si="2"/>
        <v>1.3706509090909091</v>
      </c>
      <c r="AF15" s="35">
        <f>IF(AND(AE15&lt;=Inputs!$D$35,C15&gt;=Inputs!$D$48*(A15+B15+C15),B15*Inputs!$D$22&lt;=Inputs!$D$50*Inputs!$D$8,B15*Inputs!$D$22&gt;=Inputs!$D$49*Inputs!$D$8,A15*Inputs!$D$20&lt;=Inputs!$D$47*Inputs!$D$8,C15&gt;=1),1,0)</f>
        <v>0</v>
      </c>
      <c r="AG15" s="39">
        <f t="shared" si="3"/>
        <v>-1</v>
      </c>
    </row>
    <row r="16" spans="1:33" x14ac:dyDescent="0.25">
      <c r="A16" s="35">
        <v>25</v>
      </c>
      <c r="B16" s="35">
        <v>21</v>
      </c>
      <c r="C16" s="35">
        <f>Inputs!$D$8-A16-Inputs!$D$22*B16</f>
        <v>53</v>
      </c>
      <c r="D16" s="35">
        <f>A16*Inputs!$D$20+C16*Inputs!$D$21+B16*Inputs!$D$22</f>
        <v>120</v>
      </c>
      <c r="E16" s="36">
        <f>MIN(Inputs!$E$15,Inputs!$D$15*(C16/Inputs!$D$43)^Inputs!$D$44)</f>
        <v>0.4</v>
      </c>
      <c r="F16" s="36">
        <f>MIN(Inputs!$E$16,Inputs!$D$16*(B16/Inputs!$D$42)^Inputs!$D$44)</f>
        <v>0.40589787816896217</v>
      </c>
      <c r="G16" s="37">
        <f>Inputs!$D$26*(1+Inputs!$D$41*(B16-Inputs!$D$42))</f>
        <v>1.5150000000000001</v>
      </c>
      <c r="H16" s="35">
        <f>Inputs!$D$6*Inputs!$D$14*G16*Inputs!$D$29</f>
        <v>1903.4914500000004</v>
      </c>
      <c r="I16" s="36">
        <f>H16/(A16*Inputs!$D$32)</f>
        <v>1.3843574181818186</v>
      </c>
      <c r="J16" s="38">
        <f>IF(I16&gt;=1,999,I16/(Inputs!$D$32*(1-I16))*60)</f>
        <v>999</v>
      </c>
      <c r="K16" s="37">
        <f>MIN(1,MAX(0,(J16-Inputs!$D$36)/(Inputs!$D$37-Inputs!$D$36)))</f>
        <v>1</v>
      </c>
      <c r="L16" s="35">
        <f>Inputs!$D$6*Inputs!$D$14*G16*(1-Inputs!$D$38*K16)</f>
        <v>6979.4686500000025</v>
      </c>
      <c r="M16" s="39">
        <f>L16*Inputs!$D$11</f>
        <v>150058.57597500004</v>
      </c>
      <c r="N16" s="39">
        <f>M16*(1-Inputs!$D$17)</f>
        <v>52520.501591250009</v>
      </c>
      <c r="O16" s="35">
        <f>Inputs!$D$6*E16*Inputs!$D$27*Inputs!$D$30</f>
        <v>570.66240000000005</v>
      </c>
      <c r="P16" s="36">
        <f>O16/(C16*Inputs!$D$33)</f>
        <v>0.2691803773584906</v>
      </c>
      <c r="Q16" s="38">
        <f>IF(P16&gt;=1,999,P16/(Inputs!$D$33*(1-P16))*60)</f>
        <v>0.5524900447778458</v>
      </c>
      <c r="R16" s="37">
        <f>MIN(1,MAX(0,(Q16-Inputs!$D$36)/(Inputs!$D$37-Inputs!$D$36)))</f>
        <v>0</v>
      </c>
      <c r="S16" s="35">
        <f>Inputs!$D$6*E16*Inputs!$D$27*(1-Inputs!$D$38*R16)</f>
        <v>4755.5200000000004</v>
      </c>
      <c r="T16" s="39">
        <f>S16*Inputs!$D$12</f>
        <v>76088.320000000007</v>
      </c>
      <c r="U16" s="39">
        <f>T16*(1-Inputs!$D$18)</f>
        <v>34239.743999999999</v>
      </c>
      <c r="V16" s="35">
        <f>Inputs!$D$6*F16*Inputs!$D$28*Inputs!$D$31</f>
        <v>684.36330569102222</v>
      </c>
      <c r="W16" s="36">
        <f>V16/(B16*Inputs!$D$34)</f>
        <v>0.93110653835513224</v>
      </c>
      <c r="X16" s="38">
        <f>IF(W16&gt;=1,999,W16/(Inputs!$D$34*(1-W16))*60)</f>
        <v>23.16885520150278</v>
      </c>
      <c r="Y16" s="37">
        <f>MIN(1,MAX(0,(X16-Inputs!$D$36)/(Inputs!$D$37-Inputs!$D$36)))</f>
        <v>1</v>
      </c>
      <c r="Z16" s="35">
        <f>Inputs!$D$6*F16*Inputs!$D$28*(1-Inputs!$D$38*Y16)</f>
        <v>2895.3832163850943</v>
      </c>
      <c r="AA16" s="39">
        <f>Z16*Inputs!$D$13</f>
        <v>24610.757339273303</v>
      </c>
      <c r="AB16" s="39">
        <f>AA16*(1-Inputs!$D$19)</f>
        <v>14766.454403563981</v>
      </c>
      <c r="AC16" s="39">
        <f t="shared" si="0"/>
        <v>250757.65331427334</v>
      </c>
      <c r="AD16" s="39">
        <f t="shared" si="1"/>
        <v>101526.699994814</v>
      </c>
      <c r="AE16" s="36">
        <f t="shared" si="2"/>
        <v>1.3843574181818186</v>
      </c>
      <c r="AF16" s="35">
        <f>IF(AND(AE16&lt;=Inputs!$D$35,C16&gt;=Inputs!$D$48*(A16+B16+C16),B16*Inputs!$D$22&lt;=Inputs!$D$50*Inputs!$D$8,B16*Inputs!$D$22&gt;=Inputs!$D$49*Inputs!$D$8,A16*Inputs!$D$20&lt;=Inputs!$D$47*Inputs!$D$8,C16&gt;=1),1,0)</f>
        <v>0</v>
      </c>
      <c r="AG16" s="39">
        <f t="shared" si="3"/>
        <v>-1</v>
      </c>
    </row>
    <row r="17" spans="1:33" x14ac:dyDescent="0.25">
      <c r="A17" s="35">
        <v>25</v>
      </c>
      <c r="B17" s="35">
        <v>22</v>
      </c>
      <c r="C17" s="35">
        <f>Inputs!$D$8-A17-Inputs!$D$22*B17</f>
        <v>51</v>
      </c>
      <c r="D17" s="35">
        <f>A17*Inputs!$D$20+C17*Inputs!$D$21+B17*Inputs!$D$22</f>
        <v>120</v>
      </c>
      <c r="E17" s="36">
        <f>MIN(Inputs!$E$15,Inputs!$D$15*(C17/Inputs!$D$43)^Inputs!$D$44)</f>
        <v>0.4</v>
      </c>
      <c r="F17" s="36">
        <f>MIN(Inputs!$E$16,Inputs!$D$16*(B17/Inputs!$D$42)^Inputs!$D$44)</f>
        <v>0.41160230376843804</v>
      </c>
      <c r="G17" s="37">
        <f>Inputs!$D$26*(1+Inputs!$D$41*(B17-Inputs!$D$42))</f>
        <v>1.53</v>
      </c>
      <c r="H17" s="35">
        <f>Inputs!$D$6*Inputs!$D$14*G17*Inputs!$D$29</f>
        <v>1922.3379</v>
      </c>
      <c r="I17" s="36">
        <f>H17/(A17*Inputs!$D$32)</f>
        <v>1.3980639272727273</v>
      </c>
      <c r="J17" s="38">
        <f>IF(I17&gt;=1,999,I17/(Inputs!$D$32*(1-I17))*60)</f>
        <v>999</v>
      </c>
      <c r="K17" s="37">
        <f>MIN(1,MAX(0,(J17-Inputs!$D$36)/(Inputs!$D$37-Inputs!$D$36)))</f>
        <v>1</v>
      </c>
      <c r="L17" s="35">
        <f>Inputs!$D$6*Inputs!$D$14*G17*(1-Inputs!$D$38*K17)</f>
        <v>7048.5723000000016</v>
      </c>
      <c r="M17" s="39">
        <f>L17*Inputs!$D$11</f>
        <v>151544.30445000003</v>
      </c>
      <c r="N17" s="39">
        <f>M17*(1-Inputs!$D$17)</f>
        <v>53040.506557500004</v>
      </c>
      <c r="O17" s="35">
        <f>Inputs!$D$6*E17*Inputs!$D$27*Inputs!$D$30</f>
        <v>570.66240000000005</v>
      </c>
      <c r="P17" s="36">
        <f>O17/(C17*Inputs!$D$33)</f>
        <v>0.27973647058823531</v>
      </c>
      <c r="Q17" s="38">
        <f>IF(P17&gt;=1,999,P17/(Inputs!$D$33*(1-P17))*60)</f>
        <v>0.5825710850930379</v>
      </c>
      <c r="R17" s="37">
        <f>MIN(1,MAX(0,(Q17-Inputs!$D$36)/(Inputs!$D$37-Inputs!$D$36)))</f>
        <v>0</v>
      </c>
      <c r="S17" s="35">
        <f>Inputs!$D$6*E17*Inputs!$D$27*(1-Inputs!$D$38*R17)</f>
        <v>4755.5200000000004</v>
      </c>
      <c r="T17" s="39">
        <f>S17*Inputs!$D$12</f>
        <v>76088.320000000007</v>
      </c>
      <c r="U17" s="39">
        <f>T17*(1-Inputs!$D$18)</f>
        <v>34239.743999999999</v>
      </c>
      <c r="V17" s="35">
        <f>Inputs!$D$6*F17*Inputs!$D$28*Inputs!$D$31</f>
        <v>693.98124106416742</v>
      </c>
      <c r="W17" s="36">
        <f>V17/(B17*Inputs!$D$34)</f>
        <v>0.90127433904437326</v>
      </c>
      <c r="X17" s="38">
        <f>IF(W17&gt;=1,999,W17/(Inputs!$D$34*(1-W17))*60)</f>
        <v>15.649849381818807</v>
      </c>
      <c r="Y17" s="37">
        <f>MIN(1,MAX(0,(X17-Inputs!$D$36)/(Inputs!$D$37-Inputs!$D$36)))</f>
        <v>0.70998995878792048</v>
      </c>
      <c r="Z17" s="35">
        <f>Inputs!$D$6*F17*Inputs!$D$28*(1-Inputs!$D$38*Y17)</f>
        <v>3632.749002537963</v>
      </c>
      <c r="AA17" s="39">
        <f>Z17*Inputs!$D$13</f>
        <v>30878.366521572687</v>
      </c>
      <c r="AB17" s="39">
        <f>AA17*(1-Inputs!$D$19)</f>
        <v>18527.019912943611</v>
      </c>
      <c r="AC17" s="39">
        <f t="shared" si="0"/>
        <v>258510.99097157273</v>
      </c>
      <c r="AD17" s="39">
        <f t="shared" si="1"/>
        <v>105807.2704704436</v>
      </c>
      <c r="AE17" s="36">
        <f t="shared" si="2"/>
        <v>1.3980639272727273</v>
      </c>
      <c r="AF17" s="35">
        <f>IF(AND(AE17&lt;=Inputs!$D$35,C17&gt;=Inputs!$D$48*(A17+B17+C17),B17*Inputs!$D$22&lt;=Inputs!$D$50*Inputs!$D$8,B17*Inputs!$D$22&gt;=Inputs!$D$49*Inputs!$D$8,A17*Inputs!$D$20&lt;=Inputs!$D$47*Inputs!$D$8,C17&gt;=1),1,0)</f>
        <v>0</v>
      </c>
      <c r="AG17" s="39">
        <f t="shared" si="3"/>
        <v>-1</v>
      </c>
    </row>
    <row r="18" spans="1:33" x14ac:dyDescent="0.25">
      <c r="A18" s="35">
        <v>25</v>
      </c>
      <c r="B18" s="35">
        <v>23</v>
      </c>
      <c r="C18" s="35">
        <f>Inputs!$D$8-A18-Inputs!$D$22*B18</f>
        <v>49</v>
      </c>
      <c r="D18" s="35">
        <f>A18*Inputs!$D$20+C18*Inputs!$D$21+B18*Inputs!$D$22</f>
        <v>120</v>
      </c>
      <c r="E18" s="36">
        <f>MIN(Inputs!$E$15,Inputs!$D$15*(C18/Inputs!$D$43)^Inputs!$D$44)</f>
        <v>0.39770420454194916</v>
      </c>
      <c r="F18" s="36">
        <f>MIN(Inputs!$E$16,Inputs!$D$16*(B18/Inputs!$D$42)^Inputs!$D$44)</f>
        <v>0.41712800028621322</v>
      </c>
      <c r="G18" s="37">
        <f>Inputs!$D$26*(1+Inputs!$D$41*(B18-Inputs!$D$42))</f>
        <v>1.5449999999999999</v>
      </c>
      <c r="H18" s="35">
        <f>Inputs!$D$6*Inputs!$D$14*G18*Inputs!$D$29</f>
        <v>1941.18435</v>
      </c>
      <c r="I18" s="36">
        <f>H18/(A18*Inputs!$D$32)</f>
        <v>1.4117704363636363</v>
      </c>
      <c r="J18" s="38">
        <f>IF(I18&gt;=1,999,I18/(Inputs!$D$32*(1-I18))*60)</f>
        <v>999</v>
      </c>
      <c r="K18" s="37">
        <f>MIN(1,MAX(0,(J18-Inputs!$D$36)/(Inputs!$D$37-Inputs!$D$36)))</f>
        <v>1</v>
      </c>
      <c r="L18" s="35">
        <f>Inputs!$D$6*Inputs!$D$14*G18*(1-Inputs!$D$38*K18)</f>
        <v>7117.6759500000016</v>
      </c>
      <c r="M18" s="39">
        <f>L18*Inputs!$D$11</f>
        <v>153030.03292500004</v>
      </c>
      <c r="N18" s="39">
        <f>M18*(1-Inputs!$D$17)</f>
        <v>53560.511523750007</v>
      </c>
      <c r="O18" s="35">
        <f>Inputs!$D$6*E18*Inputs!$D$27*Inputs!$D$30</f>
        <v>567.38708963499903</v>
      </c>
      <c r="P18" s="36">
        <f>O18/(C18*Inputs!$D$33)</f>
        <v>0.2894832089974485</v>
      </c>
      <c r="Q18" s="38">
        <f>IF(P18&gt;=1,999,P18/(Inputs!$D$33*(1-P18))*60)</f>
        <v>0.61113941147467321</v>
      </c>
      <c r="R18" s="37">
        <f>MIN(1,MAX(0,(Q18-Inputs!$D$36)/(Inputs!$D$37-Inputs!$D$36)))</f>
        <v>0</v>
      </c>
      <c r="S18" s="35">
        <f>Inputs!$D$6*E18*Inputs!$D$27*(1-Inputs!$D$38*R18)</f>
        <v>4728.2257469583255</v>
      </c>
      <c r="T18" s="39">
        <f>S18*Inputs!$D$12</f>
        <v>75651.611951333209</v>
      </c>
      <c r="U18" s="39">
        <f>T18*(1-Inputs!$D$18)</f>
        <v>34043.225378099938</v>
      </c>
      <c r="V18" s="35">
        <f>Inputs!$D$6*F18*Inputs!$D$28*Inputs!$D$31</f>
        <v>703.29783062656929</v>
      </c>
      <c r="W18" s="36">
        <f>V18/(B18*Inputs!$D$34)</f>
        <v>0.87366190139946498</v>
      </c>
      <c r="X18" s="38">
        <f>IF(W18&gt;=1,999,W18/(Inputs!$D$34*(1-W18))*60)</f>
        <v>11.854746377182334</v>
      </c>
      <c r="Y18" s="37">
        <f>MIN(1,MAX(0,(X18-Inputs!$D$36)/(Inputs!$D$37-Inputs!$D$36)))</f>
        <v>0.45698309181215557</v>
      </c>
      <c r="Z18" s="35">
        <f>Inputs!$D$6*F18*Inputs!$D$28*(1-Inputs!$D$38*Y18)</f>
        <v>4297.4614071503011</v>
      </c>
      <c r="AA18" s="39">
        <f>Z18*Inputs!$D$13</f>
        <v>36528.421960777559</v>
      </c>
      <c r="AB18" s="39">
        <f>AA18*(1-Inputs!$D$19)</f>
        <v>21917.053176466536</v>
      </c>
      <c r="AC18" s="39">
        <f t="shared" si="0"/>
        <v>265210.06683711079</v>
      </c>
      <c r="AD18" s="39">
        <f t="shared" si="1"/>
        <v>109520.79007831648</v>
      </c>
      <c r="AE18" s="36">
        <f t="shared" si="2"/>
        <v>1.4117704363636363</v>
      </c>
      <c r="AF18" s="35">
        <f>IF(AND(AE18&lt;=Inputs!$D$35,C18&gt;=Inputs!$D$48*(A18+B18+C18),B18*Inputs!$D$22&lt;=Inputs!$D$50*Inputs!$D$8,B18*Inputs!$D$22&gt;=Inputs!$D$49*Inputs!$D$8,A18*Inputs!$D$20&lt;=Inputs!$D$47*Inputs!$D$8,C18&gt;=1),1,0)</f>
        <v>0</v>
      </c>
      <c r="AG18" s="39">
        <f t="shared" si="3"/>
        <v>-1</v>
      </c>
    </row>
    <row r="19" spans="1:33" x14ac:dyDescent="0.25">
      <c r="A19" s="35">
        <v>25</v>
      </c>
      <c r="B19" s="35">
        <v>24</v>
      </c>
      <c r="C19" s="35">
        <f>Inputs!$D$8-A19-Inputs!$D$22*B19</f>
        <v>47</v>
      </c>
      <c r="D19" s="35">
        <f>A19*Inputs!$D$20+C19*Inputs!$D$21+B19*Inputs!$D$22</f>
        <v>120</v>
      </c>
      <c r="E19" s="36">
        <f>MIN(Inputs!$E$15,Inputs!$D$15*(C19/Inputs!$D$43)^Inputs!$D$44)</f>
        <v>0.39276313309091065</v>
      </c>
      <c r="F19" s="36">
        <f>MIN(Inputs!$E$16,Inputs!$D$16*(B19/Inputs!$D$42)^Inputs!$D$44)</f>
        <v>0.42248798737570326</v>
      </c>
      <c r="G19" s="37">
        <f>Inputs!$D$26*(1+Inputs!$D$41*(B19-Inputs!$D$42))</f>
        <v>1.56</v>
      </c>
      <c r="H19" s="35">
        <f>Inputs!$D$6*Inputs!$D$14*G19*Inputs!$D$29</f>
        <v>1960.0308</v>
      </c>
      <c r="I19" s="36">
        <f>H19/(A19*Inputs!$D$32)</f>
        <v>1.4254769454545455</v>
      </c>
      <c r="J19" s="38">
        <f>IF(I19&gt;=1,999,I19/(Inputs!$D$32*(1-I19))*60)</f>
        <v>999</v>
      </c>
      <c r="K19" s="37">
        <f>MIN(1,MAX(0,(J19-Inputs!$D$36)/(Inputs!$D$37-Inputs!$D$36)))</f>
        <v>1</v>
      </c>
      <c r="L19" s="35">
        <f>Inputs!$D$6*Inputs!$D$14*G19*(1-Inputs!$D$38*K19)</f>
        <v>7186.7796000000017</v>
      </c>
      <c r="M19" s="39">
        <f>L19*Inputs!$D$11</f>
        <v>154515.76140000005</v>
      </c>
      <c r="N19" s="39">
        <f>M19*(1-Inputs!$D$17)</f>
        <v>54080.516490000016</v>
      </c>
      <c r="O19" s="35">
        <f>Inputs!$D$6*E19*Inputs!$D$27*Inputs!$D$30</f>
        <v>560.33788040294633</v>
      </c>
      <c r="P19" s="36">
        <f>O19/(C19*Inputs!$D$33)</f>
        <v>0.29805206404412038</v>
      </c>
      <c r="Q19" s="38">
        <f>IF(P19&gt;=1,999,P19/(Inputs!$D$33*(1-P19))*60)</f>
        <v>0.63691062138016075</v>
      </c>
      <c r="R19" s="37">
        <f>MIN(1,MAX(0,(Q19-Inputs!$D$36)/(Inputs!$D$37-Inputs!$D$36)))</f>
        <v>0</v>
      </c>
      <c r="S19" s="35">
        <f>Inputs!$D$6*E19*Inputs!$D$27*(1-Inputs!$D$38*R19)</f>
        <v>4669.4823366912196</v>
      </c>
      <c r="T19" s="39">
        <f>S19*Inputs!$D$12</f>
        <v>74711.717387059514</v>
      </c>
      <c r="U19" s="39">
        <f>T19*(1-Inputs!$D$18)</f>
        <v>33620.272824176776</v>
      </c>
      <c r="V19" s="35">
        <f>Inputs!$D$6*F19*Inputs!$D$28*Inputs!$D$31</f>
        <v>712.33502613882979</v>
      </c>
      <c r="W19" s="36">
        <f>V19/(B19*Inputs!$D$34)</f>
        <v>0.84801788826051161</v>
      </c>
      <c r="X19" s="38">
        <f>IF(W19&gt;=1,999,W19/(Inputs!$D$34*(1-W19))*60)</f>
        <v>9.5652372155190832</v>
      </c>
      <c r="Y19" s="37">
        <f>MIN(1,MAX(0,(X19-Inputs!$D$36)/(Inputs!$D$37-Inputs!$D$36)))</f>
        <v>0.30434914770127219</v>
      </c>
      <c r="Z19" s="35">
        <f>Inputs!$D$6*F19*Inputs!$D$28*(1-Inputs!$D$38*Y19)</f>
        <v>4729.0436538571339</v>
      </c>
      <c r="AA19" s="39">
        <f>Z19*Inputs!$D$13</f>
        <v>40196.87105778564</v>
      </c>
      <c r="AB19" s="39">
        <f>AA19*(1-Inputs!$D$19)</f>
        <v>24118.122634671385</v>
      </c>
      <c r="AC19" s="39">
        <f t="shared" si="0"/>
        <v>269424.34984484519</v>
      </c>
      <c r="AD19" s="39">
        <f t="shared" si="1"/>
        <v>111818.91194884818</v>
      </c>
      <c r="AE19" s="36">
        <f t="shared" si="2"/>
        <v>1.4254769454545455</v>
      </c>
      <c r="AF19" s="35">
        <f>IF(AND(AE19&lt;=Inputs!$D$35,C19&gt;=Inputs!$D$48*(A19+B19+C19),B19*Inputs!$D$22&lt;=Inputs!$D$50*Inputs!$D$8,B19*Inputs!$D$22&gt;=Inputs!$D$49*Inputs!$D$8,A19*Inputs!$D$20&lt;=Inputs!$D$47*Inputs!$D$8,C19&gt;=1),1,0)</f>
        <v>0</v>
      </c>
      <c r="AG19" s="39">
        <f t="shared" si="3"/>
        <v>-1</v>
      </c>
    </row>
    <row r="20" spans="1:33" x14ac:dyDescent="0.25">
      <c r="A20" s="35">
        <v>25</v>
      </c>
      <c r="B20" s="35">
        <v>25</v>
      </c>
      <c r="C20" s="35">
        <f>Inputs!$D$8-A20-Inputs!$D$22*B20</f>
        <v>45</v>
      </c>
      <c r="D20" s="35">
        <f>A20*Inputs!$D$20+C20*Inputs!$D$21+B20*Inputs!$D$22</f>
        <v>120</v>
      </c>
      <c r="E20" s="36">
        <f>MIN(Inputs!$E$15,Inputs!$D$15*(C20/Inputs!$D$43)^Inputs!$D$44)</f>
        <v>0.38767260497069417</v>
      </c>
      <c r="F20" s="36">
        <f>MIN(Inputs!$E$16,Inputs!$D$16*(B20/Inputs!$D$42)^Inputs!$D$44)</f>
        <v>0.42769383999647526</v>
      </c>
      <c r="G20" s="37">
        <f>Inputs!$D$26*(1+Inputs!$D$41*(B20-Inputs!$D$42))</f>
        <v>1.5750000000000002</v>
      </c>
      <c r="H20" s="35">
        <f>Inputs!$D$6*Inputs!$D$14*G20*Inputs!$D$29</f>
        <v>1978.8772500000005</v>
      </c>
      <c r="I20" s="36">
        <f>H20/(A20*Inputs!$D$32)</f>
        <v>1.4391834545454549</v>
      </c>
      <c r="J20" s="38">
        <f>IF(I20&gt;=1,999,I20/(Inputs!$D$32*(1-I20))*60)</f>
        <v>999</v>
      </c>
      <c r="K20" s="37">
        <f>MIN(1,MAX(0,(J20-Inputs!$D$36)/(Inputs!$D$37-Inputs!$D$36)))</f>
        <v>1</v>
      </c>
      <c r="L20" s="35">
        <f>Inputs!$D$6*Inputs!$D$14*G20*(1-Inputs!$D$38*K20)</f>
        <v>7255.8832500000026</v>
      </c>
      <c r="M20" s="39">
        <f>L20*Inputs!$D$11</f>
        <v>156001.48987500006</v>
      </c>
      <c r="N20" s="39">
        <f>M20*(1-Inputs!$D$17)</f>
        <v>54600.521456250019</v>
      </c>
      <c r="O20" s="35">
        <f>Inputs!$D$6*E20*Inputs!$D$27*Inputs!$D$30</f>
        <v>553.07544791707073</v>
      </c>
      <c r="P20" s="36">
        <f>O20/(C20*Inputs!$D$33)</f>
        <v>0.30726413773170597</v>
      </c>
      <c r="Q20" s="38">
        <f>IF(P20&gt;=1,999,P20/(Inputs!$D$33*(1-P20))*60)</f>
        <v>0.66532748151423926</v>
      </c>
      <c r="R20" s="37">
        <f>MIN(1,MAX(0,(Q20-Inputs!$D$36)/(Inputs!$D$37-Inputs!$D$36)))</f>
        <v>0</v>
      </c>
      <c r="S20" s="35">
        <f>Inputs!$D$6*E20*Inputs!$D$27*(1-Inputs!$D$38*R20)</f>
        <v>4608.9620659755892</v>
      </c>
      <c r="T20" s="39">
        <f>S20*Inputs!$D$12</f>
        <v>73743.393055609427</v>
      </c>
      <c r="U20" s="39">
        <f>T20*(1-Inputs!$D$18)</f>
        <v>33184.526875024239</v>
      </c>
      <c r="V20" s="35">
        <f>Inputs!$D$6*F20*Inputs!$D$28*Inputs!$D$31</f>
        <v>721.1123435383771</v>
      </c>
      <c r="W20" s="36">
        <f>V20/(B20*Inputs!$D$34)</f>
        <v>0.82412839261528814</v>
      </c>
      <c r="X20" s="38">
        <f>IF(W20&gt;=1,999,W20/(Inputs!$D$34*(1-W20))*60)</f>
        <v>8.0330847668163621</v>
      </c>
      <c r="Y20" s="37">
        <f>MIN(1,MAX(0,(X20-Inputs!$D$36)/(Inputs!$D$37-Inputs!$D$36)))</f>
        <v>0.20220565112109082</v>
      </c>
      <c r="Z20" s="35">
        <f>Inputs!$D$6*F20*Inputs!$D$28*(1-Inputs!$D$38*Y20)</f>
        <v>5042.2807508299393</v>
      </c>
      <c r="AA20" s="39">
        <f>Z20*Inputs!$D$13</f>
        <v>42859.386382054487</v>
      </c>
      <c r="AB20" s="39">
        <f>AA20*(1-Inputs!$D$19)</f>
        <v>25715.631829232691</v>
      </c>
      <c r="AC20" s="39">
        <f t="shared" si="0"/>
        <v>272604.26931266399</v>
      </c>
      <c r="AD20" s="39">
        <f t="shared" si="1"/>
        <v>113500.68016050695</v>
      </c>
      <c r="AE20" s="36">
        <f t="shared" si="2"/>
        <v>1.4391834545454549</v>
      </c>
      <c r="AF20" s="35">
        <f>IF(AND(AE20&lt;=Inputs!$D$35,C20&gt;=Inputs!$D$48*(A20+B20+C20),B20*Inputs!$D$22&lt;=Inputs!$D$50*Inputs!$D$8,B20*Inputs!$D$22&gt;=Inputs!$D$49*Inputs!$D$8,A20*Inputs!$D$20&lt;=Inputs!$D$47*Inputs!$D$8,C20&gt;=1),1,0)</f>
        <v>0</v>
      </c>
      <c r="AG20" s="39">
        <f t="shared" si="3"/>
        <v>-1</v>
      </c>
    </row>
    <row r="21" spans="1:33" x14ac:dyDescent="0.25">
      <c r="A21" s="35">
        <v>25</v>
      </c>
      <c r="B21" s="35">
        <v>26</v>
      </c>
      <c r="C21" s="35">
        <f>Inputs!$D$8-A21-Inputs!$D$22*B21</f>
        <v>43</v>
      </c>
      <c r="D21" s="35">
        <f>A21*Inputs!$D$20+C21*Inputs!$D$21+B21*Inputs!$D$22</f>
        <v>120</v>
      </c>
      <c r="E21" s="36">
        <f>MIN(Inputs!$E$15,Inputs!$D$15*(C21/Inputs!$D$43)^Inputs!$D$44)</f>
        <v>0.38242114286867052</v>
      </c>
      <c r="F21" s="36">
        <f>MIN(Inputs!$E$16,Inputs!$D$16*(B21/Inputs!$D$42)^Inputs!$D$44)</f>
        <v>0.43275589945781112</v>
      </c>
      <c r="G21" s="37">
        <f>Inputs!$D$26*(1+Inputs!$D$41*(B21-Inputs!$D$42))</f>
        <v>1.59</v>
      </c>
      <c r="H21" s="35">
        <f>Inputs!$D$6*Inputs!$D$14*G21*Inputs!$D$29</f>
        <v>1997.7237</v>
      </c>
      <c r="I21" s="36">
        <f>H21/(A21*Inputs!$D$32)</f>
        <v>1.4528899636363637</v>
      </c>
      <c r="J21" s="38">
        <f>IF(I21&gt;=1,999,I21/(Inputs!$D$32*(1-I21))*60)</f>
        <v>999</v>
      </c>
      <c r="K21" s="37">
        <f>MIN(1,MAX(0,(J21-Inputs!$D$36)/(Inputs!$D$37-Inputs!$D$36)))</f>
        <v>1</v>
      </c>
      <c r="L21" s="35">
        <f>Inputs!$D$6*Inputs!$D$14*G21*(1-Inputs!$D$38*K21)</f>
        <v>7324.9869000000017</v>
      </c>
      <c r="M21" s="39">
        <f>L21*Inputs!$D$11</f>
        <v>157487.21835000004</v>
      </c>
      <c r="N21" s="39">
        <f>M21*(1-Inputs!$D$17)</f>
        <v>55120.526422500014</v>
      </c>
      <c r="O21" s="35">
        <f>Inputs!$D$6*E21*Inputs!$D$27*Inputs!$D$30</f>
        <v>545.58341800044604</v>
      </c>
      <c r="P21" s="36">
        <f>O21/(C21*Inputs!$D$33)</f>
        <v>0.31719966162816632</v>
      </c>
      <c r="Q21" s="38">
        <f>IF(P21&gt;=1,999,P21/(Inputs!$D$33*(1-P21))*60)</f>
        <v>0.69683546668534679</v>
      </c>
      <c r="R21" s="37">
        <f>MIN(1,MAX(0,(Q21-Inputs!$D$36)/(Inputs!$D$37-Inputs!$D$36)))</f>
        <v>0</v>
      </c>
      <c r="S21" s="35">
        <f>Inputs!$D$6*E21*Inputs!$D$27*(1-Inputs!$D$38*R21)</f>
        <v>4546.5284833370506</v>
      </c>
      <c r="T21" s="39">
        <f>S21*Inputs!$D$12</f>
        <v>72744.45573339281</v>
      </c>
      <c r="U21" s="39">
        <f>T21*(1-Inputs!$D$18)</f>
        <v>32735.00508002676</v>
      </c>
      <c r="V21" s="35">
        <f>Inputs!$D$6*F21*Inputs!$D$28*Inputs!$D$31</f>
        <v>729.64721876904355</v>
      </c>
      <c r="W21" s="36">
        <f>V21/(B21*Inputs!$D$34)</f>
        <v>0.80181013051543248</v>
      </c>
      <c r="X21" s="38">
        <f>IF(W21&gt;=1,999,W21/(Inputs!$D$34*(1-W21))*60)</f>
        <v>6.9354284146153136</v>
      </c>
      <c r="Y21" s="37">
        <f>MIN(1,MAX(0,(X21-Inputs!$D$36)/(Inputs!$D$37-Inputs!$D$36)))</f>
        <v>0.12902856097435425</v>
      </c>
      <c r="Z21" s="35">
        <f>Inputs!$D$6*F21*Inputs!$D$28*(1-Inputs!$D$38*Y21)</f>
        <v>5286.7832305655711</v>
      </c>
      <c r="AA21" s="39">
        <f>Z21*Inputs!$D$13</f>
        <v>44937.657459807357</v>
      </c>
      <c r="AB21" s="39">
        <f>AA21*(1-Inputs!$D$19)</f>
        <v>26962.594475884413</v>
      </c>
      <c r="AC21" s="39">
        <f t="shared" si="0"/>
        <v>275169.33154320018</v>
      </c>
      <c r="AD21" s="39">
        <f t="shared" si="1"/>
        <v>114818.12597841119</v>
      </c>
      <c r="AE21" s="36">
        <f t="shared" si="2"/>
        <v>1.4528899636363637</v>
      </c>
      <c r="AF21" s="35">
        <f>IF(AND(AE21&lt;=Inputs!$D$35,C21&gt;=Inputs!$D$48*(A21+B21+C21),B21*Inputs!$D$22&lt;=Inputs!$D$50*Inputs!$D$8,B21*Inputs!$D$22&gt;=Inputs!$D$49*Inputs!$D$8,A21*Inputs!$D$20&lt;=Inputs!$D$47*Inputs!$D$8,C21&gt;=1),1,0)</f>
        <v>0</v>
      </c>
      <c r="AG21" s="39">
        <f t="shared" si="3"/>
        <v>-1</v>
      </c>
    </row>
    <row r="22" spans="1:33" x14ac:dyDescent="0.25">
      <c r="A22" s="35">
        <v>25</v>
      </c>
      <c r="B22" s="35">
        <v>27</v>
      </c>
      <c r="C22" s="35">
        <f>Inputs!$D$8-A22-Inputs!$D$22*B22</f>
        <v>41</v>
      </c>
      <c r="D22" s="35">
        <f>A22*Inputs!$D$20+C22*Inputs!$D$21+B22*Inputs!$D$22</f>
        <v>120</v>
      </c>
      <c r="E22" s="36">
        <f>MIN(Inputs!$E$15,Inputs!$D$15*(C22/Inputs!$D$43)^Inputs!$D$44)</f>
        <v>0.37699580304543617</v>
      </c>
      <c r="F22" s="36">
        <f>MIN(Inputs!$E$16,Inputs!$D$16*(B22/Inputs!$D$42)^Inputs!$D$44)</f>
        <v>0.43768344678187454</v>
      </c>
      <c r="G22" s="37">
        <f>Inputs!$D$26*(1+Inputs!$D$41*(B22-Inputs!$D$42))</f>
        <v>1.605</v>
      </c>
      <c r="H22" s="35">
        <f>Inputs!$D$6*Inputs!$D$14*G22*Inputs!$D$29</f>
        <v>2016.57015</v>
      </c>
      <c r="I22" s="36">
        <f>H22/(A22*Inputs!$D$32)</f>
        <v>1.4665964727272727</v>
      </c>
      <c r="J22" s="38">
        <f>IF(I22&gt;=1,999,I22/(Inputs!$D$32*(1-I22))*60)</f>
        <v>999</v>
      </c>
      <c r="K22" s="37">
        <f>MIN(1,MAX(0,(J22-Inputs!$D$36)/(Inputs!$D$37-Inputs!$D$36)))</f>
        <v>1</v>
      </c>
      <c r="L22" s="35">
        <f>Inputs!$D$6*Inputs!$D$14*G22*(1-Inputs!$D$38*K22)</f>
        <v>7394.0905500000017</v>
      </c>
      <c r="M22" s="39">
        <f>L22*Inputs!$D$11</f>
        <v>158972.94682500005</v>
      </c>
      <c r="N22" s="39">
        <f>M22*(1-Inputs!$D$17)</f>
        <v>55640.531388750016</v>
      </c>
      <c r="O22" s="35">
        <f>Inputs!$D$6*E22*Inputs!$D$27*Inputs!$D$30</f>
        <v>537.84332438958984</v>
      </c>
      <c r="P22" s="36">
        <f>O22/(C22*Inputs!$D$33)</f>
        <v>0.3279532465790182</v>
      </c>
      <c r="Q22" s="38">
        <f>IF(P22&gt;=1,999,P22/(Inputs!$D$33*(1-P22))*60)</f>
        <v>0.73198756985940516</v>
      </c>
      <c r="R22" s="37">
        <f>MIN(1,MAX(0,(Q22-Inputs!$D$36)/(Inputs!$D$37-Inputs!$D$36)))</f>
        <v>0</v>
      </c>
      <c r="S22" s="35">
        <f>Inputs!$D$6*E22*Inputs!$D$27*(1-Inputs!$D$38*R22)</f>
        <v>4482.027703246582</v>
      </c>
      <c r="T22" s="39">
        <f>S22*Inputs!$D$12</f>
        <v>71712.443251945311</v>
      </c>
      <c r="U22" s="39">
        <f>T22*(1-Inputs!$D$18)</f>
        <v>32270.599463375387</v>
      </c>
      <c r="V22" s="35">
        <f>Inputs!$D$6*F22*Inputs!$D$28*Inputs!$D$31</f>
        <v>737.95530007968603</v>
      </c>
      <c r="W22" s="36">
        <f>V22/(B22*Inputs!$D$34)</f>
        <v>0.78090507944940324</v>
      </c>
      <c r="X22" s="38">
        <f>IF(W22&gt;=1,999,W22/(Inputs!$D$34*(1-W22))*60)</f>
        <v>6.1101116290101798</v>
      </c>
      <c r="Y22" s="37">
        <f>MIN(1,MAX(0,(X22-Inputs!$D$36)/(Inputs!$D$37-Inputs!$D$36)))</f>
        <v>7.4007441934011986E-2</v>
      </c>
      <c r="Z22" s="35">
        <f>Inputs!$D$6*F22*Inputs!$D$28*(1-Inputs!$D$38*Y22)</f>
        <v>5487.5301328495489</v>
      </c>
      <c r="AA22" s="39">
        <f>Z22*Inputs!$D$13</f>
        <v>46644.006129221169</v>
      </c>
      <c r="AB22" s="39">
        <f>AA22*(1-Inputs!$D$19)</f>
        <v>27986.4036775327</v>
      </c>
      <c r="AC22" s="39">
        <f t="shared" si="0"/>
        <v>277329.39620616654</v>
      </c>
      <c r="AD22" s="39">
        <f t="shared" si="1"/>
        <v>115897.53452965811</v>
      </c>
      <c r="AE22" s="36">
        <f t="shared" si="2"/>
        <v>1.4665964727272727</v>
      </c>
      <c r="AF22" s="35">
        <f>IF(AND(AE22&lt;=Inputs!$D$35,C22&gt;=Inputs!$D$48*(A22+B22+C22),B22*Inputs!$D$22&lt;=Inputs!$D$50*Inputs!$D$8,B22*Inputs!$D$22&gt;=Inputs!$D$49*Inputs!$D$8,A22*Inputs!$D$20&lt;=Inputs!$D$47*Inputs!$D$8,C22&gt;=1),1,0)</f>
        <v>0</v>
      </c>
      <c r="AG22" s="39">
        <f t="shared" si="3"/>
        <v>-1</v>
      </c>
    </row>
    <row r="23" spans="1:33" x14ac:dyDescent="0.25">
      <c r="A23" s="35">
        <v>25</v>
      </c>
      <c r="B23" s="35">
        <v>28</v>
      </c>
      <c r="C23" s="35">
        <f>Inputs!$D$8-A23-Inputs!$D$22*B23</f>
        <v>39</v>
      </c>
      <c r="D23" s="35">
        <f>A23*Inputs!$D$20+C23*Inputs!$D$21+B23*Inputs!$D$22</f>
        <v>120</v>
      </c>
      <c r="E23" s="36">
        <f>MIN(Inputs!$E$15,Inputs!$D$15*(C23/Inputs!$D$43)^Inputs!$D$44)</f>
        <v>0.37138190575462604</v>
      </c>
      <c r="F23" s="36">
        <f>MIN(Inputs!$E$16,Inputs!$D$16*(B23/Inputs!$D$42)^Inputs!$D$44)</f>
        <v>0.44248484624799689</v>
      </c>
      <c r="G23" s="37">
        <f>Inputs!$D$26*(1+Inputs!$D$41*(B23-Inputs!$D$42))</f>
        <v>1.62</v>
      </c>
      <c r="H23" s="35">
        <f>Inputs!$D$6*Inputs!$D$14*G23*Inputs!$D$29</f>
        <v>2035.4166</v>
      </c>
      <c r="I23" s="36">
        <f>H23/(A23*Inputs!$D$32)</f>
        <v>1.4803029818181819</v>
      </c>
      <c r="J23" s="38">
        <f>IF(I23&gt;=1,999,I23/(Inputs!$D$32*(1-I23))*60)</f>
        <v>999</v>
      </c>
      <c r="K23" s="37">
        <f>MIN(1,MAX(0,(J23-Inputs!$D$36)/(Inputs!$D$37-Inputs!$D$36)))</f>
        <v>1</v>
      </c>
      <c r="L23" s="35">
        <f>Inputs!$D$6*Inputs!$D$14*G23*(1-Inputs!$D$38*K23)</f>
        <v>7463.1942000000017</v>
      </c>
      <c r="M23" s="39">
        <f>L23*Inputs!$D$11</f>
        <v>160458.67530000003</v>
      </c>
      <c r="N23" s="39">
        <f>M23*(1-Inputs!$D$17)</f>
        <v>56160.536355000011</v>
      </c>
      <c r="O23" s="35">
        <f>Inputs!$D$6*E23*Inputs!$D$27*Inputs!$D$30</f>
        <v>529.8342241362717</v>
      </c>
      <c r="P23" s="36">
        <f>O23/(C23*Inputs!$D$33)</f>
        <v>0.33963732316427675</v>
      </c>
      <c r="Q23" s="38">
        <f>IF(P23&gt;=1,999,P23/(Inputs!$D$33*(1-P23))*60)</f>
        <v>0.77147907145144612</v>
      </c>
      <c r="R23" s="37">
        <f>MIN(1,MAX(0,(Q23-Inputs!$D$36)/(Inputs!$D$37-Inputs!$D$36)))</f>
        <v>0</v>
      </c>
      <c r="S23" s="35">
        <f>Inputs!$D$6*E23*Inputs!$D$27*(1-Inputs!$D$38*R23)</f>
        <v>4415.2852011355981</v>
      </c>
      <c r="T23" s="39">
        <f>S23*Inputs!$D$12</f>
        <v>70644.563218169569</v>
      </c>
      <c r="U23" s="39">
        <f>T23*(1-Inputs!$D$18)</f>
        <v>31790.053448176302</v>
      </c>
      <c r="V23" s="35">
        <f>Inputs!$D$6*F23*Inputs!$D$28*Inputs!$D$31</f>
        <v>746.05069004674272</v>
      </c>
      <c r="W23" s="36">
        <f>V23/(B23*Inputs!$D$34)</f>
        <v>0.76127621433341097</v>
      </c>
      <c r="X23" s="38">
        <f>IF(W23&gt;=1,999,W23/(Inputs!$D$34*(1-W23))*60)</f>
        <v>5.4667570523531852</v>
      </c>
      <c r="Y23" s="37">
        <f>MIN(1,MAX(0,(X23-Inputs!$D$36)/(Inputs!$D$37-Inputs!$D$36)))</f>
        <v>3.111713682354568E-2</v>
      </c>
      <c r="Z23" s="35">
        <f>Inputs!$D$6*F23*Inputs!$D$28*(1-Inputs!$D$38*Y23)</f>
        <v>5658.4919801305723</v>
      </c>
      <c r="AA23" s="39">
        <f>Z23*Inputs!$D$13</f>
        <v>48097.181831109861</v>
      </c>
      <c r="AB23" s="39">
        <f>AA23*(1-Inputs!$D$19)</f>
        <v>28858.309098665915</v>
      </c>
      <c r="AC23" s="39">
        <f t="shared" si="0"/>
        <v>279200.42034927948</v>
      </c>
      <c r="AD23" s="39">
        <f t="shared" si="1"/>
        <v>116808.89890184224</v>
      </c>
      <c r="AE23" s="36">
        <f t="shared" si="2"/>
        <v>1.4803029818181819</v>
      </c>
      <c r="AF23" s="35">
        <f>IF(AND(AE23&lt;=Inputs!$D$35,C23&gt;=Inputs!$D$48*(A23+B23+C23),B23*Inputs!$D$22&lt;=Inputs!$D$50*Inputs!$D$8,B23*Inputs!$D$22&gt;=Inputs!$D$49*Inputs!$D$8,A23*Inputs!$D$20&lt;=Inputs!$D$47*Inputs!$D$8,C23&gt;=1),1,0)</f>
        <v>0</v>
      </c>
      <c r="AG23" s="39">
        <f t="shared" si="3"/>
        <v>-1</v>
      </c>
    </row>
    <row r="24" spans="1:33" x14ac:dyDescent="0.25">
      <c r="A24" s="35">
        <v>25</v>
      </c>
      <c r="B24" s="35">
        <v>29</v>
      </c>
      <c r="C24" s="35">
        <f>Inputs!$D$8-A24-Inputs!$D$22*B24</f>
        <v>37</v>
      </c>
      <c r="D24" s="35">
        <f>A24*Inputs!$D$20+C24*Inputs!$D$21+B24*Inputs!$D$22</f>
        <v>120</v>
      </c>
      <c r="E24" s="36">
        <f>MIN(Inputs!$E$15,Inputs!$D$15*(C24/Inputs!$D$43)^Inputs!$D$44)</f>
        <v>0.36556269939951974</v>
      </c>
      <c r="F24" s="36">
        <f>MIN(Inputs!$E$16,Inputs!$D$16*(B24/Inputs!$D$42)^Inputs!$D$44)</f>
        <v>0.44716766511947192</v>
      </c>
      <c r="G24" s="37">
        <f>Inputs!$D$26*(1+Inputs!$D$41*(B24-Inputs!$D$42))</f>
        <v>1.6350000000000002</v>
      </c>
      <c r="H24" s="35">
        <f>Inputs!$D$6*Inputs!$D$14*G24*Inputs!$D$29</f>
        <v>2054.2630500000005</v>
      </c>
      <c r="I24" s="36">
        <f>H24/(A24*Inputs!$D$32)</f>
        <v>1.4940094909090913</v>
      </c>
      <c r="J24" s="38">
        <f>IF(I24&gt;=1,999,I24/(Inputs!$D$32*(1-I24))*60)</f>
        <v>999</v>
      </c>
      <c r="K24" s="37">
        <f>MIN(1,MAX(0,(J24-Inputs!$D$36)/(Inputs!$D$37-Inputs!$D$36)))</f>
        <v>1</v>
      </c>
      <c r="L24" s="35">
        <f>Inputs!$D$6*Inputs!$D$14*G24*(1-Inputs!$D$38*K24)</f>
        <v>7532.2978500000027</v>
      </c>
      <c r="M24" s="39">
        <f>L24*Inputs!$D$11</f>
        <v>161944.40377500007</v>
      </c>
      <c r="N24" s="39">
        <f>M24*(1-Inputs!$D$17)</f>
        <v>56680.541321250021</v>
      </c>
      <c r="O24" s="35">
        <f>Inputs!$D$6*E24*Inputs!$D$27*Inputs!$D$30</f>
        <v>521.5322184745213</v>
      </c>
      <c r="P24" s="36">
        <f>O24/(C24*Inputs!$D$33)</f>
        <v>0.35238663410440629</v>
      </c>
      <c r="Q24" s="38">
        <f>IF(P24&gt;=1,999,P24/(Inputs!$D$33*(1-P24))*60)</f>
        <v>0.81619679116046151</v>
      </c>
      <c r="R24" s="37">
        <f>MIN(1,MAX(0,(Q24-Inputs!$D$36)/(Inputs!$D$37-Inputs!$D$36)))</f>
        <v>0</v>
      </c>
      <c r="S24" s="35">
        <f>Inputs!$D$6*E24*Inputs!$D$27*(1-Inputs!$D$38*R24)</f>
        <v>4346.101820621011</v>
      </c>
      <c r="T24" s="39">
        <f>S24*Inputs!$D$12</f>
        <v>69537.629129936176</v>
      </c>
      <c r="U24" s="39">
        <f>T24*(1-Inputs!$D$18)</f>
        <v>31291.933108471276</v>
      </c>
      <c r="V24" s="35">
        <f>Inputs!$D$6*F24*Inputs!$D$28*Inputs!$D$31</f>
        <v>753.9461474393554</v>
      </c>
      <c r="W24" s="36">
        <f>V24/(B24*Inputs!$D$34)</f>
        <v>0.74280408614714821</v>
      </c>
      <c r="X24" s="38">
        <f>IF(W24&gt;=1,999,W24/(Inputs!$D$34*(1-W24))*60)</f>
        <v>4.9510056918075414</v>
      </c>
      <c r="Y24" s="37">
        <f>MIN(1,MAX(0,(X24-Inputs!$D$36)/(Inputs!$D$37-Inputs!$D$36)))</f>
        <v>0</v>
      </c>
      <c r="Z24" s="35">
        <f>Inputs!$D$6*F24*Inputs!$D$28*(1-Inputs!$D$38*Y24)</f>
        <v>5799.5857495335031</v>
      </c>
      <c r="AA24" s="39">
        <f>Z24*Inputs!$D$13</f>
        <v>49296.478871034778</v>
      </c>
      <c r="AB24" s="39">
        <f>AA24*(1-Inputs!$D$19)</f>
        <v>29577.887322620867</v>
      </c>
      <c r="AC24" s="39">
        <f t="shared" si="0"/>
        <v>280778.51177597104</v>
      </c>
      <c r="AD24" s="39">
        <f t="shared" si="1"/>
        <v>117550.36175234217</v>
      </c>
      <c r="AE24" s="36">
        <f t="shared" si="2"/>
        <v>1.4940094909090913</v>
      </c>
      <c r="AF24" s="35">
        <f>IF(AND(AE24&lt;=Inputs!$D$35,C24&gt;=Inputs!$D$48*(A24+B24+C24),B24*Inputs!$D$22&lt;=Inputs!$D$50*Inputs!$D$8,B24*Inputs!$D$22&gt;=Inputs!$D$49*Inputs!$D$8,A24*Inputs!$D$20&lt;=Inputs!$D$47*Inputs!$D$8,C24&gt;=1),1,0)</f>
        <v>0</v>
      </c>
      <c r="AG24" s="39">
        <f t="shared" si="3"/>
        <v>-1</v>
      </c>
    </row>
    <row r="25" spans="1:33" x14ac:dyDescent="0.25">
      <c r="A25" s="35">
        <v>25</v>
      </c>
      <c r="B25" s="35">
        <v>30</v>
      </c>
      <c r="C25" s="35">
        <f>Inputs!$D$8-A25-Inputs!$D$22*B25</f>
        <v>35</v>
      </c>
      <c r="D25" s="35">
        <f>A25*Inputs!$D$20+C25*Inputs!$D$21+B25*Inputs!$D$22</f>
        <v>120</v>
      </c>
      <c r="E25" s="36">
        <f>MIN(Inputs!$E$15,Inputs!$D$15*(C25/Inputs!$D$43)^Inputs!$D$44)</f>
        <v>0.3595189375764975</v>
      </c>
      <c r="F25" s="36">
        <f>MIN(Inputs!$E$16,Inputs!$D$16*(B25/Inputs!$D$42)^Inputs!$D$44)</f>
        <v>0.45173877418274222</v>
      </c>
      <c r="G25" s="37">
        <f>Inputs!$D$26*(1+Inputs!$D$41*(B25-Inputs!$D$42))</f>
        <v>1.6500000000000001</v>
      </c>
      <c r="H25" s="35">
        <f>Inputs!$D$6*Inputs!$D$14*G25*Inputs!$D$29</f>
        <v>2073.1095000000005</v>
      </c>
      <c r="I25" s="36">
        <f>H25/(A25*Inputs!$D$32)</f>
        <v>1.5077160000000003</v>
      </c>
      <c r="J25" s="38">
        <f>IF(I25&gt;=1,999,I25/(Inputs!$D$32*(1-I25))*60)</f>
        <v>999</v>
      </c>
      <c r="K25" s="37">
        <f>MIN(1,MAX(0,(J25-Inputs!$D$36)/(Inputs!$D$37-Inputs!$D$36)))</f>
        <v>1</v>
      </c>
      <c r="L25" s="35">
        <f>Inputs!$D$6*Inputs!$D$14*G25*(1-Inputs!$D$38*K25)</f>
        <v>7601.4015000000027</v>
      </c>
      <c r="M25" s="39">
        <f>L25*Inputs!$D$11</f>
        <v>163430.13225000005</v>
      </c>
      <c r="N25" s="39">
        <f>M25*(1-Inputs!$D$17)</f>
        <v>57200.546287500016</v>
      </c>
      <c r="O25" s="35">
        <f>Inputs!$D$6*E25*Inputs!$D$27*Inputs!$D$30</f>
        <v>512.90984940713565</v>
      </c>
      <c r="P25" s="36">
        <f>O25/(C25*Inputs!$D$33)</f>
        <v>0.36636417814795402</v>
      </c>
      <c r="Q25" s="38">
        <f>IF(P25&gt;=1,999,P25/(Inputs!$D$33*(1-P25))*60)</f>
        <v>0.86729040289368331</v>
      </c>
      <c r="R25" s="37">
        <f>MIN(1,MAX(0,(Q25-Inputs!$D$36)/(Inputs!$D$37-Inputs!$D$36)))</f>
        <v>0</v>
      </c>
      <c r="S25" s="35">
        <f>Inputs!$D$6*E25*Inputs!$D$27*(1-Inputs!$D$38*R25)</f>
        <v>4274.2487450594635</v>
      </c>
      <c r="T25" s="39">
        <f>S25*Inputs!$D$12</f>
        <v>68387.979920951417</v>
      </c>
      <c r="U25" s="39">
        <f>T25*(1-Inputs!$D$18)</f>
        <v>30774.590964428135</v>
      </c>
      <c r="V25" s="35">
        <f>Inputs!$D$6*F25*Inputs!$D$28*Inputs!$D$31</f>
        <v>761.65325673326424</v>
      </c>
      <c r="W25" s="36">
        <f>V25/(B25*Inputs!$D$34)</f>
        <v>0.72538405403168027</v>
      </c>
      <c r="X25" s="38">
        <f>IF(W25&gt;=1,999,W25/(Inputs!$D$34*(1-W25))*60)</f>
        <v>4.5281985239874629</v>
      </c>
      <c r="Y25" s="37">
        <f>MIN(1,MAX(0,(X25-Inputs!$D$36)/(Inputs!$D$37-Inputs!$D$36)))</f>
        <v>0</v>
      </c>
      <c r="Z25" s="35">
        <f>Inputs!$D$6*F25*Inputs!$D$28*(1-Inputs!$D$38*Y25)</f>
        <v>5858.8712056404938</v>
      </c>
      <c r="AA25" s="39">
        <f>Z25*Inputs!$D$13</f>
        <v>49800.405247944196</v>
      </c>
      <c r="AB25" s="39">
        <f>AA25*(1-Inputs!$D$19)</f>
        <v>29880.243148766516</v>
      </c>
      <c r="AC25" s="39">
        <f t="shared" si="0"/>
        <v>281618.51741889567</v>
      </c>
      <c r="AD25" s="39">
        <f t="shared" si="1"/>
        <v>117855.38040069467</v>
      </c>
      <c r="AE25" s="36">
        <f t="shared" si="2"/>
        <v>1.5077160000000003</v>
      </c>
      <c r="AF25" s="35">
        <f>IF(AND(AE25&lt;=Inputs!$D$35,C25&gt;=Inputs!$D$48*(A25+B25+C25),B25*Inputs!$D$22&lt;=Inputs!$D$50*Inputs!$D$8,B25*Inputs!$D$22&gt;=Inputs!$D$49*Inputs!$D$8,A25*Inputs!$D$20&lt;=Inputs!$D$47*Inputs!$D$8,C25&gt;=1),1,0)</f>
        <v>0</v>
      </c>
      <c r="AG25" s="39">
        <f t="shared" si="3"/>
        <v>-1</v>
      </c>
    </row>
    <row r="26" spans="1:33" x14ac:dyDescent="0.25">
      <c r="A26" s="35">
        <v>25</v>
      </c>
      <c r="B26" s="35">
        <v>31</v>
      </c>
      <c r="C26" s="35">
        <f>Inputs!$D$8-A26-Inputs!$D$22*B26</f>
        <v>33</v>
      </c>
      <c r="D26" s="35">
        <f>A26*Inputs!$D$20+C26*Inputs!$D$21+B26*Inputs!$D$22</f>
        <v>120</v>
      </c>
      <c r="E26" s="36">
        <f>MIN(Inputs!$E$15,Inputs!$D$15*(C26/Inputs!$D$43)^Inputs!$D$44)</f>
        <v>0.35322833999035824</v>
      </c>
      <c r="F26" s="36">
        <f>MIN(Inputs!$E$16,Inputs!$D$16*(B26/Inputs!$D$42)^Inputs!$D$44)</f>
        <v>0.45620443270573335</v>
      </c>
      <c r="G26" s="37">
        <f>Inputs!$D$26*(1+Inputs!$D$41*(B26-Inputs!$D$42))</f>
        <v>1.665</v>
      </c>
      <c r="H26" s="35">
        <f>Inputs!$D$6*Inputs!$D$14*G26*Inputs!$D$29</f>
        <v>2091.95595</v>
      </c>
      <c r="I26" s="36">
        <f>H26/(A26*Inputs!$D$32)</f>
        <v>1.521422509090909</v>
      </c>
      <c r="J26" s="38">
        <f>IF(I26&gt;=1,999,I26/(Inputs!$D$32*(1-I26))*60)</f>
        <v>999</v>
      </c>
      <c r="K26" s="37">
        <f>MIN(1,MAX(0,(J26-Inputs!$D$36)/(Inputs!$D$37-Inputs!$D$36)))</f>
        <v>1</v>
      </c>
      <c r="L26" s="35">
        <f>Inputs!$D$6*Inputs!$D$14*G26*(1-Inputs!$D$38*K26)</f>
        <v>7670.5051500000018</v>
      </c>
      <c r="M26" s="39">
        <f>L26*Inputs!$D$11</f>
        <v>164915.86072500004</v>
      </c>
      <c r="N26" s="39">
        <f>M26*(1-Inputs!$D$17)</f>
        <v>57720.551253750011</v>
      </c>
      <c r="O26" s="35">
        <f>Inputs!$D$6*E26*Inputs!$D$27*Inputs!$D$30</f>
        <v>503.93533061728459</v>
      </c>
      <c r="P26" s="36">
        <f>O26/(C26*Inputs!$D$33)</f>
        <v>0.38176918986157926</v>
      </c>
      <c r="Q26" s="38">
        <f>IF(P26&gt;=1,999,P26/(Inputs!$D$33*(1-P26))*60)</f>
        <v>0.92627830156855617</v>
      </c>
      <c r="R26" s="37">
        <f>MIN(1,MAX(0,(Q26-Inputs!$D$36)/(Inputs!$D$37-Inputs!$D$36)))</f>
        <v>0</v>
      </c>
      <c r="S26" s="35">
        <f>Inputs!$D$6*E26*Inputs!$D$27*(1-Inputs!$D$38*R26)</f>
        <v>4199.461088477372</v>
      </c>
      <c r="T26" s="39">
        <f>S26*Inputs!$D$12</f>
        <v>67191.377415637951</v>
      </c>
      <c r="U26" s="39">
        <f>T26*(1-Inputs!$D$18)</f>
        <v>30236.119837037077</v>
      </c>
      <c r="V26" s="35">
        <f>Inputs!$D$6*F26*Inputs!$D$28*Inputs!$D$31</f>
        <v>769.18257135463637</v>
      </c>
      <c r="W26" s="36">
        <f>V26/(B26*Inputs!$D$34)</f>
        <v>0.70892402889828232</v>
      </c>
      <c r="X26" s="38">
        <f>IF(W26&gt;=1,999,W26/(Inputs!$D$34*(1-W26))*60)</f>
        <v>4.1751929252501148</v>
      </c>
      <c r="Y26" s="37">
        <f>MIN(1,MAX(0,(X26-Inputs!$D$36)/(Inputs!$D$37-Inputs!$D$36)))</f>
        <v>0</v>
      </c>
      <c r="Z26" s="35">
        <f>Inputs!$D$6*F26*Inputs!$D$28*(1-Inputs!$D$38*Y26)</f>
        <v>5916.7890104202797</v>
      </c>
      <c r="AA26" s="39">
        <f>Z26*Inputs!$D$13</f>
        <v>50292.706588572379</v>
      </c>
      <c r="AB26" s="39">
        <f>AA26*(1-Inputs!$D$19)</f>
        <v>30175.623953143426</v>
      </c>
      <c r="AC26" s="39">
        <f t="shared" si="0"/>
        <v>282399.94472921034</v>
      </c>
      <c r="AD26" s="39">
        <f t="shared" si="1"/>
        <v>118132.29504393051</v>
      </c>
      <c r="AE26" s="36">
        <f t="shared" si="2"/>
        <v>1.521422509090909</v>
      </c>
      <c r="AF26" s="35">
        <f>IF(AND(AE26&lt;=Inputs!$D$35,C26&gt;=Inputs!$D$48*(A26+B26+C26),B26*Inputs!$D$22&lt;=Inputs!$D$50*Inputs!$D$8,B26*Inputs!$D$22&gt;=Inputs!$D$49*Inputs!$D$8,A26*Inputs!$D$20&lt;=Inputs!$D$47*Inputs!$D$8,C26&gt;=1),1,0)</f>
        <v>0</v>
      </c>
      <c r="AG26" s="39">
        <f t="shared" si="3"/>
        <v>-1</v>
      </c>
    </row>
    <row r="27" spans="1:33" x14ac:dyDescent="0.25">
      <c r="A27" s="35">
        <v>25</v>
      </c>
      <c r="B27" s="35">
        <v>32</v>
      </c>
      <c r="C27" s="35">
        <f>Inputs!$D$8-A27-Inputs!$D$22*B27</f>
        <v>31</v>
      </c>
      <c r="D27" s="35">
        <f>A27*Inputs!$D$20+C27*Inputs!$D$21+B27*Inputs!$D$22</f>
        <v>120</v>
      </c>
      <c r="E27" s="36">
        <f>MIN(Inputs!$E$15,Inputs!$D$15*(C27/Inputs!$D$43)^Inputs!$D$44)</f>
        <v>0.34666489615699225</v>
      </c>
      <c r="F27" s="36">
        <f>MIN(Inputs!$E$16,Inputs!$D$16*(B27/Inputs!$D$42)^Inputs!$D$44)</f>
        <v>0.46057036065052986</v>
      </c>
      <c r="G27" s="37">
        <f>Inputs!$D$26*(1+Inputs!$D$41*(B27-Inputs!$D$42))</f>
        <v>1.6800000000000002</v>
      </c>
      <c r="H27" s="35">
        <f>Inputs!$D$6*Inputs!$D$14*G27*Inputs!$D$29</f>
        <v>2110.8024000000005</v>
      </c>
      <c r="I27" s="36">
        <f>H27/(A27*Inputs!$D$32)</f>
        <v>1.5351290181818185</v>
      </c>
      <c r="J27" s="38">
        <f>IF(I27&gt;=1,999,I27/(Inputs!$D$32*(1-I27))*60)</f>
        <v>999</v>
      </c>
      <c r="K27" s="37">
        <f>MIN(1,MAX(0,(J27-Inputs!$D$36)/(Inputs!$D$37-Inputs!$D$36)))</f>
        <v>1</v>
      </c>
      <c r="L27" s="35">
        <f>Inputs!$D$6*Inputs!$D$14*G27*(1-Inputs!$D$38*K27)</f>
        <v>7739.6088000000027</v>
      </c>
      <c r="M27" s="39">
        <f>L27*Inputs!$D$11</f>
        <v>166401.58920000005</v>
      </c>
      <c r="N27" s="39">
        <f>M27*(1-Inputs!$D$17)</f>
        <v>58240.556220000013</v>
      </c>
      <c r="O27" s="35">
        <f>Inputs!$D$6*E27*Inputs!$D$27*Inputs!$D$30</f>
        <v>494.57155409174993</v>
      </c>
      <c r="P27" s="36">
        <f>O27/(C27*Inputs!$D$33)</f>
        <v>0.39884802749334675</v>
      </c>
      <c r="Q27" s="38">
        <f>IF(P27&gt;=1,999,P27/(Inputs!$D$33*(1-P27))*60)</f>
        <v>0.9952093124561755</v>
      </c>
      <c r="R27" s="37">
        <f>MIN(1,MAX(0,(Q27-Inputs!$D$36)/(Inputs!$D$37-Inputs!$D$36)))</f>
        <v>0</v>
      </c>
      <c r="S27" s="35">
        <f>Inputs!$D$6*E27*Inputs!$D$27*(1-Inputs!$D$38*R27)</f>
        <v>4121.4296174312494</v>
      </c>
      <c r="T27" s="39">
        <f>S27*Inputs!$D$12</f>
        <v>65942.873878899991</v>
      </c>
      <c r="U27" s="39">
        <f>T27*(1-Inputs!$D$18)</f>
        <v>29674.293245504992</v>
      </c>
      <c r="V27" s="35">
        <f>Inputs!$D$6*F27*Inputs!$D$28*Inputs!$D$31</f>
        <v>776.54373543410452</v>
      </c>
      <c r="W27" s="36">
        <f>V27/(B27*Inputs!$D$34)</f>
        <v>0.69334262092330756</v>
      </c>
      <c r="X27" s="38">
        <f>IF(W27&gt;=1,999,W27/(Inputs!$D$34*(1-W27))*60)</f>
        <v>3.8759457011369869</v>
      </c>
      <c r="Y27" s="37">
        <f>MIN(1,MAX(0,(X27-Inputs!$D$36)/(Inputs!$D$37-Inputs!$D$36)))</f>
        <v>0</v>
      </c>
      <c r="Z27" s="35">
        <f>Inputs!$D$6*F27*Inputs!$D$28*(1-Inputs!$D$38*Y27)</f>
        <v>5973.4133494931111</v>
      </c>
      <c r="AA27" s="39">
        <f>Z27*Inputs!$D$13</f>
        <v>50774.013470691447</v>
      </c>
      <c r="AB27" s="39">
        <f>AA27*(1-Inputs!$D$19)</f>
        <v>30464.408082414866</v>
      </c>
      <c r="AC27" s="39">
        <f t="shared" si="0"/>
        <v>283118.47654959146</v>
      </c>
      <c r="AD27" s="39">
        <f t="shared" si="1"/>
        <v>118379.25754791987</v>
      </c>
      <c r="AE27" s="36">
        <f t="shared" si="2"/>
        <v>1.5351290181818185</v>
      </c>
      <c r="AF27" s="35">
        <f>IF(AND(AE27&lt;=Inputs!$D$35,C27&gt;=Inputs!$D$48*(A27+B27+C27),B27*Inputs!$D$22&lt;=Inputs!$D$50*Inputs!$D$8,B27*Inputs!$D$22&gt;=Inputs!$D$49*Inputs!$D$8,A27*Inputs!$D$20&lt;=Inputs!$D$47*Inputs!$D$8,C27&gt;=1),1,0)</f>
        <v>0</v>
      </c>
      <c r="AG27" s="39">
        <f t="shared" si="3"/>
        <v>-1</v>
      </c>
    </row>
    <row r="28" spans="1:33" x14ac:dyDescent="0.25">
      <c r="A28" s="35">
        <v>25</v>
      </c>
      <c r="B28" s="35">
        <v>33</v>
      </c>
      <c r="C28" s="35">
        <f>Inputs!$D$8-A28-Inputs!$D$22*B28</f>
        <v>29</v>
      </c>
      <c r="D28" s="35">
        <f>A28*Inputs!$D$20+C28*Inputs!$D$21+B28*Inputs!$D$22</f>
        <v>120</v>
      </c>
      <c r="E28" s="36">
        <f>MIN(Inputs!$E$15,Inputs!$D$15*(C28/Inputs!$D$43)^Inputs!$D$44)</f>
        <v>0.33979795258455459</v>
      </c>
      <c r="F28" s="36">
        <f>MIN(Inputs!$E$16,Inputs!$D$16*(B28/Inputs!$D$42)^Inputs!$D$44)</f>
        <v>0.46484180038786721</v>
      </c>
      <c r="G28" s="37">
        <f>Inputs!$D$26*(1+Inputs!$D$41*(B28-Inputs!$D$42))</f>
        <v>1.6949999999999998</v>
      </c>
      <c r="H28" s="35">
        <f>Inputs!$D$6*Inputs!$D$14*G28*Inputs!$D$29</f>
        <v>2129.64885</v>
      </c>
      <c r="I28" s="36">
        <f>H28/(A28*Inputs!$D$32)</f>
        <v>1.5488355272727272</v>
      </c>
      <c r="J28" s="38">
        <f>IF(I28&gt;=1,999,I28/(Inputs!$D$32*(1-I28))*60)</f>
        <v>999</v>
      </c>
      <c r="K28" s="37">
        <f>MIN(1,MAX(0,(J28-Inputs!$D$36)/(Inputs!$D$37-Inputs!$D$36)))</f>
        <v>1</v>
      </c>
      <c r="L28" s="35">
        <f>Inputs!$D$6*Inputs!$D$14*G28*(1-Inputs!$D$38*K28)</f>
        <v>7808.71245</v>
      </c>
      <c r="M28" s="39">
        <f>L28*Inputs!$D$11</f>
        <v>167887.317675</v>
      </c>
      <c r="N28" s="39">
        <f>M28*(1-Inputs!$D$17)</f>
        <v>58760.561186249994</v>
      </c>
      <c r="O28" s="35">
        <f>Inputs!$D$6*E28*Inputs!$D$27*Inputs!$D$30</f>
        <v>484.77478784247035</v>
      </c>
      <c r="P28" s="36">
        <f>O28/(C28*Inputs!$D$33)</f>
        <v>0.41790929986419856</v>
      </c>
      <c r="Q28" s="38">
        <f>IF(P28&gt;=1,999,P28/(Inputs!$D$33*(1-P28))*60)</f>
        <v>1.0769179951681944</v>
      </c>
      <c r="R28" s="37">
        <f>MIN(1,MAX(0,(Q28-Inputs!$D$36)/(Inputs!$D$37-Inputs!$D$36)))</f>
        <v>0</v>
      </c>
      <c r="S28" s="35">
        <f>Inputs!$D$6*E28*Inputs!$D$27*(1-Inputs!$D$38*R28)</f>
        <v>4039.7898986872528</v>
      </c>
      <c r="T28" s="39">
        <f>S28*Inputs!$D$12</f>
        <v>64636.638378996046</v>
      </c>
      <c r="U28" s="39">
        <f>T28*(1-Inputs!$D$18)</f>
        <v>29086.487270548219</v>
      </c>
      <c r="V28" s="35">
        <f>Inputs!$D$6*F28*Inputs!$D$28*Inputs!$D$31</f>
        <v>783.74558786036266</v>
      </c>
      <c r="W28" s="36">
        <f>V28/(B28*Inputs!$D$34)</f>
        <v>0.67856760853711051</v>
      </c>
      <c r="X28" s="38">
        <f>IF(W28&gt;=1,999,W28/(Inputs!$D$34*(1-W28))*60)</f>
        <v>3.6189842355277744</v>
      </c>
      <c r="Y28" s="37">
        <f>MIN(1,MAX(0,(X28-Inputs!$D$36)/(Inputs!$D$37-Inputs!$D$36)))</f>
        <v>0</v>
      </c>
      <c r="Z28" s="35">
        <f>Inputs!$D$6*F28*Inputs!$D$28*(1-Inputs!$D$38*Y28)</f>
        <v>6028.812214310482</v>
      </c>
      <c r="AA28" s="39">
        <f>Z28*Inputs!$D$13</f>
        <v>51244.903821639098</v>
      </c>
      <c r="AB28" s="39">
        <f>AA28*(1-Inputs!$D$19)</f>
        <v>30746.942292983458</v>
      </c>
      <c r="AC28" s="39">
        <f t="shared" si="0"/>
        <v>283768.85987563513</v>
      </c>
      <c r="AD28" s="39">
        <f t="shared" si="1"/>
        <v>118593.99074978167</v>
      </c>
      <c r="AE28" s="36">
        <f t="shared" si="2"/>
        <v>1.5488355272727272</v>
      </c>
      <c r="AF28" s="35">
        <f>IF(AND(AE28&lt;=Inputs!$D$35,C28&gt;=Inputs!$D$48*(A28+B28+C28),B28*Inputs!$D$22&lt;=Inputs!$D$50*Inputs!$D$8,B28*Inputs!$D$22&gt;=Inputs!$D$49*Inputs!$D$8,A28*Inputs!$D$20&lt;=Inputs!$D$47*Inputs!$D$8,C28&gt;=1),1,0)</f>
        <v>0</v>
      </c>
      <c r="AG28" s="39">
        <f t="shared" si="3"/>
        <v>-1</v>
      </c>
    </row>
    <row r="29" spans="1:33" x14ac:dyDescent="0.25">
      <c r="A29" s="35">
        <v>26</v>
      </c>
      <c r="B29" s="35">
        <v>10</v>
      </c>
      <c r="C29" s="35">
        <f>Inputs!$D$8-A29-Inputs!$D$22*B29</f>
        <v>74</v>
      </c>
      <c r="D29" s="35">
        <f>A29*Inputs!$D$20+C29*Inputs!$D$21+B29*Inputs!$D$22</f>
        <v>120</v>
      </c>
      <c r="E29" s="36">
        <f>MIN(Inputs!$E$15,Inputs!$D$15*(C29/Inputs!$D$43)^Inputs!$D$44)</f>
        <v>0.4</v>
      </c>
      <c r="F29" s="36">
        <f>MIN(Inputs!$E$16,Inputs!$D$16*(B29/Inputs!$D$42)^Inputs!$D$44)</f>
        <v>0.32490095854249423</v>
      </c>
      <c r="G29" s="37">
        <f>Inputs!$D$26*(1+Inputs!$D$41*(B29-Inputs!$D$42))</f>
        <v>1.35</v>
      </c>
      <c r="H29" s="35">
        <f>Inputs!$D$6*Inputs!$D$14*G29*Inputs!$D$29</f>
        <v>1696.1805000000004</v>
      </c>
      <c r="I29" s="36">
        <f>H29/(A29*Inputs!$D$32)</f>
        <v>1.1861402097902101</v>
      </c>
      <c r="J29" s="38">
        <f>IF(I29&gt;=1,999,I29/(Inputs!$D$32*(1-I29))*60)</f>
        <v>999</v>
      </c>
      <c r="K29" s="37">
        <f>MIN(1,MAX(0,(J29-Inputs!$D$36)/(Inputs!$D$37-Inputs!$D$36)))</f>
        <v>1</v>
      </c>
      <c r="L29" s="35">
        <f>Inputs!$D$6*Inputs!$D$14*G29*(1-Inputs!$D$38*K29)</f>
        <v>6219.3285000000024</v>
      </c>
      <c r="M29" s="39">
        <f>L29*Inputs!$D$11</f>
        <v>133715.56275000004</v>
      </c>
      <c r="N29" s="39">
        <f>M29*(1-Inputs!$D$17)</f>
        <v>46800.446962500013</v>
      </c>
      <c r="O29" s="35">
        <f>Inputs!$D$6*E29*Inputs!$D$27*Inputs!$D$30</f>
        <v>570.66240000000005</v>
      </c>
      <c r="P29" s="36">
        <f>O29/(C29*Inputs!$D$33)</f>
        <v>0.19279135135135136</v>
      </c>
      <c r="Q29" s="38">
        <f>IF(P29&gt;=1,999,P29/(Inputs!$D$33*(1-P29))*60)</f>
        <v>0.35825561025783892</v>
      </c>
      <c r="R29" s="37">
        <f>MIN(1,MAX(0,(Q29-Inputs!$D$36)/(Inputs!$D$37-Inputs!$D$36)))</f>
        <v>0</v>
      </c>
      <c r="S29" s="35">
        <f>Inputs!$D$6*E29*Inputs!$D$27*(1-Inputs!$D$38*R29)</f>
        <v>4755.5200000000004</v>
      </c>
      <c r="T29" s="39">
        <f>S29*Inputs!$D$12</f>
        <v>76088.320000000007</v>
      </c>
      <c r="U29" s="39">
        <f>T29*(1-Inputs!$D$18)</f>
        <v>34239.743999999999</v>
      </c>
      <c r="V29" s="35">
        <f>Inputs!$D$6*F29*Inputs!$D$28*Inputs!$D$31</f>
        <v>547.7986113486553</v>
      </c>
      <c r="W29" s="36">
        <f>V29/(B29*Inputs!$D$34)</f>
        <v>1.5651388895675866</v>
      </c>
      <c r="X29" s="38">
        <f>IF(W29&gt;=1,999,W29/(Inputs!$D$34*(1-W29))*60)</f>
        <v>999</v>
      </c>
      <c r="Y29" s="37">
        <f>MIN(1,MAX(0,(X29-Inputs!$D$36)/(Inputs!$D$37-Inputs!$D$36)))</f>
        <v>1</v>
      </c>
      <c r="Z29" s="35">
        <f>Inputs!$D$6*F29*Inputs!$D$28*(1-Inputs!$D$38*Y29)</f>
        <v>2317.6095095520031</v>
      </c>
      <c r="AA29" s="39">
        <f>Z29*Inputs!$D$13</f>
        <v>19699.680831192025</v>
      </c>
      <c r="AB29" s="39">
        <f>AA29*(1-Inputs!$D$19)</f>
        <v>11819.808498715214</v>
      </c>
      <c r="AC29" s="39">
        <f t="shared" si="0"/>
        <v>229503.56358119208</v>
      </c>
      <c r="AD29" s="39">
        <f t="shared" si="1"/>
        <v>92859.999461215222</v>
      </c>
      <c r="AE29" s="36">
        <f t="shared" si="2"/>
        <v>1.5651388895675866</v>
      </c>
      <c r="AF29" s="35">
        <f>IF(AND(AE29&lt;=Inputs!$D$35,C29&gt;=Inputs!$D$48*(A29+B29+C29),B29*Inputs!$D$22&lt;=Inputs!$D$50*Inputs!$D$8,B29*Inputs!$D$22&gt;=Inputs!$D$49*Inputs!$D$8,A29*Inputs!$D$20&lt;=Inputs!$D$47*Inputs!$D$8,C29&gt;=1),1,0)</f>
        <v>0</v>
      </c>
      <c r="AG29" s="39">
        <f t="shared" si="3"/>
        <v>-1</v>
      </c>
    </row>
    <row r="30" spans="1:33" x14ac:dyDescent="0.25">
      <c r="A30" s="35">
        <v>26</v>
      </c>
      <c r="B30" s="35">
        <v>11</v>
      </c>
      <c r="C30" s="35">
        <f>Inputs!$D$8-A30-Inputs!$D$22*B30</f>
        <v>72</v>
      </c>
      <c r="D30" s="35">
        <f>A30*Inputs!$D$20+C30*Inputs!$D$21+B30*Inputs!$D$22</f>
        <v>120</v>
      </c>
      <c r="E30" s="36">
        <f>MIN(Inputs!$E$15,Inputs!$D$15*(C30/Inputs!$D$43)^Inputs!$D$44)</f>
        <v>0.4</v>
      </c>
      <c r="F30" s="36">
        <f>MIN(Inputs!$E$16,Inputs!$D$16*(B30/Inputs!$D$42)^Inputs!$D$44)</f>
        <v>0.33432495758166098</v>
      </c>
      <c r="G30" s="37">
        <f>Inputs!$D$26*(1+Inputs!$D$41*(B30-Inputs!$D$42))</f>
        <v>1.365</v>
      </c>
      <c r="H30" s="35">
        <f>Inputs!$D$6*Inputs!$D$14*G30*Inputs!$D$29</f>
        <v>1715.0269500000002</v>
      </c>
      <c r="I30" s="36">
        <f>H30/(A30*Inputs!$D$32)</f>
        <v>1.1993195454545456</v>
      </c>
      <c r="J30" s="38">
        <f>IF(I30&gt;=1,999,I30/(Inputs!$D$32*(1-I30))*60)</f>
        <v>999</v>
      </c>
      <c r="K30" s="37">
        <f>MIN(1,MAX(0,(J30-Inputs!$D$36)/(Inputs!$D$37-Inputs!$D$36)))</f>
        <v>1</v>
      </c>
      <c r="L30" s="35">
        <f>Inputs!$D$6*Inputs!$D$14*G30*(1-Inputs!$D$38*K30)</f>
        <v>6288.4321500000005</v>
      </c>
      <c r="M30" s="39">
        <f>L30*Inputs!$D$11</f>
        <v>135201.29122500002</v>
      </c>
      <c r="N30" s="39">
        <f>M30*(1-Inputs!$D$17)</f>
        <v>47320.451928750008</v>
      </c>
      <c r="O30" s="35">
        <f>Inputs!$D$6*E30*Inputs!$D$27*Inputs!$D$30</f>
        <v>570.66240000000005</v>
      </c>
      <c r="P30" s="36">
        <f>O30/(C30*Inputs!$D$33)</f>
        <v>0.19814666666666669</v>
      </c>
      <c r="Q30" s="38">
        <f>IF(P30&gt;=1,999,P30/(Inputs!$D$33*(1-P30))*60)</f>
        <v>0.37066628976205129</v>
      </c>
      <c r="R30" s="37">
        <f>MIN(1,MAX(0,(Q30-Inputs!$D$36)/(Inputs!$D$37-Inputs!$D$36)))</f>
        <v>0</v>
      </c>
      <c r="S30" s="35">
        <f>Inputs!$D$6*E30*Inputs!$D$27*(1-Inputs!$D$38*R30)</f>
        <v>4755.5200000000004</v>
      </c>
      <c r="T30" s="39">
        <f>S30*Inputs!$D$12</f>
        <v>76088.320000000007</v>
      </c>
      <c r="U30" s="39">
        <f>T30*(1-Inputs!$D$18)</f>
        <v>34239.743999999999</v>
      </c>
      <c r="V30" s="35">
        <f>Inputs!$D$6*F30*Inputs!$D$28*Inputs!$D$31</f>
        <v>563.68792608064427</v>
      </c>
      <c r="W30" s="36">
        <f>V30/(B30*Inputs!$D$34)</f>
        <v>1.4641244833263487</v>
      </c>
      <c r="X30" s="38">
        <f>IF(W30&gt;=1,999,W30/(Inputs!$D$34*(1-W30))*60)</f>
        <v>999</v>
      </c>
      <c r="Y30" s="37">
        <f>MIN(1,MAX(0,(X30-Inputs!$D$36)/(Inputs!$D$37-Inputs!$D$36)))</f>
        <v>1</v>
      </c>
      <c r="Z30" s="35">
        <f>Inputs!$D$6*F30*Inputs!$D$28*(1-Inputs!$D$38*Y30)</f>
        <v>2384.8335334181106</v>
      </c>
      <c r="AA30" s="39">
        <f>Z30*Inputs!$D$13</f>
        <v>20271.08503405394</v>
      </c>
      <c r="AB30" s="39">
        <f>AA30*(1-Inputs!$D$19)</f>
        <v>12162.651020432364</v>
      </c>
      <c r="AC30" s="39">
        <f t="shared" si="0"/>
        <v>231560.69625905398</v>
      </c>
      <c r="AD30" s="39">
        <f t="shared" si="1"/>
        <v>93722.846949182363</v>
      </c>
      <c r="AE30" s="36">
        <f t="shared" si="2"/>
        <v>1.4641244833263487</v>
      </c>
      <c r="AF30" s="35">
        <f>IF(AND(AE30&lt;=Inputs!$D$35,C30&gt;=Inputs!$D$48*(A30+B30+C30),B30*Inputs!$D$22&lt;=Inputs!$D$50*Inputs!$D$8,B30*Inputs!$D$22&gt;=Inputs!$D$49*Inputs!$D$8,A30*Inputs!$D$20&lt;=Inputs!$D$47*Inputs!$D$8,C30&gt;=1),1,0)</f>
        <v>0</v>
      </c>
      <c r="AG30" s="39">
        <f t="shared" si="3"/>
        <v>-1</v>
      </c>
    </row>
    <row r="31" spans="1:33" x14ac:dyDescent="0.25">
      <c r="A31" s="35">
        <v>26</v>
      </c>
      <c r="B31" s="35">
        <v>12</v>
      </c>
      <c r="C31" s="35">
        <f>Inputs!$D$8-A31-Inputs!$D$22*B31</f>
        <v>70</v>
      </c>
      <c r="D31" s="35">
        <f>A31*Inputs!$D$20+C31*Inputs!$D$21+B31*Inputs!$D$22</f>
        <v>120</v>
      </c>
      <c r="E31" s="36">
        <f>MIN(Inputs!$E$15,Inputs!$D$15*(C31/Inputs!$D$43)^Inputs!$D$44)</f>
        <v>0.4</v>
      </c>
      <c r="F31" s="36">
        <f>MIN(Inputs!$E$16,Inputs!$D$16*(B31/Inputs!$D$42)^Inputs!$D$44)</f>
        <v>0.34316688017763797</v>
      </c>
      <c r="G31" s="37">
        <f>Inputs!$D$26*(1+Inputs!$D$41*(B31-Inputs!$D$42))</f>
        <v>1.3800000000000001</v>
      </c>
      <c r="H31" s="35">
        <f>Inputs!$D$6*Inputs!$D$14*G31*Inputs!$D$29</f>
        <v>1733.8734000000004</v>
      </c>
      <c r="I31" s="36">
        <f>H31/(A31*Inputs!$D$32)</f>
        <v>1.2124988811188815</v>
      </c>
      <c r="J31" s="38">
        <f>IF(I31&gt;=1,999,I31/(Inputs!$D$32*(1-I31))*60)</f>
        <v>999</v>
      </c>
      <c r="K31" s="37">
        <f>MIN(1,MAX(0,(J31-Inputs!$D$36)/(Inputs!$D$37-Inputs!$D$36)))</f>
        <v>1</v>
      </c>
      <c r="L31" s="35">
        <f>Inputs!$D$6*Inputs!$D$14*G31*(1-Inputs!$D$38*K31)</f>
        <v>6357.5358000000024</v>
      </c>
      <c r="M31" s="39">
        <f>L31*Inputs!$D$11</f>
        <v>136687.01970000006</v>
      </c>
      <c r="N31" s="39">
        <f>M31*(1-Inputs!$D$17)</f>
        <v>47840.456895000018</v>
      </c>
      <c r="O31" s="35">
        <f>Inputs!$D$6*E31*Inputs!$D$27*Inputs!$D$30</f>
        <v>570.66240000000005</v>
      </c>
      <c r="P31" s="36">
        <f>O31/(C31*Inputs!$D$33)</f>
        <v>0.20380800000000002</v>
      </c>
      <c r="Q31" s="38">
        <f>IF(P31&gt;=1,999,P31/(Inputs!$D$33*(1-P31))*60)</f>
        <v>0.3839676861862466</v>
      </c>
      <c r="R31" s="37">
        <f>MIN(1,MAX(0,(Q31-Inputs!$D$36)/(Inputs!$D$37-Inputs!$D$36)))</f>
        <v>0</v>
      </c>
      <c r="S31" s="35">
        <f>Inputs!$D$6*E31*Inputs!$D$27*(1-Inputs!$D$38*R31)</f>
        <v>4755.5200000000004</v>
      </c>
      <c r="T31" s="39">
        <f>S31*Inputs!$D$12</f>
        <v>76088.320000000007</v>
      </c>
      <c r="U31" s="39">
        <f>T31*(1-Inputs!$D$18)</f>
        <v>34239.743999999999</v>
      </c>
      <c r="V31" s="35">
        <f>Inputs!$D$6*F31*Inputs!$D$28*Inputs!$D$31</f>
        <v>578.5958319897461</v>
      </c>
      <c r="W31" s="36">
        <f>V31/(B31*Inputs!$D$34)</f>
        <v>1.3776091237851098</v>
      </c>
      <c r="X31" s="38">
        <f>IF(W31&gt;=1,999,W31/(Inputs!$D$34*(1-W31))*60)</f>
        <v>999</v>
      </c>
      <c r="Y31" s="37">
        <f>MIN(1,MAX(0,(X31-Inputs!$D$36)/(Inputs!$D$37-Inputs!$D$36)))</f>
        <v>1</v>
      </c>
      <c r="Z31" s="35">
        <f>Inputs!$D$6*F31*Inputs!$D$28*(1-Inputs!$D$38*Y31)</f>
        <v>2447.9054430335414</v>
      </c>
      <c r="AA31" s="39">
        <f>Z31*Inputs!$D$13</f>
        <v>20807.1962657851</v>
      </c>
      <c r="AB31" s="39">
        <f>AA31*(1-Inputs!$D$19)</f>
        <v>12484.31775947106</v>
      </c>
      <c r="AC31" s="39">
        <f t="shared" si="0"/>
        <v>233582.53596578518</v>
      </c>
      <c r="AD31" s="39">
        <f t="shared" si="1"/>
        <v>94564.518654471074</v>
      </c>
      <c r="AE31" s="36">
        <f t="shared" si="2"/>
        <v>1.3776091237851098</v>
      </c>
      <c r="AF31" s="35">
        <f>IF(AND(AE31&lt;=Inputs!$D$35,C31&gt;=Inputs!$D$48*(A31+B31+C31),B31*Inputs!$D$22&lt;=Inputs!$D$50*Inputs!$D$8,B31*Inputs!$D$22&gt;=Inputs!$D$49*Inputs!$D$8,A31*Inputs!$D$20&lt;=Inputs!$D$47*Inputs!$D$8,C31&gt;=1),1,0)</f>
        <v>0</v>
      </c>
      <c r="AG31" s="39">
        <f t="shared" si="3"/>
        <v>-1</v>
      </c>
    </row>
    <row r="32" spans="1:33" x14ac:dyDescent="0.25">
      <c r="A32" s="35">
        <v>26</v>
      </c>
      <c r="B32" s="35">
        <v>13</v>
      </c>
      <c r="C32" s="35">
        <f>Inputs!$D$8-A32-Inputs!$D$22*B32</f>
        <v>68</v>
      </c>
      <c r="D32" s="35">
        <f>A32*Inputs!$D$20+C32*Inputs!$D$21+B32*Inputs!$D$22</f>
        <v>120</v>
      </c>
      <c r="E32" s="36">
        <f>MIN(Inputs!$E$15,Inputs!$D$15*(C32/Inputs!$D$43)^Inputs!$D$44)</f>
        <v>0.4</v>
      </c>
      <c r="F32" s="36">
        <f>MIN(Inputs!$E$16,Inputs!$D$16*(B32/Inputs!$D$42)^Inputs!$D$44)</f>
        <v>0.35150701637190523</v>
      </c>
      <c r="G32" s="37">
        <f>Inputs!$D$26*(1+Inputs!$D$41*(B32-Inputs!$D$42))</f>
        <v>1.395</v>
      </c>
      <c r="H32" s="35">
        <f>Inputs!$D$6*Inputs!$D$14*G32*Inputs!$D$29</f>
        <v>1752.7198500000002</v>
      </c>
      <c r="I32" s="36">
        <f>H32/(A32*Inputs!$D$32)</f>
        <v>1.225678216783217</v>
      </c>
      <c r="J32" s="38">
        <f>IF(I32&gt;=1,999,I32/(Inputs!$D$32*(1-I32))*60)</f>
        <v>999</v>
      </c>
      <c r="K32" s="37">
        <f>MIN(1,MAX(0,(J32-Inputs!$D$36)/(Inputs!$D$37-Inputs!$D$36)))</f>
        <v>1</v>
      </c>
      <c r="L32" s="35">
        <f>Inputs!$D$6*Inputs!$D$14*G32*(1-Inputs!$D$38*K32)</f>
        <v>6426.6394500000006</v>
      </c>
      <c r="M32" s="39">
        <f>L32*Inputs!$D$11</f>
        <v>138172.74817500002</v>
      </c>
      <c r="N32" s="39">
        <f>M32*(1-Inputs!$D$17)</f>
        <v>48360.461861250005</v>
      </c>
      <c r="O32" s="35">
        <f>Inputs!$D$6*E32*Inputs!$D$27*Inputs!$D$30</f>
        <v>570.66240000000005</v>
      </c>
      <c r="P32" s="36">
        <f>O32/(C32*Inputs!$D$33)</f>
        <v>0.2098023529411765</v>
      </c>
      <c r="Q32" s="38">
        <f>IF(P32&gt;=1,999,P32/(Inputs!$D$33*(1-P32))*60)</f>
        <v>0.3982592590386918</v>
      </c>
      <c r="R32" s="37">
        <f>MIN(1,MAX(0,(Q32-Inputs!$D$36)/(Inputs!$D$37-Inputs!$D$36)))</f>
        <v>0</v>
      </c>
      <c r="S32" s="35">
        <f>Inputs!$D$6*E32*Inputs!$D$27*(1-Inputs!$D$38*R32)</f>
        <v>4755.5200000000004</v>
      </c>
      <c r="T32" s="39">
        <f>S32*Inputs!$D$12</f>
        <v>76088.320000000007</v>
      </c>
      <c r="U32" s="39">
        <f>T32*(1-Inputs!$D$18)</f>
        <v>34239.743999999999</v>
      </c>
      <c r="V32" s="35">
        <f>Inputs!$D$6*F32*Inputs!$D$28*Inputs!$D$31</f>
        <v>592.65770193981814</v>
      </c>
      <c r="W32" s="36">
        <f>V32/(B32*Inputs!$D$34)</f>
        <v>1.3025443998677322</v>
      </c>
      <c r="X32" s="38">
        <f>IF(W32&gt;=1,999,W32/(Inputs!$D$34*(1-W32))*60)</f>
        <v>999</v>
      </c>
      <c r="Y32" s="37">
        <f>MIN(1,MAX(0,(X32-Inputs!$D$36)/(Inputs!$D$37-Inputs!$D$36)))</f>
        <v>1</v>
      </c>
      <c r="Z32" s="35">
        <f>Inputs!$D$6*F32*Inputs!$D$28*(1-Inputs!$D$38*Y32)</f>
        <v>2507.3979697453847</v>
      </c>
      <c r="AA32" s="39">
        <f>Z32*Inputs!$D$13</f>
        <v>21312.882742835769</v>
      </c>
      <c r="AB32" s="39">
        <f>AA32*(1-Inputs!$D$19)</f>
        <v>12787.729645701462</v>
      </c>
      <c r="AC32" s="39">
        <f t="shared" si="0"/>
        <v>235573.95091783578</v>
      </c>
      <c r="AD32" s="39">
        <f t="shared" si="1"/>
        <v>95387.935506951457</v>
      </c>
      <c r="AE32" s="36">
        <f t="shared" si="2"/>
        <v>1.3025443998677322</v>
      </c>
      <c r="AF32" s="35">
        <f>IF(AND(AE32&lt;=Inputs!$D$35,C32&gt;=Inputs!$D$48*(A32+B32+C32),B32*Inputs!$D$22&lt;=Inputs!$D$50*Inputs!$D$8,B32*Inputs!$D$22&gt;=Inputs!$D$49*Inputs!$D$8,A32*Inputs!$D$20&lt;=Inputs!$D$47*Inputs!$D$8,C32&gt;=1),1,0)</f>
        <v>0</v>
      </c>
      <c r="AG32" s="39">
        <f t="shared" si="3"/>
        <v>-1</v>
      </c>
    </row>
    <row r="33" spans="1:33" x14ac:dyDescent="0.25">
      <c r="A33" s="35">
        <v>26</v>
      </c>
      <c r="B33" s="35">
        <v>14</v>
      </c>
      <c r="C33" s="35">
        <f>Inputs!$D$8-A33-Inputs!$D$22*B33</f>
        <v>66</v>
      </c>
      <c r="D33" s="35">
        <f>A33*Inputs!$D$20+C33*Inputs!$D$21+B33*Inputs!$D$22</f>
        <v>120</v>
      </c>
      <c r="E33" s="36">
        <f>MIN(Inputs!$E$15,Inputs!$D$15*(C33/Inputs!$D$43)^Inputs!$D$44)</f>
        <v>0.4</v>
      </c>
      <c r="F33" s="36">
        <f>MIN(Inputs!$E$16,Inputs!$D$16*(B33/Inputs!$D$42)^Inputs!$D$44)</f>
        <v>0.35940937671625589</v>
      </c>
      <c r="G33" s="37">
        <f>Inputs!$D$26*(1+Inputs!$D$41*(B33-Inputs!$D$42))</f>
        <v>1.41</v>
      </c>
      <c r="H33" s="35">
        <f>Inputs!$D$6*Inputs!$D$14*G33*Inputs!$D$29</f>
        <v>1771.5663000000002</v>
      </c>
      <c r="I33" s="36">
        <f>H33/(A33*Inputs!$D$32)</f>
        <v>1.2388575524475525</v>
      </c>
      <c r="J33" s="38">
        <f>IF(I33&gt;=1,999,I33/(Inputs!$D$32*(1-I33))*60)</f>
        <v>999</v>
      </c>
      <c r="K33" s="37">
        <f>MIN(1,MAX(0,(J33-Inputs!$D$36)/(Inputs!$D$37-Inputs!$D$36)))</f>
        <v>1</v>
      </c>
      <c r="L33" s="35">
        <f>Inputs!$D$6*Inputs!$D$14*G33*(1-Inputs!$D$38*K33)</f>
        <v>6495.7431000000006</v>
      </c>
      <c r="M33" s="39">
        <f>L33*Inputs!$D$11</f>
        <v>139658.47665000003</v>
      </c>
      <c r="N33" s="39">
        <f>M33*(1-Inputs!$D$17)</f>
        <v>48880.466827500008</v>
      </c>
      <c r="O33" s="35">
        <f>Inputs!$D$6*E33*Inputs!$D$27*Inputs!$D$30</f>
        <v>570.66240000000005</v>
      </c>
      <c r="P33" s="36">
        <f>O33/(C33*Inputs!$D$33)</f>
        <v>0.21616000000000002</v>
      </c>
      <c r="Q33" s="38">
        <f>IF(P33&gt;=1,999,P33/(Inputs!$D$33*(1-P33))*60)</f>
        <v>0.41365584813227191</v>
      </c>
      <c r="R33" s="37">
        <f>MIN(1,MAX(0,(Q33-Inputs!$D$36)/(Inputs!$D$37-Inputs!$D$36)))</f>
        <v>0</v>
      </c>
      <c r="S33" s="35">
        <f>Inputs!$D$6*E33*Inputs!$D$27*(1-Inputs!$D$38*R33)</f>
        <v>4755.5200000000004</v>
      </c>
      <c r="T33" s="39">
        <f>S33*Inputs!$D$12</f>
        <v>76088.320000000007</v>
      </c>
      <c r="U33" s="39">
        <f>T33*(1-Inputs!$D$18)</f>
        <v>34239.743999999999</v>
      </c>
      <c r="V33" s="35">
        <f>Inputs!$D$6*F33*Inputs!$D$28*Inputs!$D$31</f>
        <v>605.98146079368973</v>
      </c>
      <c r="W33" s="36">
        <f>V33/(B33*Inputs!$D$34)</f>
        <v>1.2366968587626321</v>
      </c>
      <c r="X33" s="38">
        <f>IF(W33&gt;=1,999,W33/(Inputs!$D$34*(1-W33))*60)</f>
        <v>999</v>
      </c>
      <c r="Y33" s="37">
        <f>MIN(1,MAX(0,(X33-Inputs!$D$36)/(Inputs!$D$37-Inputs!$D$36)))</f>
        <v>1</v>
      </c>
      <c r="Z33" s="35">
        <f>Inputs!$D$6*F33*Inputs!$D$28*(1-Inputs!$D$38*Y33)</f>
        <v>2563.7677187425338</v>
      </c>
      <c r="AA33" s="39">
        <f>Z33*Inputs!$D$13</f>
        <v>21792.025609311539</v>
      </c>
      <c r="AB33" s="39">
        <f>AA33*(1-Inputs!$D$19)</f>
        <v>13075.215365586922</v>
      </c>
      <c r="AC33" s="39">
        <f t="shared" si="0"/>
        <v>237538.82225931156</v>
      </c>
      <c r="AD33" s="39">
        <f t="shared" si="1"/>
        <v>96195.426193086925</v>
      </c>
      <c r="AE33" s="36">
        <f t="shared" si="2"/>
        <v>1.2388575524475525</v>
      </c>
      <c r="AF33" s="35">
        <f>IF(AND(AE33&lt;=Inputs!$D$35,C33&gt;=Inputs!$D$48*(A33+B33+C33),B33*Inputs!$D$22&lt;=Inputs!$D$50*Inputs!$D$8,B33*Inputs!$D$22&gt;=Inputs!$D$49*Inputs!$D$8,A33*Inputs!$D$20&lt;=Inputs!$D$47*Inputs!$D$8,C33&gt;=1),1,0)</f>
        <v>0</v>
      </c>
      <c r="AG33" s="39">
        <f t="shared" si="3"/>
        <v>-1</v>
      </c>
    </row>
    <row r="34" spans="1:33" x14ac:dyDescent="0.25">
      <c r="A34" s="35">
        <v>26</v>
      </c>
      <c r="B34" s="35">
        <v>15</v>
      </c>
      <c r="C34" s="35">
        <f>Inputs!$D$8-A34-Inputs!$D$22*B34</f>
        <v>64</v>
      </c>
      <c r="D34" s="35">
        <f>A34*Inputs!$D$20+C34*Inputs!$D$21+B34*Inputs!$D$22</f>
        <v>120</v>
      </c>
      <c r="E34" s="36">
        <f>MIN(Inputs!$E$15,Inputs!$D$15*(C34/Inputs!$D$43)^Inputs!$D$44)</f>
        <v>0.4</v>
      </c>
      <c r="F34" s="36">
        <f>MIN(Inputs!$E$16,Inputs!$D$16*(B34/Inputs!$D$42)^Inputs!$D$44)</f>
        <v>0.36692590185696072</v>
      </c>
      <c r="G34" s="37">
        <f>Inputs!$D$26*(1+Inputs!$D$41*(B34-Inputs!$D$42))</f>
        <v>1.4249999999999998</v>
      </c>
      <c r="H34" s="35">
        <f>Inputs!$D$6*Inputs!$D$14*G34*Inputs!$D$29</f>
        <v>1790.4127499999997</v>
      </c>
      <c r="I34" s="36">
        <f>H34/(A34*Inputs!$D$32)</f>
        <v>1.252036888111888</v>
      </c>
      <c r="J34" s="38">
        <f>IF(I34&gt;=1,999,I34/(Inputs!$D$32*(1-I34))*60)</f>
        <v>999</v>
      </c>
      <c r="K34" s="37">
        <f>MIN(1,MAX(0,(J34-Inputs!$D$36)/(Inputs!$D$37-Inputs!$D$36)))</f>
        <v>1</v>
      </c>
      <c r="L34" s="35">
        <f>Inputs!$D$6*Inputs!$D$14*G34*(1-Inputs!$D$38*K34)</f>
        <v>6564.8467499999997</v>
      </c>
      <c r="M34" s="39">
        <f>L34*Inputs!$D$11</f>
        <v>141144.20512500001</v>
      </c>
      <c r="N34" s="39">
        <f>M34*(1-Inputs!$D$17)</f>
        <v>49400.471793750003</v>
      </c>
      <c r="O34" s="35">
        <f>Inputs!$D$6*E34*Inputs!$D$27*Inputs!$D$30</f>
        <v>570.66240000000005</v>
      </c>
      <c r="P34" s="36">
        <f>O34/(C34*Inputs!$D$33)</f>
        <v>0.22291500000000003</v>
      </c>
      <c r="Q34" s="38">
        <f>IF(P34&gt;=1,999,P34/(Inputs!$D$33*(1-P34))*60)</f>
        <v>0.43029076613240513</v>
      </c>
      <c r="R34" s="37">
        <f>MIN(1,MAX(0,(Q34-Inputs!$D$36)/(Inputs!$D$37-Inputs!$D$36)))</f>
        <v>0</v>
      </c>
      <c r="S34" s="35">
        <f>Inputs!$D$6*E34*Inputs!$D$27*(1-Inputs!$D$38*R34)</f>
        <v>4755.5200000000004</v>
      </c>
      <c r="T34" s="39">
        <f>S34*Inputs!$D$12</f>
        <v>76088.320000000007</v>
      </c>
      <c r="U34" s="39">
        <f>T34*(1-Inputs!$D$18)</f>
        <v>34239.743999999999</v>
      </c>
      <c r="V34" s="35">
        <f>Inputs!$D$6*F34*Inputs!$D$28*Inputs!$D$31</f>
        <v>618.65468297412497</v>
      </c>
      <c r="W34" s="36">
        <f>V34/(B34*Inputs!$D$34)</f>
        <v>1.1783898723316666</v>
      </c>
      <c r="X34" s="38">
        <f>IF(W34&gt;=1,999,W34/(Inputs!$D$34*(1-W34))*60)</f>
        <v>999</v>
      </c>
      <c r="Y34" s="37">
        <f>MIN(1,MAX(0,(X34-Inputs!$D$36)/(Inputs!$D$37-Inputs!$D$36)))</f>
        <v>1</v>
      </c>
      <c r="Z34" s="35">
        <f>Inputs!$D$6*F34*Inputs!$D$28*(1-Inputs!$D$38*Y34)</f>
        <v>2617.3851971982212</v>
      </c>
      <c r="AA34" s="39">
        <f>Z34*Inputs!$D$13</f>
        <v>22247.774176184881</v>
      </c>
      <c r="AB34" s="39">
        <f>AA34*(1-Inputs!$D$19)</f>
        <v>13348.664505710929</v>
      </c>
      <c r="AC34" s="39">
        <f t="shared" si="0"/>
        <v>239480.29930118489</v>
      </c>
      <c r="AD34" s="39">
        <f t="shared" si="1"/>
        <v>96988.880299460929</v>
      </c>
      <c r="AE34" s="36">
        <f t="shared" si="2"/>
        <v>1.252036888111888</v>
      </c>
      <c r="AF34" s="35">
        <f>IF(AND(AE34&lt;=Inputs!$D$35,C34&gt;=Inputs!$D$48*(A34+B34+C34),B34*Inputs!$D$22&lt;=Inputs!$D$50*Inputs!$D$8,B34*Inputs!$D$22&gt;=Inputs!$D$49*Inputs!$D$8,A34*Inputs!$D$20&lt;=Inputs!$D$47*Inputs!$D$8,C34&gt;=1),1,0)</f>
        <v>0</v>
      </c>
      <c r="AG34" s="39">
        <f t="shared" si="3"/>
        <v>-1</v>
      </c>
    </row>
    <row r="35" spans="1:33" x14ac:dyDescent="0.25">
      <c r="A35" s="35">
        <v>26</v>
      </c>
      <c r="B35" s="35">
        <v>16</v>
      </c>
      <c r="C35" s="35">
        <f>Inputs!$D$8-A35-Inputs!$D$22*B35</f>
        <v>62</v>
      </c>
      <c r="D35" s="35">
        <f>A35*Inputs!$D$20+C35*Inputs!$D$21+B35*Inputs!$D$22</f>
        <v>120</v>
      </c>
      <c r="E35" s="36">
        <f>MIN(Inputs!$E$15,Inputs!$D$15*(C35/Inputs!$D$43)^Inputs!$D$44)</f>
        <v>0.4</v>
      </c>
      <c r="F35" s="36">
        <f>MIN(Inputs!$E$16,Inputs!$D$16*(B35/Inputs!$D$42)^Inputs!$D$44)</f>
        <v>0.37409937912904856</v>
      </c>
      <c r="G35" s="37">
        <f>Inputs!$D$26*(1+Inputs!$D$41*(B35-Inputs!$D$42))</f>
        <v>1.44</v>
      </c>
      <c r="H35" s="35">
        <f>Inputs!$D$6*Inputs!$D$14*G35*Inputs!$D$29</f>
        <v>1809.2592000000002</v>
      </c>
      <c r="I35" s="36">
        <f>H35/(A35*Inputs!$D$32)</f>
        <v>1.2652162237762239</v>
      </c>
      <c r="J35" s="38">
        <f>IF(I35&gt;=1,999,I35/(Inputs!$D$32*(1-I35))*60)</f>
        <v>999</v>
      </c>
      <c r="K35" s="37">
        <f>MIN(1,MAX(0,(J35-Inputs!$D$36)/(Inputs!$D$37-Inputs!$D$36)))</f>
        <v>1</v>
      </c>
      <c r="L35" s="35">
        <f>Inputs!$D$6*Inputs!$D$14*G35*(1-Inputs!$D$38*K35)</f>
        <v>6633.9504000000006</v>
      </c>
      <c r="M35" s="39">
        <f>L35*Inputs!$D$11</f>
        <v>142629.93360000002</v>
      </c>
      <c r="N35" s="39">
        <f>M35*(1-Inputs!$D$17)</f>
        <v>49920.476760000005</v>
      </c>
      <c r="O35" s="35">
        <f>Inputs!$D$6*E35*Inputs!$D$27*Inputs!$D$30</f>
        <v>570.66240000000005</v>
      </c>
      <c r="P35" s="36">
        <f>O35/(C35*Inputs!$D$33)</f>
        <v>0.23010580645161291</v>
      </c>
      <c r="Q35" s="38">
        <f>IF(P35&gt;=1,999,P35/(Inputs!$D$33*(1-P35))*60)</f>
        <v>0.44831966855939992</v>
      </c>
      <c r="R35" s="37">
        <f>MIN(1,MAX(0,(Q35-Inputs!$D$36)/(Inputs!$D$37-Inputs!$D$36)))</f>
        <v>0</v>
      </c>
      <c r="S35" s="35">
        <f>Inputs!$D$6*E35*Inputs!$D$27*(1-Inputs!$D$38*R35)</f>
        <v>4755.5200000000004</v>
      </c>
      <c r="T35" s="39">
        <f>S35*Inputs!$D$12</f>
        <v>76088.320000000007</v>
      </c>
      <c r="U35" s="39">
        <f>T35*(1-Inputs!$D$18)</f>
        <v>34239.743999999999</v>
      </c>
      <c r="V35" s="35">
        <f>Inputs!$D$6*F35*Inputs!$D$28*Inputs!$D$31</f>
        <v>630.74950998177405</v>
      </c>
      <c r="W35" s="36">
        <f>V35/(B35*Inputs!$D$34)</f>
        <v>1.1263384106817393</v>
      </c>
      <c r="X35" s="38">
        <f>IF(W35&gt;=1,999,W35/(Inputs!$D$34*(1-W35))*60)</f>
        <v>999</v>
      </c>
      <c r="Y35" s="37">
        <f>MIN(1,MAX(0,(X35-Inputs!$D$36)/(Inputs!$D$37-Inputs!$D$36)))</f>
        <v>1</v>
      </c>
      <c r="Z35" s="35">
        <f>Inputs!$D$6*F35*Inputs!$D$28*(1-Inputs!$D$38*Y35)</f>
        <v>2668.5556191536598</v>
      </c>
      <c r="AA35" s="39">
        <f>Z35*Inputs!$D$13</f>
        <v>22682.722762806108</v>
      </c>
      <c r="AB35" s="39">
        <f>AA35*(1-Inputs!$D$19)</f>
        <v>13609.633657683664</v>
      </c>
      <c r="AC35" s="39">
        <f t="shared" si="0"/>
        <v>241400.97636280613</v>
      </c>
      <c r="AD35" s="39">
        <f t="shared" si="1"/>
        <v>97769.854417683659</v>
      </c>
      <c r="AE35" s="36">
        <f t="shared" si="2"/>
        <v>1.2652162237762239</v>
      </c>
      <c r="AF35" s="35">
        <f>IF(AND(AE35&lt;=Inputs!$D$35,C35&gt;=Inputs!$D$48*(A35+B35+C35),B35*Inputs!$D$22&lt;=Inputs!$D$50*Inputs!$D$8,B35*Inputs!$D$22&gt;=Inputs!$D$49*Inputs!$D$8,A35*Inputs!$D$20&lt;=Inputs!$D$47*Inputs!$D$8,C35&gt;=1),1,0)</f>
        <v>0</v>
      </c>
      <c r="AG35" s="39">
        <f t="shared" si="3"/>
        <v>-1</v>
      </c>
    </row>
    <row r="36" spans="1:33" x14ac:dyDescent="0.25">
      <c r="A36" s="35">
        <v>26</v>
      </c>
      <c r="B36" s="35">
        <v>17</v>
      </c>
      <c r="C36" s="35">
        <f>Inputs!$D$8-A36-Inputs!$D$22*B36</f>
        <v>60</v>
      </c>
      <c r="D36" s="35">
        <f>A36*Inputs!$D$20+C36*Inputs!$D$21+B36*Inputs!$D$22</f>
        <v>120</v>
      </c>
      <c r="E36" s="36">
        <f>MIN(Inputs!$E$15,Inputs!$D$15*(C36/Inputs!$D$43)^Inputs!$D$44)</f>
        <v>0.4</v>
      </c>
      <c r="F36" s="36">
        <f>MIN(Inputs!$E$16,Inputs!$D$16*(B36/Inputs!$D$42)^Inputs!$D$44)</f>
        <v>0.3809655184437048</v>
      </c>
      <c r="G36" s="37">
        <f>Inputs!$D$26*(1+Inputs!$D$41*(B36-Inputs!$D$42))</f>
        <v>1.4550000000000001</v>
      </c>
      <c r="H36" s="35">
        <f>Inputs!$D$6*Inputs!$D$14*G36*Inputs!$D$29</f>
        <v>1828.1056500000002</v>
      </c>
      <c r="I36" s="36">
        <f>H36/(A36*Inputs!$D$32)</f>
        <v>1.2783955594405596</v>
      </c>
      <c r="J36" s="38">
        <f>IF(I36&gt;=1,999,I36/(Inputs!$D$32*(1-I36))*60)</f>
        <v>999</v>
      </c>
      <c r="K36" s="37">
        <f>MIN(1,MAX(0,(J36-Inputs!$D$36)/(Inputs!$D$37-Inputs!$D$36)))</f>
        <v>1</v>
      </c>
      <c r="L36" s="35">
        <f>Inputs!$D$6*Inputs!$D$14*G36*(1-Inputs!$D$38*K36)</f>
        <v>6703.0540500000006</v>
      </c>
      <c r="M36" s="39">
        <f>L36*Inputs!$D$11</f>
        <v>144115.662075</v>
      </c>
      <c r="N36" s="39">
        <f>M36*(1-Inputs!$D$17)</f>
        <v>50440.48172625</v>
      </c>
      <c r="O36" s="35">
        <f>Inputs!$D$6*E36*Inputs!$D$27*Inputs!$D$30</f>
        <v>570.66240000000005</v>
      </c>
      <c r="P36" s="36">
        <f>O36/(C36*Inputs!$D$33)</f>
        <v>0.23777600000000002</v>
      </c>
      <c r="Q36" s="38">
        <f>IF(P36&gt;=1,999,P36/(Inputs!$D$33*(1-P36))*60)</f>
        <v>0.46792543924095809</v>
      </c>
      <c r="R36" s="37">
        <f>MIN(1,MAX(0,(Q36-Inputs!$D$36)/(Inputs!$D$37-Inputs!$D$36)))</f>
        <v>0</v>
      </c>
      <c r="S36" s="35">
        <f>Inputs!$D$6*E36*Inputs!$D$27*(1-Inputs!$D$38*R36)</f>
        <v>4755.5200000000004</v>
      </c>
      <c r="T36" s="39">
        <f>S36*Inputs!$D$12</f>
        <v>76088.320000000007</v>
      </c>
      <c r="U36" s="39">
        <f>T36*(1-Inputs!$D$18)</f>
        <v>34239.743999999999</v>
      </c>
      <c r="V36" s="35">
        <f>Inputs!$D$6*F36*Inputs!$D$28*Inputs!$D$31</f>
        <v>642.32615044097156</v>
      </c>
      <c r="W36" s="36">
        <f>V36/(B36*Inputs!$D$34)</f>
        <v>1.0795397486402882</v>
      </c>
      <c r="X36" s="38">
        <f>IF(W36&gt;=1,999,W36/(Inputs!$D$34*(1-W36))*60)</f>
        <v>999</v>
      </c>
      <c r="Y36" s="37">
        <f>MIN(1,MAX(0,(X36-Inputs!$D$36)/(Inputs!$D$37-Inputs!$D$36)))</f>
        <v>1</v>
      </c>
      <c r="Z36" s="35">
        <f>Inputs!$D$6*F36*Inputs!$D$28*(1-Inputs!$D$38*Y36)</f>
        <v>2717.5337134041106</v>
      </c>
      <c r="AA36" s="39">
        <f>Z36*Inputs!$D$13</f>
        <v>23099.03656393494</v>
      </c>
      <c r="AB36" s="39">
        <f>AA36*(1-Inputs!$D$19)</f>
        <v>13859.421938360963</v>
      </c>
      <c r="AC36" s="39">
        <f t="shared" si="0"/>
        <v>243303.01863893494</v>
      </c>
      <c r="AD36" s="39">
        <f t="shared" si="1"/>
        <v>98539.647664610966</v>
      </c>
      <c r="AE36" s="36">
        <f t="shared" si="2"/>
        <v>1.2783955594405596</v>
      </c>
      <c r="AF36" s="35">
        <f>IF(AND(AE36&lt;=Inputs!$D$35,C36&gt;=Inputs!$D$48*(A36+B36+C36),B36*Inputs!$D$22&lt;=Inputs!$D$50*Inputs!$D$8,B36*Inputs!$D$22&gt;=Inputs!$D$49*Inputs!$D$8,A36*Inputs!$D$20&lt;=Inputs!$D$47*Inputs!$D$8,C36&gt;=1),1,0)</f>
        <v>0</v>
      </c>
      <c r="AG36" s="39">
        <f t="shared" si="3"/>
        <v>-1</v>
      </c>
    </row>
    <row r="37" spans="1:33" x14ac:dyDescent="0.25">
      <c r="A37" s="35">
        <v>26</v>
      </c>
      <c r="B37" s="35">
        <v>18</v>
      </c>
      <c r="C37" s="35">
        <f>Inputs!$D$8-A37-Inputs!$D$22*B37</f>
        <v>58</v>
      </c>
      <c r="D37" s="35">
        <f>A37*Inputs!$D$20+C37*Inputs!$D$21+B37*Inputs!$D$22</f>
        <v>120</v>
      </c>
      <c r="E37" s="36">
        <f>MIN(Inputs!$E$15,Inputs!$D$15*(C37/Inputs!$D$43)^Inputs!$D$44)</f>
        <v>0.4</v>
      </c>
      <c r="F37" s="36">
        <f>MIN(Inputs!$E$16,Inputs!$D$16*(B37/Inputs!$D$42)^Inputs!$D$44)</f>
        <v>0.38755446447890535</v>
      </c>
      <c r="G37" s="37">
        <f>Inputs!$D$26*(1+Inputs!$D$41*(B37-Inputs!$D$42))</f>
        <v>1.47</v>
      </c>
      <c r="H37" s="35">
        <f>Inputs!$D$6*Inputs!$D$14*G37*Inputs!$D$29</f>
        <v>1846.9521</v>
      </c>
      <c r="I37" s="36">
        <f>H37/(A37*Inputs!$D$32)</f>
        <v>1.2915748951048951</v>
      </c>
      <c r="J37" s="38">
        <f>IF(I37&gt;=1,999,I37/(Inputs!$D$32*(1-I37))*60)</f>
        <v>999</v>
      </c>
      <c r="K37" s="37">
        <f>MIN(1,MAX(0,(J37-Inputs!$D$36)/(Inputs!$D$37-Inputs!$D$36)))</f>
        <v>1</v>
      </c>
      <c r="L37" s="35">
        <f>Inputs!$D$6*Inputs!$D$14*G37*(1-Inputs!$D$38*K37)</f>
        <v>6772.1577000000016</v>
      </c>
      <c r="M37" s="39">
        <f>L37*Inputs!$D$11</f>
        <v>145601.39055000004</v>
      </c>
      <c r="N37" s="39">
        <f>M37*(1-Inputs!$D$17)</f>
        <v>50960.48669250001</v>
      </c>
      <c r="O37" s="35">
        <f>Inputs!$D$6*E37*Inputs!$D$27*Inputs!$D$30</f>
        <v>570.66240000000005</v>
      </c>
      <c r="P37" s="36">
        <f>O37/(C37*Inputs!$D$33)</f>
        <v>0.24597517241379313</v>
      </c>
      <c r="Q37" s="38">
        <f>IF(P37&gt;=1,999,P37/(Inputs!$D$33*(1-P37))*60)</f>
        <v>0.48932441628191153</v>
      </c>
      <c r="R37" s="37">
        <f>MIN(1,MAX(0,(Q37-Inputs!$D$36)/(Inputs!$D$37-Inputs!$D$36)))</f>
        <v>0</v>
      </c>
      <c r="S37" s="35">
        <f>Inputs!$D$6*E37*Inputs!$D$27*(1-Inputs!$D$38*R37)</f>
        <v>4755.5200000000004</v>
      </c>
      <c r="T37" s="39">
        <f>S37*Inputs!$D$12</f>
        <v>76088.320000000007</v>
      </c>
      <c r="U37" s="39">
        <f>T37*(1-Inputs!$D$18)</f>
        <v>34239.743999999999</v>
      </c>
      <c r="V37" s="35">
        <f>Inputs!$D$6*F37*Inputs!$D$28*Inputs!$D$31</f>
        <v>653.43542972572936</v>
      </c>
      <c r="W37" s="36">
        <f>V37/(B37*Inputs!$D$34)</f>
        <v>1.037199094802745</v>
      </c>
      <c r="X37" s="38">
        <f>IF(W37&gt;=1,999,W37/(Inputs!$D$34*(1-W37))*60)</f>
        <v>999</v>
      </c>
      <c r="Y37" s="37">
        <f>MIN(1,MAX(0,(X37-Inputs!$D$36)/(Inputs!$D$37-Inputs!$D$36)))</f>
        <v>1</v>
      </c>
      <c r="Z37" s="35">
        <f>Inputs!$D$6*F37*Inputs!$D$28*(1-Inputs!$D$38*Y37)</f>
        <v>2764.534510378086</v>
      </c>
      <c r="AA37" s="39">
        <f>Z37*Inputs!$D$13</f>
        <v>23498.543338213731</v>
      </c>
      <c r="AB37" s="39">
        <f>AA37*(1-Inputs!$D$19)</f>
        <v>14099.126002928238</v>
      </c>
      <c r="AC37" s="39">
        <f t="shared" si="0"/>
        <v>245188.25388821377</v>
      </c>
      <c r="AD37" s="39">
        <f t="shared" si="1"/>
        <v>99299.356695428258</v>
      </c>
      <c r="AE37" s="36">
        <f t="shared" si="2"/>
        <v>1.2915748951048951</v>
      </c>
      <c r="AF37" s="35">
        <f>IF(AND(AE37&lt;=Inputs!$D$35,C37&gt;=Inputs!$D$48*(A37+B37+C37),B37*Inputs!$D$22&lt;=Inputs!$D$50*Inputs!$D$8,B37*Inputs!$D$22&gt;=Inputs!$D$49*Inputs!$D$8,A37*Inputs!$D$20&lt;=Inputs!$D$47*Inputs!$D$8,C37&gt;=1),1,0)</f>
        <v>0</v>
      </c>
      <c r="AG37" s="39">
        <f t="shared" si="3"/>
        <v>-1</v>
      </c>
    </row>
    <row r="38" spans="1:33" x14ac:dyDescent="0.25">
      <c r="A38" s="35">
        <v>26</v>
      </c>
      <c r="B38" s="35">
        <v>19</v>
      </c>
      <c r="C38" s="35">
        <f>Inputs!$D$8-A38-Inputs!$D$22*B38</f>
        <v>56</v>
      </c>
      <c r="D38" s="35">
        <f>A38*Inputs!$D$20+C38*Inputs!$D$21+B38*Inputs!$D$22</f>
        <v>120</v>
      </c>
      <c r="E38" s="36">
        <f>MIN(Inputs!$E$15,Inputs!$D$15*(C38/Inputs!$D$43)^Inputs!$D$44)</f>
        <v>0.4</v>
      </c>
      <c r="F38" s="36">
        <f>MIN(Inputs!$E$16,Inputs!$D$16*(B38/Inputs!$D$42)^Inputs!$D$44)</f>
        <v>0.39389192072703005</v>
      </c>
      <c r="G38" s="37">
        <f>Inputs!$D$26*(1+Inputs!$D$41*(B38-Inputs!$D$42))</f>
        <v>1.4849999999999999</v>
      </c>
      <c r="H38" s="35">
        <f>Inputs!$D$6*Inputs!$D$14*G38*Inputs!$D$29</f>
        <v>1865.7985499999998</v>
      </c>
      <c r="I38" s="36">
        <f>H38/(A38*Inputs!$D$32)</f>
        <v>1.3047542307692306</v>
      </c>
      <c r="J38" s="38">
        <f>IF(I38&gt;=1,999,I38/(Inputs!$D$32*(1-I38))*60)</f>
        <v>999</v>
      </c>
      <c r="K38" s="37">
        <f>MIN(1,MAX(0,(J38-Inputs!$D$36)/(Inputs!$D$37-Inputs!$D$36)))</f>
        <v>1</v>
      </c>
      <c r="L38" s="35">
        <f>Inputs!$D$6*Inputs!$D$14*G38*(1-Inputs!$D$38*K38)</f>
        <v>6841.2613499999998</v>
      </c>
      <c r="M38" s="39">
        <f>L38*Inputs!$D$11</f>
        <v>147087.11902499999</v>
      </c>
      <c r="N38" s="39">
        <f>M38*(1-Inputs!$D$17)</f>
        <v>51480.491658749997</v>
      </c>
      <c r="O38" s="35">
        <f>Inputs!$D$6*E38*Inputs!$D$27*Inputs!$D$30</f>
        <v>570.66240000000005</v>
      </c>
      <c r="P38" s="36">
        <f>O38/(C38*Inputs!$D$33)</f>
        <v>0.25476000000000004</v>
      </c>
      <c r="Q38" s="38">
        <f>IF(P38&gt;=1,999,P38/(Inputs!$D$33*(1-P38))*60)</f>
        <v>0.51277440824432408</v>
      </c>
      <c r="R38" s="37">
        <f>MIN(1,MAX(0,(Q38-Inputs!$D$36)/(Inputs!$D$37-Inputs!$D$36)))</f>
        <v>0</v>
      </c>
      <c r="S38" s="35">
        <f>Inputs!$D$6*E38*Inputs!$D$27*(1-Inputs!$D$38*R38)</f>
        <v>4755.5200000000004</v>
      </c>
      <c r="T38" s="39">
        <f>S38*Inputs!$D$12</f>
        <v>76088.320000000007</v>
      </c>
      <c r="U38" s="39">
        <f>T38*(1-Inputs!$D$18)</f>
        <v>34239.743999999999</v>
      </c>
      <c r="V38" s="35">
        <f>Inputs!$D$6*F38*Inputs!$D$28*Inputs!$D$31</f>
        <v>664.12068515796761</v>
      </c>
      <c r="W38" s="36">
        <f>V38/(B38*Inputs!$D$34)</f>
        <v>0.99867772204205651</v>
      </c>
      <c r="X38" s="38">
        <f>IF(W38&gt;=1,999,W38/(Inputs!$D$34*(1-W38))*60)</f>
        <v>1294.749671797274</v>
      </c>
      <c r="Y38" s="37">
        <f>MIN(1,MAX(0,(X38-Inputs!$D$36)/(Inputs!$D$37-Inputs!$D$36)))</f>
        <v>1</v>
      </c>
      <c r="Z38" s="35">
        <f>Inputs!$D$6*F38*Inputs!$D$28*(1-Inputs!$D$38*Y38)</f>
        <v>2809.7413602837091</v>
      </c>
      <c r="AA38" s="39">
        <f>Z38*Inputs!$D$13</f>
        <v>23882.801562411529</v>
      </c>
      <c r="AB38" s="39">
        <f>AA38*(1-Inputs!$D$19)</f>
        <v>14329.680937446918</v>
      </c>
      <c r="AC38" s="39">
        <f t="shared" si="0"/>
        <v>247058.24058741154</v>
      </c>
      <c r="AD38" s="39">
        <f t="shared" si="1"/>
        <v>100049.91659619691</v>
      </c>
      <c r="AE38" s="36">
        <f t="shared" si="2"/>
        <v>1.3047542307692306</v>
      </c>
      <c r="AF38" s="35">
        <f>IF(AND(AE38&lt;=Inputs!$D$35,C38&gt;=Inputs!$D$48*(A38+B38+C38),B38*Inputs!$D$22&lt;=Inputs!$D$50*Inputs!$D$8,B38*Inputs!$D$22&gt;=Inputs!$D$49*Inputs!$D$8,A38*Inputs!$D$20&lt;=Inputs!$D$47*Inputs!$D$8,C38&gt;=1),1,0)</f>
        <v>0</v>
      </c>
      <c r="AG38" s="39">
        <f t="shared" si="3"/>
        <v>-1</v>
      </c>
    </row>
    <row r="39" spans="1:33" x14ac:dyDescent="0.25">
      <c r="A39" s="35">
        <v>26</v>
      </c>
      <c r="B39" s="35">
        <v>20</v>
      </c>
      <c r="C39" s="35">
        <f>Inputs!$D$8-A39-Inputs!$D$22*B39</f>
        <v>54</v>
      </c>
      <c r="D39" s="35">
        <f>A39*Inputs!$D$20+C39*Inputs!$D$21+B39*Inputs!$D$22</f>
        <v>120</v>
      </c>
      <c r="E39" s="36">
        <f>MIN(Inputs!$E$15,Inputs!$D$15*(C39/Inputs!$D$43)^Inputs!$D$44)</f>
        <v>0.4</v>
      </c>
      <c r="F39" s="36">
        <f>MIN(Inputs!$E$16,Inputs!$D$16*(B39/Inputs!$D$42)^Inputs!$D$44)</f>
        <v>0.4</v>
      </c>
      <c r="G39" s="37">
        <f>Inputs!$D$26*(1+Inputs!$D$41*(B39-Inputs!$D$42))</f>
        <v>1.5</v>
      </c>
      <c r="H39" s="35">
        <f>Inputs!$D$6*Inputs!$D$14*G39*Inputs!$D$29</f>
        <v>1884.645</v>
      </c>
      <c r="I39" s="36">
        <f>H39/(A39*Inputs!$D$32)</f>
        <v>1.3179335664335665</v>
      </c>
      <c r="J39" s="38">
        <f>IF(I39&gt;=1,999,I39/(Inputs!$D$32*(1-I39))*60)</f>
        <v>999</v>
      </c>
      <c r="K39" s="37">
        <f>MIN(1,MAX(0,(J39-Inputs!$D$36)/(Inputs!$D$37-Inputs!$D$36)))</f>
        <v>1</v>
      </c>
      <c r="L39" s="35">
        <f>Inputs!$D$6*Inputs!$D$14*G39*(1-Inputs!$D$38*K39)</f>
        <v>6910.3650000000016</v>
      </c>
      <c r="M39" s="39">
        <f>L39*Inputs!$D$11</f>
        <v>148572.84750000003</v>
      </c>
      <c r="N39" s="39">
        <f>M39*(1-Inputs!$D$17)</f>
        <v>52000.496625000007</v>
      </c>
      <c r="O39" s="35">
        <f>Inputs!$D$6*E39*Inputs!$D$27*Inputs!$D$30</f>
        <v>570.66240000000005</v>
      </c>
      <c r="P39" s="36">
        <f>O39/(C39*Inputs!$D$33)</f>
        <v>0.26419555555555557</v>
      </c>
      <c r="Q39" s="38">
        <f>IF(P39&gt;=1,999,P39/(Inputs!$D$33*(1-P39))*60)</f>
        <v>0.53858513131508379</v>
      </c>
      <c r="R39" s="37">
        <f>MIN(1,MAX(0,(Q39-Inputs!$D$36)/(Inputs!$D$37-Inputs!$D$36)))</f>
        <v>0</v>
      </c>
      <c r="S39" s="35">
        <f>Inputs!$D$6*E39*Inputs!$D$27*(1-Inputs!$D$38*R39)</f>
        <v>4755.5200000000004</v>
      </c>
      <c r="T39" s="39">
        <f>S39*Inputs!$D$12</f>
        <v>76088.320000000007</v>
      </c>
      <c r="U39" s="39">
        <f>T39*(1-Inputs!$D$18)</f>
        <v>34239.743999999999</v>
      </c>
      <c r="V39" s="35">
        <f>Inputs!$D$6*F39*Inputs!$D$28*Inputs!$D$31</f>
        <v>674.41919999999993</v>
      </c>
      <c r="W39" s="36">
        <f>V39/(B39*Inputs!$D$34)</f>
        <v>0.96345599999999987</v>
      </c>
      <c r="X39" s="38">
        <f>IF(W39&gt;=1,999,W39/(Inputs!$D$34*(1-W39))*60)</f>
        <v>45.195896922691851</v>
      </c>
      <c r="Y39" s="37">
        <f>MIN(1,MAX(0,(X39-Inputs!$D$36)/(Inputs!$D$37-Inputs!$D$36)))</f>
        <v>1</v>
      </c>
      <c r="Z39" s="35">
        <f>Inputs!$D$6*F39*Inputs!$D$28*(1-Inputs!$D$38*Y39)</f>
        <v>2853.3119999999999</v>
      </c>
      <c r="AA39" s="39">
        <f>Z39*Inputs!$D$13</f>
        <v>24253.151999999998</v>
      </c>
      <c r="AB39" s="39">
        <f>AA39*(1-Inputs!$D$19)</f>
        <v>14551.891199999998</v>
      </c>
      <c r="AC39" s="39">
        <f t="shared" si="0"/>
        <v>248914.31950000004</v>
      </c>
      <c r="AD39" s="39">
        <f t="shared" si="1"/>
        <v>100792.131825</v>
      </c>
      <c r="AE39" s="36">
        <f t="shared" si="2"/>
        <v>1.3179335664335665</v>
      </c>
      <c r="AF39" s="35">
        <f>IF(AND(AE39&lt;=Inputs!$D$35,C39&gt;=Inputs!$D$48*(A39+B39+C39),B39*Inputs!$D$22&lt;=Inputs!$D$50*Inputs!$D$8,B39*Inputs!$D$22&gt;=Inputs!$D$49*Inputs!$D$8,A39*Inputs!$D$20&lt;=Inputs!$D$47*Inputs!$D$8,C39&gt;=1),1,0)</f>
        <v>0</v>
      </c>
      <c r="AG39" s="39">
        <f t="shared" si="3"/>
        <v>-1</v>
      </c>
    </row>
    <row r="40" spans="1:33" x14ac:dyDescent="0.25">
      <c r="A40" s="35">
        <v>26</v>
      </c>
      <c r="B40" s="35">
        <v>21</v>
      </c>
      <c r="C40" s="35">
        <f>Inputs!$D$8-A40-Inputs!$D$22*B40</f>
        <v>52</v>
      </c>
      <c r="D40" s="35">
        <f>A40*Inputs!$D$20+C40*Inputs!$D$21+B40*Inputs!$D$22</f>
        <v>120</v>
      </c>
      <c r="E40" s="36">
        <f>MIN(Inputs!$E$15,Inputs!$D$15*(C40/Inputs!$D$43)^Inputs!$D$44)</f>
        <v>0.4</v>
      </c>
      <c r="F40" s="36">
        <f>MIN(Inputs!$E$16,Inputs!$D$16*(B40/Inputs!$D$42)^Inputs!$D$44)</f>
        <v>0.40589787816896217</v>
      </c>
      <c r="G40" s="37">
        <f>Inputs!$D$26*(1+Inputs!$D$41*(B40-Inputs!$D$42))</f>
        <v>1.5150000000000001</v>
      </c>
      <c r="H40" s="35">
        <f>Inputs!$D$6*Inputs!$D$14*G40*Inputs!$D$29</f>
        <v>1903.4914500000004</v>
      </c>
      <c r="I40" s="36">
        <f>H40/(A40*Inputs!$D$32)</f>
        <v>1.3311129020979025</v>
      </c>
      <c r="J40" s="38">
        <f>IF(I40&gt;=1,999,I40/(Inputs!$D$32*(1-I40))*60)</f>
        <v>999</v>
      </c>
      <c r="K40" s="37">
        <f>MIN(1,MAX(0,(J40-Inputs!$D$36)/(Inputs!$D$37-Inputs!$D$36)))</f>
        <v>1</v>
      </c>
      <c r="L40" s="35">
        <f>Inputs!$D$6*Inputs!$D$14*G40*(1-Inputs!$D$38*K40)</f>
        <v>6979.4686500000025</v>
      </c>
      <c r="M40" s="39">
        <f>L40*Inputs!$D$11</f>
        <v>150058.57597500004</v>
      </c>
      <c r="N40" s="39">
        <f>M40*(1-Inputs!$D$17)</f>
        <v>52520.501591250009</v>
      </c>
      <c r="O40" s="35">
        <f>Inputs!$D$6*E40*Inputs!$D$27*Inputs!$D$30</f>
        <v>570.66240000000005</v>
      </c>
      <c r="P40" s="36">
        <f>O40/(C40*Inputs!$D$33)</f>
        <v>0.27435692307692311</v>
      </c>
      <c r="Q40" s="38">
        <f>IF(P40&gt;=1,999,P40/(Inputs!$D$33*(1-P40))*60)</f>
        <v>0.56713196570469071</v>
      </c>
      <c r="R40" s="37">
        <f>MIN(1,MAX(0,(Q40-Inputs!$D$36)/(Inputs!$D$37-Inputs!$D$36)))</f>
        <v>0</v>
      </c>
      <c r="S40" s="35">
        <f>Inputs!$D$6*E40*Inputs!$D$27*(1-Inputs!$D$38*R40)</f>
        <v>4755.5200000000004</v>
      </c>
      <c r="T40" s="39">
        <f>S40*Inputs!$D$12</f>
        <v>76088.320000000007</v>
      </c>
      <c r="U40" s="39">
        <f>T40*(1-Inputs!$D$18)</f>
        <v>34239.743999999999</v>
      </c>
      <c r="V40" s="35">
        <f>Inputs!$D$6*F40*Inputs!$D$28*Inputs!$D$31</f>
        <v>684.36330569102222</v>
      </c>
      <c r="W40" s="36">
        <f>V40/(B40*Inputs!$D$34)</f>
        <v>0.93110653835513224</v>
      </c>
      <c r="X40" s="38">
        <f>IF(W40&gt;=1,999,W40/(Inputs!$D$34*(1-W40))*60)</f>
        <v>23.16885520150278</v>
      </c>
      <c r="Y40" s="37">
        <f>MIN(1,MAX(0,(X40-Inputs!$D$36)/(Inputs!$D$37-Inputs!$D$36)))</f>
        <v>1</v>
      </c>
      <c r="Z40" s="35">
        <f>Inputs!$D$6*F40*Inputs!$D$28*(1-Inputs!$D$38*Y40)</f>
        <v>2895.3832163850943</v>
      </c>
      <c r="AA40" s="39">
        <f>Z40*Inputs!$D$13</f>
        <v>24610.757339273303</v>
      </c>
      <c r="AB40" s="39">
        <f>AA40*(1-Inputs!$D$19)</f>
        <v>14766.454403563981</v>
      </c>
      <c r="AC40" s="39">
        <f t="shared" si="0"/>
        <v>250757.65331427334</v>
      </c>
      <c r="AD40" s="39">
        <f t="shared" si="1"/>
        <v>101526.699994814</v>
      </c>
      <c r="AE40" s="36">
        <f t="shared" si="2"/>
        <v>1.3311129020979025</v>
      </c>
      <c r="AF40" s="35">
        <f>IF(AND(AE40&lt;=Inputs!$D$35,C40&gt;=Inputs!$D$48*(A40+B40+C40),B40*Inputs!$D$22&lt;=Inputs!$D$50*Inputs!$D$8,B40*Inputs!$D$22&gt;=Inputs!$D$49*Inputs!$D$8,A40*Inputs!$D$20&lt;=Inputs!$D$47*Inputs!$D$8,C40&gt;=1),1,0)</f>
        <v>0</v>
      </c>
      <c r="AG40" s="39">
        <f t="shared" si="3"/>
        <v>-1</v>
      </c>
    </row>
    <row r="41" spans="1:33" x14ac:dyDescent="0.25">
      <c r="A41" s="35">
        <v>26</v>
      </c>
      <c r="B41" s="35">
        <v>22</v>
      </c>
      <c r="C41" s="35">
        <f>Inputs!$D$8-A41-Inputs!$D$22*B41</f>
        <v>50</v>
      </c>
      <c r="D41" s="35">
        <f>A41*Inputs!$D$20+C41*Inputs!$D$21+B41*Inputs!$D$22</f>
        <v>120</v>
      </c>
      <c r="E41" s="36">
        <f>MIN(Inputs!$E$15,Inputs!$D$15*(C41/Inputs!$D$43)^Inputs!$D$44)</f>
        <v>0.4</v>
      </c>
      <c r="F41" s="36">
        <f>MIN(Inputs!$E$16,Inputs!$D$16*(B41/Inputs!$D$42)^Inputs!$D$44)</f>
        <v>0.41160230376843804</v>
      </c>
      <c r="G41" s="37">
        <f>Inputs!$D$26*(1+Inputs!$D$41*(B41-Inputs!$D$42))</f>
        <v>1.53</v>
      </c>
      <c r="H41" s="35">
        <f>Inputs!$D$6*Inputs!$D$14*G41*Inputs!$D$29</f>
        <v>1922.3379</v>
      </c>
      <c r="I41" s="36">
        <f>H41/(A41*Inputs!$D$32)</f>
        <v>1.3442922377622377</v>
      </c>
      <c r="J41" s="38">
        <f>IF(I41&gt;=1,999,I41/(Inputs!$D$32*(1-I41))*60)</f>
        <v>999</v>
      </c>
      <c r="K41" s="37">
        <f>MIN(1,MAX(0,(J41-Inputs!$D$36)/(Inputs!$D$37-Inputs!$D$36)))</f>
        <v>1</v>
      </c>
      <c r="L41" s="35">
        <f>Inputs!$D$6*Inputs!$D$14*G41*(1-Inputs!$D$38*K41)</f>
        <v>7048.5723000000016</v>
      </c>
      <c r="M41" s="39">
        <f>L41*Inputs!$D$11</f>
        <v>151544.30445000003</v>
      </c>
      <c r="N41" s="39">
        <f>M41*(1-Inputs!$D$17)</f>
        <v>53040.506557500004</v>
      </c>
      <c r="O41" s="35">
        <f>Inputs!$D$6*E41*Inputs!$D$27*Inputs!$D$30</f>
        <v>570.66240000000005</v>
      </c>
      <c r="P41" s="36">
        <f>O41/(C41*Inputs!$D$33)</f>
        <v>0.28533120000000001</v>
      </c>
      <c r="Q41" s="38">
        <f>IF(P41&gt;=1,999,P41/(Inputs!$D$33*(1-P41))*60)</f>
        <v>0.59887433171841276</v>
      </c>
      <c r="R41" s="37">
        <f>MIN(1,MAX(0,(Q41-Inputs!$D$36)/(Inputs!$D$37-Inputs!$D$36)))</f>
        <v>0</v>
      </c>
      <c r="S41" s="35">
        <f>Inputs!$D$6*E41*Inputs!$D$27*(1-Inputs!$D$38*R41)</f>
        <v>4755.5200000000004</v>
      </c>
      <c r="T41" s="39">
        <f>S41*Inputs!$D$12</f>
        <v>76088.320000000007</v>
      </c>
      <c r="U41" s="39">
        <f>T41*(1-Inputs!$D$18)</f>
        <v>34239.743999999999</v>
      </c>
      <c r="V41" s="35">
        <f>Inputs!$D$6*F41*Inputs!$D$28*Inputs!$D$31</f>
        <v>693.98124106416742</v>
      </c>
      <c r="W41" s="36">
        <f>V41/(B41*Inputs!$D$34)</f>
        <v>0.90127433904437326</v>
      </c>
      <c r="X41" s="38">
        <f>IF(W41&gt;=1,999,W41/(Inputs!$D$34*(1-W41))*60)</f>
        <v>15.649849381818807</v>
      </c>
      <c r="Y41" s="37">
        <f>MIN(1,MAX(0,(X41-Inputs!$D$36)/(Inputs!$D$37-Inputs!$D$36)))</f>
        <v>0.70998995878792048</v>
      </c>
      <c r="Z41" s="35">
        <f>Inputs!$D$6*F41*Inputs!$D$28*(1-Inputs!$D$38*Y41)</f>
        <v>3632.749002537963</v>
      </c>
      <c r="AA41" s="39">
        <f>Z41*Inputs!$D$13</f>
        <v>30878.366521572687</v>
      </c>
      <c r="AB41" s="39">
        <f>AA41*(1-Inputs!$D$19)</f>
        <v>18527.019912943611</v>
      </c>
      <c r="AC41" s="39">
        <f t="shared" si="0"/>
        <v>258510.99097157273</v>
      </c>
      <c r="AD41" s="39">
        <f t="shared" si="1"/>
        <v>105807.2704704436</v>
      </c>
      <c r="AE41" s="36">
        <f t="shared" si="2"/>
        <v>1.3442922377622377</v>
      </c>
      <c r="AF41" s="35">
        <f>IF(AND(AE41&lt;=Inputs!$D$35,C41&gt;=Inputs!$D$48*(A41+B41+C41),B41*Inputs!$D$22&lt;=Inputs!$D$50*Inputs!$D$8,B41*Inputs!$D$22&gt;=Inputs!$D$49*Inputs!$D$8,A41*Inputs!$D$20&lt;=Inputs!$D$47*Inputs!$D$8,C41&gt;=1),1,0)</f>
        <v>0</v>
      </c>
      <c r="AG41" s="39">
        <f t="shared" si="3"/>
        <v>-1</v>
      </c>
    </row>
    <row r="42" spans="1:33" x14ac:dyDescent="0.25">
      <c r="A42" s="35">
        <v>26</v>
      </c>
      <c r="B42" s="35">
        <v>23</v>
      </c>
      <c r="C42" s="35">
        <f>Inputs!$D$8-A42-Inputs!$D$22*B42</f>
        <v>48</v>
      </c>
      <c r="D42" s="35">
        <f>A42*Inputs!$D$20+C42*Inputs!$D$21+B42*Inputs!$D$22</f>
        <v>120</v>
      </c>
      <c r="E42" s="36">
        <f>MIN(Inputs!$E$15,Inputs!$D$15*(C42/Inputs!$D$43)^Inputs!$D$44)</f>
        <v>0.39525168457966786</v>
      </c>
      <c r="F42" s="36">
        <f>MIN(Inputs!$E$16,Inputs!$D$16*(B42/Inputs!$D$42)^Inputs!$D$44)</f>
        <v>0.41712800028621322</v>
      </c>
      <c r="G42" s="37">
        <f>Inputs!$D$26*(1+Inputs!$D$41*(B42-Inputs!$D$42))</f>
        <v>1.5449999999999999</v>
      </c>
      <c r="H42" s="35">
        <f>Inputs!$D$6*Inputs!$D$14*G42*Inputs!$D$29</f>
        <v>1941.18435</v>
      </c>
      <c r="I42" s="36">
        <f>H42/(A42*Inputs!$D$32)</f>
        <v>1.3574715734265734</v>
      </c>
      <c r="J42" s="38">
        <f>IF(I42&gt;=1,999,I42/(Inputs!$D$32*(1-I42))*60)</f>
        <v>999</v>
      </c>
      <c r="K42" s="37">
        <f>MIN(1,MAX(0,(J42-Inputs!$D$36)/(Inputs!$D$37-Inputs!$D$36)))</f>
        <v>1</v>
      </c>
      <c r="L42" s="35">
        <f>Inputs!$D$6*Inputs!$D$14*G42*(1-Inputs!$D$38*K42)</f>
        <v>7117.6759500000016</v>
      </c>
      <c r="M42" s="39">
        <f>L42*Inputs!$D$11</f>
        <v>153030.03292500004</v>
      </c>
      <c r="N42" s="39">
        <f>M42*(1-Inputs!$D$17)</f>
        <v>53560.511523750007</v>
      </c>
      <c r="O42" s="35">
        <f>Inputs!$D$6*E42*Inputs!$D$27*Inputs!$D$30</f>
        <v>563.88818731569074</v>
      </c>
      <c r="P42" s="36">
        <f>O42/(C42*Inputs!$D$33)</f>
        <v>0.29369176422692228</v>
      </c>
      <c r="Q42" s="38">
        <f>IF(P42&gt;=1,999,P42/(Inputs!$D$33*(1-P42))*60)</f>
        <v>0.62371868828373556</v>
      </c>
      <c r="R42" s="37">
        <f>MIN(1,MAX(0,(Q42-Inputs!$D$36)/(Inputs!$D$37-Inputs!$D$36)))</f>
        <v>0</v>
      </c>
      <c r="S42" s="35">
        <f>Inputs!$D$6*E42*Inputs!$D$27*(1-Inputs!$D$38*R42)</f>
        <v>4699.0682276307562</v>
      </c>
      <c r="T42" s="39">
        <f>S42*Inputs!$D$12</f>
        <v>75185.091642092098</v>
      </c>
      <c r="U42" s="39">
        <f>T42*(1-Inputs!$D$18)</f>
        <v>33833.291238941441</v>
      </c>
      <c r="V42" s="35">
        <f>Inputs!$D$6*F42*Inputs!$D$28*Inputs!$D$31</f>
        <v>703.29783062656929</v>
      </c>
      <c r="W42" s="36">
        <f>V42/(B42*Inputs!$D$34)</f>
        <v>0.87366190139946498</v>
      </c>
      <c r="X42" s="38">
        <f>IF(W42&gt;=1,999,W42/(Inputs!$D$34*(1-W42))*60)</f>
        <v>11.854746377182334</v>
      </c>
      <c r="Y42" s="37">
        <f>MIN(1,MAX(0,(X42-Inputs!$D$36)/(Inputs!$D$37-Inputs!$D$36)))</f>
        <v>0.45698309181215557</v>
      </c>
      <c r="Z42" s="35">
        <f>Inputs!$D$6*F42*Inputs!$D$28*(1-Inputs!$D$38*Y42)</f>
        <v>4297.4614071503011</v>
      </c>
      <c r="AA42" s="39">
        <f>Z42*Inputs!$D$13</f>
        <v>36528.421960777559</v>
      </c>
      <c r="AB42" s="39">
        <f>AA42*(1-Inputs!$D$19)</f>
        <v>21917.053176466536</v>
      </c>
      <c r="AC42" s="39">
        <f t="shared" si="0"/>
        <v>264743.54652786971</v>
      </c>
      <c r="AD42" s="39">
        <f t="shared" si="1"/>
        <v>109310.85593915799</v>
      </c>
      <c r="AE42" s="36">
        <f t="shared" si="2"/>
        <v>1.3574715734265734</v>
      </c>
      <c r="AF42" s="35">
        <f>IF(AND(AE42&lt;=Inputs!$D$35,C42&gt;=Inputs!$D$48*(A42+B42+C42),B42*Inputs!$D$22&lt;=Inputs!$D$50*Inputs!$D$8,B42*Inputs!$D$22&gt;=Inputs!$D$49*Inputs!$D$8,A42*Inputs!$D$20&lt;=Inputs!$D$47*Inputs!$D$8,C42&gt;=1),1,0)</f>
        <v>0</v>
      </c>
      <c r="AG42" s="39">
        <f t="shared" si="3"/>
        <v>-1</v>
      </c>
    </row>
    <row r="43" spans="1:33" x14ac:dyDescent="0.25">
      <c r="A43" s="35">
        <v>26</v>
      </c>
      <c r="B43" s="35">
        <v>24</v>
      </c>
      <c r="C43" s="35">
        <f>Inputs!$D$8-A43-Inputs!$D$22*B43</f>
        <v>46</v>
      </c>
      <c r="D43" s="35">
        <f>A43*Inputs!$D$20+C43*Inputs!$D$21+B43*Inputs!$D$22</f>
        <v>120</v>
      </c>
      <c r="E43" s="36">
        <f>MIN(Inputs!$E$15,Inputs!$D$15*(C43/Inputs!$D$43)^Inputs!$D$44)</f>
        <v>0.39023723685630041</v>
      </c>
      <c r="F43" s="36">
        <f>MIN(Inputs!$E$16,Inputs!$D$16*(B43/Inputs!$D$42)^Inputs!$D$44)</f>
        <v>0.42248798737570326</v>
      </c>
      <c r="G43" s="37">
        <f>Inputs!$D$26*(1+Inputs!$D$41*(B43-Inputs!$D$42))</f>
        <v>1.56</v>
      </c>
      <c r="H43" s="35">
        <f>Inputs!$D$6*Inputs!$D$14*G43*Inputs!$D$29</f>
        <v>1960.0308</v>
      </c>
      <c r="I43" s="36">
        <f>H43/(A43*Inputs!$D$32)</f>
        <v>1.3706509090909091</v>
      </c>
      <c r="J43" s="38">
        <f>IF(I43&gt;=1,999,I43/(Inputs!$D$32*(1-I43))*60)</f>
        <v>999</v>
      </c>
      <c r="K43" s="37">
        <f>MIN(1,MAX(0,(J43-Inputs!$D$36)/(Inputs!$D$37-Inputs!$D$36)))</f>
        <v>1</v>
      </c>
      <c r="L43" s="35">
        <f>Inputs!$D$6*Inputs!$D$14*G43*(1-Inputs!$D$38*K43)</f>
        <v>7186.7796000000017</v>
      </c>
      <c r="M43" s="39">
        <f>L43*Inputs!$D$11</f>
        <v>154515.76140000005</v>
      </c>
      <c r="N43" s="39">
        <f>M43*(1-Inputs!$D$17)</f>
        <v>54080.516490000016</v>
      </c>
      <c r="O43" s="35">
        <f>Inputs!$D$6*E43*Inputs!$D$27*Inputs!$D$30</f>
        <v>556.73429538446214</v>
      </c>
      <c r="P43" s="36">
        <f>O43/(C43*Inputs!$D$33)</f>
        <v>0.30257298662199028</v>
      </c>
      <c r="Q43" s="38">
        <f>IF(P43&gt;=1,999,P43/(Inputs!$D$33*(1-P43))*60)</f>
        <v>0.65076269090109196</v>
      </c>
      <c r="R43" s="37">
        <f>MIN(1,MAX(0,(Q43-Inputs!$D$36)/(Inputs!$D$37-Inputs!$D$36)))</f>
        <v>0</v>
      </c>
      <c r="S43" s="35">
        <f>Inputs!$D$6*E43*Inputs!$D$27*(1-Inputs!$D$38*R43)</f>
        <v>4639.4524615371847</v>
      </c>
      <c r="T43" s="39">
        <f>S43*Inputs!$D$12</f>
        <v>74231.239384594955</v>
      </c>
      <c r="U43" s="39">
        <f>T43*(1-Inputs!$D$18)</f>
        <v>33404.05772306773</v>
      </c>
      <c r="V43" s="35">
        <f>Inputs!$D$6*F43*Inputs!$D$28*Inputs!$D$31</f>
        <v>712.33502613882979</v>
      </c>
      <c r="W43" s="36">
        <f>V43/(B43*Inputs!$D$34)</f>
        <v>0.84801788826051161</v>
      </c>
      <c r="X43" s="38">
        <f>IF(W43&gt;=1,999,W43/(Inputs!$D$34*(1-W43))*60)</f>
        <v>9.5652372155190832</v>
      </c>
      <c r="Y43" s="37">
        <f>MIN(1,MAX(0,(X43-Inputs!$D$36)/(Inputs!$D$37-Inputs!$D$36)))</f>
        <v>0.30434914770127219</v>
      </c>
      <c r="Z43" s="35">
        <f>Inputs!$D$6*F43*Inputs!$D$28*(1-Inputs!$D$38*Y43)</f>
        <v>4729.0436538571339</v>
      </c>
      <c r="AA43" s="39">
        <f>Z43*Inputs!$D$13</f>
        <v>40196.87105778564</v>
      </c>
      <c r="AB43" s="39">
        <f>AA43*(1-Inputs!$D$19)</f>
        <v>24118.122634671385</v>
      </c>
      <c r="AC43" s="39">
        <f t="shared" si="0"/>
        <v>268943.87184238061</v>
      </c>
      <c r="AD43" s="39">
        <f t="shared" si="1"/>
        <v>111602.69684773912</v>
      </c>
      <c r="AE43" s="36">
        <f t="shared" si="2"/>
        <v>1.3706509090909091</v>
      </c>
      <c r="AF43" s="35">
        <f>IF(AND(AE43&lt;=Inputs!$D$35,C43&gt;=Inputs!$D$48*(A43+B43+C43),B43*Inputs!$D$22&lt;=Inputs!$D$50*Inputs!$D$8,B43*Inputs!$D$22&gt;=Inputs!$D$49*Inputs!$D$8,A43*Inputs!$D$20&lt;=Inputs!$D$47*Inputs!$D$8,C43&gt;=1),1,0)</f>
        <v>0</v>
      </c>
      <c r="AG43" s="39">
        <f t="shared" si="3"/>
        <v>-1</v>
      </c>
    </row>
    <row r="44" spans="1:33" x14ac:dyDescent="0.25">
      <c r="A44" s="35">
        <v>26</v>
      </c>
      <c r="B44" s="35">
        <v>25</v>
      </c>
      <c r="C44" s="35">
        <f>Inputs!$D$8-A44-Inputs!$D$22*B44</f>
        <v>44</v>
      </c>
      <c r="D44" s="35">
        <f>A44*Inputs!$D$20+C44*Inputs!$D$21+B44*Inputs!$D$22</f>
        <v>120</v>
      </c>
      <c r="E44" s="36">
        <f>MIN(Inputs!$E$15,Inputs!$D$15*(C44/Inputs!$D$43)^Inputs!$D$44)</f>
        <v>0.38506776240403751</v>
      </c>
      <c r="F44" s="36">
        <f>MIN(Inputs!$E$16,Inputs!$D$16*(B44/Inputs!$D$42)^Inputs!$D$44)</f>
        <v>0.42769383999647526</v>
      </c>
      <c r="G44" s="37">
        <f>Inputs!$D$26*(1+Inputs!$D$41*(B44-Inputs!$D$42))</f>
        <v>1.5750000000000002</v>
      </c>
      <c r="H44" s="35">
        <f>Inputs!$D$6*Inputs!$D$14*G44*Inputs!$D$29</f>
        <v>1978.8772500000005</v>
      </c>
      <c r="I44" s="36">
        <f>H44/(A44*Inputs!$D$32)</f>
        <v>1.3838302447552451</v>
      </c>
      <c r="J44" s="38">
        <f>IF(I44&gt;=1,999,I44/(Inputs!$D$32*(1-I44))*60)</f>
        <v>999</v>
      </c>
      <c r="K44" s="37">
        <f>MIN(1,MAX(0,(J44-Inputs!$D$36)/(Inputs!$D$37-Inputs!$D$36)))</f>
        <v>1</v>
      </c>
      <c r="L44" s="35">
        <f>Inputs!$D$6*Inputs!$D$14*G44*(1-Inputs!$D$38*K44)</f>
        <v>7255.8832500000026</v>
      </c>
      <c r="M44" s="39">
        <f>L44*Inputs!$D$11</f>
        <v>156001.48987500006</v>
      </c>
      <c r="N44" s="39">
        <f>M44*(1-Inputs!$D$17)</f>
        <v>54600.521456250019</v>
      </c>
      <c r="O44" s="35">
        <f>Inputs!$D$6*E44*Inputs!$D$27*Inputs!$D$30</f>
        <v>549.35923364029463</v>
      </c>
      <c r="P44" s="36">
        <f>O44/(C44*Inputs!$D$33)</f>
        <v>0.31213592820471286</v>
      </c>
      <c r="Q44" s="38">
        <f>IF(P44&gt;=1,999,P44/(Inputs!$D$33*(1-P44))*60)</f>
        <v>0.6806633919476025</v>
      </c>
      <c r="R44" s="37">
        <f>MIN(1,MAX(0,(Q44-Inputs!$D$36)/(Inputs!$D$37-Inputs!$D$36)))</f>
        <v>0</v>
      </c>
      <c r="S44" s="35">
        <f>Inputs!$D$6*E44*Inputs!$D$27*(1-Inputs!$D$38*R44)</f>
        <v>4577.9936136691222</v>
      </c>
      <c r="T44" s="39">
        <f>S44*Inputs!$D$12</f>
        <v>73247.897818705955</v>
      </c>
      <c r="U44" s="39">
        <f>T44*(1-Inputs!$D$18)</f>
        <v>32961.554018417679</v>
      </c>
      <c r="V44" s="35">
        <f>Inputs!$D$6*F44*Inputs!$D$28*Inputs!$D$31</f>
        <v>721.1123435383771</v>
      </c>
      <c r="W44" s="36">
        <f>V44/(B44*Inputs!$D$34)</f>
        <v>0.82412839261528814</v>
      </c>
      <c r="X44" s="38">
        <f>IF(W44&gt;=1,999,W44/(Inputs!$D$34*(1-W44))*60)</f>
        <v>8.0330847668163621</v>
      </c>
      <c r="Y44" s="37">
        <f>MIN(1,MAX(0,(X44-Inputs!$D$36)/(Inputs!$D$37-Inputs!$D$36)))</f>
        <v>0.20220565112109082</v>
      </c>
      <c r="Z44" s="35">
        <f>Inputs!$D$6*F44*Inputs!$D$28*(1-Inputs!$D$38*Y44)</f>
        <v>5042.2807508299393</v>
      </c>
      <c r="AA44" s="39">
        <f>Z44*Inputs!$D$13</f>
        <v>42859.386382054487</v>
      </c>
      <c r="AB44" s="39">
        <f>AA44*(1-Inputs!$D$19)</f>
        <v>25715.631829232691</v>
      </c>
      <c r="AC44" s="39">
        <f t="shared" si="0"/>
        <v>272108.77407576051</v>
      </c>
      <c r="AD44" s="39">
        <f t="shared" si="1"/>
        <v>113277.70730390039</v>
      </c>
      <c r="AE44" s="36">
        <f t="shared" si="2"/>
        <v>1.3838302447552451</v>
      </c>
      <c r="AF44" s="35">
        <f>IF(AND(AE44&lt;=Inputs!$D$35,C44&gt;=Inputs!$D$48*(A44+B44+C44),B44*Inputs!$D$22&lt;=Inputs!$D$50*Inputs!$D$8,B44*Inputs!$D$22&gt;=Inputs!$D$49*Inputs!$D$8,A44*Inputs!$D$20&lt;=Inputs!$D$47*Inputs!$D$8,C44&gt;=1),1,0)</f>
        <v>0</v>
      </c>
      <c r="AG44" s="39">
        <f t="shared" si="3"/>
        <v>-1</v>
      </c>
    </row>
    <row r="45" spans="1:33" x14ac:dyDescent="0.25">
      <c r="A45" s="35">
        <v>26</v>
      </c>
      <c r="B45" s="35">
        <v>26</v>
      </c>
      <c r="C45" s="35">
        <f>Inputs!$D$8-A45-Inputs!$D$22*B45</f>
        <v>42</v>
      </c>
      <c r="D45" s="35">
        <f>A45*Inputs!$D$20+C45*Inputs!$D$21+B45*Inputs!$D$22</f>
        <v>120</v>
      </c>
      <c r="E45" s="36">
        <f>MIN(Inputs!$E$15,Inputs!$D$15*(C45/Inputs!$D$43)^Inputs!$D$44)</f>
        <v>0.37973108090036384</v>
      </c>
      <c r="F45" s="36">
        <f>MIN(Inputs!$E$16,Inputs!$D$16*(B45/Inputs!$D$42)^Inputs!$D$44)</f>
        <v>0.43275589945781112</v>
      </c>
      <c r="G45" s="37">
        <f>Inputs!$D$26*(1+Inputs!$D$41*(B45-Inputs!$D$42))</f>
        <v>1.59</v>
      </c>
      <c r="H45" s="35">
        <f>Inputs!$D$6*Inputs!$D$14*G45*Inputs!$D$29</f>
        <v>1997.7237</v>
      </c>
      <c r="I45" s="36">
        <f>H45/(A45*Inputs!$D$32)</f>
        <v>1.3970095804195803</v>
      </c>
      <c r="J45" s="38">
        <f>IF(I45&gt;=1,999,I45/(Inputs!$D$32*(1-I45))*60)</f>
        <v>999</v>
      </c>
      <c r="K45" s="37">
        <f>MIN(1,MAX(0,(J45-Inputs!$D$36)/(Inputs!$D$37-Inputs!$D$36)))</f>
        <v>1</v>
      </c>
      <c r="L45" s="35">
        <f>Inputs!$D$6*Inputs!$D$14*G45*(1-Inputs!$D$38*K45)</f>
        <v>7324.9869000000017</v>
      </c>
      <c r="M45" s="39">
        <f>L45*Inputs!$D$11</f>
        <v>157487.21835000004</v>
      </c>
      <c r="N45" s="39">
        <f>M45*(1-Inputs!$D$17)</f>
        <v>55120.526422500014</v>
      </c>
      <c r="O45" s="35">
        <f>Inputs!$D$6*E45*Inputs!$D$27*Inputs!$D$30</f>
        <v>541.74562495298949</v>
      </c>
      <c r="P45" s="36">
        <f>O45/(C45*Inputs!$D$33)</f>
        <v>0.32246763390058897</v>
      </c>
      <c r="Q45" s="38">
        <f>IF(P45&gt;=1,999,P45/(Inputs!$D$33*(1-P45))*60)</f>
        <v>0.71391637514762252</v>
      </c>
      <c r="R45" s="37">
        <f>MIN(1,MAX(0,(Q45-Inputs!$D$36)/(Inputs!$D$37-Inputs!$D$36)))</f>
        <v>0</v>
      </c>
      <c r="S45" s="35">
        <f>Inputs!$D$6*E45*Inputs!$D$27*(1-Inputs!$D$38*R45)</f>
        <v>4514.5468746082461</v>
      </c>
      <c r="T45" s="39">
        <f>S45*Inputs!$D$12</f>
        <v>72232.749993731937</v>
      </c>
      <c r="U45" s="39">
        <f>T45*(1-Inputs!$D$18)</f>
        <v>32504.737497179369</v>
      </c>
      <c r="V45" s="35">
        <f>Inputs!$D$6*F45*Inputs!$D$28*Inputs!$D$31</f>
        <v>729.64721876904355</v>
      </c>
      <c r="W45" s="36">
        <f>V45/(B45*Inputs!$D$34)</f>
        <v>0.80181013051543248</v>
      </c>
      <c r="X45" s="38">
        <f>IF(W45&gt;=1,999,W45/(Inputs!$D$34*(1-W45))*60)</f>
        <v>6.9354284146153136</v>
      </c>
      <c r="Y45" s="37">
        <f>MIN(1,MAX(0,(X45-Inputs!$D$36)/(Inputs!$D$37-Inputs!$D$36)))</f>
        <v>0.12902856097435425</v>
      </c>
      <c r="Z45" s="35">
        <f>Inputs!$D$6*F45*Inputs!$D$28*(1-Inputs!$D$38*Y45)</f>
        <v>5286.7832305655711</v>
      </c>
      <c r="AA45" s="39">
        <f>Z45*Inputs!$D$13</f>
        <v>44937.657459807357</v>
      </c>
      <c r="AB45" s="39">
        <f>AA45*(1-Inputs!$D$19)</f>
        <v>26962.594475884413</v>
      </c>
      <c r="AC45" s="39">
        <f t="shared" si="0"/>
        <v>274657.62580353935</v>
      </c>
      <c r="AD45" s="39">
        <f t="shared" si="1"/>
        <v>114587.8583955638</v>
      </c>
      <c r="AE45" s="36">
        <f t="shared" si="2"/>
        <v>1.3970095804195803</v>
      </c>
      <c r="AF45" s="35">
        <f>IF(AND(AE45&lt;=Inputs!$D$35,C45&gt;=Inputs!$D$48*(A45+B45+C45),B45*Inputs!$D$22&lt;=Inputs!$D$50*Inputs!$D$8,B45*Inputs!$D$22&gt;=Inputs!$D$49*Inputs!$D$8,A45*Inputs!$D$20&lt;=Inputs!$D$47*Inputs!$D$8,C45&gt;=1),1,0)</f>
        <v>0</v>
      </c>
      <c r="AG45" s="39">
        <f t="shared" si="3"/>
        <v>-1</v>
      </c>
    </row>
    <row r="46" spans="1:33" x14ac:dyDescent="0.25">
      <c r="A46" s="35">
        <v>26</v>
      </c>
      <c r="B46" s="35">
        <v>27</v>
      </c>
      <c r="C46" s="35">
        <f>Inputs!$D$8-A46-Inputs!$D$22*B46</f>
        <v>40</v>
      </c>
      <c r="D46" s="35">
        <f>A46*Inputs!$D$20+C46*Inputs!$D$21+B46*Inputs!$D$22</f>
        <v>120</v>
      </c>
      <c r="E46" s="36">
        <f>MIN(Inputs!$E$15,Inputs!$D$15*(C46/Inputs!$D$43)^Inputs!$D$44)</f>
        <v>0.37421341802855551</v>
      </c>
      <c r="F46" s="36">
        <f>MIN(Inputs!$E$16,Inputs!$D$16*(B46/Inputs!$D$42)^Inputs!$D$44)</f>
        <v>0.43768344678187454</v>
      </c>
      <c r="G46" s="37">
        <f>Inputs!$D$26*(1+Inputs!$D$41*(B46-Inputs!$D$42))</f>
        <v>1.605</v>
      </c>
      <c r="H46" s="35">
        <f>Inputs!$D$6*Inputs!$D$14*G46*Inputs!$D$29</f>
        <v>2016.57015</v>
      </c>
      <c r="I46" s="36">
        <f>H46/(A46*Inputs!$D$32)</f>
        <v>1.4101889160839161</v>
      </c>
      <c r="J46" s="38">
        <f>IF(I46&gt;=1,999,I46/(Inputs!$D$32*(1-I46))*60)</f>
        <v>999</v>
      </c>
      <c r="K46" s="37">
        <f>MIN(1,MAX(0,(J46-Inputs!$D$36)/(Inputs!$D$37-Inputs!$D$36)))</f>
        <v>1</v>
      </c>
      <c r="L46" s="35">
        <f>Inputs!$D$6*Inputs!$D$14*G46*(1-Inputs!$D$38*K46)</f>
        <v>7394.0905500000017</v>
      </c>
      <c r="M46" s="39">
        <f>L46*Inputs!$D$11</f>
        <v>158972.94682500005</v>
      </c>
      <c r="N46" s="39">
        <f>M46*(1-Inputs!$D$17)</f>
        <v>55640.531388750016</v>
      </c>
      <c r="O46" s="35">
        <f>Inputs!$D$6*E46*Inputs!$D$27*Inputs!$D$30</f>
        <v>533.8738181109469</v>
      </c>
      <c r="P46" s="36">
        <f>O46/(C46*Inputs!$D$33)</f>
        <v>0.33367113631934181</v>
      </c>
      <c r="Q46" s="38">
        <f>IF(P46&gt;=1,999,P46/(Inputs!$D$33*(1-P46))*60)</f>
        <v>0.75114066305685867</v>
      </c>
      <c r="R46" s="37">
        <f>MIN(1,MAX(0,(Q46-Inputs!$D$36)/(Inputs!$D$37-Inputs!$D$36)))</f>
        <v>0</v>
      </c>
      <c r="S46" s="35">
        <f>Inputs!$D$6*E46*Inputs!$D$27*(1-Inputs!$D$38*R46)</f>
        <v>4448.9484842578913</v>
      </c>
      <c r="T46" s="39">
        <f>S46*Inputs!$D$12</f>
        <v>71183.175748126261</v>
      </c>
      <c r="U46" s="39">
        <f>T46*(1-Inputs!$D$18)</f>
        <v>32032.429086656815</v>
      </c>
      <c r="V46" s="35">
        <f>Inputs!$D$6*F46*Inputs!$D$28*Inputs!$D$31</f>
        <v>737.95530007968603</v>
      </c>
      <c r="W46" s="36">
        <f>V46/(B46*Inputs!$D$34)</f>
        <v>0.78090507944940324</v>
      </c>
      <c r="X46" s="38">
        <f>IF(W46&gt;=1,999,W46/(Inputs!$D$34*(1-W46))*60)</f>
        <v>6.1101116290101798</v>
      </c>
      <c r="Y46" s="37">
        <f>MIN(1,MAX(0,(X46-Inputs!$D$36)/(Inputs!$D$37-Inputs!$D$36)))</f>
        <v>7.4007441934011986E-2</v>
      </c>
      <c r="Z46" s="35">
        <f>Inputs!$D$6*F46*Inputs!$D$28*(1-Inputs!$D$38*Y46)</f>
        <v>5487.5301328495489</v>
      </c>
      <c r="AA46" s="39">
        <f>Z46*Inputs!$D$13</f>
        <v>46644.006129221169</v>
      </c>
      <c r="AB46" s="39">
        <f>AA46*(1-Inputs!$D$19)</f>
        <v>27986.4036775327</v>
      </c>
      <c r="AC46" s="39">
        <f t="shared" si="0"/>
        <v>276800.12870234746</v>
      </c>
      <c r="AD46" s="39">
        <f t="shared" si="1"/>
        <v>115659.36415293952</v>
      </c>
      <c r="AE46" s="36">
        <f t="shared" si="2"/>
        <v>1.4101889160839161</v>
      </c>
      <c r="AF46" s="35">
        <f>IF(AND(AE46&lt;=Inputs!$D$35,C46&gt;=Inputs!$D$48*(A46+B46+C46),B46*Inputs!$D$22&lt;=Inputs!$D$50*Inputs!$D$8,B46*Inputs!$D$22&gt;=Inputs!$D$49*Inputs!$D$8,A46*Inputs!$D$20&lt;=Inputs!$D$47*Inputs!$D$8,C46&gt;=1),1,0)</f>
        <v>0</v>
      </c>
      <c r="AG46" s="39">
        <f t="shared" si="3"/>
        <v>-1</v>
      </c>
    </row>
    <row r="47" spans="1:33" x14ac:dyDescent="0.25">
      <c r="A47" s="35">
        <v>26</v>
      </c>
      <c r="B47" s="35">
        <v>28</v>
      </c>
      <c r="C47" s="35">
        <f>Inputs!$D$8-A47-Inputs!$D$22*B47</f>
        <v>38</v>
      </c>
      <c r="D47" s="35">
        <f>A47*Inputs!$D$20+C47*Inputs!$D$21+B47*Inputs!$D$22</f>
        <v>120</v>
      </c>
      <c r="E47" s="36">
        <f>MIN(Inputs!$E$15,Inputs!$D$15*(C47/Inputs!$D$43)^Inputs!$D$44)</f>
        <v>0.36849910497273691</v>
      </c>
      <c r="F47" s="36">
        <f>MIN(Inputs!$E$16,Inputs!$D$16*(B47/Inputs!$D$42)^Inputs!$D$44)</f>
        <v>0.44248484624799689</v>
      </c>
      <c r="G47" s="37">
        <f>Inputs!$D$26*(1+Inputs!$D$41*(B47-Inputs!$D$42))</f>
        <v>1.62</v>
      </c>
      <c r="H47" s="35">
        <f>Inputs!$D$6*Inputs!$D$14*G47*Inputs!$D$29</f>
        <v>2035.4166</v>
      </c>
      <c r="I47" s="36">
        <f>H47/(A47*Inputs!$D$32)</f>
        <v>1.4233682517482518</v>
      </c>
      <c r="J47" s="38">
        <f>IF(I47&gt;=1,999,I47/(Inputs!$D$32*(1-I47))*60)</f>
        <v>999</v>
      </c>
      <c r="K47" s="37">
        <f>MIN(1,MAX(0,(J47-Inputs!$D$36)/(Inputs!$D$37-Inputs!$D$36)))</f>
        <v>1</v>
      </c>
      <c r="L47" s="35">
        <f>Inputs!$D$6*Inputs!$D$14*G47*(1-Inputs!$D$38*K47)</f>
        <v>7463.1942000000017</v>
      </c>
      <c r="M47" s="39">
        <f>L47*Inputs!$D$11</f>
        <v>160458.67530000003</v>
      </c>
      <c r="N47" s="39">
        <f>M47*(1-Inputs!$D$17)</f>
        <v>56160.536355000011</v>
      </c>
      <c r="O47" s="35">
        <f>Inputs!$D$6*E47*Inputs!$D$27*Inputs!$D$30</f>
        <v>525.72145910398501</v>
      </c>
      <c r="P47" s="36">
        <f>O47/(C47*Inputs!$D$33)</f>
        <v>0.34586938098946385</v>
      </c>
      <c r="Q47" s="38">
        <f>IF(P47&gt;=1,999,P47/(Inputs!$D$33*(1-P47))*60)</f>
        <v>0.79311999225622454</v>
      </c>
      <c r="R47" s="37">
        <f>MIN(1,MAX(0,(Q47-Inputs!$D$36)/(Inputs!$D$37-Inputs!$D$36)))</f>
        <v>0</v>
      </c>
      <c r="S47" s="35">
        <f>Inputs!$D$6*E47*Inputs!$D$27*(1-Inputs!$D$38*R47)</f>
        <v>4381.012159199875</v>
      </c>
      <c r="T47" s="39">
        <f>S47*Inputs!$D$12</f>
        <v>70096.194547198</v>
      </c>
      <c r="U47" s="39">
        <f>T47*(1-Inputs!$D$18)</f>
        <v>31543.287546239098</v>
      </c>
      <c r="V47" s="35">
        <f>Inputs!$D$6*F47*Inputs!$D$28*Inputs!$D$31</f>
        <v>746.05069004674272</v>
      </c>
      <c r="W47" s="36">
        <f>V47/(B47*Inputs!$D$34)</f>
        <v>0.76127621433341097</v>
      </c>
      <c r="X47" s="38">
        <f>IF(W47&gt;=1,999,W47/(Inputs!$D$34*(1-W47))*60)</f>
        <v>5.4667570523531852</v>
      </c>
      <c r="Y47" s="37">
        <f>MIN(1,MAX(0,(X47-Inputs!$D$36)/(Inputs!$D$37-Inputs!$D$36)))</f>
        <v>3.111713682354568E-2</v>
      </c>
      <c r="Z47" s="35">
        <f>Inputs!$D$6*F47*Inputs!$D$28*(1-Inputs!$D$38*Y47)</f>
        <v>5658.4919801305723</v>
      </c>
      <c r="AA47" s="39">
        <f>Z47*Inputs!$D$13</f>
        <v>48097.181831109861</v>
      </c>
      <c r="AB47" s="39">
        <f>AA47*(1-Inputs!$D$19)</f>
        <v>28858.309098665915</v>
      </c>
      <c r="AC47" s="39">
        <f t="shared" si="0"/>
        <v>278652.05167830788</v>
      </c>
      <c r="AD47" s="39">
        <f t="shared" si="1"/>
        <v>116562.13299990504</v>
      </c>
      <c r="AE47" s="36">
        <f t="shared" si="2"/>
        <v>1.4233682517482518</v>
      </c>
      <c r="AF47" s="35">
        <f>IF(AND(AE47&lt;=Inputs!$D$35,C47&gt;=Inputs!$D$48*(A47+B47+C47),B47*Inputs!$D$22&lt;=Inputs!$D$50*Inputs!$D$8,B47*Inputs!$D$22&gt;=Inputs!$D$49*Inputs!$D$8,A47*Inputs!$D$20&lt;=Inputs!$D$47*Inputs!$D$8,C47&gt;=1),1,0)</f>
        <v>0</v>
      </c>
      <c r="AG47" s="39">
        <f t="shared" si="3"/>
        <v>-1</v>
      </c>
    </row>
    <row r="48" spans="1:33" x14ac:dyDescent="0.25">
      <c r="A48" s="35">
        <v>26</v>
      </c>
      <c r="B48" s="35">
        <v>29</v>
      </c>
      <c r="C48" s="35">
        <f>Inputs!$D$8-A48-Inputs!$D$22*B48</f>
        <v>36</v>
      </c>
      <c r="D48" s="35">
        <f>A48*Inputs!$D$20+C48*Inputs!$D$21+B48*Inputs!$D$22</f>
        <v>120</v>
      </c>
      <c r="E48" s="36">
        <f>MIN(Inputs!$E$15,Inputs!$D$15*(C48/Inputs!$D$43)^Inputs!$D$44)</f>
        <v>0.36257020206219398</v>
      </c>
      <c r="F48" s="36">
        <f>MIN(Inputs!$E$16,Inputs!$D$16*(B48/Inputs!$D$42)^Inputs!$D$44)</f>
        <v>0.44716766511947192</v>
      </c>
      <c r="G48" s="37">
        <f>Inputs!$D$26*(1+Inputs!$D$41*(B48-Inputs!$D$42))</f>
        <v>1.6350000000000002</v>
      </c>
      <c r="H48" s="35">
        <f>Inputs!$D$6*Inputs!$D$14*G48*Inputs!$D$29</f>
        <v>2054.2630500000005</v>
      </c>
      <c r="I48" s="36">
        <f>H48/(A48*Inputs!$D$32)</f>
        <v>1.4365475874125877</v>
      </c>
      <c r="J48" s="38">
        <f>IF(I48&gt;=1,999,I48/(Inputs!$D$32*(1-I48))*60)</f>
        <v>999</v>
      </c>
      <c r="K48" s="37">
        <f>MIN(1,MAX(0,(J48-Inputs!$D$36)/(Inputs!$D$37-Inputs!$D$36)))</f>
        <v>1</v>
      </c>
      <c r="L48" s="35">
        <f>Inputs!$D$6*Inputs!$D$14*G48*(1-Inputs!$D$38*K48)</f>
        <v>7532.2978500000027</v>
      </c>
      <c r="M48" s="39">
        <f>L48*Inputs!$D$11</f>
        <v>161944.40377500007</v>
      </c>
      <c r="N48" s="39">
        <f>M48*(1-Inputs!$D$17)</f>
        <v>56680.541321250021</v>
      </c>
      <c r="O48" s="35">
        <f>Inputs!$D$6*E48*Inputs!$D$27*Inputs!$D$30</f>
        <v>517.26295419324151</v>
      </c>
      <c r="P48" s="36">
        <f>O48/(C48*Inputs!$D$33)</f>
        <v>0.35921038485641771</v>
      </c>
      <c r="Q48" s="38">
        <f>IF(P48&gt;=1,999,P48/(Inputs!$D$33*(1-P48))*60)</f>
        <v>0.84086190623406665</v>
      </c>
      <c r="R48" s="37">
        <f>MIN(1,MAX(0,(Q48-Inputs!$D$36)/(Inputs!$D$37-Inputs!$D$36)))</f>
        <v>0</v>
      </c>
      <c r="S48" s="35">
        <f>Inputs!$D$6*E48*Inputs!$D$27*(1-Inputs!$D$38*R48)</f>
        <v>4310.5246182770125</v>
      </c>
      <c r="T48" s="39">
        <f>S48*Inputs!$D$12</f>
        <v>68968.393892432199</v>
      </c>
      <c r="U48" s="39">
        <f>T48*(1-Inputs!$D$18)</f>
        <v>31035.777251594485</v>
      </c>
      <c r="V48" s="35">
        <f>Inputs!$D$6*F48*Inputs!$D$28*Inputs!$D$31</f>
        <v>753.9461474393554</v>
      </c>
      <c r="W48" s="36">
        <f>V48/(B48*Inputs!$D$34)</f>
        <v>0.74280408614714821</v>
      </c>
      <c r="X48" s="38">
        <f>IF(W48&gt;=1,999,W48/(Inputs!$D$34*(1-W48))*60)</f>
        <v>4.9510056918075414</v>
      </c>
      <c r="Y48" s="37">
        <f>MIN(1,MAX(0,(X48-Inputs!$D$36)/(Inputs!$D$37-Inputs!$D$36)))</f>
        <v>0</v>
      </c>
      <c r="Z48" s="35">
        <f>Inputs!$D$6*F48*Inputs!$D$28*(1-Inputs!$D$38*Y48)</f>
        <v>5799.5857495335031</v>
      </c>
      <c r="AA48" s="39">
        <f>Z48*Inputs!$D$13</f>
        <v>49296.478871034778</v>
      </c>
      <c r="AB48" s="39">
        <f>AA48*(1-Inputs!$D$19)</f>
        <v>29577.887322620867</v>
      </c>
      <c r="AC48" s="39">
        <f t="shared" si="0"/>
        <v>280209.27653846703</v>
      </c>
      <c r="AD48" s="39">
        <f t="shared" si="1"/>
        <v>117294.20589546538</v>
      </c>
      <c r="AE48" s="36">
        <f t="shared" si="2"/>
        <v>1.4365475874125877</v>
      </c>
      <c r="AF48" s="35">
        <f>IF(AND(AE48&lt;=Inputs!$D$35,C48&gt;=Inputs!$D$48*(A48+B48+C48),B48*Inputs!$D$22&lt;=Inputs!$D$50*Inputs!$D$8,B48*Inputs!$D$22&gt;=Inputs!$D$49*Inputs!$D$8,A48*Inputs!$D$20&lt;=Inputs!$D$47*Inputs!$D$8,C48&gt;=1),1,0)</f>
        <v>0</v>
      </c>
      <c r="AG48" s="39">
        <f t="shared" si="3"/>
        <v>-1</v>
      </c>
    </row>
    <row r="49" spans="1:33" x14ac:dyDescent="0.25">
      <c r="A49" s="35">
        <v>26</v>
      </c>
      <c r="B49" s="35">
        <v>30</v>
      </c>
      <c r="C49" s="35">
        <f>Inputs!$D$8-A49-Inputs!$D$22*B49</f>
        <v>34</v>
      </c>
      <c r="D49" s="35">
        <f>A49*Inputs!$D$20+C49*Inputs!$D$21+B49*Inputs!$D$22</f>
        <v>120</v>
      </c>
      <c r="E49" s="36">
        <f>MIN(Inputs!$E$15,Inputs!$D$15*(C49/Inputs!$D$43)^Inputs!$D$44)</f>
        <v>0.35640602201959876</v>
      </c>
      <c r="F49" s="36">
        <f>MIN(Inputs!$E$16,Inputs!$D$16*(B49/Inputs!$D$42)^Inputs!$D$44)</f>
        <v>0.45173877418274222</v>
      </c>
      <c r="G49" s="37">
        <f>Inputs!$D$26*(1+Inputs!$D$41*(B49-Inputs!$D$42))</f>
        <v>1.6500000000000001</v>
      </c>
      <c r="H49" s="35">
        <f>Inputs!$D$6*Inputs!$D$14*G49*Inputs!$D$29</f>
        <v>2073.1095000000005</v>
      </c>
      <c r="I49" s="36">
        <f>H49/(A49*Inputs!$D$32)</f>
        <v>1.4497269230769234</v>
      </c>
      <c r="J49" s="38">
        <f>IF(I49&gt;=1,999,I49/(Inputs!$D$32*(1-I49))*60)</f>
        <v>999</v>
      </c>
      <c r="K49" s="37">
        <f>MIN(1,MAX(0,(J49-Inputs!$D$36)/(Inputs!$D$37-Inputs!$D$36)))</f>
        <v>1</v>
      </c>
      <c r="L49" s="35">
        <f>Inputs!$D$6*Inputs!$D$14*G49*(1-Inputs!$D$38*K49)</f>
        <v>7601.4015000000027</v>
      </c>
      <c r="M49" s="39">
        <f>L49*Inputs!$D$11</f>
        <v>163430.13225000005</v>
      </c>
      <c r="N49" s="39">
        <f>M49*(1-Inputs!$D$17)</f>
        <v>57200.546287500016</v>
      </c>
      <c r="O49" s="35">
        <f>Inputs!$D$6*E49*Inputs!$D$27*Inputs!$D$30</f>
        <v>508.46878975039266</v>
      </c>
      <c r="P49" s="36">
        <f>O49/(C49*Inputs!$D$33)</f>
        <v>0.37387411011058286</v>
      </c>
      <c r="Q49" s="38">
        <f>IF(P49&gt;=1,999,P49/(Inputs!$D$33*(1-P49))*60)</f>
        <v>0.89568435712652228</v>
      </c>
      <c r="R49" s="37">
        <f>MIN(1,MAX(0,(Q49-Inputs!$D$36)/(Inputs!$D$37-Inputs!$D$36)))</f>
        <v>0</v>
      </c>
      <c r="S49" s="35">
        <f>Inputs!$D$6*E49*Inputs!$D$27*(1-Inputs!$D$38*R49)</f>
        <v>4237.2399145866057</v>
      </c>
      <c r="T49" s="39">
        <f>S49*Inputs!$D$12</f>
        <v>67795.838633385691</v>
      </c>
      <c r="U49" s="39">
        <f>T49*(1-Inputs!$D$18)</f>
        <v>30508.127385023559</v>
      </c>
      <c r="V49" s="35">
        <f>Inputs!$D$6*F49*Inputs!$D$28*Inputs!$D$31</f>
        <v>761.65325673326424</v>
      </c>
      <c r="W49" s="36">
        <f>V49/(B49*Inputs!$D$34)</f>
        <v>0.72538405403168027</v>
      </c>
      <c r="X49" s="38">
        <f>IF(W49&gt;=1,999,W49/(Inputs!$D$34*(1-W49))*60)</f>
        <v>4.5281985239874629</v>
      </c>
      <c r="Y49" s="37">
        <f>MIN(1,MAX(0,(X49-Inputs!$D$36)/(Inputs!$D$37-Inputs!$D$36)))</f>
        <v>0</v>
      </c>
      <c r="Z49" s="35">
        <f>Inputs!$D$6*F49*Inputs!$D$28*(1-Inputs!$D$38*Y49)</f>
        <v>5858.8712056404938</v>
      </c>
      <c r="AA49" s="39">
        <f>Z49*Inputs!$D$13</f>
        <v>49800.405247944196</v>
      </c>
      <c r="AB49" s="39">
        <f>AA49*(1-Inputs!$D$19)</f>
        <v>29880.243148766516</v>
      </c>
      <c r="AC49" s="39">
        <f t="shared" si="0"/>
        <v>281026.37613132992</v>
      </c>
      <c r="AD49" s="39">
        <f t="shared" si="1"/>
        <v>117588.9168212901</v>
      </c>
      <c r="AE49" s="36">
        <f t="shared" si="2"/>
        <v>1.4497269230769234</v>
      </c>
      <c r="AF49" s="35">
        <f>IF(AND(AE49&lt;=Inputs!$D$35,C49&gt;=Inputs!$D$48*(A49+B49+C49),B49*Inputs!$D$22&lt;=Inputs!$D$50*Inputs!$D$8,B49*Inputs!$D$22&gt;=Inputs!$D$49*Inputs!$D$8,A49*Inputs!$D$20&lt;=Inputs!$D$47*Inputs!$D$8,C49&gt;=1),1,0)</f>
        <v>0</v>
      </c>
      <c r="AG49" s="39">
        <f t="shared" si="3"/>
        <v>-1</v>
      </c>
    </row>
    <row r="50" spans="1:33" x14ac:dyDescent="0.25">
      <c r="A50" s="35">
        <v>26</v>
      </c>
      <c r="B50" s="35">
        <v>31</v>
      </c>
      <c r="C50" s="35">
        <f>Inputs!$D$8-A50-Inputs!$D$22*B50</f>
        <v>32</v>
      </c>
      <c r="D50" s="35">
        <f>A50*Inputs!$D$20+C50*Inputs!$D$21+B50*Inputs!$D$22</f>
        <v>120</v>
      </c>
      <c r="E50" s="36">
        <f>MIN(Inputs!$E$15,Inputs!$D$15*(C50/Inputs!$D$43)^Inputs!$D$44)</f>
        <v>0.34998251836560429</v>
      </c>
      <c r="F50" s="36">
        <f>MIN(Inputs!$E$16,Inputs!$D$16*(B50/Inputs!$D$42)^Inputs!$D$44)</f>
        <v>0.45620443270573335</v>
      </c>
      <c r="G50" s="37">
        <f>Inputs!$D$26*(1+Inputs!$D$41*(B50-Inputs!$D$42))</f>
        <v>1.665</v>
      </c>
      <c r="H50" s="35">
        <f>Inputs!$D$6*Inputs!$D$14*G50*Inputs!$D$29</f>
        <v>2091.95595</v>
      </c>
      <c r="I50" s="36">
        <f>H50/(A50*Inputs!$D$32)</f>
        <v>1.4629062587412587</v>
      </c>
      <c r="J50" s="38">
        <f>IF(I50&gt;=1,999,I50/(Inputs!$D$32*(1-I50))*60)</f>
        <v>999</v>
      </c>
      <c r="K50" s="37">
        <f>MIN(1,MAX(0,(J50-Inputs!$D$36)/(Inputs!$D$37-Inputs!$D$36)))</f>
        <v>1</v>
      </c>
      <c r="L50" s="35">
        <f>Inputs!$D$6*Inputs!$D$14*G50*(1-Inputs!$D$38*K50)</f>
        <v>7670.5051500000018</v>
      </c>
      <c r="M50" s="39">
        <f>L50*Inputs!$D$11</f>
        <v>164915.86072500004</v>
      </c>
      <c r="N50" s="39">
        <f>M50*(1-Inputs!$D$17)</f>
        <v>57720.551253750011</v>
      </c>
      <c r="O50" s="35">
        <f>Inputs!$D$6*E50*Inputs!$D$27*Inputs!$D$30</f>
        <v>499.30465972139962</v>
      </c>
      <c r="P50" s="36">
        <f>O50/(C50*Inputs!$D$33)</f>
        <v>0.39008176540734346</v>
      </c>
      <c r="Q50" s="38">
        <f>IF(P50&gt;=1,999,P50/(Inputs!$D$33*(1-P50))*60)</f>
        <v>0.95934604824825165</v>
      </c>
      <c r="R50" s="37">
        <f>MIN(1,MAX(0,(Q50-Inputs!$D$36)/(Inputs!$D$37-Inputs!$D$36)))</f>
        <v>0</v>
      </c>
      <c r="S50" s="35">
        <f>Inputs!$D$6*E50*Inputs!$D$27*(1-Inputs!$D$38*R50)</f>
        <v>4160.8721643449971</v>
      </c>
      <c r="T50" s="39">
        <f>S50*Inputs!$D$12</f>
        <v>66573.954629519954</v>
      </c>
      <c r="U50" s="39">
        <f>T50*(1-Inputs!$D$18)</f>
        <v>29958.279583283977</v>
      </c>
      <c r="V50" s="35">
        <f>Inputs!$D$6*F50*Inputs!$D$28*Inputs!$D$31</f>
        <v>769.18257135463637</v>
      </c>
      <c r="W50" s="36">
        <f>V50/(B50*Inputs!$D$34)</f>
        <v>0.70892402889828232</v>
      </c>
      <c r="X50" s="38">
        <f>IF(W50&gt;=1,999,W50/(Inputs!$D$34*(1-W50))*60)</f>
        <v>4.1751929252501148</v>
      </c>
      <c r="Y50" s="37">
        <f>MIN(1,MAX(0,(X50-Inputs!$D$36)/(Inputs!$D$37-Inputs!$D$36)))</f>
        <v>0</v>
      </c>
      <c r="Z50" s="35">
        <f>Inputs!$D$6*F50*Inputs!$D$28*(1-Inputs!$D$38*Y50)</f>
        <v>5916.7890104202797</v>
      </c>
      <c r="AA50" s="39">
        <f>Z50*Inputs!$D$13</f>
        <v>50292.706588572379</v>
      </c>
      <c r="AB50" s="39">
        <f>AA50*(1-Inputs!$D$19)</f>
        <v>30175.623953143426</v>
      </c>
      <c r="AC50" s="39">
        <f t="shared" si="0"/>
        <v>281782.52194309235</v>
      </c>
      <c r="AD50" s="39">
        <f t="shared" si="1"/>
        <v>117854.45479017741</v>
      </c>
      <c r="AE50" s="36">
        <f t="shared" si="2"/>
        <v>1.4629062587412587</v>
      </c>
      <c r="AF50" s="35">
        <f>IF(AND(AE50&lt;=Inputs!$D$35,C50&gt;=Inputs!$D$48*(A50+B50+C50),B50*Inputs!$D$22&lt;=Inputs!$D$50*Inputs!$D$8,B50*Inputs!$D$22&gt;=Inputs!$D$49*Inputs!$D$8,A50*Inputs!$D$20&lt;=Inputs!$D$47*Inputs!$D$8,C50&gt;=1),1,0)</f>
        <v>0</v>
      </c>
      <c r="AG50" s="39">
        <f t="shared" si="3"/>
        <v>-1</v>
      </c>
    </row>
    <row r="51" spans="1:33" x14ac:dyDescent="0.25">
      <c r="A51" s="35">
        <v>26</v>
      </c>
      <c r="B51" s="35">
        <v>32</v>
      </c>
      <c r="C51" s="35">
        <f>Inputs!$D$8-A51-Inputs!$D$22*B51</f>
        <v>30</v>
      </c>
      <c r="D51" s="35">
        <f>A51*Inputs!$D$20+C51*Inputs!$D$21+B51*Inputs!$D$22</f>
        <v>120</v>
      </c>
      <c r="E51" s="36">
        <f>MIN(Inputs!$E$15,Inputs!$D$15*(C51/Inputs!$D$43)^Inputs!$D$44)</f>
        <v>0.3432714897427589</v>
      </c>
      <c r="F51" s="36">
        <f>MIN(Inputs!$E$16,Inputs!$D$16*(B51/Inputs!$D$42)^Inputs!$D$44)</f>
        <v>0.46057036065052986</v>
      </c>
      <c r="G51" s="37">
        <f>Inputs!$D$26*(1+Inputs!$D$41*(B51-Inputs!$D$42))</f>
        <v>1.6800000000000002</v>
      </c>
      <c r="H51" s="35">
        <f>Inputs!$D$6*Inputs!$D$14*G51*Inputs!$D$29</f>
        <v>2110.8024000000005</v>
      </c>
      <c r="I51" s="36">
        <f>H51/(A51*Inputs!$D$32)</f>
        <v>1.4760855944055948</v>
      </c>
      <c r="J51" s="38">
        <f>IF(I51&gt;=1,999,I51/(Inputs!$D$32*(1-I51))*60)</f>
        <v>999</v>
      </c>
      <c r="K51" s="37">
        <f>MIN(1,MAX(0,(J51-Inputs!$D$36)/(Inputs!$D$37-Inputs!$D$36)))</f>
        <v>1</v>
      </c>
      <c r="L51" s="35">
        <f>Inputs!$D$6*Inputs!$D$14*G51*(1-Inputs!$D$38*K51)</f>
        <v>7739.6088000000027</v>
      </c>
      <c r="M51" s="39">
        <f>L51*Inputs!$D$11</f>
        <v>166401.58920000005</v>
      </c>
      <c r="N51" s="39">
        <f>M51*(1-Inputs!$D$17)</f>
        <v>58240.556220000013</v>
      </c>
      <c r="O51" s="35">
        <f>Inputs!$D$6*E51*Inputs!$D$27*Inputs!$D$30</f>
        <v>489.73033047044544</v>
      </c>
      <c r="P51" s="36">
        <f>O51/(C51*Inputs!$D$33)</f>
        <v>0.40810860872537119</v>
      </c>
      <c r="Q51" s="38">
        <f>IF(P51&gt;=1,999,P51/(Inputs!$D$33*(1-P51))*60)</f>
        <v>1.0342487187890559</v>
      </c>
      <c r="R51" s="37">
        <f>MIN(1,MAX(0,(Q51-Inputs!$D$36)/(Inputs!$D$37-Inputs!$D$36)))</f>
        <v>0</v>
      </c>
      <c r="S51" s="35">
        <f>Inputs!$D$6*E51*Inputs!$D$27*(1-Inputs!$D$38*R51)</f>
        <v>4081.0860872537123</v>
      </c>
      <c r="T51" s="39">
        <f>S51*Inputs!$D$12</f>
        <v>65297.377396059397</v>
      </c>
      <c r="U51" s="39">
        <f>T51*(1-Inputs!$D$18)</f>
        <v>29383.819828226726</v>
      </c>
      <c r="V51" s="35">
        <f>Inputs!$D$6*F51*Inputs!$D$28*Inputs!$D$31</f>
        <v>776.54373543410452</v>
      </c>
      <c r="W51" s="36">
        <f>V51/(B51*Inputs!$D$34)</f>
        <v>0.69334262092330756</v>
      </c>
      <c r="X51" s="38">
        <f>IF(W51&gt;=1,999,W51/(Inputs!$D$34*(1-W51))*60)</f>
        <v>3.8759457011369869</v>
      </c>
      <c r="Y51" s="37">
        <f>MIN(1,MAX(0,(X51-Inputs!$D$36)/(Inputs!$D$37-Inputs!$D$36)))</f>
        <v>0</v>
      </c>
      <c r="Z51" s="35">
        <f>Inputs!$D$6*F51*Inputs!$D$28*(1-Inputs!$D$38*Y51)</f>
        <v>5973.4133494931111</v>
      </c>
      <c r="AA51" s="39">
        <f>Z51*Inputs!$D$13</f>
        <v>50774.013470691447</v>
      </c>
      <c r="AB51" s="39">
        <f>AA51*(1-Inputs!$D$19)</f>
        <v>30464.408082414866</v>
      </c>
      <c r="AC51" s="39">
        <f t="shared" si="0"/>
        <v>282472.9800667509</v>
      </c>
      <c r="AD51" s="39">
        <f t="shared" si="1"/>
        <v>118088.78413064161</v>
      </c>
      <c r="AE51" s="36">
        <f t="shared" si="2"/>
        <v>1.4760855944055948</v>
      </c>
      <c r="AF51" s="35">
        <f>IF(AND(AE51&lt;=Inputs!$D$35,C51&gt;=Inputs!$D$48*(A51+B51+C51),B51*Inputs!$D$22&lt;=Inputs!$D$50*Inputs!$D$8,B51*Inputs!$D$22&gt;=Inputs!$D$49*Inputs!$D$8,A51*Inputs!$D$20&lt;=Inputs!$D$47*Inputs!$D$8,C51&gt;=1),1,0)</f>
        <v>0</v>
      </c>
      <c r="AG51" s="39">
        <f t="shared" si="3"/>
        <v>-1</v>
      </c>
    </row>
    <row r="52" spans="1:33" x14ac:dyDescent="0.25">
      <c r="A52" s="35">
        <v>26</v>
      </c>
      <c r="B52" s="35">
        <v>33</v>
      </c>
      <c r="C52" s="35">
        <f>Inputs!$D$8-A52-Inputs!$D$22*B52</f>
        <v>28</v>
      </c>
      <c r="D52" s="35">
        <f>A52*Inputs!$D$20+C52*Inputs!$D$21+B52*Inputs!$D$22</f>
        <v>120</v>
      </c>
      <c r="E52" s="36">
        <f>MIN(Inputs!$E$15,Inputs!$D$15*(C52/Inputs!$D$43)^Inputs!$D$44)</f>
        <v>0.33623952833125714</v>
      </c>
      <c r="F52" s="36">
        <f>MIN(Inputs!$E$16,Inputs!$D$16*(B52/Inputs!$D$42)^Inputs!$D$44)</f>
        <v>0.46484180038786721</v>
      </c>
      <c r="G52" s="37">
        <f>Inputs!$D$26*(1+Inputs!$D$41*(B52-Inputs!$D$42))</f>
        <v>1.6949999999999998</v>
      </c>
      <c r="H52" s="35">
        <f>Inputs!$D$6*Inputs!$D$14*G52*Inputs!$D$29</f>
        <v>2129.64885</v>
      </c>
      <c r="I52" s="36">
        <f>H52/(A52*Inputs!$D$32)</f>
        <v>1.4892649300699301</v>
      </c>
      <c r="J52" s="38">
        <f>IF(I52&gt;=1,999,I52/(Inputs!$D$32*(1-I52))*60)</f>
        <v>999</v>
      </c>
      <c r="K52" s="37">
        <f>MIN(1,MAX(0,(J52-Inputs!$D$36)/(Inputs!$D$37-Inputs!$D$36)))</f>
        <v>1</v>
      </c>
      <c r="L52" s="35">
        <f>Inputs!$D$6*Inputs!$D$14*G52*(1-Inputs!$D$38*K52)</f>
        <v>7808.71245</v>
      </c>
      <c r="M52" s="39">
        <f>L52*Inputs!$D$11</f>
        <v>167887.317675</v>
      </c>
      <c r="N52" s="39">
        <f>M52*(1-Inputs!$D$17)</f>
        <v>58760.561186249994</v>
      </c>
      <c r="O52" s="35">
        <f>Inputs!$D$6*E52*Inputs!$D$27*Inputs!$D$30</f>
        <v>479.69814053095797</v>
      </c>
      <c r="P52" s="36">
        <f>O52/(C52*Inputs!$D$33)</f>
        <v>0.42830191118835531</v>
      </c>
      <c r="Q52" s="38">
        <f>IF(P52&gt;=1,999,P52/(Inputs!$D$33*(1-P52))*60)</f>
        <v>1.1237624882006552</v>
      </c>
      <c r="R52" s="37">
        <f>MIN(1,MAX(0,(Q52-Inputs!$D$36)/(Inputs!$D$37-Inputs!$D$36)))</f>
        <v>0</v>
      </c>
      <c r="S52" s="35">
        <f>Inputs!$D$6*E52*Inputs!$D$27*(1-Inputs!$D$38*R52)</f>
        <v>3997.4845044246499</v>
      </c>
      <c r="T52" s="39">
        <f>S52*Inputs!$D$12</f>
        <v>63959.752070794399</v>
      </c>
      <c r="U52" s="39">
        <f>T52*(1-Inputs!$D$18)</f>
        <v>28781.888431857478</v>
      </c>
      <c r="V52" s="35">
        <f>Inputs!$D$6*F52*Inputs!$D$28*Inputs!$D$31</f>
        <v>783.74558786036266</v>
      </c>
      <c r="W52" s="36">
        <f>V52/(B52*Inputs!$D$34)</f>
        <v>0.67856760853711051</v>
      </c>
      <c r="X52" s="38">
        <f>IF(W52&gt;=1,999,W52/(Inputs!$D$34*(1-W52))*60)</f>
        <v>3.6189842355277744</v>
      </c>
      <c r="Y52" s="37">
        <f>MIN(1,MAX(0,(X52-Inputs!$D$36)/(Inputs!$D$37-Inputs!$D$36)))</f>
        <v>0</v>
      </c>
      <c r="Z52" s="35">
        <f>Inputs!$D$6*F52*Inputs!$D$28*(1-Inputs!$D$38*Y52)</f>
        <v>6028.812214310482</v>
      </c>
      <c r="AA52" s="39">
        <f>Z52*Inputs!$D$13</f>
        <v>51244.903821639098</v>
      </c>
      <c r="AB52" s="39">
        <f>AA52*(1-Inputs!$D$19)</f>
        <v>30746.942292983458</v>
      </c>
      <c r="AC52" s="39">
        <f t="shared" si="0"/>
        <v>283091.97356743348</v>
      </c>
      <c r="AD52" s="39">
        <f t="shared" si="1"/>
        <v>118289.39191109092</v>
      </c>
      <c r="AE52" s="36">
        <f t="shared" si="2"/>
        <v>1.4892649300699301</v>
      </c>
      <c r="AF52" s="35">
        <f>IF(AND(AE52&lt;=Inputs!$D$35,C52&gt;=Inputs!$D$48*(A52+B52+C52),B52*Inputs!$D$22&lt;=Inputs!$D$50*Inputs!$D$8,B52*Inputs!$D$22&gt;=Inputs!$D$49*Inputs!$D$8,A52*Inputs!$D$20&lt;=Inputs!$D$47*Inputs!$D$8,C52&gt;=1),1,0)</f>
        <v>0</v>
      </c>
      <c r="AG52" s="39">
        <f t="shared" si="3"/>
        <v>-1</v>
      </c>
    </row>
    <row r="53" spans="1:33" x14ac:dyDescent="0.25">
      <c r="A53" s="35">
        <v>27</v>
      </c>
      <c r="B53" s="35">
        <v>10</v>
      </c>
      <c r="C53" s="35">
        <f>Inputs!$D$8-A53-Inputs!$D$22*B53</f>
        <v>73</v>
      </c>
      <c r="D53" s="35">
        <f>A53*Inputs!$D$20+C53*Inputs!$D$21+B53*Inputs!$D$22</f>
        <v>120</v>
      </c>
      <c r="E53" s="36">
        <f>MIN(Inputs!$E$15,Inputs!$D$15*(C53/Inputs!$D$43)^Inputs!$D$44)</f>
        <v>0.4</v>
      </c>
      <c r="F53" s="36">
        <f>MIN(Inputs!$E$16,Inputs!$D$16*(B53/Inputs!$D$42)^Inputs!$D$44)</f>
        <v>0.32490095854249423</v>
      </c>
      <c r="G53" s="37">
        <f>Inputs!$D$26*(1+Inputs!$D$41*(B53-Inputs!$D$42))</f>
        <v>1.35</v>
      </c>
      <c r="H53" s="35">
        <f>Inputs!$D$6*Inputs!$D$14*G53*Inputs!$D$29</f>
        <v>1696.1805000000004</v>
      </c>
      <c r="I53" s="36">
        <f>H53/(A53*Inputs!$D$32)</f>
        <v>1.1422090909090912</v>
      </c>
      <c r="J53" s="38">
        <f>IF(I53&gt;=1,999,I53/(Inputs!$D$32*(1-I53))*60)</f>
        <v>999</v>
      </c>
      <c r="K53" s="37">
        <f>MIN(1,MAX(0,(J53-Inputs!$D$36)/(Inputs!$D$37-Inputs!$D$36)))</f>
        <v>1</v>
      </c>
      <c r="L53" s="35">
        <f>Inputs!$D$6*Inputs!$D$14*G53*(1-Inputs!$D$38*K53)</f>
        <v>6219.3285000000024</v>
      </c>
      <c r="M53" s="39">
        <f>L53*Inputs!$D$11</f>
        <v>133715.56275000004</v>
      </c>
      <c r="N53" s="39">
        <f>M53*(1-Inputs!$D$17)</f>
        <v>46800.446962500013</v>
      </c>
      <c r="O53" s="35">
        <f>Inputs!$D$6*E53*Inputs!$D$27*Inputs!$D$30</f>
        <v>570.66240000000005</v>
      </c>
      <c r="P53" s="36">
        <f>O53/(C53*Inputs!$D$33)</f>
        <v>0.1954323287671233</v>
      </c>
      <c r="Q53" s="38">
        <f>IF(P53&gt;=1,999,P53/(Inputs!$D$33*(1-P53))*60)</f>
        <v>0.36435529742511252</v>
      </c>
      <c r="R53" s="37">
        <f>MIN(1,MAX(0,(Q53-Inputs!$D$36)/(Inputs!$D$37-Inputs!$D$36)))</f>
        <v>0</v>
      </c>
      <c r="S53" s="35">
        <f>Inputs!$D$6*E53*Inputs!$D$27*(1-Inputs!$D$38*R53)</f>
        <v>4755.5200000000004</v>
      </c>
      <c r="T53" s="39">
        <f>S53*Inputs!$D$12</f>
        <v>76088.320000000007</v>
      </c>
      <c r="U53" s="39">
        <f>T53*(1-Inputs!$D$18)</f>
        <v>34239.743999999999</v>
      </c>
      <c r="V53" s="35">
        <f>Inputs!$D$6*F53*Inputs!$D$28*Inputs!$D$31</f>
        <v>547.7986113486553</v>
      </c>
      <c r="W53" s="36">
        <f>V53/(B53*Inputs!$D$34)</f>
        <v>1.5651388895675866</v>
      </c>
      <c r="X53" s="38">
        <f>IF(W53&gt;=1,999,W53/(Inputs!$D$34*(1-W53))*60)</f>
        <v>999</v>
      </c>
      <c r="Y53" s="37">
        <f>MIN(1,MAX(0,(X53-Inputs!$D$36)/(Inputs!$D$37-Inputs!$D$36)))</f>
        <v>1</v>
      </c>
      <c r="Z53" s="35">
        <f>Inputs!$D$6*F53*Inputs!$D$28*(1-Inputs!$D$38*Y53)</f>
        <v>2317.6095095520031</v>
      </c>
      <c r="AA53" s="39">
        <f>Z53*Inputs!$D$13</f>
        <v>19699.680831192025</v>
      </c>
      <c r="AB53" s="39">
        <f>AA53*(1-Inputs!$D$19)</f>
        <v>11819.808498715214</v>
      </c>
      <c r="AC53" s="39">
        <f t="shared" si="0"/>
        <v>229503.56358119208</v>
      </c>
      <c r="AD53" s="39">
        <f t="shared" si="1"/>
        <v>92859.999461215222</v>
      </c>
      <c r="AE53" s="36">
        <f t="shared" si="2"/>
        <v>1.5651388895675866</v>
      </c>
      <c r="AF53" s="35">
        <f>IF(AND(AE53&lt;=Inputs!$D$35,C53&gt;=Inputs!$D$48*(A53+B53+C53),B53*Inputs!$D$22&lt;=Inputs!$D$50*Inputs!$D$8,B53*Inputs!$D$22&gt;=Inputs!$D$49*Inputs!$D$8,A53*Inputs!$D$20&lt;=Inputs!$D$47*Inputs!$D$8,C53&gt;=1),1,0)</f>
        <v>0</v>
      </c>
      <c r="AG53" s="39">
        <f t="shared" si="3"/>
        <v>-1</v>
      </c>
    </row>
    <row r="54" spans="1:33" x14ac:dyDescent="0.25">
      <c r="A54" s="35">
        <v>27</v>
      </c>
      <c r="B54" s="35">
        <v>11</v>
      </c>
      <c r="C54" s="35">
        <f>Inputs!$D$8-A54-Inputs!$D$22*B54</f>
        <v>71</v>
      </c>
      <c r="D54" s="35">
        <f>A54*Inputs!$D$20+C54*Inputs!$D$21+B54*Inputs!$D$22</f>
        <v>120</v>
      </c>
      <c r="E54" s="36">
        <f>MIN(Inputs!$E$15,Inputs!$D$15*(C54/Inputs!$D$43)^Inputs!$D$44)</f>
        <v>0.4</v>
      </c>
      <c r="F54" s="36">
        <f>MIN(Inputs!$E$16,Inputs!$D$16*(B54/Inputs!$D$42)^Inputs!$D$44)</f>
        <v>0.33432495758166098</v>
      </c>
      <c r="G54" s="37">
        <f>Inputs!$D$26*(1+Inputs!$D$41*(B54-Inputs!$D$42))</f>
        <v>1.365</v>
      </c>
      <c r="H54" s="35">
        <f>Inputs!$D$6*Inputs!$D$14*G54*Inputs!$D$29</f>
        <v>1715.0269500000002</v>
      </c>
      <c r="I54" s="36">
        <f>H54/(A54*Inputs!$D$32)</f>
        <v>1.1549003030303031</v>
      </c>
      <c r="J54" s="38">
        <f>IF(I54&gt;=1,999,I54/(Inputs!$D$32*(1-I54))*60)</f>
        <v>999</v>
      </c>
      <c r="K54" s="37">
        <f>MIN(1,MAX(0,(J54-Inputs!$D$36)/(Inputs!$D$37-Inputs!$D$36)))</f>
        <v>1</v>
      </c>
      <c r="L54" s="35">
        <f>Inputs!$D$6*Inputs!$D$14*G54*(1-Inputs!$D$38*K54)</f>
        <v>6288.4321500000005</v>
      </c>
      <c r="M54" s="39">
        <f>L54*Inputs!$D$11</f>
        <v>135201.29122500002</v>
      </c>
      <c r="N54" s="39">
        <f>M54*(1-Inputs!$D$17)</f>
        <v>47320.451928750008</v>
      </c>
      <c r="O54" s="35">
        <f>Inputs!$D$6*E54*Inputs!$D$27*Inputs!$D$30</f>
        <v>570.66240000000005</v>
      </c>
      <c r="P54" s="36">
        <f>O54/(C54*Inputs!$D$33)</f>
        <v>0.20093746478873242</v>
      </c>
      <c r="Q54" s="38">
        <f>IF(P54&gt;=1,999,P54/(Inputs!$D$33*(1-P54))*60)</f>
        <v>0.37719976084651319</v>
      </c>
      <c r="R54" s="37">
        <f>MIN(1,MAX(0,(Q54-Inputs!$D$36)/(Inputs!$D$37-Inputs!$D$36)))</f>
        <v>0</v>
      </c>
      <c r="S54" s="35">
        <f>Inputs!$D$6*E54*Inputs!$D$27*(1-Inputs!$D$38*R54)</f>
        <v>4755.5200000000004</v>
      </c>
      <c r="T54" s="39">
        <f>S54*Inputs!$D$12</f>
        <v>76088.320000000007</v>
      </c>
      <c r="U54" s="39">
        <f>T54*(1-Inputs!$D$18)</f>
        <v>34239.743999999999</v>
      </c>
      <c r="V54" s="35">
        <f>Inputs!$D$6*F54*Inputs!$D$28*Inputs!$D$31</f>
        <v>563.68792608064427</v>
      </c>
      <c r="W54" s="36">
        <f>V54/(B54*Inputs!$D$34)</f>
        <v>1.4641244833263487</v>
      </c>
      <c r="X54" s="38">
        <f>IF(W54&gt;=1,999,W54/(Inputs!$D$34*(1-W54))*60)</f>
        <v>999</v>
      </c>
      <c r="Y54" s="37">
        <f>MIN(1,MAX(0,(X54-Inputs!$D$36)/(Inputs!$D$37-Inputs!$D$36)))</f>
        <v>1</v>
      </c>
      <c r="Z54" s="35">
        <f>Inputs!$D$6*F54*Inputs!$D$28*(1-Inputs!$D$38*Y54)</f>
        <v>2384.8335334181106</v>
      </c>
      <c r="AA54" s="39">
        <f>Z54*Inputs!$D$13</f>
        <v>20271.08503405394</v>
      </c>
      <c r="AB54" s="39">
        <f>AA54*(1-Inputs!$D$19)</f>
        <v>12162.651020432364</v>
      </c>
      <c r="AC54" s="39">
        <f t="shared" si="0"/>
        <v>231560.69625905398</v>
      </c>
      <c r="AD54" s="39">
        <f t="shared" si="1"/>
        <v>93722.846949182363</v>
      </c>
      <c r="AE54" s="36">
        <f t="shared" si="2"/>
        <v>1.4641244833263487</v>
      </c>
      <c r="AF54" s="35">
        <f>IF(AND(AE54&lt;=Inputs!$D$35,C54&gt;=Inputs!$D$48*(A54+B54+C54),B54*Inputs!$D$22&lt;=Inputs!$D$50*Inputs!$D$8,B54*Inputs!$D$22&gt;=Inputs!$D$49*Inputs!$D$8,A54*Inputs!$D$20&lt;=Inputs!$D$47*Inputs!$D$8,C54&gt;=1),1,0)</f>
        <v>0</v>
      </c>
      <c r="AG54" s="39">
        <f t="shared" si="3"/>
        <v>-1</v>
      </c>
    </row>
    <row r="55" spans="1:33" x14ac:dyDescent="0.25">
      <c r="A55" s="35">
        <v>27</v>
      </c>
      <c r="B55" s="35">
        <v>12</v>
      </c>
      <c r="C55" s="35">
        <f>Inputs!$D$8-A55-Inputs!$D$22*B55</f>
        <v>69</v>
      </c>
      <c r="D55" s="35">
        <f>A55*Inputs!$D$20+C55*Inputs!$D$21+B55*Inputs!$D$22</f>
        <v>120</v>
      </c>
      <c r="E55" s="36">
        <f>MIN(Inputs!$E$15,Inputs!$D$15*(C55/Inputs!$D$43)^Inputs!$D$44)</f>
        <v>0.4</v>
      </c>
      <c r="F55" s="36">
        <f>MIN(Inputs!$E$16,Inputs!$D$16*(B55/Inputs!$D$42)^Inputs!$D$44)</f>
        <v>0.34316688017763797</v>
      </c>
      <c r="G55" s="37">
        <f>Inputs!$D$26*(1+Inputs!$D$41*(B55-Inputs!$D$42))</f>
        <v>1.3800000000000001</v>
      </c>
      <c r="H55" s="35">
        <f>Inputs!$D$6*Inputs!$D$14*G55*Inputs!$D$29</f>
        <v>1733.8734000000004</v>
      </c>
      <c r="I55" s="36">
        <f>H55/(A55*Inputs!$D$32)</f>
        <v>1.1675915151515155</v>
      </c>
      <c r="J55" s="38">
        <f>IF(I55&gt;=1,999,I55/(Inputs!$D$32*(1-I55))*60)</f>
        <v>999</v>
      </c>
      <c r="K55" s="37">
        <f>MIN(1,MAX(0,(J55-Inputs!$D$36)/(Inputs!$D$37-Inputs!$D$36)))</f>
        <v>1</v>
      </c>
      <c r="L55" s="35">
        <f>Inputs!$D$6*Inputs!$D$14*G55*(1-Inputs!$D$38*K55)</f>
        <v>6357.5358000000024</v>
      </c>
      <c r="M55" s="39">
        <f>L55*Inputs!$D$11</f>
        <v>136687.01970000006</v>
      </c>
      <c r="N55" s="39">
        <f>M55*(1-Inputs!$D$17)</f>
        <v>47840.456895000018</v>
      </c>
      <c r="O55" s="35">
        <f>Inputs!$D$6*E55*Inputs!$D$27*Inputs!$D$30</f>
        <v>570.66240000000005</v>
      </c>
      <c r="P55" s="36">
        <f>O55/(C55*Inputs!$D$33)</f>
        <v>0.2067617391304348</v>
      </c>
      <c r="Q55" s="38">
        <f>IF(P55&gt;=1,999,P55/(Inputs!$D$33*(1-P55))*60)</f>
        <v>0.3909829164766549</v>
      </c>
      <c r="R55" s="37">
        <f>MIN(1,MAX(0,(Q55-Inputs!$D$36)/(Inputs!$D$37-Inputs!$D$36)))</f>
        <v>0</v>
      </c>
      <c r="S55" s="35">
        <f>Inputs!$D$6*E55*Inputs!$D$27*(1-Inputs!$D$38*R55)</f>
        <v>4755.5200000000004</v>
      </c>
      <c r="T55" s="39">
        <f>S55*Inputs!$D$12</f>
        <v>76088.320000000007</v>
      </c>
      <c r="U55" s="39">
        <f>T55*(1-Inputs!$D$18)</f>
        <v>34239.743999999999</v>
      </c>
      <c r="V55" s="35">
        <f>Inputs!$D$6*F55*Inputs!$D$28*Inputs!$D$31</f>
        <v>578.5958319897461</v>
      </c>
      <c r="W55" s="36">
        <f>V55/(B55*Inputs!$D$34)</f>
        <v>1.3776091237851098</v>
      </c>
      <c r="X55" s="38">
        <f>IF(W55&gt;=1,999,W55/(Inputs!$D$34*(1-W55))*60)</f>
        <v>999</v>
      </c>
      <c r="Y55" s="37">
        <f>MIN(1,MAX(0,(X55-Inputs!$D$36)/(Inputs!$D$37-Inputs!$D$36)))</f>
        <v>1</v>
      </c>
      <c r="Z55" s="35">
        <f>Inputs!$D$6*F55*Inputs!$D$28*(1-Inputs!$D$38*Y55)</f>
        <v>2447.9054430335414</v>
      </c>
      <c r="AA55" s="39">
        <f>Z55*Inputs!$D$13</f>
        <v>20807.1962657851</v>
      </c>
      <c r="AB55" s="39">
        <f>AA55*(1-Inputs!$D$19)</f>
        <v>12484.31775947106</v>
      </c>
      <c r="AC55" s="39">
        <f t="shared" si="0"/>
        <v>233582.53596578518</v>
      </c>
      <c r="AD55" s="39">
        <f t="shared" si="1"/>
        <v>94564.518654471074</v>
      </c>
      <c r="AE55" s="36">
        <f t="shared" si="2"/>
        <v>1.3776091237851098</v>
      </c>
      <c r="AF55" s="35">
        <f>IF(AND(AE55&lt;=Inputs!$D$35,C55&gt;=Inputs!$D$48*(A55+B55+C55),B55*Inputs!$D$22&lt;=Inputs!$D$50*Inputs!$D$8,B55*Inputs!$D$22&gt;=Inputs!$D$49*Inputs!$D$8,A55*Inputs!$D$20&lt;=Inputs!$D$47*Inputs!$D$8,C55&gt;=1),1,0)</f>
        <v>0</v>
      </c>
      <c r="AG55" s="39">
        <f t="shared" si="3"/>
        <v>-1</v>
      </c>
    </row>
    <row r="56" spans="1:33" x14ac:dyDescent="0.25">
      <c r="A56" s="35">
        <v>27</v>
      </c>
      <c r="B56" s="35">
        <v>13</v>
      </c>
      <c r="C56" s="35">
        <f>Inputs!$D$8-A56-Inputs!$D$22*B56</f>
        <v>67</v>
      </c>
      <c r="D56" s="35">
        <f>A56*Inputs!$D$20+C56*Inputs!$D$21+B56*Inputs!$D$22</f>
        <v>120</v>
      </c>
      <c r="E56" s="36">
        <f>MIN(Inputs!$E$15,Inputs!$D$15*(C56/Inputs!$D$43)^Inputs!$D$44)</f>
        <v>0.4</v>
      </c>
      <c r="F56" s="36">
        <f>MIN(Inputs!$E$16,Inputs!$D$16*(B56/Inputs!$D$42)^Inputs!$D$44)</f>
        <v>0.35150701637190523</v>
      </c>
      <c r="G56" s="37">
        <f>Inputs!$D$26*(1+Inputs!$D$41*(B56-Inputs!$D$42))</f>
        <v>1.395</v>
      </c>
      <c r="H56" s="35">
        <f>Inputs!$D$6*Inputs!$D$14*G56*Inputs!$D$29</f>
        <v>1752.7198500000002</v>
      </c>
      <c r="I56" s="36">
        <f>H56/(A56*Inputs!$D$32)</f>
        <v>1.1802827272727274</v>
      </c>
      <c r="J56" s="38">
        <f>IF(I56&gt;=1,999,I56/(Inputs!$D$32*(1-I56))*60)</f>
        <v>999</v>
      </c>
      <c r="K56" s="37">
        <f>MIN(1,MAX(0,(J56-Inputs!$D$36)/(Inputs!$D$37-Inputs!$D$36)))</f>
        <v>1</v>
      </c>
      <c r="L56" s="35">
        <f>Inputs!$D$6*Inputs!$D$14*G56*(1-Inputs!$D$38*K56)</f>
        <v>6426.6394500000006</v>
      </c>
      <c r="M56" s="39">
        <f>L56*Inputs!$D$11</f>
        <v>138172.74817500002</v>
      </c>
      <c r="N56" s="39">
        <f>M56*(1-Inputs!$D$17)</f>
        <v>48360.461861250005</v>
      </c>
      <c r="O56" s="35">
        <f>Inputs!$D$6*E56*Inputs!$D$27*Inputs!$D$30</f>
        <v>570.66240000000005</v>
      </c>
      <c r="P56" s="36">
        <f>O56/(C56*Inputs!$D$33)</f>
        <v>0.21293373134328361</v>
      </c>
      <c r="Q56" s="38">
        <f>IF(P56&gt;=1,999,P56/(Inputs!$D$33*(1-P56))*60)</f>
        <v>0.40581156852274392</v>
      </c>
      <c r="R56" s="37">
        <f>MIN(1,MAX(0,(Q56-Inputs!$D$36)/(Inputs!$D$37-Inputs!$D$36)))</f>
        <v>0</v>
      </c>
      <c r="S56" s="35">
        <f>Inputs!$D$6*E56*Inputs!$D$27*(1-Inputs!$D$38*R56)</f>
        <v>4755.5200000000004</v>
      </c>
      <c r="T56" s="39">
        <f>S56*Inputs!$D$12</f>
        <v>76088.320000000007</v>
      </c>
      <c r="U56" s="39">
        <f>T56*(1-Inputs!$D$18)</f>
        <v>34239.743999999999</v>
      </c>
      <c r="V56" s="35">
        <f>Inputs!$D$6*F56*Inputs!$D$28*Inputs!$D$31</f>
        <v>592.65770193981814</v>
      </c>
      <c r="W56" s="36">
        <f>V56/(B56*Inputs!$D$34)</f>
        <v>1.3025443998677322</v>
      </c>
      <c r="X56" s="38">
        <f>IF(W56&gt;=1,999,W56/(Inputs!$D$34*(1-W56))*60)</f>
        <v>999</v>
      </c>
      <c r="Y56" s="37">
        <f>MIN(1,MAX(0,(X56-Inputs!$D$36)/(Inputs!$D$37-Inputs!$D$36)))</f>
        <v>1</v>
      </c>
      <c r="Z56" s="35">
        <f>Inputs!$D$6*F56*Inputs!$D$28*(1-Inputs!$D$38*Y56)</f>
        <v>2507.3979697453847</v>
      </c>
      <c r="AA56" s="39">
        <f>Z56*Inputs!$D$13</f>
        <v>21312.882742835769</v>
      </c>
      <c r="AB56" s="39">
        <f>AA56*(1-Inputs!$D$19)</f>
        <v>12787.729645701462</v>
      </c>
      <c r="AC56" s="39">
        <f t="shared" si="0"/>
        <v>235573.95091783578</v>
      </c>
      <c r="AD56" s="39">
        <f t="shared" si="1"/>
        <v>95387.935506951457</v>
      </c>
      <c r="AE56" s="36">
        <f t="shared" si="2"/>
        <v>1.3025443998677322</v>
      </c>
      <c r="AF56" s="35">
        <f>IF(AND(AE56&lt;=Inputs!$D$35,C56&gt;=Inputs!$D$48*(A56+B56+C56),B56*Inputs!$D$22&lt;=Inputs!$D$50*Inputs!$D$8,B56*Inputs!$D$22&gt;=Inputs!$D$49*Inputs!$D$8,A56*Inputs!$D$20&lt;=Inputs!$D$47*Inputs!$D$8,C56&gt;=1),1,0)</f>
        <v>0</v>
      </c>
      <c r="AG56" s="39">
        <f t="shared" si="3"/>
        <v>-1</v>
      </c>
    </row>
    <row r="57" spans="1:33" x14ac:dyDescent="0.25">
      <c r="A57" s="35">
        <v>27</v>
      </c>
      <c r="B57" s="35">
        <v>14</v>
      </c>
      <c r="C57" s="35">
        <f>Inputs!$D$8-A57-Inputs!$D$22*B57</f>
        <v>65</v>
      </c>
      <c r="D57" s="35">
        <f>A57*Inputs!$D$20+C57*Inputs!$D$21+B57*Inputs!$D$22</f>
        <v>120</v>
      </c>
      <c r="E57" s="36">
        <f>MIN(Inputs!$E$15,Inputs!$D$15*(C57/Inputs!$D$43)^Inputs!$D$44)</f>
        <v>0.4</v>
      </c>
      <c r="F57" s="36">
        <f>MIN(Inputs!$E$16,Inputs!$D$16*(B57/Inputs!$D$42)^Inputs!$D$44)</f>
        <v>0.35940937671625589</v>
      </c>
      <c r="G57" s="37">
        <f>Inputs!$D$26*(1+Inputs!$D$41*(B57-Inputs!$D$42))</f>
        <v>1.41</v>
      </c>
      <c r="H57" s="35">
        <f>Inputs!$D$6*Inputs!$D$14*G57*Inputs!$D$29</f>
        <v>1771.5663000000002</v>
      </c>
      <c r="I57" s="36">
        <f>H57/(A57*Inputs!$D$32)</f>
        <v>1.1929739393939396</v>
      </c>
      <c r="J57" s="38">
        <f>IF(I57&gt;=1,999,I57/(Inputs!$D$32*(1-I57))*60)</f>
        <v>999</v>
      </c>
      <c r="K57" s="37">
        <f>MIN(1,MAX(0,(J57-Inputs!$D$36)/(Inputs!$D$37-Inputs!$D$36)))</f>
        <v>1</v>
      </c>
      <c r="L57" s="35">
        <f>Inputs!$D$6*Inputs!$D$14*G57*(1-Inputs!$D$38*K57)</f>
        <v>6495.7431000000006</v>
      </c>
      <c r="M57" s="39">
        <f>L57*Inputs!$D$11</f>
        <v>139658.47665000003</v>
      </c>
      <c r="N57" s="39">
        <f>M57*(1-Inputs!$D$17)</f>
        <v>48880.466827500008</v>
      </c>
      <c r="O57" s="35">
        <f>Inputs!$D$6*E57*Inputs!$D$27*Inputs!$D$30</f>
        <v>570.66240000000005</v>
      </c>
      <c r="P57" s="36">
        <f>O57/(C57*Inputs!$D$33)</f>
        <v>0.21948553846153848</v>
      </c>
      <c r="Q57" s="38">
        <f>IF(P57&gt;=1,999,P57/(Inputs!$D$33*(1-P57))*60)</f>
        <v>0.42180936281868536</v>
      </c>
      <c r="R57" s="37">
        <f>MIN(1,MAX(0,(Q57-Inputs!$D$36)/(Inputs!$D$37-Inputs!$D$36)))</f>
        <v>0</v>
      </c>
      <c r="S57" s="35">
        <f>Inputs!$D$6*E57*Inputs!$D$27*(1-Inputs!$D$38*R57)</f>
        <v>4755.5200000000004</v>
      </c>
      <c r="T57" s="39">
        <f>S57*Inputs!$D$12</f>
        <v>76088.320000000007</v>
      </c>
      <c r="U57" s="39">
        <f>T57*(1-Inputs!$D$18)</f>
        <v>34239.743999999999</v>
      </c>
      <c r="V57" s="35">
        <f>Inputs!$D$6*F57*Inputs!$D$28*Inputs!$D$31</f>
        <v>605.98146079368973</v>
      </c>
      <c r="W57" s="36">
        <f>V57/(B57*Inputs!$D$34)</f>
        <v>1.2366968587626321</v>
      </c>
      <c r="X57" s="38">
        <f>IF(W57&gt;=1,999,W57/(Inputs!$D$34*(1-W57))*60)</f>
        <v>999</v>
      </c>
      <c r="Y57" s="37">
        <f>MIN(1,MAX(0,(X57-Inputs!$D$36)/(Inputs!$D$37-Inputs!$D$36)))</f>
        <v>1</v>
      </c>
      <c r="Z57" s="35">
        <f>Inputs!$D$6*F57*Inputs!$D$28*(1-Inputs!$D$38*Y57)</f>
        <v>2563.7677187425338</v>
      </c>
      <c r="AA57" s="39">
        <f>Z57*Inputs!$D$13</f>
        <v>21792.025609311539</v>
      </c>
      <c r="AB57" s="39">
        <f>AA57*(1-Inputs!$D$19)</f>
        <v>13075.215365586922</v>
      </c>
      <c r="AC57" s="39">
        <f t="shared" si="0"/>
        <v>237538.82225931156</v>
      </c>
      <c r="AD57" s="39">
        <f t="shared" si="1"/>
        <v>96195.426193086925</v>
      </c>
      <c r="AE57" s="36">
        <f t="shared" si="2"/>
        <v>1.2366968587626321</v>
      </c>
      <c r="AF57" s="35">
        <f>IF(AND(AE57&lt;=Inputs!$D$35,C57&gt;=Inputs!$D$48*(A57+B57+C57),B57*Inputs!$D$22&lt;=Inputs!$D$50*Inputs!$D$8,B57*Inputs!$D$22&gt;=Inputs!$D$49*Inputs!$D$8,A57*Inputs!$D$20&lt;=Inputs!$D$47*Inputs!$D$8,C57&gt;=1),1,0)</f>
        <v>0</v>
      </c>
      <c r="AG57" s="39">
        <f t="shared" si="3"/>
        <v>-1</v>
      </c>
    </row>
    <row r="58" spans="1:33" x14ac:dyDescent="0.25">
      <c r="A58" s="35">
        <v>27</v>
      </c>
      <c r="B58" s="35">
        <v>15</v>
      </c>
      <c r="C58" s="35">
        <f>Inputs!$D$8-A58-Inputs!$D$22*B58</f>
        <v>63</v>
      </c>
      <c r="D58" s="35">
        <f>A58*Inputs!$D$20+C58*Inputs!$D$21+B58*Inputs!$D$22</f>
        <v>120</v>
      </c>
      <c r="E58" s="36">
        <f>MIN(Inputs!$E$15,Inputs!$D$15*(C58/Inputs!$D$43)^Inputs!$D$44)</f>
        <v>0.4</v>
      </c>
      <c r="F58" s="36">
        <f>MIN(Inputs!$E$16,Inputs!$D$16*(B58/Inputs!$D$42)^Inputs!$D$44)</f>
        <v>0.36692590185696072</v>
      </c>
      <c r="G58" s="37">
        <f>Inputs!$D$26*(1+Inputs!$D$41*(B58-Inputs!$D$42))</f>
        <v>1.4249999999999998</v>
      </c>
      <c r="H58" s="35">
        <f>Inputs!$D$6*Inputs!$D$14*G58*Inputs!$D$29</f>
        <v>1790.4127499999997</v>
      </c>
      <c r="I58" s="36">
        <f>H58/(A58*Inputs!$D$32)</f>
        <v>1.2056651515151513</v>
      </c>
      <c r="J58" s="38">
        <f>IF(I58&gt;=1,999,I58/(Inputs!$D$32*(1-I58))*60)</f>
        <v>999</v>
      </c>
      <c r="K58" s="37">
        <f>MIN(1,MAX(0,(J58-Inputs!$D$36)/(Inputs!$D$37-Inputs!$D$36)))</f>
        <v>1</v>
      </c>
      <c r="L58" s="35">
        <f>Inputs!$D$6*Inputs!$D$14*G58*(1-Inputs!$D$38*K58)</f>
        <v>6564.8467499999997</v>
      </c>
      <c r="M58" s="39">
        <f>L58*Inputs!$D$11</f>
        <v>141144.20512500001</v>
      </c>
      <c r="N58" s="39">
        <f>M58*(1-Inputs!$D$17)</f>
        <v>49400.471793750003</v>
      </c>
      <c r="O58" s="35">
        <f>Inputs!$D$6*E58*Inputs!$D$27*Inputs!$D$30</f>
        <v>570.66240000000005</v>
      </c>
      <c r="P58" s="36">
        <f>O58/(C58*Inputs!$D$33)</f>
        <v>0.22645333333333334</v>
      </c>
      <c r="Q58" s="38">
        <f>IF(P58&gt;=1,999,P58/(Inputs!$D$33*(1-P58))*60)</f>
        <v>0.43912024269167138</v>
      </c>
      <c r="R58" s="37">
        <f>MIN(1,MAX(0,(Q58-Inputs!$D$36)/(Inputs!$D$37-Inputs!$D$36)))</f>
        <v>0</v>
      </c>
      <c r="S58" s="35">
        <f>Inputs!$D$6*E58*Inputs!$D$27*(1-Inputs!$D$38*R58)</f>
        <v>4755.5200000000004</v>
      </c>
      <c r="T58" s="39">
        <f>S58*Inputs!$D$12</f>
        <v>76088.320000000007</v>
      </c>
      <c r="U58" s="39">
        <f>T58*(1-Inputs!$D$18)</f>
        <v>34239.743999999999</v>
      </c>
      <c r="V58" s="35">
        <f>Inputs!$D$6*F58*Inputs!$D$28*Inputs!$D$31</f>
        <v>618.65468297412497</v>
      </c>
      <c r="W58" s="36">
        <f>V58/(B58*Inputs!$D$34)</f>
        <v>1.1783898723316666</v>
      </c>
      <c r="X58" s="38">
        <f>IF(W58&gt;=1,999,W58/(Inputs!$D$34*(1-W58))*60)</f>
        <v>999</v>
      </c>
      <c r="Y58" s="37">
        <f>MIN(1,MAX(0,(X58-Inputs!$D$36)/(Inputs!$D$37-Inputs!$D$36)))</f>
        <v>1</v>
      </c>
      <c r="Z58" s="35">
        <f>Inputs!$D$6*F58*Inputs!$D$28*(1-Inputs!$D$38*Y58)</f>
        <v>2617.3851971982212</v>
      </c>
      <c r="AA58" s="39">
        <f>Z58*Inputs!$D$13</f>
        <v>22247.774176184881</v>
      </c>
      <c r="AB58" s="39">
        <f>AA58*(1-Inputs!$D$19)</f>
        <v>13348.664505710929</v>
      </c>
      <c r="AC58" s="39">
        <f t="shared" si="0"/>
        <v>239480.29930118489</v>
      </c>
      <c r="AD58" s="39">
        <f t="shared" si="1"/>
        <v>96988.880299460929</v>
      </c>
      <c r="AE58" s="36">
        <f t="shared" si="2"/>
        <v>1.2056651515151513</v>
      </c>
      <c r="AF58" s="35">
        <f>IF(AND(AE58&lt;=Inputs!$D$35,C58&gt;=Inputs!$D$48*(A58+B58+C58),B58*Inputs!$D$22&lt;=Inputs!$D$50*Inputs!$D$8,B58*Inputs!$D$22&gt;=Inputs!$D$49*Inputs!$D$8,A58*Inputs!$D$20&lt;=Inputs!$D$47*Inputs!$D$8,C58&gt;=1),1,0)</f>
        <v>0</v>
      </c>
      <c r="AG58" s="39">
        <f t="shared" si="3"/>
        <v>-1</v>
      </c>
    </row>
    <row r="59" spans="1:33" x14ac:dyDescent="0.25">
      <c r="A59" s="35">
        <v>27</v>
      </c>
      <c r="B59" s="35">
        <v>16</v>
      </c>
      <c r="C59" s="35">
        <f>Inputs!$D$8-A59-Inputs!$D$22*B59</f>
        <v>61</v>
      </c>
      <c r="D59" s="35">
        <f>A59*Inputs!$D$20+C59*Inputs!$D$21+B59*Inputs!$D$22</f>
        <v>120</v>
      </c>
      <c r="E59" s="36">
        <f>MIN(Inputs!$E$15,Inputs!$D$15*(C59/Inputs!$D$43)^Inputs!$D$44)</f>
        <v>0.4</v>
      </c>
      <c r="F59" s="36">
        <f>MIN(Inputs!$E$16,Inputs!$D$16*(B59/Inputs!$D$42)^Inputs!$D$44)</f>
        <v>0.37409937912904856</v>
      </c>
      <c r="G59" s="37">
        <f>Inputs!$D$26*(1+Inputs!$D$41*(B59-Inputs!$D$42))</f>
        <v>1.44</v>
      </c>
      <c r="H59" s="35">
        <f>Inputs!$D$6*Inputs!$D$14*G59*Inputs!$D$29</f>
        <v>1809.2592000000002</v>
      </c>
      <c r="I59" s="36">
        <f>H59/(A59*Inputs!$D$32)</f>
        <v>1.2183563636363637</v>
      </c>
      <c r="J59" s="38">
        <f>IF(I59&gt;=1,999,I59/(Inputs!$D$32*(1-I59))*60)</f>
        <v>999</v>
      </c>
      <c r="K59" s="37">
        <f>MIN(1,MAX(0,(J59-Inputs!$D$36)/(Inputs!$D$37-Inputs!$D$36)))</f>
        <v>1</v>
      </c>
      <c r="L59" s="35">
        <f>Inputs!$D$6*Inputs!$D$14*G59*(1-Inputs!$D$38*K59)</f>
        <v>6633.9504000000006</v>
      </c>
      <c r="M59" s="39">
        <f>L59*Inputs!$D$11</f>
        <v>142629.93360000002</v>
      </c>
      <c r="N59" s="39">
        <f>M59*(1-Inputs!$D$17)</f>
        <v>49920.476760000005</v>
      </c>
      <c r="O59" s="35">
        <f>Inputs!$D$6*E59*Inputs!$D$27*Inputs!$D$30</f>
        <v>570.66240000000005</v>
      </c>
      <c r="P59" s="36">
        <f>O59/(C59*Inputs!$D$33)</f>
        <v>0.23387803278688526</v>
      </c>
      <c r="Q59" s="38">
        <f>IF(P59&gt;=1,999,P59/(Inputs!$D$33*(1-P59))*60)</f>
        <v>0.45791279221046005</v>
      </c>
      <c r="R59" s="37">
        <f>MIN(1,MAX(0,(Q59-Inputs!$D$36)/(Inputs!$D$37-Inputs!$D$36)))</f>
        <v>0</v>
      </c>
      <c r="S59" s="35">
        <f>Inputs!$D$6*E59*Inputs!$D$27*(1-Inputs!$D$38*R59)</f>
        <v>4755.5200000000004</v>
      </c>
      <c r="T59" s="39">
        <f>S59*Inputs!$D$12</f>
        <v>76088.320000000007</v>
      </c>
      <c r="U59" s="39">
        <f>T59*(1-Inputs!$D$18)</f>
        <v>34239.743999999999</v>
      </c>
      <c r="V59" s="35">
        <f>Inputs!$D$6*F59*Inputs!$D$28*Inputs!$D$31</f>
        <v>630.74950998177405</v>
      </c>
      <c r="W59" s="36">
        <f>V59/(B59*Inputs!$D$34)</f>
        <v>1.1263384106817393</v>
      </c>
      <c r="X59" s="38">
        <f>IF(W59&gt;=1,999,W59/(Inputs!$D$34*(1-W59))*60)</f>
        <v>999</v>
      </c>
      <c r="Y59" s="37">
        <f>MIN(1,MAX(0,(X59-Inputs!$D$36)/(Inputs!$D$37-Inputs!$D$36)))</f>
        <v>1</v>
      </c>
      <c r="Z59" s="35">
        <f>Inputs!$D$6*F59*Inputs!$D$28*(1-Inputs!$D$38*Y59)</f>
        <v>2668.5556191536598</v>
      </c>
      <c r="AA59" s="39">
        <f>Z59*Inputs!$D$13</f>
        <v>22682.722762806108</v>
      </c>
      <c r="AB59" s="39">
        <f>AA59*(1-Inputs!$D$19)</f>
        <v>13609.633657683664</v>
      </c>
      <c r="AC59" s="39">
        <f t="shared" si="0"/>
        <v>241400.97636280613</v>
      </c>
      <c r="AD59" s="39">
        <f t="shared" si="1"/>
        <v>97769.854417683659</v>
      </c>
      <c r="AE59" s="36">
        <f t="shared" si="2"/>
        <v>1.2183563636363637</v>
      </c>
      <c r="AF59" s="35">
        <f>IF(AND(AE59&lt;=Inputs!$D$35,C59&gt;=Inputs!$D$48*(A59+B59+C59),B59*Inputs!$D$22&lt;=Inputs!$D$50*Inputs!$D$8,B59*Inputs!$D$22&gt;=Inputs!$D$49*Inputs!$D$8,A59*Inputs!$D$20&lt;=Inputs!$D$47*Inputs!$D$8,C59&gt;=1),1,0)</f>
        <v>0</v>
      </c>
      <c r="AG59" s="39">
        <f t="shared" si="3"/>
        <v>-1</v>
      </c>
    </row>
    <row r="60" spans="1:33" x14ac:dyDescent="0.25">
      <c r="A60" s="35">
        <v>27</v>
      </c>
      <c r="B60" s="35">
        <v>17</v>
      </c>
      <c r="C60" s="35">
        <f>Inputs!$D$8-A60-Inputs!$D$22*B60</f>
        <v>59</v>
      </c>
      <c r="D60" s="35">
        <f>A60*Inputs!$D$20+C60*Inputs!$D$21+B60*Inputs!$D$22</f>
        <v>120</v>
      </c>
      <c r="E60" s="36">
        <f>MIN(Inputs!$E$15,Inputs!$D$15*(C60/Inputs!$D$43)^Inputs!$D$44)</f>
        <v>0.4</v>
      </c>
      <c r="F60" s="36">
        <f>MIN(Inputs!$E$16,Inputs!$D$16*(B60/Inputs!$D$42)^Inputs!$D$44)</f>
        <v>0.3809655184437048</v>
      </c>
      <c r="G60" s="37">
        <f>Inputs!$D$26*(1+Inputs!$D$41*(B60-Inputs!$D$42))</f>
        <v>1.4550000000000001</v>
      </c>
      <c r="H60" s="35">
        <f>Inputs!$D$6*Inputs!$D$14*G60*Inputs!$D$29</f>
        <v>1828.1056500000002</v>
      </c>
      <c r="I60" s="36">
        <f>H60/(A60*Inputs!$D$32)</f>
        <v>1.2310475757575758</v>
      </c>
      <c r="J60" s="38">
        <f>IF(I60&gt;=1,999,I60/(Inputs!$D$32*(1-I60))*60)</f>
        <v>999</v>
      </c>
      <c r="K60" s="37">
        <f>MIN(1,MAX(0,(J60-Inputs!$D$36)/(Inputs!$D$37-Inputs!$D$36)))</f>
        <v>1</v>
      </c>
      <c r="L60" s="35">
        <f>Inputs!$D$6*Inputs!$D$14*G60*(1-Inputs!$D$38*K60)</f>
        <v>6703.0540500000006</v>
      </c>
      <c r="M60" s="39">
        <f>L60*Inputs!$D$11</f>
        <v>144115.662075</v>
      </c>
      <c r="N60" s="39">
        <f>M60*(1-Inputs!$D$17)</f>
        <v>50440.48172625</v>
      </c>
      <c r="O60" s="35">
        <f>Inputs!$D$6*E60*Inputs!$D$27*Inputs!$D$30</f>
        <v>570.66240000000005</v>
      </c>
      <c r="P60" s="36">
        <f>O60/(C60*Inputs!$D$33)</f>
        <v>0.24180610169491529</v>
      </c>
      <c r="Q60" s="38">
        <f>IF(P60&gt;=1,999,P60/(Inputs!$D$33*(1-P60))*60)</f>
        <v>0.47838574453473742</v>
      </c>
      <c r="R60" s="37">
        <f>MIN(1,MAX(0,(Q60-Inputs!$D$36)/(Inputs!$D$37-Inputs!$D$36)))</f>
        <v>0</v>
      </c>
      <c r="S60" s="35">
        <f>Inputs!$D$6*E60*Inputs!$D$27*(1-Inputs!$D$38*R60)</f>
        <v>4755.5200000000004</v>
      </c>
      <c r="T60" s="39">
        <f>S60*Inputs!$D$12</f>
        <v>76088.320000000007</v>
      </c>
      <c r="U60" s="39">
        <f>T60*(1-Inputs!$D$18)</f>
        <v>34239.743999999999</v>
      </c>
      <c r="V60" s="35">
        <f>Inputs!$D$6*F60*Inputs!$D$28*Inputs!$D$31</f>
        <v>642.32615044097156</v>
      </c>
      <c r="W60" s="36">
        <f>V60/(B60*Inputs!$D$34)</f>
        <v>1.0795397486402882</v>
      </c>
      <c r="X60" s="38">
        <f>IF(W60&gt;=1,999,W60/(Inputs!$D$34*(1-W60))*60)</f>
        <v>999</v>
      </c>
      <c r="Y60" s="37">
        <f>MIN(1,MAX(0,(X60-Inputs!$D$36)/(Inputs!$D$37-Inputs!$D$36)))</f>
        <v>1</v>
      </c>
      <c r="Z60" s="35">
        <f>Inputs!$D$6*F60*Inputs!$D$28*(1-Inputs!$D$38*Y60)</f>
        <v>2717.5337134041106</v>
      </c>
      <c r="AA60" s="39">
        <f>Z60*Inputs!$D$13</f>
        <v>23099.03656393494</v>
      </c>
      <c r="AB60" s="39">
        <f>AA60*(1-Inputs!$D$19)</f>
        <v>13859.421938360963</v>
      </c>
      <c r="AC60" s="39">
        <f t="shared" si="0"/>
        <v>243303.01863893494</v>
      </c>
      <c r="AD60" s="39">
        <f t="shared" si="1"/>
        <v>98539.647664610966</v>
      </c>
      <c r="AE60" s="36">
        <f t="shared" si="2"/>
        <v>1.2310475757575758</v>
      </c>
      <c r="AF60" s="35">
        <f>IF(AND(AE60&lt;=Inputs!$D$35,C60&gt;=Inputs!$D$48*(A60+B60+C60),B60*Inputs!$D$22&lt;=Inputs!$D$50*Inputs!$D$8,B60*Inputs!$D$22&gt;=Inputs!$D$49*Inputs!$D$8,A60*Inputs!$D$20&lt;=Inputs!$D$47*Inputs!$D$8,C60&gt;=1),1,0)</f>
        <v>0</v>
      </c>
      <c r="AG60" s="39">
        <f t="shared" si="3"/>
        <v>-1</v>
      </c>
    </row>
    <row r="61" spans="1:33" x14ac:dyDescent="0.25">
      <c r="A61" s="35">
        <v>27</v>
      </c>
      <c r="B61" s="35">
        <v>18</v>
      </c>
      <c r="C61" s="35">
        <f>Inputs!$D$8-A61-Inputs!$D$22*B61</f>
        <v>57</v>
      </c>
      <c r="D61" s="35">
        <f>A61*Inputs!$D$20+C61*Inputs!$D$21+B61*Inputs!$D$22</f>
        <v>120</v>
      </c>
      <c r="E61" s="36">
        <f>MIN(Inputs!$E$15,Inputs!$D$15*(C61/Inputs!$D$43)^Inputs!$D$44)</f>
        <v>0.4</v>
      </c>
      <c r="F61" s="36">
        <f>MIN(Inputs!$E$16,Inputs!$D$16*(B61/Inputs!$D$42)^Inputs!$D$44)</f>
        <v>0.38755446447890535</v>
      </c>
      <c r="G61" s="37">
        <f>Inputs!$D$26*(1+Inputs!$D$41*(B61-Inputs!$D$42))</f>
        <v>1.47</v>
      </c>
      <c r="H61" s="35">
        <f>Inputs!$D$6*Inputs!$D$14*G61*Inputs!$D$29</f>
        <v>1846.9521</v>
      </c>
      <c r="I61" s="36">
        <f>H61/(A61*Inputs!$D$32)</f>
        <v>1.2437387878787878</v>
      </c>
      <c r="J61" s="38">
        <f>IF(I61&gt;=1,999,I61/(Inputs!$D$32*(1-I61))*60)</f>
        <v>999</v>
      </c>
      <c r="K61" s="37">
        <f>MIN(1,MAX(0,(J61-Inputs!$D$36)/(Inputs!$D$37-Inputs!$D$36)))</f>
        <v>1</v>
      </c>
      <c r="L61" s="35">
        <f>Inputs!$D$6*Inputs!$D$14*G61*(1-Inputs!$D$38*K61)</f>
        <v>6772.1577000000016</v>
      </c>
      <c r="M61" s="39">
        <f>L61*Inputs!$D$11</f>
        <v>145601.39055000004</v>
      </c>
      <c r="N61" s="39">
        <f>M61*(1-Inputs!$D$17)</f>
        <v>50960.48669250001</v>
      </c>
      <c r="O61" s="35">
        <f>Inputs!$D$6*E61*Inputs!$D$27*Inputs!$D$30</f>
        <v>570.66240000000005</v>
      </c>
      <c r="P61" s="36">
        <f>O61/(C61*Inputs!$D$33)</f>
        <v>0.25029052631578952</v>
      </c>
      <c r="Q61" s="38">
        <f>IF(P61&gt;=1,999,P61/(Inputs!$D$33*(1-P61))*60)</f>
        <v>0.50077503706699034</v>
      </c>
      <c r="R61" s="37">
        <f>MIN(1,MAX(0,(Q61-Inputs!$D$36)/(Inputs!$D$37-Inputs!$D$36)))</f>
        <v>0</v>
      </c>
      <c r="S61" s="35">
        <f>Inputs!$D$6*E61*Inputs!$D$27*(1-Inputs!$D$38*R61)</f>
        <v>4755.5200000000004</v>
      </c>
      <c r="T61" s="39">
        <f>S61*Inputs!$D$12</f>
        <v>76088.320000000007</v>
      </c>
      <c r="U61" s="39">
        <f>T61*(1-Inputs!$D$18)</f>
        <v>34239.743999999999</v>
      </c>
      <c r="V61" s="35">
        <f>Inputs!$D$6*F61*Inputs!$D$28*Inputs!$D$31</f>
        <v>653.43542972572936</v>
      </c>
      <c r="W61" s="36">
        <f>V61/(B61*Inputs!$D$34)</f>
        <v>1.037199094802745</v>
      </c>
      <c r="X61" s="38">
        <f>IF(W61&gt;=1,999,W61/(Inputs!$D$34*(1-W61))*60)</f>
        <v>999</v>
      </c>
      <c r="Y61" s="37">
        <f>MIN(1,MAX(0,(X61-Inputs!$D$36)/(Inputs!$D$37-Inputs!$D$36)))</f>
        <v>1</v>
      </c>
      <c r="Z61" s="35">
        <f>Inputs!$D$6*F61*Inputs!$D$28*(1-Inputs!$D$38*Y61)</f>
        <v>2764.534510378086</v>
      </c>
      <c r="AA61" s="39">
        <f>Z61*Inputs!$D$13</f>
        <v>23498.543338213731</v>
      </c>
      <c r="AB61" s="39">
        <f>AA61*(1-Inputs!$D$19)</f>
        <v>14099.126002928238</v>
      </c>
      <c r="AC61" s="39">
        <f t="shared" si="0"/>
        <v>245188.25388821377</v>
      </c>
      <c r="AD61" s="39">
        <f t="shared" si="1"/>
        <v>99299.356695428258</v>
      </c>
      <c r="AE61" s="36">
        <f t="shared" si="2"/>
        <v>1.2437387878787878</v>
      </c>
      <c r="AF61" s="35">
        <f>IF(AND(AE61&lt;=Inputs!$D$35,C61&gt;=Inputs!$D$48*(A61+B61+C61),B61*Inputs!$D$22&lt;=Inputs!$D$50*Inputs!$D$8,B61*Inputs!$D$22&gt;=Inputs!$D$49*Inputs!$D$8,A61*Inputs!$D$20&lt;=Inputs!$D$47*Inputs!$D$8,C61&gt;=1),1,0)</f>
        <v>0</v>
      </c>
      <c r="AG61" s="39">
        <f t="shared" si="3"/>
        <v>-1</v>
      </c>
    </row>
    <row r="62" spans="1:33" x14ac:dyDescent="0.25">
      <c r="A62" s="35">
        <v>27</v>
      </c>
      <c r="B62" s="35">
        <v>19</v>
      </c>
      <c r="C62" s="35">
        <f>Inputs!$D$8-A62-Inputs!$D$22*B62</f>
        <v>55</v>
      </c>
      <c r="D62" s="35">
        <f>A62*Inputs!$D$20+C62*Inputs!$D$21+B62*Inputs!$D$22</f>
        <v>120</v>
      </c>
      <c r="E62" s="36">
        <f>MIN(Inputs!$E$15,Inputs!$D$15*(C62/Inputs!$D$43)^Inputs!$D$44)</f>
        <v>0.4</v>
      </c>
      <c r="F62" s="36">
        <f>MIN(Inputs!$E$16,Inputs!$D$16*(B62/Inputs!$D$42)^Inputs!$D$44)</f>
        <v>0.39389192072703005</v>
      </c>
      <c r="G62" s="37">
        <f>Inputs!$D$26*(1+Inputs!$D$41*(B62-Inputs!$D$42))</f>
        <v>1.4849999999999999</v>
      </c>
      <c r="H62" s="35">
        <f>Inputs!$D$6*Inputs!$D$14*G62*Inputs!$D$29</f>
        <v>1865.7985499999998</v>
      </c>
      <c r="I62" s="36">
        <f>H62/(A62*Inputs!$D$32)</f>
        <v>1.2564299999999999</v>
      </c>
      <c r="J62" s="38">
        <f>IF(I62&gt;=1,999,I62/(Inputs!$D$32*(1-I62))*60)</f>
        <v>999</v>
      </c>
      <c r="K62" s="37">
        <f>MIN(1,MAX(0,(J62-Inputs!$D$36)/(Inputs!$D$37-Inputs!$D$36)))</f>
        <v>1</v>
      </c>
      <c r="L62" s="35">
        <f>Inputs!$D$6*Inputs!$D$14*G62*(1-Inputs!$D$38*K62)</f>
        <v>6841.2613499999998</v>
      </c>
      <c r="M62" s="39">
        <f>L62*Inputs!$D$11</f>
        <v>147087.11902499999</v>
      </c>
      <c r="N62" s="39">
        <f>M62*(1-Inputs!$D$17)</f>
        <v>51480.491658749997</v>
      </c>
      <c r="O62" s="35">
        <f>Inputs!$D$6*E62*Inputs!$D$27*Inputs!$D$30</f>
        <v>570.66240000000005</v>
      </c>
      <c r="P62" s="36">
        <f>O62/(C62*Inputs!$D$33)</f>
        <v>0.25939200000000001</v>
      </c>
      <c r="Q62" s="38">
        <f>IF(P62&gt;=1,999,P62/(Inputs!$D$33*(1-P62))*60)</f>
        <v>0.52536294503975123</v>
      </c>
      <c r="R62" s="37">
        <f>MIN(1,MAX(0,(Q62-Inputs!$D$36)/(Inputs!$D$37-Inputs!$D$36)))</f>
        <v>0</v>
      </c>
      <c r="S62" s="35">
        <f>Inputs!$D$6*E62*Inputs!$D$27*(1-Inputs!$D$38*R62)</f>
        <v>4755.5200000000004</v>
      </c>
      <c r="T62" s="39">
        <f>S62*Inputs!$D$12</f>
        <v>76088.320000000007</v>
      </c>
      <c r="U62" s="39">
        <f>T62*(1-Inputs!$D$18)</f>
        <v>34239.743999999999</v>
      </c>
      <c r="V62" s="35">
        <f>Inputs!$D$6*F62*Inputs!$D$28*Inputs!$D$31</f>
        <v>664.12068515796761</v>
      </c>
      <c r="W62" s="36">
        <f>V62/(B62*Inputs!$D$34)</f>
        <v>0.99867772204205651</v>
      </c>
      <c r="X62" s="38">
        <f>IF(W62&gt;=1,999,W62/(Inputs!$D$34*(1-W62))*60)</f>
        <v>1294.749671797274</v>
      </c>
      <c r="Y62" s="37">
        <f>MIN(1,MAX(0,(X62-Inputs!$D$36)/(Inputs!$D$37-Inputs!$D$36)))</f>
        <v>1</v>
      </c>
      <c r="Z62" s="35">
        <f>Inputs!$D$6*F62*Inputs!$D$28*(1-Inputs!$D$38*Y62)</f>
        <v>2809.7413602837091</v>
      </c>
      <c r="AA62" s="39">
        <f>Z62*Inputs!$D$13</f>
        <v>23882.801562411529</v>
      </c>
      <c r="AB62" s="39">
        <f>AA62*(1-Inputs!$D$19)</f>
        <v>14329.680937446918</v>
      </c>
      <c r="AC62" s="39">
        <f t="shared" si="0"/>
        <v>247058.24058741154</v>
      </c>
      <c r="AD62" s="39">
        <f t="shared" si="1"/>
        <v>100049.91659619691</v>
      </c>
      <c r="AE62" s="36">
        <f t="shared" si="2"/>
        <v>1.2564299999999999</v>
      </c>
      <c r="AF62" s="35">
        <f>IF(AND(AE62&lt;=Inputs!$D$35,C62&gt;=Inputs!$D$48*(A62+B62+C62),B62*Inputs!$D$22&lt;=Inputs!$D$50*Inputs!$D$8,B62*Inputs!$D$22&gt;=Inputs!$D$49*Inputs!$D$8,A62*Inputs!$D$20&lt;=Inputs!$D$47*Inputs!$D$8,C62&gt;=1),1,0)</f>
        <v>0</v>
      </c>
      <c r="AG62" s="39">
        <f t="shared" si="3"/>
        <v>-1</v>
      </c>
    </row>
    <row r="63" spans="1:33" x14ac:dyDescent="0.25">
      <c r="A63" s="35">
        <v>27</v>
      </c>
      <c r="B63" s="35">
        <v>20</v>
      </c>
      <c r="C63" s="35">
        <f>Inputs!$D$8-A63-Inputs!$D$22*B63</f>
        <v>53</v>
      </c>
      <c r="D63" s="35">
        <f>A63*Inputs!$D$20+C63*Inputs!$D$21+B63*Inputs!$D$22</f>
        <v>120</v>
      </c>
      <c r="E63" s="36">
        <f>MIN(Inputs!$E$15,Inputs!$D$15*(C63/Inputs!$D$43)^Inputs!$D$44)</f>
        <v>0.4</v>
      </c>
      <c r="F63" s="36">
        <f>MIN(Inputs!$E$16,Inputs!$D$16*(B63/Inputs!$D$42)^Inputs!$D$44)</f>
        <v>0.4</v>
      </c>
      <c r="G63" s="37">
        <f>Inputs!$D$26*(1+Inputs!$D$41*(B63-Inputs!$D$42))</f>
        <v>1.5</v>
      </c>
      <c r="H63" s="35">
        <f>Inputs!$D$6*Inputs!$D$14*G63*Inputs!$D$29</f>
        <v>1884.645</v>
      </c>
      <c r="I63" s="36">
        <f>H63/(A63*Inputs!$D$32)</f>
        <v>1.2691212121212121</v>
      </c>
      <c r="J63" s="38">
        <f>IF(I63&gt;=1,999,I63/(Inputs!$D$32*(1-I63))*60)</f>
        <v>999</v>
      </c>
      <c r="K63" s="37">
        <f>MIN(1,MAX(0,(J63-Inputs!$D$36)/(Inputs!$D$37-Inputs!$D$36)))</f>
        <v>1</v>
      </c>
      <c r="L63" s="35">
        <f>Inputs!$D$6*Inputs!$D$14*G63*(1-Inputs!$D$38*K63)</f>
        <v>6910.3650000000016</v>
      </c>
      <c r="M63" s="39">
        <f>L63*Inputs!$D$11</f>
        <v>148572.84750000003</v>
      </c>
      <c r="N63" s="39">
        <f>M63*(1-Inputs!$D$17)</f>
        <v>52000.496625000007</v>
      </c>
      <c r="O63" s="35">
        <f>Inputs!$D$6*E63*Inputs!$D$27*Inputs!$D$30</f>
        <v>570.66240000000005</v>
      </c>
      <c r="P63" s="36">
        <f>O63/(C63*Inputs!$D$33)</f>
        <v>0.2691803773584906</v>
      </c>
      <c r="Q63" s="38">
        <f>IF(P63&gt;=1,999,P63/(Inputs!$D$33*(1-P63))*60)</f>
        <v>0.5524900447778458</v>
      </c>
      <c r="R63" s="37">
        <f>MIN(1,MAX(0,(Q63-Inputs!$D$36)/(Inputs!$D$37-Inputs!$D$36)))</f>
        <v>0</v>
      </c>
      <c r="S63" s="35">
        <f>Inputs!$D$6*E63*Inputs!$D$27*(1-Inputs!$D$38*R63)</f>
        <v>4755.5200000000004</v>
      </c>
      <c r="T63" s="39">
        <f>S63*Inputs!$D$12</f>
        <v>76088.320000000007</v>
      </c>
      <c r="U63" s="39">
        <f>T63*(1-Inputs!$D$18)</f>
        <v>34239.743999999999</v>
      </c>
      <c r="V63" s="35">
        <f>Inputs!$D$6*F63*Inputs!$D$28*Inputs!$D$31</f>
        <v>674.41919999999993</v>
      </c>
      <c r="W63" s="36">
        <f>V63/(B63*Inputs!$D$34)</f>
        <v>0.96345599999999987</v>
      </c>
      <c r="X63" s="38">
        <f>IF(W63&gt;=1,999,W63/(Inputs!$D$34*(1-W63))*60)</f>
        <v>45.195896922691851</v>
      </c>
      <c r="Y63" s="37">
        <f>MIN(1,MAX(0,(X63-Inputs!$D$36)/(Inputs!$D$37-Inputs!$D$36)))</f>
        <v>1</v>
      </c>
      <c r="Z63" s="35">
        <f>Inputs!$D$6*F63*Inputs!$D$28*(1-Inputs!$D$38*Y63)</f>
        <v>2853.3119999999999</v>
      </c>
      <c r="AA63" s="39">
        <f>Z63*Inputs!$D$13</f>
        <v>24253.151999999998</v>
      </c>
      <c r="AB63" s="39">
        <f>AA63*(1-Inputs!$D$19)</f>
        <v>14551.891199999998</v>
      </c>
      <c r="AC63" s="39">
        <f t="shared" si="0"/>
        <v>248914.31950000004</v>
      </c>
      <c r="AD63" s="39">
        <f t="shared" si="1"/>
        <v>100792.131825</v>
      </c>
      <c r="AE63" s="36">
        <f t="shared" si="2"/>
        <v>1.2691212121212121</v>
      </c>
      <c r="AF63" s="35">
        <f>IF(AND(AE63&lt;=Inputs!$D$35,C63&gt;=Inputs!$D$48*(A63+B63+C63),B63*Inputs!$D$22&lt;=Inputs!$D$50*Inputs!$D$8,B63*Inputs!$D$22&gt;=Inputs!$D$49*Inputs!$D$8,A63*Inputs!$D$20&lt;=Inputs!$D$47*Inputs!$D$8,C63&gt;=1),1,0)</f>
        <v>0</v>
      </c>
      <c r="AG63" s="39">
        <f t="shared" si="3"/>
        <v>-1</v>
      </c>
    </row>
    <row r="64" spans="1:33" x14ac:dyDescent="0.25">
      <c r="A64" s="35">
        <v>27</v>
      </c>
      <c r="B64" s="35">
        <v>21</v>
      </c>
      <c r="C64" s="35">
        <f>Inputs!$D$8-A64-Inputs!$D$22*B64</f>
        <v>51</v>
      </c>
      <c r="D64" s="35">
        <f>A64*Inputs!$D$20+C64*Inputs!$D$21+B64*Inputs!$D$22</f>
        <v>120</v>
      </c>
      <c r="E64" s="36">
        <f>MIN(Inputs!$E$15,Inputs!$D$15*(C64/Inputs!$D$43)^Inputs!$D$44)</f>
        <v>0.4</v>
      </c>
      <c r="F64" s="36">
        <f>MIN(Inputs!$E$16,Inputs!$D$16*(B64/Inputs!$D$42)^Inputs!$D$44)</f>
        <v>0.40589787816896217</v>
      </c>
      <c r="G64" s="37">
        <f>Inputs!$D$26*(1+Inputs!$D$41*(B64-Inputs!$D$42))</f>
        <v>1.5150000000000001</v>
      </c>
      <c r="H64" s="35">
        <f>Inputs!$D$6*Inputs!$D$14*G64*Inputs!$D$29</f>
        <v>1903.4914500000004</v>
      </c>
      <c r="I64" s="36">
        <f>H64/(A64*Inputs!$D$32)</f>
        <v>1.2818124242424245</v>
      </c>
      <c r="J64" s="38">
        <f>IF(I64&gt;=1,999,I64/(Inputs!$D$32*(1-I64))*60)</f>
        <v>999</v>
      </c>
      <c r="K64" s="37">
        <f>MIN(1,MAX(0,(J64-Inputs!$D$36)/(Inputs!$D$37-Inputs!$D$36)))</f>
        <v>1</v>
      </c>
      <c r="L64" s="35">
        <f>Inputs!$D$6*Inputs!$D$14*G64*(1-Inputs!$D$38*K64)</f>
        <v>6979.4686500000025</v>
      </c>
      <c r="M64" s="39">
        <f>L64*Inputs!$D$11</f>
        <v>150058.57597500004</v>
      </c>
      <c r="N64" s="39">
        <f>M64*(1-Inputs!$D$17)</f>
        <v>52520.501591250009</v>
      </c>
      <c r="O64" s="35">
        <f>Inputs!$D$6*E64*Inputs!$D$27*Inputs!$D$30</f>
        <v>570.66240000000005</v>
      </c>
      <c r="P64" s="36">
        <f>O64/(C64*Inputs!$D$33)</f>
        <v>0.27973647058823531</v>
      </c>
      <c r="Q64" s="38">
        <f>IF(P64&gt;=1,999,P64/(Inputs!$D$33*(1-P64))*60)</f>
        <v>0.5825710850930379</v>
      </c>
      <c r="R64" s="37">
        <f>MIN(1,MAX(0,(Q64-Inputs!$D$36)/(Inputs!$D$37-Inputs!$D$36)))</f>
        <v>0</v>
      </c>
      <c r="S64" s="35">
        <f>Inputs!$D$6*E64*Inputs!$D$27*(1-Inputs!$D$38*R64)</f>
        <v>4755.5200000000004</v>
      </c>
      <c r="T64" s="39">
        <f>S64*Inputs!$D$12</f>
        <v>76088.320000000007</v>
      </c>
      <c r="U64" s="39">
        <f>T64*(1-Inputs!$D$18)</f>
        <v>34239.743999999999</v>
      </c>
      <c r="V64" s="35">
        <f>Inputs!$D$6*F64*Inputs!$D$28*Inputs!$D$31</f>
        <v>684.36330569102222</v>
      </c>
      <c r="W64" s="36">
        <f>V64/(B64*Inputs!$D$34)</f>
        <v>0.93110653835513224</v>
      </c>
      <c r="X64" s="38">
        <f>IF(W64&gt;=1,999,W64/(Inputs!$D$34*(1-W64))*60)</f>
        <v>23.16885520150278</v>
      </c>
      <c r="Y64" s="37">
        <f>MIN(1,MAX(0,(X64-Inputs!$D$36)/(Inputs!$D$37-Inputs!$D$36)))</f>
        <v>1</v>
      </c>
      <c r="Z64" s="35">
        <f>Inputs!$D$6*F64*Inputs!$D$28*(1-Inputs!$D$38*Y64)</f>
        <v>2895.3832163850943</v>
      </c>
      <c r="AA64" s="39">
        <f>Z64*Inputs!$D$13</f>
        <v>24610.757339273303</v>
      </c>
      <c r="AB64" s="39">
        <f>AA64*(1-Inputs!$D$19)</f>
        <v>14766.454403563981</v>
      </c>
      <c r="AC64" s="39">
        <f t="shared" si="0"/>
        <v>250757.65331427334</v>
      </c>
      <c r="AD64" s="39">
        <f t="shared" si="1"/>
        <v>101526.699994814</v>
      </c>
      <c r="AE64" s="36">
        <f t="shared" si="2"/>
        <v>1.2818124242424245</v>
      </c>
      <c r="AF64" s="35">
        <f>IF(AND(AE64&lt;=Inputs!$D$35,C64&gt;=Inputs!$D$48*(A64+B64+C64),B64*Inputs!$D$22&lt;=Inputs!$D$50*Inputs!$D$8,B64*Inputs!$D$22&gt;=Inputs!$D$49*Inputs!$D$8,A64*Inputs!$D$20&lt;=Inputs!$D$47*Inputs!$D$8,C64&gt;=1),1,0)</f>
        <v>0</v>
      </c>
      <c r="AG64" s="39">
        <f t="shared" si="3"/>
        <v>-1</v>
      </c>
    </row>
    <row r="65" spans="1:33" x14ac:dyDescent="0.25">
      <c r="A65" s="35">
        <v>27</v>
      </c>
      <c r="B65" s="35">
        <v>22</v>
      </c>
      <c r="C65" s="35">
        <f>Inputs!$D$8-A65-Inputs!$D$22*B65</f>
        <v>49</v>
      </c>
      <c r="D65" s="35">
        <f>A65*Inputs!$D$20+C65*Inputs!$D$21+B65*Inputs!$D$22</f>
        <v>120</v>
      </c>
      <c r="E65" s="36">
        <f>MIN(Inputs!$E$15,Inputs!$D$15*(C65/Inputs!$D$43)^Inputs!$D$44)</f>
        <v>0.39770420454194916</v>
      </c>
      <c r="F65" s="36">
        <f>MIN(Inputs!$E$16,Inputs!$D$16*(B65/Inputs!$D$42)^Inputs!$D$44)</f>
        <v>0.41160230376843804</v>
      </c>
      <c r="G65" s="37">
        <f>Inputs!$D$26*(1+Inputs!$D$41*(B65-Inputs!$D$42))</f>
        <v>1.53</v>
      </c>
      <c r="H65" s="35">
        <f>Inputs!$D$6*Inputs!$D$14*G65*Inputs!$D$29</f>
        <v>1922.3379</v>
      </c>
      <c r="I65" s="36">
        <f>H65/(A65*Inputs!$D$32)</f>
        <v>1.2945036363636364</v>
      </c>
      <c r="J65" s="38">
        <f>IF(I65&gt;=1,999,I65/(Inputs!$D$32*(1-I65))*60)</f>
        <v>999</v>
      </c>
      <c r="K65" s="37">
        <f>MIN(1,MAX(0,(J65-Inputs!$D$36)/(Inputs!$D$37-Inputs!$D$36)))</f>
        <v>1</v>
      </c>
      <c r="L65" s="35">
        <f>Inputs!$D$6*Inputs!$D$14*G65*(1-Inputs!$D$38*K65)</f>
        <v>7048.5723000000016</v>
      </c>
      <c r="M65" s="39">
        <f>L65*Inputs!$D$11</f>
        <v>151544.30445000003</v>
      </c>
      <c r="N65" s="39">
        <f>M65*(1-Inputs!$D$17)</f>
        <v>53040.506557500004</v>
      </c>
      <c r="O65" s="35">
        <f>Inputs!$D$6*E65*Inputs!$D$27*Inputs!$D$30</f>
        <v>567.38708963499903</v>
      </c>
      <c r="P65" s="36">
        <f>O65/(C65*Inputs!$D$33)</f>
        <v>0.2894832089974485</v>
      </c>
      <c r="Q65" s="38">
        <f>IF(P65&gt;=1,999,P65/(Inputs!$D$33*(1-P65))*60)</f>
        <v>0.61113941147467321</v>
      </c>
      <c r="R65" s="37">
        <f>MIN(1,MAX(0,(Q65-Inputs!$D$36)/(Inputs!$D$37-Inputs!$D$36)))</f>
        <v>0</v>
      </c>
      <c r="S65" s="35">
        <f>Inputs!$D$6*E65*Inputs!$D$27*(1-Inputs!$D$38*R65)</f>
        <v>4728.2257469583255</v>
      </c>
      <c r="T65" s="39">
        <f>S65*Inputs!$D$12</f>
        <v>75651.611951333209</v>
      </c>
      <c r="U65" s="39">
        <f>T65*(1-Inputs!$D$18)</f>
        <v>34043.225378099938</v>
      </c>
      <c r="V65" s="35">
        <f>Inputs!$D$6*F65*Inputs!$D$28*Inputs!$D$31</f>
        <v>693.98124106416742</v>
      </c>
      <c r="W65" s="36">
        <f>V65/(B65*Inputs!$D$34)</f>
        <v>0.90127433904437326</v>
      </c>
      <c r="X65" s="38">
        <f>IF(W65&gt;=1,999,W65/(Inputs!$D$34*(1-W65))*60)</f>
        <v>15.649849381818807</v>
      </c>
      <c r="Y65" s="37">
        <f>MIN(1,MAX(0,(X65-Inputs!$D$36)/(Inputs!$D$37-Inputs!$D$36)))</f>
        <v>0.70998995878792048</v>
      </c>
      <c r="Z65" s="35">
        <f>Inputs!$D$6*F65*Inputs!$D$28*(1-Inputs!$D$38*Y65)</f>
        <v>3632.749002537963</v>
      </c>
      <c r="AA65" s="39">
        <f>Z65*Inputs!$D$13</f>
        <v>30878.366521572687</v>
      </c>
      <c r="AB65" s="39">
        <f>AA65*(1-Inputs!$D$19)</f>
        <v>18527.019912943611</v>
      </c>
      <c r="AC65" s="39">
        <f t="shared" si="0"/>
        <v>258074.28292290593</v>
      </c>
      <c r="AD65" s="39">
        <f t="shared" si="1"/>
        <v>105610.75184854354</v>
      </c>
      <c r="AE65" s="36">
        <f t="shared" si="2"/>
        <v>1.2945036363636364</v>
      </c>
      <c r="AF65" s="35">
        <f>IF(AND(AE65&lt;=Inputs!$D$35,C65&gt;=Inputs!$D$48*(A65+B65+C65),B65*Inputs!$D$22&lt;=Inputs!$D$50*Inputs!$D$8,B65*Inputs!$D$22&gt;=Inputs!$D$49*Inputs!$D$8,A65*Inputs!$D$20&lt;=Inputs!$D$47*Inputs!$D$8,C65&gt;=1),1,0)</f>
        <v>0</v>
      </c>
      <c r="AG65" s="39">
        <f t="shared" si="3"/>
        <v>-1</v>
      </c>
    </row>
    <row r="66" spans="1:33" x14ac:dyDescent="0.25">
      <c r="A66" s="35">
        <v>27</v>
      </c>
      <c r="B66" s="35">
        <v>23</v>
      </c>
      <c r="C66" s="35">
        <f>Inputs!$D$8-A66-Inputs!$D$22*B66</f>
        <v>47</v>
      </c>
      <c r="D66" s="35">
        <f>A66*Inputs!$D$20+C66*Inputs!$D$21+B66*Inputs!$D$22</f>
        <v>120</v>
      </c>
      <c r="E66" s="36">
        <f>MIN(Inputs!$E$15,Inputs!$D$15*(C66/Inputs!$D$43)^Inputs!$D$44)</f>
        <v>0.39276313309091065</v>
      </c>
      <c r="F66" s="36">
        <f>MIN(Inputs!$E$16,Inputs!$D$16*(B66/Inputs!$D$42)^Inputs!$D$44)</f>
        <v>0.41712800028621322</v>
      </c>
      <c r="G66" s="37">
        <f>Inputs!$D$26*(1+Inputs!$D$41*(B66-Inputs!$D$42))</f>
        <v>1.5449999999999999</v>
      </c>
      <c r="H66" s="35">
        <f>Inputs!$D$6*Inputs!$D$14*G66*Inputs!$D$29</f>
        <v>1941.18435</v>
      </c>
      <c r="I66" s="36">
        <f>H66/(A66*Inputs!$D$32)</f>
        <v>1.3071948484848486</v>
      </c>
      <c r="J66" s="38">
        <f>IF(I66&gt;=1,999,I66/(Inputs!$D$32*(1-I66))*60)</f>
        <v>999</v>
      </c>
      <c r="K66" s="37">
        <f>MIN(1,MAX(0,(J66-Inputs!$D$36)/(Inputs!$D$37-Inputs!$D$36)))</f>
        <v>1</v>
      </c>
      <c r="L66" s="35">
        <f>Inputs!$D$6*Inputs!$D$14*G66*(1-Inputs!$D$38*K66)</f>
        <v>7117.6759500000016</v>
      </c>
      <c r="M66" s="39">
        <f>L66*Inputs!$D$11</f>
        <v>153030.03292500004</v>
      </c>
      <c r="N66" s="39">
        <f>M66*(1-Inputs!$D$17)</f>
        <v>53560.511523750007</v>
      </c>
      <c r="O66" s="35">
        <f>Inputs!$D$6*E66*Inputs!$D$27*Inputs!$D$30</f>
        <v>560.33788040294633</v>
      </c>
      <c r="P66" s="36">
        <f>O66/(C66*Inputs!$D$33)</f>
        <v>0.29805206404412038</v>
      </c>
      <c r="Q66" s="38">
        <f>IF(P66&gt;=1,999,P66/(Inputs!$D$33*(1-P66))*60)</f>
        <v>0.63691062138016075</v>
      </c>
      <c r="R66" s="37">
        <f>MIN(1,MAX(0,(Q66-Inputs!$D$36)/(Inputs!$D$37-Inputs!$D$36)))</f>
        <v>0</v>
      </c>
      <c r="S66" s="35">
        <f>Inputs!$D$6*E66*Inputs!$D$27*(1-Inputs!$D$38*R66)</f>
        <v>4669.4823366912196</v>
      </c>
      <c r="T66" s="39">
        <f>S66*Inputs!$D$12</f>
        <v>74711.717387059514</v>
      </c>
      <c r="U66" s="39">
        <f>T66*(1-Inputs!$D$18)</f>
        <v>33620.272824176776</v>
      </c>
      <c r="V66" s="35">
        <f>Inputs!$D$6*F66*Inputs!$D$28*Inputs!$D$31</f>
        <v>703.29783062656929</v>
      </c>
      <c r="W66" s="36">
        <f>V66/(B66*Inputs!$D$34)</f>
        <v>0.87366190139946498</v>
      </c>
      <c r="X66" s="38">
        <f>IF(W66&gt;=1,999,W66/(Inputs!$D$34*(1-W66))*60)</f>
        <v>11.854746377182334</v>
      </c>
      <c r="Y66" s="37">
        <f>MIN(1,MAX(0,(X66-Inputs!$D$36)/(Inputs!$D$37-Inputs!$D$36)))</f>
        <v>0.45698309181215557</v>
      </c>
      <c r="Z66" s="35">
        <f>Inputs!$D$6*F66*Inputs!$D$28*(1-Inputs!$D$38*Y66)</f>
        <v>4297.4614071503011</v>
      </c>
      <c r="AA66" s="39">
        <f>Z66*Inputs!$D$13</f>
        <v>36528.421960777559</v>
      </c>
      <c r="AB66" s="39">
        <f>AA66*(1-Inputs!$D$19)</f>
        <v>21917.053176466536</v>
      </c>
      <c r="AC66" s="39">
        <f t="shared" si="0"/>
        <v>264270.17227283708</v>
      </c>
      <c r="AD66" s="39">
        <f t="shared" si="1"/>
        <v>109097.83752439333</v>
      </c>
      <c r="AE66" s="36">
        <f t="shared" si="2"/>
        <v>1.3071948484848486</v>
      </c>
      <c r="AF66" s="35">
        <f>IF(AND(AE66&lt;=Inputs!$D$35,C66&gt;=Inputs!$D$48*(A66+B66+C66),B66*Inputs!$D$22&lt;=Inputs!$D$50*Inputs!$D$8,B66*Inputs!$D$22&gt;=Inputs!$D$49*Inputs!$D$8,A66*Inputs!$D$20&lt;=Inputs!$D$47*Inputs!$D$8,C66&gt;=1),1,0)</f>
        <v>0</v>
      </c>
      <c r="AG66" s="39">
        <f t="shared" si="3"/>
        <v>-1</v>
      </c>
    </row>
    <row r="67" spans="1:33" x14ac:dyDescent="0.25">
      <c r="A67" s="35">
        <v>27</v>
      </c>
      <c r="B67" s="35">
        <v>24</v>
      </c>
      <c r="C67" s="35">
        <f>Inputs!$D$8-A67-Inputs!$D$22*B67</f>
        <v>45</v>
      </c>
      <c r="D67" s="35">
        <f>A67*Inputs!$D$20+C67*Inputs!$D$21+B67*Inputs!$D$22</f>
        <v>120</v>
      </c>
      <c r="E67" s="36">
        <f>MIN(Inputs!$E$15,Inputs!$D$15*(C67/Inputs!$D$43)^Inputs!$D$44)</f>
        <v>0.38767260497069417</v>
      </c>
      <c r="F67" s="36">
        <f>MIN(Inputs!$E$16,Inputs!$D$16*(B67/Inputs!$D$42)^Inputs!$D$44)</f>
        <v>0.42248798737570326</v>
      </c>
      <c r="G67" s="37">
        <f>Inputs!$D$26*(1+Inputs!$D$41*(B67-Inputs!$D$42))</f>
        <v>1.56</v>
      </c>
      <c r="H67" s="35">
        <f>Inputs!$D$6*Inputs!$D$14*G67*Inputs!$D$29</f>
        <v>1960.0308</v>
      </c>
      <c r="I67" s="36">
        <f>H67/(A67*Inputs!$D$32)</f>
        <v>1.3198860606060605</v>
      </c>
      <c r="J67" s="38">
        <f>IF(I67&gt;=1,999,I67/(Inputs!$D$32*(1-I67))*60)</f>
        <v>999</v>
      </c>
      <c r="K67" s="37">
        <f>MIN(1,MAX(0,(J67-Inputs!$D$36)/(Inputs!$D$37-Inputs!$D$36)))</f>
        <v>1</v>
      </c>
      <c r="L67" s="35">
        <f>Inputs!$D$6*Inputs!$D$14*G67*(1-Inputs!$D$38*K67)</f>
        <v>7186.7796000000017</v>
      </c>
      <c r="M67" s="39">
        <f>L67*Inputs!$D$11</f>
        <v>154515.76140000005</v>
      </c>
      <c r="N67" s="39">
        <f>M67*(1-Inputs!$D$17)</f>
        <v>54080.516490000016</v>
      </c>
      <c r="O67" s="35">
        <f>Inputs!$D$6*E67*Inputs!$D$27*Inputs!$D$30</f>
        <v>553.07544791707073</v>
      </c>
      <c r="P67" s="36">
        <f>O67/(C67*Inputs!$D$33)</f>
        <v>0.30726413773170597</v>
      </c>
      <c r="Q67" s="38">
        <f>IF(P67&gt;=1,999,P67/(Inputs!$D$33*(1-P67))*60)</f>
        <v>0.66532748151423926</v>
      </c>
      <c r="R67" s="37">
        <f>MIN(1,MAX(0,(Q67-Inputs!$D$36)/(Inputs!$D$37-Inputs!$D$36)))</f>
        <v>0</v>
      </c>
      <c r="S67" s="35">
        <f>Inputs!$D$6*E67*Inputs!$D$27*(1-Inputs!$D$38*R67)</f>
        <v>4608.9620659755892</v>
      </c>
      <c r="T67" s="39">
        <f>S67*Inputs!$D$12</f>
        <v>73743.393055609427</v>
      </c>
      <c r="U67" s="39">
        <f>T67*(1-Inputs!$D$18)</f>
        <v>33184.526875024239</v>
      </c>
      <c r="V67" s="35">
        <f>Inputs!$D$6*F67*Inputs!$D$28*Inputs!$D$31</f>
        <v>712.33502613882979</v>
      </c>
      <c r="W67" s="36">
        <f>V67/(B67*Inputs!$D$34)</f>
        <v>0.84801788826051161</v>
      </c>
      <c r="X67" s="38">
        <f>IF(W67&gt;=1,999,W67/(Inputs!$D$34*(1-W67))*60)</f>
        <v>9.5652372155190832</v>
      </c>
      <c r="Y67" s="37">
        <f>MIN(1,MAX(0,(X67-Inputs!$D$36)/(Inputs!$D$37-Inputs!$D$36)))</f>
        <v>0.30434914770127219</v>
      </c>
      <c r="Z67" s="35">
        <f>Inputs!$D$6*F67*Inputs!$D$28*(1-Inputs!$D$38*Y67)</f>
        <v>4729.0436538571339</v>
      </c>
      <c r="AA67" s="39">
        <f>Z67*Inputs!$D$13</f>
        <v>40196.87105778564</v>
      </c>
      <c r="AB67" s="39">
        <f>AA67*(1-Inputs!$D$19)</f>
        <v>24118.122634671385</v>
      </c>
      <c r="AC67" s="39">
        <f t="shared" si="0"/>
        <v>268456.02551339508</v>
      </c>
      <c r="AD67" s="39">
        <f t="shared" si="1"/>
        <v>111383.16599969564</v>
      </c>
      <c r="AE67" s="36">
        <f t="shared" si="2"/>
        <v>1.3198860606060605</v>
      </c>
      <c r="AF67" s="35">
        <f>IF(AND(AE67&lt;=Inputs!$D$35,C67&gt;=Inputs!$D$48*(A67+B67+C67),B67*Inputs!$D$22&lt;=Inputs!$D$50*Inputs!$D$8,B67*Inputs!$D$22&gt;=Inputs!$D$49*Inputs!$D$8,A67*Inputs!$D$20&lt;=Inputs!$D$47*Inputs!$D$8,C67&gt;=1),1,0)</f>
        <v>0</v>
      </c>
      <c r="AG67" s="39">
        <f t="shared" si="3"/>
        <v>-1</v>
      </c>
    </row>
    <row r="68" spans="1:33" x14ac:dyDescent="0.25">
      <c r="A68" s="35">
        <v>27</v>
      </c>
      <c r="B68" s="35">
        <v>25</v>
      </c>
      <c r="C68" s="35">
        <f>Inputs!$D$8-A68-Inputs!$D$22*B68</f>
        <v>43</v>
      </c>
      <c r="D68" s="35">
        <f>A68*Inputs!$D$20+C68*Inputs!$D$21+B68*Inputs!$D$22</f>
        <v>120</v>
      </c>
      <c r="E68" s="36">
        <f>MIN(Inputs!$E$15,Inputs!$D$15*(C68/Inputs!$D$43)^Inputs!$D$44)</f>
        <v>0.38242114286867052</v>
      </c>
      <c r="F68" s="36">
        <f>MIN(Inputs!$E$16,Inputs!$D$16*(B68/Inputs!$D$42)^Inputs!$D$44)</f>
        <v>0.42769383999647526</v>
      </c>
      <c r="G68" s="37">
        <f>Inputs!$D$26*(1+Inputs!$D$41*(B68-Inputs!$D$42))</f>
        <v>1.5750000000000002</v>
      </c>
      <c r="H68" s="35">
        <f>Inputs!$D$6*Inputs!$D$14*G68*Inputs!$D$29</f>
        <v>1978.8772500000005</v>
      </c>
      <c r="I68" s="36">
        <f>H68/(A68*Inputs!$D$32)</f>
        <v>1.3325772727272731</v>
      </c>
      <c r="J68" s="38">
        <f>IF(I68&gt;=1,999,I68/(Inputs!$D$32*(1-I68))*60)</f>
        <v>999</v>
      </c>
      <c r="K68" s="37">
        <f>MIN(1,MAX(0,(J68-Inputs!$D$36)/(Inputs!$D$37-Inputs!$D$36)))</f>
        <v>1</v>
      </c>
      <c r="L68" s="35">
        <f>Inputs!$D$6*Inputs!$D$14*G68*(1-Inputs!$D$38*K68)</f>
        <v>7255.8832500000026</v>
      </c>
      <c r="M68" s="39">
        <f>L68*Inputs!$D$11</f>
        <v>156001.48987500006</v>
      </c>
      <c r="N68" s="39">
        <f>M68*(1-Inputs!$D$17)</f>
        <v>54600.521456250019</v>
      </c>
      <c r="O68" s="35">
        <f>Inputs!$D$6*E68*Inputs!$D$27*Inputs!$D$30</f>
        <v>545.58341800044604</v>
      </c>
      <c r="P68" s="36">
        <f>O68/(C68*Inputs!$D$33)</f>
        <v>0.31719966162816632</v>
      </c>
      <c r="Q68" s="38">
        <f>IF(P68&gt;=1,999,P68/(Inputs!$D$33*(1-P68))*60)</f>
        <v>0.69683546668534679</v>
      </c>
      <c r="R68" s="37">
        <f>MIN(1,MAX(0,(Q68-Inputs!$D$36)/(Inputs!$D$37-Inputs!$D$36)))</f>
        <v>0</v>
      </c>
      <c r="S68" s="35">
        <f>Inputs!$D$6*E68*Inputs!$D$27*(1-Inputs!$D$38*R68)</f>
        <v>4546.5284833370506</v>
      </c>
      <c r="T68" s="39">
        <f>S68*Inputs!$D$12</f>
        <v>72744.45573339281</v>
      </c>
      <c r="U68" s="39">
        <f>T68*(1-Inputs!$D$18)</f>
        <v>32735.00508002676</v>
      </c>
      <c r="V68" s="35">
        <f>Inputs!$D$6*F68*Inputs!$D$28*Inputs!$D$31</f>
        <v>721.1123435383771</v>
      </c>
      <c r="W68" s="36">
        <f>V68/(B68*Inputs!$D$34)</f>
        <v>0.82412839261528814</v>
      </c>
      <c r="X68" s="38">
        <f>IF(W68&gt;=1,999,W68/(Inputs!$D$34*(1-W68))*60)</f>
        <v>8.0330847668163621</v>
      </c>
      <c r="Y68" s="37">
        <f>MIN(1,MAX(0,(X68-Inputs!$D$36)/(Inputs!$D$37-Inputs!$D$36)))</f>
        <v>0.20220565112109082</v>
      </c>
      <c r="Z68" s="35">
        <f>Inputs!$D$6*F68*Inputs!$D$28*(1-Inputs!$D$38*Y68)</f>
        <v>5042.2807508299393</v>
      </c>
      <c r="AA68" s="39">
        <f>Z68*Inputs!$D$13</f>
        <v>42859.386382054487</v>
      </c>
      <c r="AB68" s="39">
        <f>AA68*(1-Inputs!$D$19)</f>
        <v>25715.631829232691</v>
      </c>
      <c r="AC68" s="39">
        <f t="shared" si="0"/>
        <v>271605.33199044736</v>
      </c>
      <c r="AD68" s="39">
        <f t="shared" si="1"/>
        <v>113051.15836550947</v>
      </c>
      <c r="AE68" s="36">
        <f t="shared" si="2"/>
        <v>1.3325772727272731</v>
      </c>
      <c r="AF68" s="35">
        <f>IF(AND(AE68&lt;=Inputs!$D$35,C68&gt;=Inputs!$D$48*(A68+B68+C68),B68*Inputs!$D$22&lt;=Inputs!$D$50*Inputs!$D$8,B68*Inputs!$D$22&gt;=Inputs!$D$49*Inputs!$D$8,A68*Inputs!$D$20&lt;=Inputs!$D$47*Inputs!$D$8,C68&gt;=1),1,0)</f>
        <v>0</v>
      </c>
      <c r="AG68" s="39">
        <f t="shared" si="3"/>
        <v>-1</v>
      </c>
    </row>
    <row r="69" spans="1:33" x14ac:dyDescent="0.25">
      <c r="A69" s="35">
        <v>27</v>
      </c>
      <c r="B69" s="35">
        <v>26</v>
      </c>
      <c r="C69" s="35">
        <f>Inputs!$D$8-A69-Inputs!$D$22*B69</f>
        <v>41</v>
      </c>
      <c r="D69" s="35">
        <f>A69*Inputs!$D$20+C69*Inputs!$D$21+B69*Inputs!$D$22</f>
        <v>120</v>
      </c>
      <c r="E69" s="36">
        <f>MIN(Inputs!$E$15,Inputs!$D$15*(C69/Inputs!$D$43)^Inputs!$D$44)</f>
        <v>0.37699580304543617</v>
      </c>
      <c r="F69" s="36">
        <f>MIN(Inputs!$E$16,Inputs!$D$16*(B69/Inputs!$D$42)^Inputs!$D$44)</f>
        <v>0.43275589945781112</v>
      </c>
      <c r="G69" s="37">
        <f>Inputs!$D$26*(1+Inputs!$D$41*(B69-Inputs!$D$42))</f>
        <v>1.59</v>
      </c>
      <c r="H69" s="35">
        <f>Inputs!$D$6*Inputs!$D$14*G69*Inputs!$D$29</f>
        <v>1997.7237</v>
      </c>
      <c r="I69" s="36">
        <f>H69/(A69*Inputs!$D$32)</f>
        <v>1.3452684848484848</v>
      </c>
      <c r="J69" s="38">
        <f>IF(I69&gt;=1,999,I69/(Inputs!$D$32*(1-I69))*60)</f>
        <v>999</v>
      </c>
      <c r="K69" s="37">
        <f>MIN(1,MAX(0,(J69-Inputs!$D$36)/(Inputs!$D$37-Inputs!$D$36)))</f>
        <v>1</v>
      </c>
      <c r="L69" s="35">
        <f>Inputs!$D$6*Inputs!$D$14*G69*(1-Inputs!$D$38*K69)</f>
        <v>7324.9869000000017</v>
      </c>
      <c r="M69" s="39">
        <f>L69*Inputs!$D$11</f>
        <v>157487.21835000004</v>
      </c>
      <c r="N69" s="39">
        <f>M69*(1-Inputs!$D$17)</f>
        <v>55120.526422500014</v>
      </c>
      <c r="O69" s="35">
        <f>Inputs!$D$6*E69*Inputs!$D$27*Inputs!$D$30</f>
        <v>537.84332438958984</v>
      </c>
      <c r="P69" s="36">
        <f>O69/(C69*Inputs!$D$33)</f>
        <v>0.3279532465790182</v>
      </c>
      <c r="Q69" s="38">
        <f>IF(P69&gt;=1,999,P69/(Inputs!$D$33*(1-P69))*60)</f>
        <v>0.73198756985940516</v>
      </c>
      <c r="R69" s="37">
        <f>MIN(1,MAX(0,(Q69-Inputs!$D$36)/(Inputs!$D$37-Inputs!$D$36)))</f>
        <v>0</v>
      </c>
      <c r="S69" s="35">
        <f>Inputs!$D$6*E69*Inputs!$D$27*(1-Inputs!$D$38*R69)</f>
        <v>4482.027703246582</v>
      </c>
      <c r="T69" s="39">
        <f>S69*Inputs!$D$12</f>
        <v>71712.443251945311</v>
      </c>
      <c r="U69" s="39">
        <f>T69*(1-Inputs!$D$18)</f>
        <v>32270.599463375387</v>
      </c>
      <c r="V69" s="35">
        <f>Inputs!$D$6*F69*Inputs!$D$28*Inputs!$D$31</f>
        <v>729.64721876904355</v>
      </c>
      <c r="W69" s="36">
        <f>V69/(B69*Inputs!$D$34)</f>
        <v>0.80181013051543248</v>
      </c>
      <c r="X69" s="38">
        <f>IF(W69&gt;=1,999,W69/(Inputs!$D$34*(1-W69))*60)</f>
        <v>6.9354284146153136</v>
      </c>
      <c r="Y69" s="37">
        <f>MIN(1,MAX(0,(X69-Inputs!$D$36)/(Inputs!$D$37-Inputs!$D$36)))</f>
        <v>0.12902856097435425</v>
      </c>
      <c r="Z69" s="35">
        <f>Inputs!$D$6*F69*Inputs!$D$28*(1-Inputs!$D$38*Y69)</f>
        <v>5286.7832305655711</v>
      </c>
      <c r="AA69" s="39">
        <f>Z69*Inputs!$D$13</f>
        <v>44937.657459807357</v>
      </c>
      <c r="AB69" s="39">
        <f>AA69*(1-Inputs!$D$19)</f>
        <v>26962.594475884413</v>
      </c>
      <c r="AC69" s="39">
        <f t="shared" ref="AC69:AC132" si="4">M69+T69+AA69</f>
        <v>274137.3190617527</v>
      </c>
      <c r="AD69" s="39">
        <f t="shared" ref="AD69:AD132" si="5">N69+U69+AB69</f>
        <v>114353.72036175981</v>
      </c>
      <c r="AE69" s="36">
        <f t="shared" ref="AE69:AE132" si="6">MAX(I69,P69,W69)</f>
        <v>1.3452684848484848</v>
      </c>
      <c r="AF69" s="35">
        <f>IF(AND(AE69&lt;=Inputs!$D$35,C69&gt;=Inputs!$D$48*(A69+B69+C69),B69*Inputs!$D$22&lt;=Inputs!$D$50*Inputs!$D$8,B69*Inputs!$D$22&gt;=Inputs!$D$49*Inputs!$D$8,A69*Inputs!$D$20&lt;=Inputs!$D$47*Inputs!$D$8,C69&gt;=1),1,0)</f>
        <v>0</v>
      </c>
      <c r="AG69" s="39">
        <f t="shared" ref="AG69:AG132" si="7">IF(AF69=1,AD69,-1)</f>
        <v>-1</v>
      </c>
    </row>
    <row r="70" spans="1:33" x14ac:dyDescent="0.25">
      <c r="A70" s="35">
        <v>27</v>
      </c>
      <c r="B70" s="35">
        <v>27</v>
      </c>
      <c r="C70" s="35">
        <f>Inputs!$D$8-A70-Inputs!$D$22*B70</f>
        <v>39</v>
      </c>
      <c r="D70" s="35">
        <f>A70*Inputs!$D$20+C70*Inputs!$D$21+B70*Inputs!$D$22</f>
        <v>120</v>
      </c>
      <c r="E70" s="36">
        <f>MIN(Inputs!$E$15,Inputs!$D$15*(C70/Inputs!$D$43)^Inputs!$D$44)</f>
        <v>0.37138190575462604</v>
      </c>
      <c r="F70" s="36">
        <f>MIN(Inputs!$E$16,Inputs!$D$16*(B70/Inputs!$D$42)^Inputs!$D$44)</f>
        <v>0.43768344678187454</v>
      </c>
      <c r="G70" s="37">
        <f>Inputs!$D$26*(1+Inputs!$D$41*(B70-Inputs!$D$42))</f>
        <v>1.605</v>
      </c>
      <c r="H70" s="35">
        <f>Inputs!$D$6*Inputs!$D$14*G70*Inputs!$D$29</f>
        <v>2016.57015</v>
      </c>
      <c r="I70" s="36">
        <f>H70/(A70*Inputs!$D$32)</f>
        <v>1.357959696969697</v>
      </c>
      <c r="J70" s="38">
        <f>IF(I70&gt;=1,999,I70/(Inputs!$D$32*(1-I70))*60)</f>
        <v>999</v>
      </c>
      <c r="K70" s="37">
        <f>MIN(1,MAX(0,(J70-Inputs!$D$36)/(Inputs!$D$37-Inputs!$D$36)))</f>
        <v>1</v>
      </c>
      <c r="L70" s="35">
        <f>Inputs!$D$6*Inputs!$D$14*G70*(1-Inputs!$D$38*K70)</f>
        <v>7394.0905500000017</v>
      </c>
      <c r="M70" s="39">
        <f>L70*Inputs!$D$11</f>
        <v>158972.94682500005</v>
      </c>
      <c r="N70" s="39">
        <f>M70*(1-Inputs!$D$17)</f>
        <v>55640.531388750016</v>
      </c>
      <c r="O70" s="35">
        <f>Inputs!$D$6*E70*Inputs!$D$27*Inputs!$D$30</f>
        <v>529.8342241362717</v>
      </c>
      <c r="P70" s="36">
        <f>O70/(C70*Inputs!$D$33)</f>
        <v>0.33963732316427675</v>
      </c>
      <c r="Q70" s="38">
        <f>IF(P70&gt;=1,999,P70/(Inputs!$D$33*(1-P70))*60)</f>
        <v>0.77147907145144612</v>
      </c>
      <c r="R70" s="37">
        <f>MIN(1,MAX(0,(Q70-Inputs!$D$36)/(Inputs!$D$37-Inputs!$D$36)))</f>
        <v>0</v>
      </c>
      <c r="S70" s="35">
        <f>Inputs!$D$6*E70*Inputs!$D$27*(1-Inputs!$D$38*R70)</f>
        <v>4415.2852011355981</v>
      </c>
      <c r="T70" s="39">
        <f>S70*Inputs!$D$12</f>
        <v>70644.563218169569</v>
      </c>
      <c r="U70" s="39">
        <f>T70*(1-Inputs!$D$18)</f>
        <v>31790.053448176302</v>
      </c>
      <c r="V70" s="35">
        <f>Inputs!$D$6*F70*Inputs!$D$28*Inputs!$D$31</f>
        <v>737.95530007968603</v>
      </c>
      <c r="W70" s="36">
        <f>V70/(B70*Inputs!$D$34)</f>
        <v>0.78090507944940324</v>
      </c>
      <c r="X70" s="38">
        <f>IF(W70&gt;=1,999,W70/(Inputs!$D$34*(1-W70))*60)</f>
        <v>6.1101116290101798</v>
      </c>
      <c r="Y70" s="37">
        <f>MIN(1,MAX(0,(X70-Inputs!$D$36)/(Inputs!$D$37-Inputs!$D$36)))</f>
        <v>7.4007441934011986E-2</v>
      </c>
      <c r="Z70" s="35">
        <f>Inputs!$D$6*F70*Inputs!$D$28*(1-Inputs!$D$38*Y70)</f>
        <v>5487.5301328495489</v>
      </c>
      <c r="AA70" s="39">
        <f>Z70*Inputs!$D$13</f>
        <v>46644.006129221169</v>
      </c>
      <c r="AB70" s="39">
        <f>AA70*(1-Inputs!$D$19)</f>
        <v>27986.4036775327</v>
      </c>
      <c r="AC70" s="39">
        <f t="shared" si="4"/>
        <v>276261.51617239078</v>
      </c>
      <c r="AD70" s="39">
        <f t="shared" si="5"/>
        <v>115416.98851445901</v>
      </c>
      <c r="AE70" s="36">
        <f t="shared" si="6"/>
        <v>1.357959696969697</v>
      </c>
      <c r="AF70" s="35">
        <f>IF(AND(AE70&lt;=Inputs!$D$35,C70&gt;=Inputs!$D$48*(A70+B70+C70),B70*Inputs!$D$22&lt;=Inputs!$D$50*Inputs!$D$8,B70*Inputs!$D$22&gt;=Inputs!$D$49*Inputs!$D$8,A70*Inputs!$D$20&lt;=Inputs!$D$47*Inputs!$D$8,C70&gt;=1),1,0)</f>
        <v>0</v>
      </c>
      <c r="AG70" s="39">
        <f t="shared" si="7"/>
        <v>-1</v>
      </c>
    </row>
    <row r="71" spans="1:33" x14ac:dyDescent="0.25">
      <c r="A71" s="35">
        <v>27</v>
      </c>
      <c r="B71" s="35">
        <v>28</v>
      </c>
      <c r="C71" s="35">
        <f>Inputs!$D$8-A71-Inputs!$D$22*B71</f>
        <v>37</v>
      </c>
      <c r="D71" s="35">
        <f>A71*Inputs!$D$20+C71*Inputs!$D$21+B71*Inputs!$D$22</f>
        <v>120</v>
      </c>
      <c r="E71" s="36">
        <f>MIN(Inputs!$E$15,Inputs!$D$15*(C71/Inputs!$D$43)^Inputs!$D$44)</f>
        <v>0.36556269939951974</v>
      </c>
      <c r="F71" s="36">
        <f>MIN(Inputs!$E$16,Inputs!$D$16*(B71/Inputs!$D$42)^Inputs!$D$44)</f>
        <v>0.44248484624799689</v>
      </c>
      <c r="G71" s="37">
        <f>Inputs!$D$26*(1+Inputs!$D$41*(B71-Inputs!$D$42))</f>
        <v>1.62</v>
      </c>
      <c r="H71" s="35">
        <f>Inputs!$D$6*Inputs!$D$14*G71*Inputs!$D$29</f>
        <v>2035.4166</v>
      </c>
      <c r="I71" s="36">
        <f>H71/(A71*Inputs!$D$32)</f>
        <v>1.3706509090909091</v>
      </c>
      <c r="J71" s="38">
        <f>IF(I71&gt;=1,999,I71/(Inputs!$D$32*(1-I71))*60)</f>
        <v>999</v>
      </c>
      <c r="K71" s="37">
        <f>MIN(1,MAX(0,(J71-Inputs!$D$36)/(Inputs!$D$37-Inputs!$D$36)))</f>
        <v>1</v>
      </c>
      <c r="L71" s="35">
        <f>Inputs!$D$6*Inputs!$D$14*G71*(1-Inputs!$D$38*K71)</f>
        <v>7463.1942000000017</v>
      </c>
      <c r="M71" s="39">
        <f>L71*Inputs!$D$11</f>
        <v>160458.67530000003</v>
      </c>
      <c r="N71" s="39">
        <f>M71*(1-Inputs!$D$17)</f>
        <v>56160.536355000011</v>
      </c>
      <c r="O71" s="35">
        <f>Inputs!$D$6*E71*Inputs!$D$27*Inputs!$D$30</f>
        <v>521.5322184745213</v>
      </c>
      <c r="P71" s="36">
        <f>O71/(C71*Inputs!$D$33)</f>
        <v>0.35238663410440629</v>
      </c>
      <c r="Q71" s="38">
        <f>IF(P71&gt;=1,999,P71/(Inputs!$D$33*(1-P71))*60)</f>
        <v>0.81619679116046151</v>
      </c>
      <c r="R71" s="37">
        <f>MIN(1,MAX(0,(Q71-Inputs!$D$36)/(Inputs!$D$37-Inputs!$D$36)))</f>
        <v>0</v>
      </c>
      <c r="S71" s="35">
        <f>Inputs!$D$6*E71*Inputs!$D$27*(1-Inputs!$D$38*R71)</f>
        <v>4346.101820621011</v>
      </c>
      <c r="T71" s="39">
        <f>S71*Inputs!$D$12</f>
        <v>69537.629129936176</v>
      </c>
      <c r="U71" s="39">
        <f>T71*(1-Inputs!$D$18)</f>
        <v>31291.933108471276</v>
      </c>
      <c r="V71" s="35">
        <f>Inputs!$D$6*F71*Inputs!$D$28*Inputs!$D$31</f>
        <v>746.05069004674272</v>
      </c>
      <c r="W71" s="36">
        <f>V71/(B71*Inputs!$D$34)</f>
        <v>0.76127621433341097</v>
      </c>
      <c r="X71" s="38">
        <f>IF(W71&gt;=1,999,W71/(Inputs!$D$34*(1-W71))*60)</f>
        <v>5.4667570523531852</v>
      </c>
      <c r="Y71" s="37">
        <f>MIN(1,MAX(0,(X71-Inputs!$D$36)/(Inputs!$D$37-Inputs!$D$36)))</f>
        <v>3.111713682354568E-2</v>
      </c>
      <c r="Z71" s="35">
        <f>Inputs!$D$6*F71*Inputs!$D$28*(1-Inputs!$D$38*Y71)</f>
        <v>5658.4919801305723</v>
      </c>
      <c r="AA71" s="39">
        <f>Z71*Inputs!$D$13</f>
        <v>48097.181831109861</v>
      </c>
      <c r="AB71" s="39">
        <f>AA71*(1-Inputs!$D$19)</f>
        <v>28858.309098665915</v>
      </c>
      <c r="AC71" s="39">
        <f t="shared" si="4"/>
        <v>278093.48626104608</v>
      </c>
      <c r="AD71" s="39">
        <f t="shared" si="5"/>
        <v>116310.77856213722</v>
      </c>
      <c r="AE71" s="36">
        <f t="shared" si="6"/>
        <v>1.3706509090909091</v>
      </c>
      <c r="AF71" s="35">
        <f>IF(AND(AE71&lt;=Inputs!$D$35,C71&gt;=Inputs!$D$48*(A71+B71+C71),B71*Inputs!$D$22&lt;=Inputs!$D$50*Inputs!$D$8,B71*Inputs!$D$22&gt;=Inputs!$D$49*Inputs!$D$8,A71*Inputs!$D$20&lt;=Inputs!$D$47*Inputs!$D$8,C71&gt;=1),1,0)</f>
        <v>0</v>
      </c>
      <c r="AG71" s="39">
        <f t="shared" si="7"/>
        <v>-1</v>
      </c>
    </row>
    <row r="72" spans="1:33" x14ac:dyDescent="0.25">
      <c r="A72" s="35">
        <v>27</v>
      </c>
      <c r="B72" s="35">
        <v>29</v>
      </c>
      <c r="C72" s="35">
        <f>Inputs!$D$8-A72-Inputs!$D$22*B72</f>
        <v>35</v>
      </c>
      <c r="D72" s="35">
        <f>A72*Inputs!$D$20+C72*Inputs!$D$21+B72*Inputs!$D$22</f>
        <v>120</v>
      </c>
      <c r="E72" s="36">
        <f>MIN(Inputs!$E$15,Inputs!$D$15*(C72/Inputs!$D$43)^Inputs!$D$44)</f>
        <v>0.3595189375764975</v>
      </c>
      <c r="F72" s="36">
        <f>MIN(Inputs!$E$16,Inputs!$D$16*(B72/Inputs!$D$42)^Inputs!$D$44)</f>
        <v>0.44716766511947192</v>
      </c>
      <c r="G72" s="37">
        <f>Inputs!$D$26*(1+Inputs!$D$41*(B72-Inputs!$D$42))</f>
        <v>1.6350000000000002</v>
      </c>
      <c r="H72" s="35">
        <f>Inputs!$D$6*Inputs!$D$14*G72*Inputs!$D$29</f>
        <v>2054.2630500000005</v>
      </c>
      <c r="I72" s="36">
        <f>H72/(A72*Inputs!$D$32)</f>
        <v>1.3833421212121215</v>
      </c>
      <c r="J72" s="38">
        <f>IF(I72&gt;=1,999,I72/(Inputs!$D$32*(1-I72))*60)</f>
        <v>999</v>
      </c>
      <c r="K72" s="37">
        <f>MIN(1,MAX(0,(J72-Inputs!$D$36)/(Inputs!$D$37-Inputs!$D$36)))</f>
        <v>1</v>
      </c>
      <c r="L72" s="35">
        <f>Inputs!$D$6*Inputs!$D$14*G72*(1-Inputs!$D$38*K72)</f>
        <v>7532.2978500000027</v>
      </c>
      <c r="M72" s="39">
        <f>L72*Inputs!$D$11</f>
        <v>161944.40377500007</v>
      </c>
      <c r="N72" s="39">
        <f>M72*(1-Inputs!$D$17)</f>
        <v>56680.541321250021</v>
      </c>
      <c r="O72" s="35">
        <f>Inputs!$D$6*E72*Inputs!$D$27*Inputs!$D$30</f>
        <v>512.90984940713565</v>
      </c>
      <c r="P72" s="36">
        <f>O72/(C72*Inputs!$D$33)</f>
        <v>0.36636417814795402</v>
      </c>
      <c r="Q72" s="38">
        <f>IF(P72&gt;=1,999,P72/(Inputs!$D$33*(1-P72))*60)</f>
        <v>0.86729040289368331</v>
      </c>
      <c r="R72" s="37">
        <f>MIN(1,MAX(0,(Q72-Inputs!$D$36)/(Inputs!$D$37-Inputs!$D$36)))</f>
        <v>0</v>
      </c>
      <c r="S72" s="35">
        <f>Inputs!$D$6*E72*Inputs!$D$27*(1-Inputs!$D$38*R72)</f>
        <v>4274.2487450594635</v>
      </c>
      <c r="T72" s="39">
        <f>S72*Inputs!$D$12</f>
        <v>68387.979920951417</v>
      </c>
      <c r="U72" s="39">
        <f>T72*(1-Inputs!$D$18)</f>
        <v>30774.590964428135</v>
      </c>
      <c r="V72" s="35">
        <f>Inputs!$D$6*F72*Inputs!$D$28*Inputs!$D$31</f>
        <v>753.9461474393554</v>
      </c>
      <c r="W72" s="36">
        <f>V72/(B72*Inputs!$D$34)</f>
        <v>0.74280408614714821</v>
      </c>
      <c r="X72" s="38">
        <f>IF(W72&gt;=1,999,W72/(Inputs!$D$34*(1-W72))*60)</f>
        <v>4.9510056918075414</v>
      </c>
      <c r="Y72" s="37">
        <f>MIN(1,MAX(0,(X72-Inputs!$D$36)/(Inputs!$D$37-Inputs!$D$36)))</f>
        <v>0</v>
      </c>
      <c r="Z72" s="35">
        <f>Inputs!$D$6*F72*Inputs!$D$28*(1-Inputs!$D$38*Y72)</f>
        <v>5799.5857495335031</v>
      </c>
      <c r="AA72" s="39">
        <f>Z72*Inputs!$D$13</f>
        <v>49296.478871034778</v>
      </c>
      <c r="AB72" s="39">
        <f>AA72*(1-Inputs!$D$19)</f>
        <v>29577.887322620867</v>
      </c>
      <c r="AC72" s="39">
        <f t="shared" si="4"/>
        <v>279628.86256698624</v>
      </c>
      <c r="AD72" s="39">
        <f t="shared" si="5"/>
        <v>117033.01960829902</v>
      </c>
      <c r="AE72" s="36">
        <f t="shared" si="6"/>
        <v>1.3833421212121215</v>
      </c>
      <c r="AF72" s="35">
        <f>IF(AND(AE72&lt;=Inputs!$D$35,C72&gt;=Inputs!$D$48*(A72+B72+C72),B72*Inputs!$D$22&lt;=Inputs!$D$50*Inputs!$D$8,B72*Inputs!$D$22&gt;=Inputs!$D$49*Inputs!$D$8,A72*Inputs!$D$20&lt;=Inputs!$D$47*Inputs!$D$8,C72&gt;=1),1,0)</f>
        <v>0</v>
      </c>
      <c r="AG72" s="39">
        <f t="shared" si="7"/>
        <v>-1</v>
      </c>
    </row>
    <row r="73" spans="1:33" x14ac:dyDescent="0.25">
      <c r="A73" s="35">
        <v>27</v>
      </c>
      <c r="B73" s="35">
        <v>30</v>
      </c>
      <c r="C73" s="35">
        <f>Inputs!$D$8-A73-Inputs!$D$22*B73</f>
        <v>33</v>
      </c>
      <c r="D73" s="35">
        <f>A73*Inputs!$D$20+C73*Inputs!$D$21+B73*Inputs!$D$22</f>
        <v>120</v>
      </c>
      <c r="E73" s="36">
        <f>MIN(Inputs!$E$15,Inputs!$D$15*(C73/Inputs!$D$43)^Inputs!$D$44)</f>
        <v>0.35322833999035824</v>
      </c>
      <c r="F73" s="36">
        <f>MIN(Inputs!$E$16,Inputs!$D$16*(B73/Inputs!$D$42)^Inputs!$D$44)</f>
        <v>0.45173877418274222</v>
      </c>
      <c r="G73" s="37">
        <f>Inputs!$D$26*(1+Inputs!$D$41*(B73-Inputs!$D$42))</f>
        <v>1.6500000000000001</v>
      </c>
      <c r="H73" s="35">
        <f>Inputs!$D$6*Inputs!$D$14*G73*Inputs!$D$29</f>
        <v>2073.1095000000005</v>
      </c>
      <c r="I73" s="36">
        <f>H73/(A73*Inputs!$D$32)</f>
        <v>1.3960333333333337</v>
      </c>
      <c r="J73" s="38">
        <f>IF(I73&gt;=1,999,I73/(Inputs!$D$32*(1-I73))*60)</f>
        <v>999</v>
      </c>
      <c r="K73" s="37">
        <f>MIN(1,MAX(0,(J73-Inputs!$D$36)/(Inputs!$D$37-Inputs!$D$36)))</f>
        <v>1</v>
      </c>
      <c r="L73" s="35">
        <f>Inputs!$D$6*Inputs!$D$14*G73*(1-Inputs!$D$38*K73)</f>
        <v>7601.4015000000027</v>
      </c>
      <c r="M73" s="39">
        <f>L73*Inputs!$D$11</f>
        <v>163430.13225000005</v>
      </c>
      <c r="N73" s="39">
        <f>M73*(1-Inputs!$D$17)</f>
        <v>57200.546287500016</v>
      </c>
      <c r="O73" s="35">
        <f>Inputs!$D$6*E73*Inputs!$D$27*Inputs!$D$30</f>
        <v>503.93533061728459</v>
      </c>
      <c r="P73" s="36">
        <f>O73/(C73*Inputs!$D$33)</f>
        <v>0.38176918986157926</v>
      </c>
      <c r="Q73" s="38">
        <f>IF(P73&gt;=1,999,P73/(Inputs!$D$33*(1-P73))*60)</f>
        <v>0.92627830156855617</v>
      </c>
      <c r="R73" s="37">
        <f>MIN(1,MAX(0,(Q73-Inputs!$D$36)/(Inputs!$D$37-Inputs!$D$36)))</f>
        <v>0</v>
      </c>
      <c r="S73" s="35">
        <f>Inputs!$D$6*E73*Inputs!$D$27*(1-Inputs!$D$38*R73)</f>
        <v>4199.461088477372</v>
      </c>
      <c r="T73" s="39">
        <f>S73*Inputs!$D$12</f>
        <v>67191.377415637951</v>
      </c>
      <c r="U73" s="39">
        <f>T73*(1-Inputs!$D$18)</f>
        <v>30236.119837037077</v>
      </c>
      <c r="V73" s="35">
        <f>Inputs!$D$6*F73*Inputs!$D$28*Inputs!$D$31</f>
        <v>761.65325673326424</v>
      </c>
      <c r="W73" s="36">
        <f>V73/(B73*Inputs!$D$34)</f>
        <v>0.72538405403168027</v>
      </c>
      <c r="X73" s="38">
        <f>IF(W73&gt;=1,999,W73/(Inputs!$D$34*(1-W73))*60)</f>
        <v>4.5281985239874629</v>
      </c>
      <c r="Y73" s="37">
        <f>MIN(1,MAX(0,(X73-Inputs!$D$36)/(Inputs!$D$37-Inputs!$D$36)))</f>
        <v>0</v>
      </c>
      <c r="Z73" s="35">
        <f>Inputs!$D$6*F73*Inputs!$D$28*(1-Inputs!$D$38*Y73)</f>
        <v>5858.8712056404938</v>
      </c>
      <c r="AA73" s="39">
        <f>Z73*Inputs!$D$13</f>
        <v>49800.405247944196</v>
      </c>
      <c r="AB73" s="39">
        <f>AA73*(1-Inputs!$D$19)</f>
        <v>29880.243148766516</v>
      </c>
      <c r="AC73" s="39">
        <f t="shared" si="4"/>
        <v>280421.91491358221</v>
      </c>
      <c r="AD73" s="39">
        <f t="shared" si="5"/>
        <v>117316.90927330361</v>
      </c>
      <c r="AE73" s="36">
        <f t="shared" si="6"/>
        <v>1.3960333333333337</v>
      </c>
      <c r="AF73" s="35">
        <f>IF(AND(AE73&lt;=Inputs!$D$35,C73&gt;=Inputs!$D$48*(A73+B73+C73),B73*Inputs!$D$22&lt;=Inputs!$D$50*Inputs!$D$8,B73*Inputs!$D$22&gt;=Inputs!$D$49*Inputs!$D$8,A73*Inputs!$D$20&lt;=Inputs!$D$47*Inputs!$D$8,C73&gt;=1),1,0)</f>
        <v>0</v>
      </c>
      <c r="AG73" s="39">
        <f t="shared" si="7"/>
        <v>-1</v>
      </c>
    </row>
    <row r="74" spans="1:33" x14ac:dyDescent="0.25">
      <c r="A74" s="35">
        <v>27</v>
      </c>
      <c r="B74" s="35">
        <v>31</v>
      </c>
      <c r="C74" s="35">
        <f>Inputs!$D$8-A74-Inputs!$D$22*B74</f>
        <v>31</v>
      </c>
      <c r="D74" s="35">
        <f>A74*Inputs!$D$20+C74*Inputs!$D$21+B74*Inputs!$D$22</f>
        <v>120</v>
      </c>
      <c r="E74" s="36">
        <f>MIN(Inputs!$E$15,Inputs!$D$15*(C74/Inputs!$D$43)^Inputs!$D$44)</f>
        <v>0.34666489615699225</v>
      </c>
      <c r="F74" s="36">
        <f>MIN(Inputs!$E$16,Inputs!$D$16*(B74/Inputs!$D$42)^Inputs!$D$44)</f>
        <v>0.45620443270573335</v>
      </c>
      <c r="G74" s="37">
        <f>Inputs!$D$26*(1+Inputs!$D$41*(B74-Inputs!$D$42))</f>
        <v>1.665</v>
      </c>
      <c r="H74" s="35">
        <f>Inputs!$D$6*Inputs!$D$14*G74*Inputs!$D$29</f>
        <v>2091.95595</v>
      </c>
      <c r="I74" s="36">
        <f>H74/(A74*Inputs!$D$32)</f>
        <v>1.4087245454545454</v>
      </c>
      <c r="J74" s="38">
        <f>IF(I74&gt;=1,999,I74/(Inputs!$D$32*(1-I74))*60)</f>
        <v>999</v>
      </c>
      <c r="K74" s="37">
        <f>MIN(1,MAX(0,(J74-Inputs!$D$36)/(Inputs!$D$37-Inputs!$D$36)))</f>
        <v>1</v>
      </c>
      <c r="L74" s="35">
        <f>Inputs!$D$6*Inputs!$D$14*G74*(1-Inputs!$D$38*K74)</f>
        <v>7670.5051500000018</v>
      </c>
      <c r="M74" s="39">
        <f>L74*Inputs!$D$11</f>
        <v>164915.86072500004</v>
      </c>
      <c r="N74" s="39">
        <f>M74*(1-Inputs!$D$17)</f>
        <v>57720.551253750011</v>
      </c>
      <c r="O74" s="35">
        <f>Inputs!$D$6*E74*Inputs!$D$27*Inputs!$D$30</f>
        <v>494.57155409174993</v>
      </c>
      <c r="P74" s="36">
        <f>O74/(C74*Inputs!$D$33)</f>
        <v>0.39884802749334675</v>
      </c>
      <c r="Q74" s="38">
        <f>IF(P74&gt;=1,999,P74/(Inputs!$D$33*(1-P74))*60)</f>
        <v>0.9952093124561755</v>
      </c>
      <c r="R74" s="37">
        <f>MIN(1,MAX(0,(Q74-Inputs!$D$36)/(Inputs!$D$37-Inputs!$D$36)))</f>
        <v>0</v>
      </c>
      <c r="S74" s="35">
        <f>Inputs!$D$6*E74*Inputs!$D$27*(1-Inputs!$D$38*R74)</f>
        <v>4121.4296174312494</v>
      </c>
      <c r="T74" s="39">
        <f>S74*Inputs!$D$12</f>
        <v>65942.873878899991</v>
      </c>
      <c r="U74" s="39">
        <f>T74*(1-Inputs!$D$18)</f>
        <v>29674.293245504992</v>
      </c>
      <c r="V74" s="35">
        <f>Inputs!$D$6*F74*Inputs!$D$28*Inputs!$D$31</f>
        <v>769.18257135463637</v>
      </c>
      <c r="W74" s="36">
        <f>V74/(B74*Inputs!$D$34)</f>
        <v>0.70892402889828232</v>
      </c>
      <c r="X74" s="38">
        <f>IF(W74&gt;=1,999,W74/(Inputs!$D$34*(1-W74))*60)</f>
        <v>4.1751929252501148</v>
      </c>
      <c r="Y74" s="37">
        <f>MIN(1,MAX(0,(X74-Inputs!$D$36)/(Inputs!$D$37-Inputs!$D$36)))</f>
        <v>0</v>
      </c>
      <c r="Z74" s="35">
        <f>Inputs!$D$6*F74*Inputs!$D$28*(1-Inputs!$D$38*Y74)</f>
        <v>5916.7890104202797</v>
      </c>
      <c r="AA74" s="39">
        <f>Z74*Inputs!$D$13</f>
        <v>50292.706588572379</v>
      </c>
      <c r="AB74" s="39">
        <f>AA74*(1-Inputs!$D$19)</f>
        <v>30175.623953143426</v>
      </c>
      <c r="AC74" s="39">
        <f t="shared" si="4"/>
        <v>281151.44119247241</v>
      </c>
      <c r="AD74" s="39">
        <f t="shared" si="5"/>
        <v>117570.46845239843</v>
      </c>
      <c r="AE74" s="36">
        <f t="shared" si="6"/>
        <v>1.4087245454545454</v>
      </c>
      <c r="AF74" s="35">
        <f>IF(AND(AE74&lt;=Inputs!$D$35,C74&gt;=Inputs!$D$48*(A74+B74+C74),B74*Inputs!$D$22&lt;=Inputs!$D$50*Inputs!$D$8,B74*Inputs!$D$22&gt;=Inputs!$D$49*Inputs!$D$8,A74*Inputs!$D$20&lt;=Inputs!$D$47*Inputs!$D$8,C74&gt;=1),1,0)</f>
        <v>0</v>
      </c>
      <c r="AG74" s="39">
        <f t="shared" si="7"/>
        <v>-1</v>
      </c>
    </row>
    <row r="75" spans="1:33" x14ac:dyDescent="0.25">
      <c r="A75" s="35">
        <v>27</v>
      </c>
      <c r="B75" s="35">
        <v>32</v>
      </c>
      <c r="C75" s="35">
        <f>Inputs!$D$8-A75-Inputs!$D$22*B75</f>
        <v>29</v>
      </c>
      <c r="D75" s="35">
        <f>A75*Inputs!$D$20+C75*Inputs!$D$21+B75*Inputs!$D$22</f>
        <v>120</v>
      </c>
      <c r="E75" s="36">
        <f>MIN(Inputs!$E$15,Inputs!$D$15*(C75/Inputs!$D$43)^Inputs!$D$44)</f>
        <v>0.33979795258455459</v>
      </c>
      <c r="F75" s="36">
        <f>MIN(Inputs!$E$16,Inputs!$D$16*(B75/Inputs!$D$42)^Inputs!$D$44)</f>
        <v>0.46057036065052986</v>
      </c>
      <c r="G75" s="37">
        <f>Inputs!$D$26*(1+Inputs!$D$41*(B75-Inputs!$D$42))</f>
        <v>1.6800000000000002</v>
      </c>
      <c r="H75" s="35">
        <f>Inputs!$D$6*Inputs!$D$14*G75*Inputs!$D$29</f>
        <v>2110.8024000000005</v>
      </c>
      <c r="I75" s="36">
        <f>H75/(A75*Inputs!$D$32)</f>
        <v>1.421415757575758</v>
      </c>
      <c r="J75" s="38">
        <f>IF(I75&gt;=1,999,I75/(Inputs!$D$32*(1-I75))*60)</f>
        <v>999</v>
      </c>
      <c r="K75" s="37">
        <f>MIN(1,MAX(0,(J75-Inputs!$D$36)/(Inputs!$D$37-Inputs!$D$36)))</f>
        <v>1</v>
      </c>
      <c r="L75" s="35">
        <f>Inputs!$D$6*Inputs!$D$14*G75*(1-Inputs!$D$38*K75)</f>
        <v>7739.6088000000027</v>
      </c>
      <c r="M75" s="39">
        <f>L75*Inputs!$D$11</f>
        <v>166401.58920000005</v>
      </c>
      <c r="N75" s="39">
        <f>M75*(1-Inputs!$D$17)</f>
        <v>58240.556220000013</v>
      </c>
      <c r="O75" s="35">
        <f>Inputs!$D$6*E75*Inputs!$D$27*Inputs!$D$30</f>
        <v>484.77478784247035</v>
      </c>
      <c r="P75" s="36">
        <f>O75/(C75*Inputs!$D$33)</f>
        <v>0.41790929986419856</v>
      </c>
      <c r="Q75" s="38">
        <f>IF(P75&gt;=1,999,P75/(Inputs!$D$33*(1-P75))*60)</f>
        <v>1.0769179951681944</v>
      </c>
      <c r="R75" s="37">
        <f>MIN(1,MAX(0,(Q75-Inputs!$D$36)/(Inputs!$D$37-Inputs!$D$36)))</f>
        <v>0</v>
      </c>
      <c r="S75" s="35">
        <f>Inputs!$D$6*E75*Inputs!$D$27*(1-Inputs!$D$38*R75)</f>
        <v>4039.7898986872528</v>
      </c>
      <c r="T75" s="39">
        <f>S75*Inputs!$D$12</f>
        <v>64636.638378996046</v>
      </c>
      <c r="U75" s="39">
        <f>T75*(1-Inputs!$D$18)</f>
        <v>29086.487270548219</v>
      </c>
      <c r="V75" s="35">
        <f>Inputs!$D$6*F75*Inputs!$D$28*Inputs!$D$31</f>
        <v>776.54373543410452</v>
      </c>
      <c r="W75" s="36">
        <f>V75/(B75*Inputs!$D$34)</f>
        <v>0.69334262092330756</v>
      </c>
      <c r="X75" s="38">
        <f>IF(W75&gt;=1,999,W75/(Inputs!$D$34*(1-W75))*60)</f>
        <v>3.8759457011369869</v>
      </c>
      <c r="Y75" s="37">
        <f>MIN(1,MAX(0,(X75-Inputs!$D$36)/(Inputs!$D$37-Inputs!$D$36)))</f>
        <v>0</v>
      </c>
      <c r="Z75" s="35">
        <f>Inputs!$D$6*F75*Inputs!$D$28*(1-Inputs!$D$38*Y75)</f>
        <v>5973.4133494931111</v>
      </c>
      <c r="AA75" s="39">
        <f>Z75*Inputs!$D$13</f>
        <v>50774.013470691447</v>
      </c>
      <c r="AB75" s="39">
        <f>AA75*(1-Inputs!$D$19)</f>
        <v>30464.408082414866</v>
      </c>
      <c r="AC75" s="39">
        <f t="shared" si="4"/>
        <v>281812.24104968755</v>
      </c>
      <c r="AD75" s="39">
        <f t="shared" si="5"/>
        <v>117791.45157296311</v>
      </c>
      <c r="AE75" s="36">
        <f t="shared" si="6"/>
        <v>1.421415757575758</v>
      </c>
      <c r="AF75" s="35">
        <f>IF(AND(AE75&lt;=Inputs!$D$35,C75&gt;=Inputs!$D$48*(A75+B75+C75),B75*Inputs!$D$22&lt;=Inputs!$D$50*Inputs!$D$8,B75*Inputs!$D$22&gt;=Inputs!$D$49*Inputs!$D$8,A75*Inputs!$D$20&lt;=Inputs!$D$47*Inputs!$D$8,C75&gt;=1),1,0)</f>
        <v>0</v>
      </c>
      <c r="AG75" s="39">
        <f t="shared" si="7"/>
        <v>-1</v>
      </c>
    </row>
    <row r="76" spans="1:33" x14ac:dyDescent="0.25">
      <c r="A76" s="35">
        <v>27</v>
      </c>
      <c r="B76" s="35">
        <v>33</v>
      </c>
      <c r="C76" s="35">
        <f>Inputs!$D$8-A76-Inputs!$D$22*B76</f>
        <v>27</v>
      </c>
      <c r="D76" s="35">
        <f>A76*Inputs!$D$20+C76*Inputs!$D$21+B76*Inputs!$D$22</f>
        <v>120</v>
      </c>
      <c r="E76" s="36">
        <f>MIN(Inputs!$E$15,Inputs!$D$15*(C76/Inputs!$D$43)^Inputs!$D$44)</f>
        <v>0.33259099594532748</v>
      </c>
      <c r="F76" s="36">
        <f>MIN(Inputs!$E$16,Inputs!$D$16*(B76/Inputs!$D$42)^Inputs!$D$44)</f>
        <v>0.46484180038786721</v>
      </c>
      <c r="G76" s="37">
        <f>Inputs!$D$26*(1+Inputs!$D$41*(B76-Inputs!$D$42))</f>
        <v>1.6949999999999998</v>
      </c>
      <c r="H76" s="35">
        <f>Inputs!$D$6*Inputs!$D$14*G76*Inputs!$D$29</f>
        <v>2129.64885</v>
      </c>
      <c r="I76" s="36">
        <f>H76/(A76*Inputs!$D$32)</f>
        <v>1.4341069696969697</v>
      </c>
      <c r="J76" s="38">
        <f>IF(I76&gt;=1,999,I76/(Inputs!$D$32*(1-I76))*60)</f>
        <v>999</v>
      </c>
      <c r="K76" s="37">
        <f>MIN(1,MAX(0,(J76-Inputs!$D$36)/(Inputs!$D$37-Inputs!$D$36)))</f>
        <v>1</v>
      </c>
      <c r="L76" s="35">
        <f>Inputs!$D$6*Inputs!$D$14*G76*(1-Inputs!$D$38*K76)</f>
        <v>7808.71245</v>
      </c>
      <c r="M76" s="39">
        <f>L76*Inputs!$D$11</f>
        <v>167887.317675</v>
      </c>
      <c r="N76" s="39">
        <f>M76*(1-Inputs!$D$17)</f>
        <v>58760.561186249994</v>
      </c>
      <c r="O76" s="35">
        <f>Inputs!$D$6*E76*Inputs!$D$27*Inputs!$D$30</f>
        <v>474.49293991137716</v>
      </c>
      <c r="P76" s="36">
        <f>O76/(C76*Inputs!$D$33)</f>
        <v>0.43934531473275662</v>
      </c>
      <c r="Q76" s="38">
        <f>IF(P76&gt;=1,999,P76/(Inputs!$D$33*(1-P76))*60)</f>
        <v>1.1754436187133714</v>
      </c>
      <c r="R76" s="37">
        <f>MIN(1,MAX(0,(Q76-Inputs!$D$36)/(Inputs!$D$37-Inputs!$D$36)))</f>
        <v>0</v>
      </c>
      <c r="S76" s="35">
        <f>Inputs!$D$6*E76*Inputs!$D$27*(1-Inputs!$D$38*R76)</f>
        <v>3954.1078325948097</v>
      </c>
      <c r="T76" s="39">
        <f>S76*Inputs!$D$12</f>
        <v>63265.725321516955</v>
      </c>
      <c r="U76" s="39">
        <f>T76*(1-Inputs!$D$18)</f>
        <v>28469.576394682626</v>
      </c>
      <c r="V76" s="35">
        <f>Inputs!$D$6*F76*Inputs!$D$28*Inputs!$D$31</f>
        <v>783.74558786036266</v>
      </c>
      <c r="W76" s="36">
        <f>V76/(B76*Inputs!$D$34)</f>
        <v>0.67856760853711051</v>
      </c>
      <c r="X76" s="38">
        <f>IF(W76&gt;=1,999,W76/(Inputs!$D$34*(1-W76))*60)</f>
        <v>3.6189842355277744</v>
      </c>
      <c r="Y76" s="37">
        <f>MIN(1,MAX(0,(X76-Inputs!$D$36)/(Inputs!$D$37-Inputs!$D$36)))</f>
        <v>0</v>
      </c>
      <c r="Z76" s="35">
        <f>Inputs!$D$6*F76*Inputs!$D$28*(1-Inputs!$D$38*Y76)</f>
        <v>6028.812214310482</v>
      </c>
      <c r="AA76" s="39">
        <f>Z76*Inputs!$D$13</f>
        <v>51244.903821639098</v>
      </c>
      <c r="AB76" s="39">
        <f>AA76*(1-Inputs!$D$19)</f>
        <v>30746.942292983458</v>
      </c>
      <c r="AC76" s="39">
        <f t="shared" si="4"/>
        <v>282397.94681815605</v>
      </c>
      <c r="AD76" s="39">
        <f t="shared" si="5"/>
        <v>117977.07987391607</v>
      </c>
      <c r="AE76" s="36">
        <f t="shared" si="6"/>
        <v>1.4341069696969697</v>
      </c>
      <c r="AF76" s="35">
        <f>IF(AND(AE76&lt;=Inputs!$D$35,C76&gt;=Inputs!$D$48*(A76+B76+C76),B76*Inputs!$D$22&lt;=Inputs!$D$50*Inputs!$D$8,B76*Inputs!$D$22&gt;=Inputs!$D$49*Inputs!$D$8,A76*Inputs!$D$20&lt;=Inputs!$D$47*Inputs!$D$8,C76&gt;=1),1,0)</f>
        <v>0</v>
      </c>
      <c r="AG76" s="39">
        <f t="shared" si="7"/>
        <v>-1</v>
      </c>
    </row>
    <row r="77" spans="1:33" x14ac:dyDescent="0.25">
      <c r="A77" s="35">
        <v>28</v>
      </c>
      <c r="B77" s="35">
        <v>10</v>
      </c>
      <c r="C77" s="35">
        <f>Inputs!$D$8-A77-Inputs!$D$22*B77</f>
        <v>72</v>
      </c>
      <c r="D77" s="35">
        <f>A77*Inputs!$D$20+C77*Inputs!$D$21+B77*Inputs!$D$22</f>
        <v>120</v>
      </c>
      <c r="E77" s="36">
        <f>MIN(Inputs!$E$15,Inputs!$D$15*(C77/Inputs!$D$43)^Inputs!$D$44)</f>
        <v>0.4</v>
      </c>
      <c r="F77" s="36">
        <f>MIN(Inputs!$E$16,Inputs!$D$16*(B77/Inputs!$D$42)^Inputs!$D$44)</f>
        <v>0.32490095854249423</v>
      </c>
      <c r="G77" s="37">
        <f>Inputs!$D$26*(1+Inputs!$D$41*(B77-Inputs!$D$42))</f>
        <v>1.35</v>
      </c>
      <c r="H77" s="35">
        <f>Inputs!$D$6*Inputs!$D$14*G77*Inputs!$D$29</f>
        <v>1696.1805000000004</v>
      </c>
      <c r="I77" s="36">
        <f>H77/(A77*Inputs!$D$32)</f>
        <v>1.1014159090909093</v>
      </c>
      <c r="J77" s="38">
        <f>IF(I77&gt;=1,999,I77/(Inputs!$D$32*(1-I77))*60)</f>
        <v>999</v>
      </c>
      <c r="K77" s="37">
        <f>MIN(1,MAX(0,(J77-Inputs!$D$36)/(Inputs!$D$37-Inputs!$D$36)))</f>
        <v>1</v>
      </c>
      <c r="L77" s="35">
        <f>Inputs!$D$6*Inputs!$D$14*G77*(1-Inputs!$D$38*K77)</f>
        <v>6219.3285000000024</v>
      </c>
      <c r="M77" s="39">
        <f>L77*Inputs!$D$11</f>
        <v>133715.56275000004</v>
      </c>
      <c r="N77" s="39">
        <f>M77*(1-Inputs!$D$17)</f>
        <v>46800.446962500013</v>
      </c>
      <c r="O77" s="35">
        <f>Inputs!$D$6*E77*Inputs!$D$27*Inputs!$D$30</f>
        <v>570.66240000000005</v>
      </c>
      <c r="P77" s="36">
        <f>O77/(C77*Inputs!$D$33)</f>
        <v>0.19814666666666669</v>
      </c>
      <c r="Q77" s="38">
        <f>IF(P77&gt;=1,999,P77/(Inputs!$D$33*(1-P77))*60)</f>
        <v>0.37066628976205129</v>
      </c>
      <c r="R77" s="37">
        <f>MIN(1,MAX(0,(Q77-Inputs!$D$36)/(Inputs!$D$37-Inputs!$D$36)))</f>
        <v>0</v>
      </c>
      <c r="S77" s="35">
        <f>Inputs!$D$6*E77*Inputs!$D$27*(1-Inputs!$D$38*R77)</f>
        <v>4755.5200000000004</v>
      </c>
      <c r="T77" s="39">
        <f>S77*Inputs!$D$12</f>
        <v>76088.320000000007</v>
      </c>
      <c r="U77" s="39">
        <f>T77*(1-Inputs!$D$18)</f>
        <v>34239.743999999999</v>
      </c>
      <c r="V77" s="35">
        <f>Inputs!$D$6*F77*Inputs!$D$28*Inputs!$D$31</f>
        <v>547.7986113486553</v>
      </c>
      <c r="W77" s="36">
        <f>V77/(B77*Inputs!$D$34)</f>
        <v>1.5651388895675866</v>
      </c>
      <c r="X77" s="38">
        <f>IF(W77&gt;=1,999,W77/(Inputs!$D$34*(1-W77))*60)</f>
        <v>999</v>
      </c>
      <c r="Y77" s="37">
        <f>MIN(1,MAX(0,(X77-Inputs!$D$36)/(Inputs!$D$37-Inputs!$D$36)))</f>
        <v>1</v>
      </c>
      <c r="Z77" s="35">
        <f>Inputs!$D$6*F77*Inputs!$D$28*(1-Inputs!$D$38*Y77)</f>
        <v>2317.6095095520031</v>
      </c>
      <c r="AA77" s="39">
        <f>Z77*Inputs!$D$13</f>
        <v>19699.680831192025</v>
      </c>
      <c r="AB77" s="39">
        <f>AA77*(1-Inputs!$D$19)</f>
        <v>11819.808498715214</v>
      </c>
      <c r="AC77" s="39">
        <f t="shared" si="4"/>
        <v>229503.56358119208</v>
      </c>
      <c r="AD77" s="39">
        <f t="shared" si="5"/>
        <v>92859.999461215222</v>
      </c>
      <c r="AE77" s="36">
        <f t="shared" si="6"/>
        <v>1.5651388895675866</v>
      </c>
      <c r="AF77" s="35">
        <f>IF(AND(AE77&lt;=Inputs!$D$35,C77&gt;=Inputs!$D$48*(A77+B77+C77),B77*Inputs!$D$22&lt;=Inputs!$D$50*Inputs!$D$8,B77*Inputs!$D$22&gt;=Inputs!$D$49*Inputs!$D$8,A77*Inputs!$D$20&lt;=Inputs!$D$47*Inputs!$D$8,C77&gt;=1),1,0)</f>
        <v>0</v>
      </c>
      <c r="AG77" s="39">
        <f t="shared" si="7"/>
        <v>-1</v>
      </c>
    </row>
    <row r="78" spans="1:33" x14ac:dyDescent="0.25">
      <c r="A78" s="35">
        <v>28</v>
      </c>
      <c r="B78" s="35">
        <v>11</v>
      </c>
      <c r="C78" s="35">
        <f>Inputs!$D$8-A78-Inputs!$D$22*B78</f>
        <v>70</v>
      </c>
      <c r="D78" s="35">
        <f>A78*Inputs!$D$20+C78*Inputs!$D$21+B78*Inputs!$D$22</f>
        <v>120</v>
      </c>
      <c r="E78" s="36">
        <f>MIN(Inputs!$E$15,Inputs!$D$15*(C78/Inputs!$D$43)^Inputs!$D$44)</f>
        <v>0.4</v>
      </c>
      <c r="F78" s="36">
        <f>MIN(Inputs!$E$16,Inputs!$D$16*(B78/Inputs!$D$42)^Inputs!$D$44)</f>
        <v>0.33432495758166098</v>
      </c>
      <c r="G78" s="37">
        <f>Inputs!$D$26*(1+Inputs!$D$41*(B78-Inputs!$D$42))</f>
        <v>1.365</v>
      </c>
      <c r="H78" s="35">
        <f>Inputs!$D$6*Inputs!$D$14*G78*Inputs!$D$29</f>
        <v>1715.0269500000002</v>
      </c>
      <c r="I78" s="36">
        <f>H78/(A78*Inputs!$D$32)</f>
        <v>1.1136538636363638</v>
      </c>
      <c r="J78" s="38">
        <f>IF(I78&gt;=1,999,I78/(Inputs!$D$32*(1-I78))*60)</f>
        <v>999</v>
      </c>
      <c r="K78" s="37">
        <f>MIN(1,MAX(0,(J78-Inputs!$D$36)/(Inputs!$D$37-Inputs!$D$36)))</f>
        <v>1</v>
      </c>
      <c r="L78" s="35">
        <f>Inputs!$D$6*Inputs!$D$14*G78*(1-Inputs!$D$38*K78)</f>
        <v>6288.4321500000005</v>
      </c>
      <c r="M78" s="39">
        <f>L78*Inputs!$D$11</f>
        <v>135201.29122500002</v>
      </c>
      <c r="N78" s="39">
        <f>M78*(1-Inputs!$D$17)</f>
        <v>47320.451928750008</v>
      </c>
      <c r="O78" s="35">
        <f>Inputs!$D$6*E78*Inputs!$D$27*Inputs!$D$30</f>
        <v>570.66240000000005</v>
      </c>
      <c r="P78" s="36">
        <f>O78/(C78*Inputs!$D$33)</f>
        <v>0.20380800000000002</v>
      </c>
      <c r="Q78" s="38">
        <f>IF(P78&gt;=1,999,P78/(Inputs!$D$33*(1-P78))*60)</f>
        <v>0.3839676861862466</v>
      </c>
      <c r="R78" s="37">
        <f>MIN(1,MAX(0,(Q78-Inputs!$D$36)/(Inputs!$D$37-Inputs!$D$36)))</f>
        <v>0</v>
      </c>
      <c r="S78" s="35">
        <f>Inputs!$D$6*E78*Inputs!$D$27*(1-Inputs!$D$38*R78)</f>
        <v>4755.5200000000004</v>
      </c>
      <c r="T78" s="39">
        <f>S78*Inputs!$D$12</f>
        <v>76088.320000000007</v>
      </c>
      <c r="U78" s="39">
        <f>T78*(1-Inputs!$D$18)</f>
        <v>34239.743999999999</v>
      </c>
      <c r="V78" s="35">
        <f>Inputs!$D$6*F78*Inputs!$D$28*Inputs!$D$31</f>
        <v>563.68792608064427</v>
      </c>
      <c r="W78" s="36">
        <f>V78/(B78*Inputs!$D$34)</f>
        <v>1.4641244833263487</v>
      </c>
      <c r="X78" s="38">
        <f>IF(W78&gt;=1,999,W78/(Inputs!$D$34*(1-W78))*60)</f>
        <v>999</v>
      </c>
      <c r="Y78" s="37">
        <f>MIN(1,MAX(0,(X78-Inputs!$D$36)/(Inputs!$D$37-Inputs!$D$36)))</f>
        <v>1</v>
      </c>
      <c r="Z78" s="35">
        <f>Inputs!$D$6*F78*Inputs!$D$28*(1-Inputs!$D$38*Y78)</f>
        <v>2384.8335334181106</v>
      </c>
      <c r="AA78" s="39">
        <f>Z78*Inputs!$D$13</f>
        <v>20271.08503405394</v>
      </c>
      <c r="AB78" s="39">
        <f>AA78*(1-Inputs!$D$19)</f>
        <v>12162.651020432364</v>
      </c>
      <c r="AC78" s="39">
        <f t="shared" si="4"/>
        <v>231560.69625905398</v>
      </c>
      <c r="AD78" s="39">
        <f t="shared" si="5"/>
        <v>93722.846949182363</v>
      </c>
      <c r="AE78" s="36">
        <f t="shared" si="6"/>
        <v>1.4641244833263487</v>
      </c>
      <c r="AF78" s="35">
        <f>IF(AND(AE78&lt;=Inputs!$D$35,C78&gt;=Inputs!$D$48*(A78+B78+C78),B78*Inputs!$D$22&lt;=Inputs!$D$50*Inputs!$D$8,B78*Inputs!$D$22&gt;=Inputs!$D$49*Inputs!$D$8,A78*Inputs!$D$20&lt;=Inputs!$D$47*Inputs!$D$8,C78&gt;=1),1,0)</f>
        <v>0</v>
      </c>
      <c r="AG78" s="39">
        <f t="shared" si="7"/>
        <v>-1</v>
      </c>
    </row>
    <row r="79" spans="1:33" x14ac:dyDescent="0.25">
      <c r="A79" s="35">
        <v>28</v>
      </c>
      <c r="B79" s="35">
        <v>12</v>
      </c>
      <c r="C79" s="35">
        <f>Inputs!$D$8-A79-Inputs!$D$22*B79</f>
        <v>68</v>
      </c>
      <c r="D79" s="35">
        <f>A79*Inputs!$D$20+C79*Inputs!$D$21+B79*Inputs!$D$22</f>
        <v>120</v>
      </c>
      <c r="E79" s="36">
        <f>MIN(Inputs!$E$15,Inputs!$D$15*(C79/Inputs!$D$43)^Inputs!$D$44)</f>
        <v>0.4</v>
      </c>
      <c r="F79" s="36">
        <f>MIN(Inputs!$E$16,Inputs!$D$16*(B79/Inputs!$D$42)^Inputs!$D$44)</f>
        <v>0.34316688017763797</v>
      </c>
      <c r="G79" s="37">
        <f>Inputs!$D$26*(1+Inputs!$D$41*(B79-Inputs!$D$42))</f>
        <v>1.3800000000000001</v>
      </c>
      <c r="H79" s="35">
        <f>Inputs!$D$6*Inputs!$D$14*G79*Inputs!$D$29</f>
        <v>1733.8734000000004</v>
      </c>
      <c r="I79" s="36">
        <f>H79/(A79*Inputs!$D$32)</f>
        <v>1.1258918181818185</v>
      </c>
      <c r="J79" s="38">
        <f>IF(I79&gt;=1,999,I79/(Inputs!$D$32*(1-I79))*60)</f>
        <v>999</v>
      </c>
      <c r="K79" s="37">
        <f>MIN(1,MAX(0,(J79-Inputs!$D$36)/(Inputs!$D$37-Inputs!$D$36)))</f>
        <v>1</v>
      </c>
      <c r="L79" s="35">
        <f>Inputs!$D$6*Inputs!$D$14*G79*(1-Inputs!$D$38*K79)</f>
        <v>6357.5358000000024</v>
      </c>
      <c r="M79" s="39">
        <f>L79*Inputs!$D$11</f>
        <v>136687.01970000006</v>
      </c>
      <c r="N79" s="39">
        <f>M79*(1-Inputs!$D$17)</f>
        <v>47840.456895000018</v>
      </c>
      <c r="O79" s="35">
        <f>Inputs!$D$6*E79*Inputs!$D$27*Inputs!$D$30</f>
        <v>570.66240000000005</v>
      </c>
      <c r="P79" s="36">
        <f>O79/(C79*Inputs!$D$33)</f>
        <v>0.2098023529411765</v>
      </c>
      <c r="Q79" s="38">
        <f>IF(P79&gt;=1,999,P79/(Inputs!$D$33*(1-P79))*60)</f>
        <v>0.3982592590386918</v>
      </c>
      <c r="R79" s="37">
        <f>MIN(1,MAX(0,(Q79-Inputs!$D$36)/(Inputs!$D$37-Inputs!$D$36)))</f>
        <v>0</v>
      </c>
      <c r="S79" s="35">
        <f>Inputs!$D$6*E79*Inputs!$D$27*(1-Inputs!$D$38*R79)</f>
        <v>4755.5200000000004</v>
      </c>
      <c r="T79" s="39">
        <f>S79*Inputs!$D$12</f>
        <v>76088.320000000007</v>
      </c>
      <c r="U79" s="39">
        <f>T79*(1-Inputs!$D$18)</f>
        <v>34239.743999999999</v>
      </c>
      <c r="V79" s="35">
        <f>Inputs!$D$6*F79*Inputs!$D$28*Inputs!$D$31</f>
        <v>578.5958319897461</v>
      </c>
      <c r="W79" s="36">
        <f>V79/(B79*Inputs!$D$34)</f>
        <v>1.3776091237851098</v>
      </c>
      <c r="X79" s="38">
        <f>IF(W79&gt;=1,999,W79/(Inputs!$D$34*(1-W79))*60)</f>
        <v>999</v>
      </c>
      <c r="Y79" s="37">
        <f>MIN(1,MAX(0,(X79-Inputs!$D$36)/(Inputs!$D$37-Inputs!$D$36)))</f>
        <v>1</v>
      </c>
      <c r="Z79" s="35">
        <f>Inputs!$D$6*F79*Inputs!$D$28*(1-Inputs!$D$38*Y79)</f>
        <v>2447.9054430335414</v>
      </c>
      <c r="AA79" s="39">
        <f>Z79*Inputs!$D$13</f>
        <v>20807.1962657851</v>
      </c>
      <c r="AB79" s="39">
        <f>AA79*(1-Inputs!$D$19)</f>
        <v>12484.31775947106</v>
      </c>
      <c r="AC79" s="39">
        <f t="shared" si="4"/>
        <v>233582.53596578518</v>
      </c>
      <c r="AD79" s="39">
        <f t="shared" si="5"/>
        <v>94564.518654471074</v>
      </c>
      <c r="AE79" s="36">
        <f t="shared" si="6"/>
        <v>1.3776091237851098</v>
      </c>
      <c r="AF79" s="35">
        <f>IF(AND(AE79&lt;=Inputs!$D$35,C79&gt;=Inputs!$D$48*(A79+B79+C79),B79*Inputs!$D$22&lt;=Inputs!$D$50*Inputs!$D$8,B79*Inputs!$D$22&gt;=Inputs!$D$49*Inputs!$D$8,A79*Inputs!$D$20&lt;=Inputs!$D$47*Inputs!$D$8,C79&gt;=1),1,0)</f>
        <v>0</v>
      </c>
      <c r="AG79" s="39">
        <f t="shared" si="7"/>
        <v>-1</v>
      </c>
    </row>
    <row r="80" spans="1:33" x14ac:dyDescent="0.25">
      <c r="A80" s="35">
        <v>28</v>
      </c>
      <c r="B80" s="35">
        <v>13</v>
      </c>
      <c r="C80" s="35">
        <f>Inputs!$D$8-A80-Inputs!$D$22*B80</f>
        <v>66</v>
      </c>
      <c r="D80" s="35">
        <f>A80*Inputs!$D$20+C80*Inputs!$D$21+B80*Inputs!$D$22</f>
        <v>120</v>
      </c>
      <c r="E80" s="36">
        <f>MIN(Inputs!$E$15,Inputs!$D$15*(C80/Inputs!$D$43)^Inputs!$D$44)</f>
        <v>0.4</v>
      </c>
      <c r="F80" s="36">
        <f>MIN(Inputs!$E$16,Inputs!$D$16*(B80/Inputs!$D$42)^Inputs!$D$44)</f>
        <v>0.35150701637190523</v>
      </c>
      <c r="G80" s="37">
        <f>Inputs!$D$26*(1+Inputs!$D$41*(B80-Inputs!$D$42))</f>
        <v>1.395</v>
      </c>
      <c r="H80" s="35">
        <f>Inputs!$D$6*Inputs!$D$14*G80*Inputs!$D$29</f>
        <v>1752.7198500000002</v>
      </c>
      <c r="I80" s="36">
        <f>H80/(A80*Inputs!$D$32)</f>
        <v>1.1381297727272728</v>
      </c>
      <c r="J80" s="38">
        <f>IF(I80&gt;=1,999,I80/(Inputs!$D$32*(1-I80))*60)</f>
        <v>999</v>
      </c>
      <c r="K80" s="37">
        <f>MIN(1,MAX(0,(J80-Inputs!$D$36)/(Inputs!$D$37-Inputs!$D$36)))</f>
        <v>1</v>
      </c>
      <c r="L80" s="35">
        <f>Inputs!$D$6*Inputs!$D$14*G80*(1-Inputs!$D$38*K80)</f>
        <v>6426.6394500000006</v>
      </c>
      <c r="M80" s="39">
        <f>L80*Inputs!$D$11</f>
        <v>138172.74817500002</v>
      </c>
      <c r="N80" s="39">
        <f>M80*(1-Inputs!$D$17)</f>
        <v>48360.461861250005</v>
      </c>
      <c r="O80" s="35">
        <f>Inputs!$D$6*E80*Inputs!$D$27*Inputs!$D$30</f>
        <v>570.66240000000005</v>
      </c>
      <c r="P80" s="36">
        <f>O80/(C80*Inputs!$D$33)</f>
        <v>0.21616000000000002</v>
      </c>
      <c r="Q80" s="38">
        <f>IF(P80&gt;=1,999,P80/(Inputs!$D$33*(1-P80))*60)</f>
        <v>0.41365584813227191</v>
      </c>
      <c r="R80" s="37">
        <f>MIN(1,MAX(0,(Q80-Inputs!$D$36)/(Inputs!$D$37-Inputs!$D$36)))</f>
        <v>0</v>
      </c>
      <c r="S80" s="35">
        <f>Inputs!$D$6*E80*Inputs!$D$27*(1-Inputs!$D$38*R80)</f>
        <v>4755.5200000000004</v>
      </c>
      <c r="T80" s="39">
        <f>S80*Inputs!$D$12</f>
        <v>76088.320000000007</v>
      </c>
      <c r="U80" s="39">
        <f>T80*(1-Inputs!$D$18)</f>
        <v>34239.743999999999</v>
      </c>
      <c r="V80" s="35">
        <f>Inputs!$D$6*F80*Inputs!$D$28*Inputs!$D$31</f>
        <v>592.65770193981814</v>
      </c>
      <c r="W80" s="36">
        <f>V80/(B80*Inputs!$D$34)</f>
        <v>1.3025443998677322</v>
      </c>
      <c r="X80" s="38">
        <f>IF(W80&gt;=1,999,W80/(Inputs!$D$34*(1-W80))*60)</f>
        <v>999</v>
      </c>
      <c r="Y80" s="37">
        <f>MIN(1,MAX(0,(X80-Inputs!$D$36)/(Inputs!$D$37-Inputs!$D$36)))</f>
        <v>1</v>
      </c>
      <c r="Z80" s="35">
        <f>Inputs!$D$6*F80*Inputs!$D$28*(1-Inputs!$D$38*Y80)</f>
        <v>2507.3979697453847</v>
      </c>
      <c r="AA80" s="39">
        <f>Z80*Inputs!$D$13</f>
        <v>21312.882742835769</v>
      </c>
      <c r="AB80" s="39">
        <f>AA80*(1-Inputs!$D$19)</f>
        <v>12787.729645701462</v>
      </c>
      <c r="AC80" s="39">
        <f t="shared" si="4"/>
        <v>235573.95091783578</v>
      </c>
      <c r="AD80" s="39">
        <f t="shared" si="5"/>
        <v>95387.935506951457</v>
      </c>
      <c r="AE80" s="36">
        <f t="shared" si="6"/>
        <v>1.3025443998677322</v>
      </c>
      <c r="AF80" s="35">
        <f>IF(AND(AE80&lt;=Inputs!$D$35,C80&gt;=Inputs!$D$48*(A80+B80+C80),B80*Inputs!$D$22&lt;=Inputs!$D$50*Inputs!$D$8,B80*Inputs!$D$22&gt;=Inputs!$D$49*Inputs!$D$8,A80*Inputs!$D$20&lt;=Inputs!$D$47*Inputs!$D$8,C80&gt;=1),1,0)</f>
        <v>0</v>
      </c>
      <c r="AG80" s="39">
        <f t="shared" si="7"/>
        <v>-1</v>
      </c>
    </row>
    <row r="81" spans="1:33" x14ac:dyDescent="0.25">
      <c r="A81" s="35">
        <v>28</v>
      </c>
      <c r="B81" s="35">
        <v>14</v>
      </c>
      <c r="C81" s="35">
        <f>Inputs!$D$8-A81-Inputs!$D$22*B81</f>
        <v>64</v>
      </c>
      <c r="D81" s="35">
        <f>A81*Inputs!$D$20+C81*Inputs!$D$21+B81*Inputs!$D$22</f>
        <v>120</v>
      </c>
      <c r="E81" s="36">
        <f>MIN(Inputs!$E$15,Inputs!$D$15*(C81/Inputs!$D$43)^Inputs!$D$44)</f>
        <v>0.4</v>
      </c>
      <c r="F81" s="36">
        <f>MIN(Inputs!$E$16,Inputs!$D$16*(B81/Inputs!$D$42)^Inputs!$D$44)</f>
        <v>0.35940937671625589</v>
      </c>
      <c r="G81" s="37">
        <f>Inputs!$D$26*(1+Inputs!$D$41*(B81-Inputs!$D$42))</f>
        <v>1.41</v>
      </c>
      <c r="H81" s="35">
        <f>Inputs!$D$6*Inputs!$D$14*G81*Inputs!$D$29</f>
        <v>1771.5663000000002</v>
      </c>
      <c r="I81" s="36">
        <f>H81/(A81*Inputs!$D$32)</f>
        <v>1.1503677272727273</v>
      </c>
      <c r="J81" s="38">
        <f>IF(I81&gt;=1,999,I81/(Inputs!$D$32*(1-I81))*60)</f>
        <v>999</v>
      </c>
      <c r="K81" s="37">
        <f>MIN(1,MAX(0,(J81-Inputs!$D$36)/(Inputs!$D$37-Inputs!$D$36)))</f>
        <v>1</v>
      </c>
      <c r="L81" s="35">
        <f>Inputs!$D$6*Inputs!$D$14*G81*(1-Inputs!$D$38*K81)</f>
        <v>6495.7431000000006</v>
      </c>
      <c r="M81" s="39">
        <f>L81*Inputs!$D$11</f>
        <v>139658.47665000003</v>
      </c>
      <c r="N81" s="39">
        <f>M81*(1-Inputs!$D$17)</f>
        <v>48880.466827500008</v>
      </c>
      <c r="O81" s="35">
        <f>Inputs!$D$6*E81*Inputs!$D$27*Inputs!$D$30</f>
        <v>570.66240000000005</v>
      </c>
      <c r="P81" s="36">
        <f>O81/(C81*Inputs!$D$33)</f>
        <v>0.22291500000000003</v>
      </c>
      <c r="Q81" s="38">
        <f>IF(P81&gt;=1,999,P81/(Inputs!$D$33*(1-P81))*60)</f>
        <v>0.43029076613240513</v>
      </c>
      <c r="R81" s="37">
        <f>MIN(1,MAX(0,(Q81-Inputs!$D$36)/(Inputs!$D$37-Inputs!$D$36)))</f>
        <v>0</v>
      </c>
      <c r="S81" s="35">
        <f>Inputs!$D$6*E81*Inputs!$D$27*(1-Inputs!$D$38*R81)</f>
        <v>4755.5200000000004</v>
      </c>
      <c r="T81" s="39">
        <f>S81*Inputs!$D$12</f>
        <v>76088.320000000007</v>
      </c>
      <c r="U81" s="39">
        <f>T81*(1-Inputs!$D$18)</f>
        <v>34239.743999999999</v>
      </c>
      <c r="V81" s="35">
        <f>Inputs!$D$6*F81*Inputs!$D$28*Inputs!$D$31</f>
        <v>605.98146079368973</v>
      </c>
      <c r="W81" s="36">
        <f>V81/(B81*Inputs!$D$34)</f>
        <v>1.2366968587626321</v>
      </c>
      <c r="X81" s="38">
        <f>IF(W81&gt;=1,999,W81/(Inputs!$D$34*(1-W81))*60)</f>
        <v>999</v>
      </c>
      <c r="Y81" s="37">
        <f>MIN(1,MAX(0,(X81-Inputs!$D$36)/(Inputs!$D$37-Inputs!$D$36)))</f>
        <v>1</v>
      </c>
      <c r="Z81" s="35">
        <f>Inputs!$D$6*F81*Inputs!$D$28*(1-Inputs!$D$38*Y81)</f>
        <v>2563.7677187425338</v>
      </c>
      <c r="AA81" s="39">
        <f>Z81*Inputs!$D$13</f>
        <v>21792.025609311539</v>
      </c>
      <c r="AB81" s="39">
        <f>AA81*(1-Inputs!$D$19)</f>
        <v>13075.215365586922</v>
      </c>
      <c r="AC81" s="39">
        <f t="shared" si="4"/>
        <v>237538.82225931156</v>
      </c>
      <c r="AD81" s="39">
        <f t="shared" si="5"/>
        <v>96195.426193086925</v>
      </c>
      <c r="AE81" s="36">
        <f t="shared" si="6"/>
        <v>1.2366968587626321</v>
      </c>
      <c r="AF81" s="35">
        <f>IF(AND(AE81&lt;=Inputs!$D$35,C81&gt;=Inputs!$D$48*(A81+B81+C81),B81*Inputs!$D$22&lt;=Inputs!$D$50*Inputs!$D$8,B81*Inputs!$D$22&gt;=Inputs!$D$49*Inputs!$D$8,A81*Inputs!$D$20&lt;=Inputs!$D$47*Inputs!$D$8,C81&gt;=1),1,0)</f>
        <v>0</v>
      </c>
      <c r="AG81" s="39">
        <f t="shared" si="7"/>
        <v>-1</v>
      </c>
    </row>
    <row r="82" spans="1:33" x14ac:dyDescent="0.25">
      <c r="A82" s="35">
        <v>28</v>
      </c>
      <c r="B82" s="35">
        <v>15</v>
      </c>
      <c r="C82" s="35">
        <f>Inputs!$D$8-A82-Inputs!$D$22*B82</f>
        <v>62</v>
      </c>
      <c r="D82" s="35">
        <f>A82*Inputs!$D$20+C82*Inputs!$D$21+B82*Inputs!$D$22</f>
        <v>120</v>
      </c>
      <c r="E82" s="36">
        <f>MIN(Inputs!$E$15,Inputs!$D$15*(C82/Inputs!$D$43)^Inputs!$D$44)</f>
        <v>0.4</v>
      </c>
      <c r="F82" s="36">
        <f>MIN(Inputs!$E$16,Inputs!$D$16*(B82/Inputs!$D$42)^Inputs!$D$44)</f>
        <v>0.36692590185696072</v>
      </c>
      <c r="G82" s="37">
        <f>Inputs!$D$26*(1+Inputs!$D$41*(B82-Inputs!$D$42))</f>
        <v>1.4249999999999998</v>
      </c>
      <c r="H82" s="35">
        <f>Inputs!$D$6*Inputs!$D$14*G82*Inputs!$D$29</f>
        <v>1790.4127499999997</v>
      </c>
      <c r="I82" s="36">
        <f>H82/(A82*Inputs!$D$32)</f>
        <v>1.1626056818181816</v>
      </c>
      <c r="J82" s="38">
        <f>IF(I82&gt;=1,999,I82/(Inputs!$D$32*(1-I82))*60)</f>
        <v>999</v>
      </c>
      <c r="K82" s="37">
        <f>MIN(1,MAX(0,(J82-Inputs!$D$36)/(Inputs!$D$37-Inputs!$D$36)))</f>
        <v>1</v>
      </c>
      <c r="L82" s="35">
        <f>Inputs!$D$6*Inputs!$D$14*G82*(1-Inputs!$D$38*K82)</f>
        <v>6564.8467499999997</v>
      </c>
      <c r="M82" s="39">
        <f>L82*Inputs!$D$11</f>
        <v>141144.20512500001</v>
      </c>
      <c r="N82" s="39">
        <f>M82*(1-Inputs!$D$17)</f>
        <v>49400.471793750003</v>
      </c>
      <c r="O82" s="35">
        <f>Inputs!$D$6*E82*Inputs!$D$27*Inputs!$D$30</f>
        <v>570.66240000000005</v>
      </c>
      <c r="P82" s="36">
        <f>O82/(C82*Inputs!$D$33)</f>
        <v>0.23010580645161291</v>
      </c>
      <c r="Q82" s="38">
        <f>IF(P82&gt;=1,999,P82/(Inputs!$D$33*(1-P82))*60)</f>
        <v>0.44831966855939992</v>
      </c>
      <c r="R82" s="37">
        <f>MIN(1,MAX(0,(Q82-Inputs!$D$36)/(Inputs!$D$37-Inputs!$D$36)))</f>
        <v>0</v>
      </c>
      <c r="S82" s="35">
        <f>Inputs!$D$6*E82*Inputs!$D$27*(1-Inputs!$D$38*R82)</f>
        <v>4755.5200000000004</v>
      </c>
      <c r="T82" s="39">
        <f>S82*Inputs!$D$12</f>
        <v>76088.320000000007</v>
      </c>
      <c r="U82" s="39">
        <f>T82*(1-Inputs!$D$18)</f>
        <v>34239.743999999999</v>
      </c>
      <c r="V82" s="35">
        <f>Inputs!$D$6*F82*Inputs!$D$28*Inputs!$D$31</f>
        <v>618.65468297412497</v>
      </c>
      <c r="W82" s="36">
        <f>V82/(B82*Inputs!$D$34)</f>
        <v>1.1783898723316666</v>
      </c>
      <c r="X82" s="38">
        <f>IF(W82&gt;=1,999,W82/(Inputs!$D$34*(1-W82))*60)</f>
        <v>999</v>
      </c>
      <c r="Y82" s="37">
        <f>MIN(1,MAX(0,(X82-Inputs!$D$36)/(Inputs!$D$37-Inputs!$D$36)))</f>
        <v>1</v>
      </c>
      <c r="Z82" s="35">
        <f>Inputs!$D$6*F82*Inputs!$D$28*(1-Inputs!$D$38*Y82)</f>
        <v>2617.3851971982212</v>
      </c>
      <c r="AA82" s="39">
        <f>Z82*Inputs!$D$13</f>
        <v>22247.774176184881</v>
      </c>
      <c r="AB82" s="39">
        <f>AA82*(1-Inputs!$D$19)</f>
        <v>13348.664505710929</v>
      </c>
      <c r="AC82" s="39">
        <f t="shared" si="4"/>
        <v>239480.29930118489</v>
      </c>
      <c r="AD82" s="39">
        <f t="shared" si="5"/>
        <v>96988.880299460929</v>
      </c>
      <c r="AE82" s="36">
        <f t="shared" si="6"/>
        <v>1.1783898723316666</v>
      </c>
      <c r="AF82" s="35">
        <f>IF(AND(AE82&lt;=Inputs!$D$35,C82&gt;=Inputs!$D$48*(A82+B82+C82),B82*Inputs!$D$22&lt;=Inputs!$D$50*Inputs!$D$8,B82*Inputs!$D$22&gt;=Inputs!$D$49*Inputs!$D$8,A82*Inputs!$D$20&lt;=Inputs!$D$47*Inputs!$D$8,C82&gt;=1),1,0)</f>
        <v>0</v>
      </c>
      <c r="AG82" s="39">
        <f t="shared" si="7"/>
        <v>-1</v>
      </c>
    </row>
    <row r="83" spans="1:33" x14ac:dyDescent="0.25">
      <c r="A83" s="35">
        <v>28</v>
      </c>
      <c r="B83" s="35">
        <v>16</v>
      </c>
      <c r="C83" s="35">
        <f>Inputs!$D$8-A83-Inputs!$D$22*B83</f>
        <v>60</v>
      </c>
      <c r="D83" s="35">
        <f>A83*Inputs!$D$20+C83*Inputs!$D$21+B83*Inputs!$D$22</f>
        <v>120</v>
      </c>
      <c r="E83" s="36">
        <f>MIN(Inputs!$E$15,Inputs!$D$15*(C83/Inputs!$D$43)^Inputs!$D$44)</f>
        <v>0.4</v>
      </c>
      <c r="F83" s="36">
        <f>MIN(Inputs!$E$16,Inputs!$D$16*(B83/Inputs!$D$42)^Inputs!$D$44)</f>
        <v>0.37409937912904856</v>
      </c>
      <c r="G83" s="37">
        <f>Inputs!$D$26*(1+Inputs!$D$41*(B83-Inputs!$D$42))</f>
        <v>1.44</v>
      </c>
      <c r="H83" s="35">
        <f>Inputs!$D$6*Inputs!$D$14*G83*Inputs!$D$29</f>
        <v>1809.2592000000002</v>
      </c>
      <c r="I83" s="36">
        <f>H83/(A83*Inputs!$D$32)</f>
        <v>1.1748436363636365</v>
      </c>
      <c r="J83" s="38">
        <f>IF(I83&gt;=1,999,I83/(Inputs!$D$32*(1-I83))*60)</f>
        <v>999</v>
      </c>
      <c r="K83" s="37">
        <f>MIN(1,MAX(0,(J83-Inputs!$D$36)/(Inputs!$D$37-Inputs!$D$36)))</f>
        <v>1</v>
      </c>
      <c r="L83" s="35">
        <f>Inputs!$D$6*Inputs!$D$14*G83*(1-Inputs!$D$38*K83)</f>
        <v>6633.9504000000006</v>
      </c>
      <c r="M83" s="39">
        <f>L83*Inputs!$D$11</f>
        <v>142629.93360000002</v>
      </c>
      <c r="N83" s="39">
        <f>M83*(1-Inputs!$D$17)</f>
        <v>49920.476760000005</v>
      </c>
      <c r="O83" s="35">
        <f>Inputs!$D$6*E83*Inputs!$D$27*Inputs!$D$30</f>
        <v>570.66240000000005</v>
      </c>
      <c r="P83" s="36">
        <f>O83/(C83*Inputs!$D$33)</f>
        <v>0.23777600000000002</v>
      </c>
      <c r="Q83" s="38">
        <f>IF(P83&gt;=1,999,P83/(Inputs!$D$33*(1-P83))*60)</f>
        <v>0.46792543924095809</v>
      </c>
      <c r="R83" s="37">
        <f>MIN(1,MAX(0,(Q83-Inputs!$D$36)/(Inputs!$D$37-Inputs!$D$36)))</f>
        <v>0</v>
      </c>
      <c r="S83" s="35">
        <f>Inputs!$D$6*E83*Inputs!$D$27*(1-Inputs!$D$38*R83)</f>
        <v>4755.5200000000004</v>
      </c>
      <c r="T83" s="39">
        <f>S83*Inputs!$D$12</f>
        <v>76088.320000000007</v>
      </c>
      <c r="U83" s="39">
        <f>T83*(1-Inputs!$D$18)</f>
        <v>34239.743999999999</v>
      </c>
      <c r="V83" s="35">
        <f>Inputs!$D$6*F83*Inputs!$D$28*Inputs!$D$31</f>
        <v>630.74950998177405</v>
      </c>
      <c r="W83" s="36">
        <f>V83/(B83*Inputs!$D$34)</f>
        <v>1.1263384106817393</v>
      </c>
      <c r="X83" s="38">
        <f>IF(W83&gt;=1,999,W83/(Inputs!$D$34*(1-W83))*60)</f>
        <v>999</v>
      </c>
      <c r="Y83" s="37">
        <f>MIN(1,MAX(0,(X83-Inputs!$D$36)/(Inputs!$D$37-Inputs!$D$36)))</f>
        <v>1</v>
      </c>
      <c r="Z83" s="35">
        <f>Inputs!$D$6*F83*Inputs!$D$28*(1-Inputs!$D$38*Y83)</f>
        <v>2668.5556191536598</v>
      </c>
      <c r="AA83" s="39">
        <f>Z83*Inputs!$D$13</f>
        <v>22682.722762806108</v>
      </c>
      <c r="AB83" s="39">
        <f>AA83*(1-Inputs!$D$19)</f>
        <v>13609.633657683664</v>
      </c>
      <c r="AC83" s="39">
        <f t="shared" si="4"/>
        <v>241400.97636280613</v>
      </c>
      <c r="AD83" s="39">
        <f t="shared" si="5"/>
        <v>97769.854417683659</v>
      </c>
      <c r="AE83" s="36">
        <f t="shared" si="6"/>
        <v>1.1748436363636365</v>
      </c>
      <c r="AF83" s="35">
        <f>IF(AND(AE83&lt;=Inputs!$D$35,C83&gt;=Inputs!$D$48*(A83+B83+C83),B83*Inputs!$D$22&lt;=Inputs!$D$50*Inputs!$D$8,B83*Inputs!$D$22&gt;=Inputs!$D$49*Inputs!$D$8,A83*Inputs!$D$20&lt;=Inputs!$D$47*Inputs!$D$8,C83&gt;=1),1,0)</f>
        <v>0</v>
      </c>
      <c r="AG83" s="39">
        <f t="shared" si="7"/>
        <v>-1</v>
      </c>
    </row>
    <row r="84" spans="1:33" x14ac:dyDescent="0.25">
      <c r="A84" s="35">
        <v>28</v>
      </c>
      <c r="B84" s="35">
        <v>17</v>
      </c>
      <c r="C84" s="35">
        <f>Inputs!$D$8-A84-Inputs!$D$22*B84</f>
        <v>58</v>
      </c>
      <c r="D84" s="35">
        <f>A84*Inputs!$D$20+C84*Inputs!$D$21+B84*Inputs!$D$22</f>
        <v>120</v>
      </c>
      <c r="E84" s="36">
        <f>MIN(Inputs!$E$15,Inputs!$D$15*(C84/Inputs!$D$43)^Inputs!$D$44)</f>
        <v>0.4</v>
      </c>
      <c r="F84" s="36">
        <f>MIN(Inputs!$E$16,Inputs!$D$16*(B84/Inputs!$D$42)^Inputs!$D$44)</f>
        <v>0.3809655184437048</v>
      </c>
      <c r="G84" s="37">
        <f>Inputs!$D$26*(1+Inputs!$D$41*(B84-Inputs!$D$42))</f>
        <v>1.4550000000000001</v>
      </c>
      <c r="H84" s="35">
        <f>Inputs!$D$6*Inputs!$D$14*G84*Inputs!$D$29</f>
        <v>1828.1056500000002</v>
      </c>
      <c r="I84" s="36">
        <f>H84/(A84*Inputs!$D$32)</f>
        <v>1.187081590909091</v>
      </c>
      <c r="J84" s="38">
        <f>IF(I84&gt;=1,999,I84/(Inputs!$D$32*(1-I84))*60)</f>
        <v>999</v>
      </c>
      <c r="K84" s="37">
        <f>MIN(1,MAX(0,(J84-Inputs!$D$36)/(Inputs!$D$37-Inputs!$D$36)))</f>
        <v>1</v>
      </c>
      <c r="L84" s="35">
        <f>Inputs!$D$6*Inputs!$D$14*G84*(1-Inputs!$D$38*K84)</f>
        <v>6703.0540500000006</v>
      </c>
      <c r="M84" s="39">
        <f>L84*Inputs!$D$11</f>
        <v>144115.662075</v>
      </c>
      <c r="N84" s="39">
        <f>M84*(1-Inputs!$D$17)</f>
        <v>50440.48172625</v>
      </c>
      <c r="O84" s="35">
        <f>Inputs!$D$6*E84*Inputs!$D$27*Inputs!$D$30</f>
        <v>570.66240000000005</v>
      </c>
      <c r="P84" s="36">
        <f>O84/(C84*Inputs!$D$33)</f>
        <v>0.24597517241379313</v>
      </c>
      <c r="Q84" s="38">
        <f>IF(P84&gt;=1,999,P84/(Inputs!$D$33*(1-P84))*60)</f>
        <v>0.48932441628191153</v>
      </c>
      <c r="R84" s="37">
        <f>MIN(1,MAX(0,(Q84-Inputs!$D$36)/(Inputs!$D$37-Inputs!$D$36)))</f>
        <v>0</v>
      </c>
      <c r="S84" s="35">
        <f>Inputs!$D$6*E84*Inputs!$D$27*(1-Inputs!$D$38*R84)</f>
        <v>4755.5200000000004</v>
      </c>
      <c r="T84" s="39">
        <f>S84*Inputs!$D$12</f>
        <v>76088.320000000007</v>
      </c>
      <c r="U84" s="39">
        <f>T84*(1-Inputs!$D$18)</f>
        <v>34239.743999999999</v>
      </c>
      <c r="V84" s="35">
        <f>Inputs!$D$6*F84*Inputs!$D$28*Inputs!$D$31</f>
        <v>642.32615044097156</v>
      </c>
      <c r="W84" s="36">
        <f>V84/(B84*Inputs!$D$34)</f>
        <v>1.0795397486402882</v>
      </c>
      <c r="X84" s="38">
        <f>IF(W84&gt;=1,999,W84/(Inputs!$D$34*(1-W84))*60)</f>
        <v>999</v>
      </c>
      <c r="Y84" s="37">
        <f>MIN(1,MAX(0,(X84-Inputs!$D$36)/(Inputs!$D$37-Inputs!$D$36)))</f>
        <v>1</v>
      </c>
      <c r="Z84" s="35">
        <f>Inputs!$D$6*F84*Inputs!$D$28*(1-Inputs!$D$38*Y84)</f>
        <v>2717.5337134041106</v>
      </c>
      <c r="AA84" s="39">
        <f>Z84*Inputs!$D$13</f>
        <v>23099.03656393494</v>
      </c>
      <c r="AB84" s="39">
        <f>AA84*(1-Inputs!$D$19)</f>
        <v>13859.421938360963</v>
      </c>
      <c r="AC84" s="39">
        <f t="shared" si="4"/>
        <v>243303.01863893494</v>
      </c>
      <c r="AD84" s="39">
        <f t="shared" si="5"/>
        <v>98539.647664610966</v>
      </c>
      <c r="AE84" s="36">
        <f t="shared" si="6"/>
        <v>1.187081590909091</v>
      </c>
      <c r="AF84" s="35">
        <f>IF(AND(AE84&lt;=Inputs!$D$35,C84&gt;=Inputs!$D$48*(A84+B84+C84),B84*Inputs!$D$22&lt;=Inputs!$D$50*Inputs!$D$8,B84*Inputs!$D$22&gt;=Inputs!$D$49*Inputs!$D$8,A84*Inputs!$D$20&lt;=Inputs!$D$47*Inputs!$D$8,C84&gt;=1),1,0)</f>
        <v>0</v>
      </c>
      <c r="AG84" s="39">
        <f t="shared" si="7"/>
        <v>-1</v>
      </c>
    </row>
    <row r="85" spans="1:33" x14ac:dyDescent="0.25">
      <c r="A85" s="35">
        <v>28</v>
      </c>
      <c r="B85" s="35">
        <v>18</v>
      </c>
      <c r="C85" s="35">
        <f>Inputs!$D$8-A85-Inputs!$D$22*B85</f>
        <v>56</v>
      </c>
      <c r="D85" s="35">
        <f>A85*Inputs!$D$20+C85*Inputs!$D$21+B85*Inputs!$D$22</f>
        <v>120</v>
      </c>
      <c r="E85" s="36">
        <f>MIN(Inputs!$E$15,Inputs!$D$15*(C85/Inputs!$D$43)^Inputs!$D$44)</f>
        <v>0.4</v>
      </c>
      <c r="F85" s="36">
        <f>MIN(Inputs!$E$16,Inputs!$D$16*(B85/Inputs!$D$42)^Inputs!$D$44)</f>
        <v>0.38755446447890535</v>
      </c>
      <c r="G85" s="37">
        <f>Inputs!$D$26*(1+Inputs!$D$41*(B85-Inputs!$D$42))</f>
        <v>1.47</v>
      </c>
      <c r="H85" s="35">
        <f>Inputs!$D$6*Inputs!$D$14*G85*Inputs!$D$29</f>
        <v>1846.9521</v>
      </c>
      <c r="I85" s="36">
        <f>H85/(A85*Inputs!$D$32)</f>
        <v>1.1993195454545453</v>
      </c>
      <c r="J85" s="38">
        <f>IF(I85&gt;=1,999,I85/(Inputs!$D$32*(1-I85))*60)</f>
        <v>999</v>
      </c>
      <c r="K85" s="37">
        <f>MIN(1,MAX(0,(J85-Inputs!$D$36)/(Inputs!$D$37-Inputs!$D$36)))</f>
        <v>1</v>
      </c>
      <c r="L85" s="35">
        <f>Inputs!$D$6*Inputs!$D$14*G85*(1-Inputs!$D$38*K85)</f>
        <v>6772.1577000000016</v>
      </c>
      <c r="M85" s="39">
        <f>L85*Inputs!$D$11</f>
        <v>145601.39055000004</v>
      </c>
      <c r="N85" s="39">
        <f>M85*(1-Inputs!$D$17)</f>
        <v>50960.48669250001</v>
      </c>
      <c r="O85" s="35">
        <f>Inputs!$D$6*E85*Inputs!$D$27*Inputs!$D$30</f>
        <v>570.66240000000005</v>
      </c>
      <c r="P85" s="36">
        <f>O85/(C85*Inputs!$D$33)</f>
        <v>0.25476000000000004</v>
      </c>
      <c r="Q85" s="38">
        <f>IF(P85&gt;=1,999,P85/(Inputs!$D$33*(1-P85))*60)</f>
        <v>0.51277440824432408</v>
      </c>
      <c r="R85" s="37">
        <f>MIN(1,MAX(0,(Q85-Inputs!$D$36)/(Inputs!$D$37-Inputs!$D$36)))</f>
        <v>0</v>
      </c>
      <c r="S85" s="35">
        <f>Inputs!$D$6*E85*Inputs!$D$27*(1-Inputs!$D$38*R85)</f>
        <v>4755.5200000000004</v>
      </c>
      <c r="T85" s="39">
        <f>S85*Inputs!$D$12</f>
        <v>76088.320000000007</v>
      </c>
      <c r="U85" s="39">
        <f>T85*(1-Inputs!$D$18)</f>
        <v>34239.743999999999</v>
      </c>
      <c r="V85" s="35">
        <f>Inputs!$D$6*F85*Inputs!$D$28*Inputs!$D$31</f>
        <v>653.43542972572936</v>
      </c>
      <c r="W85" s="36">
        <f>V85/(B85*Inputs!$D$34)</f>
        <v>1.037199094802745</v>
      </c>
      <c r="X85" s="38">
        <f>IF(W85&gt;=1,999,W85/(Inputs!$D$34*(1-W85))*60)</f>
        <v>999</v>
      </c>
      <c r="Y85" s="37">
        <f>MIN(1,MAX(0,(X85-Inputs!$D$36)/(Inputs!$D$37-Inputs!$D$36)))</f>
        <v>1</v>
      </c>
      <c r="Z85" s="35">
        <f>Inputs!$D$6*F85*Inputs!$D$28*(1-Inputs!$D$38*Y85)</f>
        <v>2764.534510378086</v>
      </c>
      <c r="AA85" s="39">
        <f>Z85*Inputs!$D$13</f>
        <v>23498.543338213731</v>
      </c>
      <c r="AB85" s="39">
        <f>AA85*(1-Inputs!$D$19)</f>
        <v>14099.126002928238</v>
      </c>
      <c r="AC85" s="39">
        <f t="shared" si="4"/>
        <v>245188.25388821377</v>
      </c>
      <c r="AD85" s="39">
        <f t="shared" si="5"/>
        <v>99299.356695428258</v>
      </c>
      <c r="AE85" s="36">
        <f t="shared" si="6"/>
        <v>1.1993195454545453</v>
      </c>
      <c r="AF85" s="35">
        <f>IF(AND(AE85&lt;=Inputs!$D$35,C85&gt;=Inputs!$D$48*(A85+B85+C85),B85*Inputs!$D$22&lt;=Inputs!$D$50*Inputs!$D$8,B85*Inputs!$D$22&gt;=Inputs!$D$49*Inputs!$D$8,A85*Inputs!$D$20&lt;=Inputs!$D$47*Inputs!$D$8,C85&gt;=1),1,0)</f>
        <v>0</v>
      </c>
      <c r="AG85" s="39">
        <f t="shared" si="7"/>
        <v>-1</v>
      </c>
    </row>
    <row r="86" spans="1:33" x14ac:dyDescent="0.25">
      <c r="A86" s="35">
        <v>28</v>
      </c>
      <c r="B86" s="35">
        <v>19</v>
      </c>
      <c r="C86" s="35">
        <f>Inputs!$D$8-A86-Inputs!$D$22*B86</f>
        <v>54</v>
      </c>
      <c r="D86" s="35">
        <f>A86*Inputs!$D$20+C86*Inputs!$D$21+B86*Inputs!$D$22</f>
        <v>120</v>
      </c>
      <c r="E86" s="36">
        <f>MIN(Inputs!$E$15,Inputs!$D$15*(C86/Inputs!$D$43)^Inputs!$D$44)</f>
        <v>0.4</v>
      </c>
      <c r="F86" s="36">
        <f>MIN(Inputs!$E$16,Inputs!$D$16*(B86/Inputs!$D$42)^Inputs!$D$44)</f>
        <v>0.39389192072703005</v>
      </c>
      <c r="G86" s="37">
        <f>Inputs!$D$26*(1+Inputs!$D$41*(B86-Inputs!$D$42))</f>
        <v>1.4849999999999999</v>
      </c>
      <c r="H86" s="35">
        <f>Inputs!$D$6*Inputs!$D$14*G86*Inputs!$D$29</f>
        <v>1865.7985499999998</v>
      </c>
      <c r="I86" s="36">
        <f>H86/(A86*Inputs!$D$32)</f>
        <v>1.2115574999999998</v>
      </c>
      <c r="J86" s="38">
        <f>IF(I86&gt;=1,999,I86/(Inputs!$D$32*(1-I86))*60)</f>
        <v>999</v>
      </c>
      <c r="K86" s="37">
        <f>MIN(1,MAX(0,(J86-Inputs!$D$36)/(Inputs!$D$37-Inputs!$D$36)))</f>
        <v>1</v>
      </c>
      <c r="L86" s="35">
        <f>Inputs!$D$6*Inputs!$D$14*G86*(1-Inputs!$D$38*K86)</f>
        <v>6841.2613499999998</v>
      </c>
      <c r="M86" s="39">
        <f>L86*Inputs!$D$11</f>
        <v>147087.11902499999</v>
      </c>
      <c r="N86" s="39">
        <f>M86*(1-Inputs!$D$17)</f>
        <v>51480.491658749997</v>
      </c>
      <c r="O86" s="35">
        <f>Inputs!$D$6*E86*Inputs!$D$27*Inputs!$D$30</f>
        <v>570.66240000000005</v>
      </c>
      <c r="P86" s="36">
        <f>O86/(C86*Inputs!$D$33)</f>
        <v>0.26419555555555557</v>
      </c>
      <c r="Q86" s="38">
        <f>IF(P86&gt;=1,999,P86/(Inputs!$D$33*(1-P86))*60)</f>
        <v>0.53858513131508379</v>
      </c>
      <c r="R86" s="37">
        <f>MIN(1,MAX(0,(Q86-Inputs!$D$36)/(Inputs!$D$37-Inputs!$D$36)))</f>
        <v>0</v>
      </c>
      <c r="S86" s="35">
        <f>Inputs!$D$6*E86*Inputs!$D$27*(1-Inputs!$D$38*R86)</f>
        <v>4755.5200000000004</v>
      </c>
      <c r="T86" s="39">
        <f>S86*Inputs!$D$12</f>
        <v>76088.320000000007</v>
      </c>
      <c r="U86" s="39">
        <f>T86*(1-Inputs!$D$18)</f>
        <v>34239.743999999999</v>
      </c>
      <c r="V86" s="35">
        <f>Inputs!$D$6*F86*Inputs!$D$28*Inputs!$D$31</f>
        <v>664.12068515796761</v>
      </c>
      <c r="W86" s="36">
        <f>V86/(B86*Inputs!$D$34)</f>
        <v>0.99867772204205651</v>
      </c>
      <c r="X86" s="38">
        <f>IF(W86&gt;=1,999,W86/(Inputs!$D$34*(1-W86))*60)</f>
        <v>1294.749671797274</v>
      </c>
      <c r="Y86" s="37">
        <f>MIN(1,MAX(0,(X86-Inputs!$D$36)/(Inputs!$D$37-Inputs!$D$36)))</f>
        <v>1</v>
      </c>
      <c r="Z86" s="35">
        <f>Inputs!$D$6*F86*Inputs!$D$28*(1-Inputs!$D$38*Y86)</f>
        <v>2809.7413602837091</v>
      </c>
      <c r="AA86" s="39">
        <f>Z86*Inputs!$D$13</f>
        <v>23882.801562411529</v>
      </c>
      <c r="AB86" s="39">
        <f>AA86*(1-Inputs!$D$19)</f>
        <v>14329.680937446918</v>
      </c>
      <c r="AC86" s="39">
        <f t="shared" si="4"/>
        <v>247058.24058741154</v>
      </c>
      <c r="AD86" s="39">
        <f t="shared" si="5"/>
        <v>100049.91659619691</v>
      </c>
      <c r="AE86" s="36">
        <f t="shared" si="6"/>
        <v>1.2115574999999998</v>
      </c>
      <c r="AF86" s="35">
        <f>IF(AND(AE86&lt;=Inputs!$D$35,C86&gt;=Inputs!$D$48*(A86+B86+C86),B86*Inputs!$D$22&lt;=Inputs!$D$50*Inputs!$D$8,B86*Inputs!$D$22&gt;=Inputs!$D$49*Inputs!$D$8,A86*Inputs!$D$20&lt;=Inputs!$D$47*Inputs!$D$8,C86&gt;=1),1,0)</f>
        <v>0</v>
      </c>
      <c r="AG86" s="39">
        <f t="shared" si="7"/>
        <v>-1</v>
      </c>
    </row>
    <row r="87" spans="1:33" x14ac:dyDescent="0.25">
      <c r="A87" s="35">
        <v>28</v>
      </c>
      <c r="B87" s="35">
        <v>20</v>
      </c>
      <c r="C87" s="35">
        <f>Inputs!$D$8-A87-Inputs!$D$22*B87</f>
        <v>52</v>
      </c>
      <c r="D87" s="35">
        <f>A87*Inputs!$D$20+C87*Inputs!$D$21+B87*Inputs!$D$22</f>
        <v>120</v>
      </c>
      <c r="E87" s="36">
        <f>MIN(Inputs!$E$15,Inputs!$D$15*(C87/Inputs!$D$43)^Inputs!$D$44)</f>
        <v>0.4</v>
      </c>
      <c r="F87" s="36">
        <f>MIN(Inputs!$E$16,Inputs!$D$16*(B87/Inputs!$D$42)^Inputs!$D$44)</f>
        <v>0.4</v>
      </c>
      <c r="G87" s="37">
        <f>Inputs!$D$26*(1+Inputs!$D$41*(B87-Inputs!$D$42))</f>
        <v>1.5</v>
      </c>
      <c r="H87" s="35">
        <f>Inputs!$D$6*Inputs!$D$14*G87*Inputs!$D$29</f>
        <v>1884.645</v>
      </c>
      <c r="I87" s="36">
        <f>H87/(A87*Inputs!$D$32)</f>
        <v>1.2237954545454546</v>
      </c>
      <c r="J87" s="38">
        <f>IF(I87&gt;=1,999,I87/(Inputs!$D$32*(1-I87))*60)</f>
        <v>999</v>
      </c>
      <c r="K87" s="37">
        <f>MIN(1,MAX(0,(J87-Inputs!$D$36)/(Inputs!$D$37-Inputs!$D$36)))</f>
        <v>1</v>
      </c>
      <c r="L87" s="35">
        <f>Inputs!$D$6*Inputs!$D$14*G87*(1-Inputs!$D$38*K87)</f>
        <v>6910.3650000000016</v>
      </c>
      <c r="M87" s="39">
        <f>L87*Inputs!$D$11</f>
        <v>148572.84750000003</v>
      </c>
      <c r="N87" s="39">
        <f>M87*(1-Inputs!$D$17)</f>
        <v>52000.496625000007</v>
      </c>
      <c r="O87" s="35">
        <f>Inputs!$D$6*E87*Inputs!$D$27*Inputs!$D$30</f>
        <v>570.66240000000005</v>
      </c>
      <c r="P87" s="36">
        <f>O87/(C87*Inputs!$D$33)</f>
        <v>0.27435692307692311</v>
      </c>
      <c r="Q87" s="38">
        <f>IF(P87&gt;=1,999,P87/(Inputs!$D$33*(1-P87))*60)</f>
        <v>0.56713196570469071</v>
      </c>
      <c r="R87" s="37">
        <f>MIN(1,MAX(0,(Q87-Inputs!$D$36)/(Inputs!$D$37-Inputs!$D$36)))</f>
        <v>0</v>
      </c>
      <c r="S87" s="35">
        <f>Inputs!$D$6*E87*Inputs!$D$27*(1-Inputs!$D$38*R87)</f>
        <v>4755.5200000000004</v>
      </c>
      <c r="T87" s="39">
        <f>S87*Inputs!$D$12</f>
        <v>76088.320000000007</v>
      </c>
      <c r="U87" s="39">
        <f>T87*(1-Inputs!$D$18)</f>
        <v>34239.743999999999</v>
      </c>
      <c r="V87" s="35">
        <f>Inputs!$D$6*F87*Inputs!$D$28*Inputs!$D$31</f>
        <v>674.41919999999993</v>
      </c>
      <c r="W87" s="36">
        <f>V87/(B87*Inputs!$D$34)</f>
        <v>0.96345599999999987</v>
      </c>
      <c r="X87" s="38">
        <f>IF(W87&gt;=1,999,W87/(Inputs!$D$34*(1-W87))*60)</f>
        <v>45.195896922691851</v>
      </c>
      <c r="Y87" s="37">
        <f>MIN(1,MAX(0,(X87-Inputs!$D$36)/(Inputs!$D$37-Inputs!$D$36)))</f>
        <v>1</v>
      </c>
      <c r="Z87" s="35">
        <f>Inputs!$D$6*F87*Inputs!$D$28*(1-Inputs!$D$38*Y87)</f>
        <v>2853.3119999999999</v>
      </c>
      <c r="AA87" s="39">
        <f>Z87*Inputs!$D$13</f>
        <v>24253.151999999998</v>
      </c>
      <c r="AB87" s="39">
        <f>AA87*(1-Inputs!$D$19)</f>
        <v>14551.891199999998</v>
      </c>
      <c r="AC87" s="39">
        <f t="shared" si="4"/>
        <v>248914.31950000004</v>
      </c>
      <c r="AD87" s="39">
        <f t="shared" si="5"/>
        <v>100792.131825</v>
      </c>
      <c r="AE87" s="36">
        <f t="shared" si="6"/>
        <v>1.2237954545454546</v>
      </c>
      <c r="AF87" s="35">
        <f>IF(AND(AE87&lt;=Inputs!$D$35,C87&gt;=Inputs!$D$48*(A87+B87+C87),B87*Inputs!$D$22&lt;=Inputs!$D$50*Inputs!$D$8,B87*Inputs!$D$22&gt;=Inputs!$D$49*Inputs!$D$8,A87*Inputs!$D$20&lt;=Inputs!$D$47*Inputs!$D$8,C87&gt;=1),1,0)</f>
        <v>0</v>
      </c>
      <c r="AG87" s="39">
        <f t="shared" si="7"/>
        <v>-1</v>
      </c>
    </row>
    <row r="88" spans="1:33" x14ac:dyDescent="0.25">
      <c r="A88" s="35">
        <v>28</v>
      </c>
      <c r="B88" s="35">
        <v>21</v>
      </c>
      <c r="C88" s="35">
        <f>Inputs!$D$8-A88-Inputs!$D$22*B88</f>
        <v>50</v>
      </c>
      <c r="D88" s="35">
        <f>A88*Inputs!$D$20+C88*Inputs!$D$21+B88*Inputs!$D$22</f>
        <v>120</v>
      </c>
      <c r="E88" s="36">
        <f>MIN(Inputs!$E$15,Inputs!$D$15*(C88/Inputs!$D$43)^Inputs!$D$44)</f>
        <v>0.4</v>
      </c>
      <c r="F88" s="36">
        <f>MIN(Inputs!$E$16,Inputs!$D$16*(B88/Inputs!$D$42)^Inputs!$D$44)</f>
        <v>0.40589787816896217</v>
      </c>
      <c r="G88" s="37">
        <f>Inputs!$D$26*(1+Inputs!$D$41*(B88-Inputs!$D$42))</f>
        <v>1.5150000000000001</v>
      </c>
      <c r="H88" s="35">
        <f>Inputs!$D$6*Inputs!$D$14*G88*Inputs!$D$29</f>
        <v>1903.4914500000004</v>
      </c>
      <c r="I88" s="36">
        <f>H88/(A88*Inputs!$D$32)</f>
        <v>1.2360334090909093</v>
      </c>
      <c r="J88" s="38">
        <f>IF(I88&gt;=1,999,I88/(Inputs!$D$32*(1-I88))*60)</f>
        <v>999</v>
      </c>
      <c r="K88" s="37">
        <f>MIN(1,MAX(0,(J88-Inputs!$D$36)/(Inputs!$D$37-Inputs!$D$36)))</f>
        <v>1</v>
      </c>
      <c r="L88" s="35">
        <f>Inputs!$D$6*Inputs!$D$14*G88*(1-Inputs!$D$38*K88)</f>
        <v>6979.4686500000025</v>
      </c>
      <c r="M88" s="39">
        <f>L88*Inputs!$D$11</f>
        <v>150058.57597500004</v>
      </c>
      <c r="N88" s="39">
        <f>M88*(1-Inputs!$D$17)</f>
        <v>52520.501591250009</v>
      </c>
      <c r="O88" s="35">
        <f>Inputs!$D$6*E88*Inputs!$D$27*Inputs!$D$30</f>
        <v>570.66240000000005</v>
      </c>
      <c r="P88" s="36">
        <f>O88/(C88*Inputs!$D$33)</f>
        <v>0.28533120000000001</v>
      </c>
      <c r="Q88" s="38">
        <f>IF(P88&gt;=1,999,P88/(Inputs!$D$33*(1-P88))*60)</f>
        <v>0.59887433171841276</v>
      </c>
      <c r="R88" s="37">
        <f>MIN(1,MAX(0,(Q88-Inputs!$D$36)/(Inputs!$D$37-Inputs!$D$36)))</f>
        <v>0</v>
      </c>
      <c r="S88" s="35">
        <f>Inputs!$D$6*E88*Inputs!$D$27*(1-Inputs!$D$38*R88)</f>
        <v>4755.5200000000004</v>
      </c>
      <c r="T88" s="39">
        <f>S88*Inputs!$D$12</f>
        <v>76088.320000000007</v>
      </c>
      <c r="U88" s="39">
        <f>T88*(1-Inputs!$D$18)</f>
        <v>34239.743999999999</v>
      </c>
      <c r="V88" s="35">
        <f>Inputs!$D$6*F88*Inputs!$D$28*Inputs!$D$31</f>
        <v>684.36330569102222</v>
      </c>
      <c r="W88" s="36">
        <f>V88/(B88*Inputs!$D$34)</f>
        <v>0.93110653835513224</v>
      </c>
      <c r="X88" s="38">
        <f>IF(W88&gt;=1,999,W88/(Inputs!$D$34*(1-W88))*60)</f>
        <v>23.16885520150278</v>
      </c>
      <c r="Y88" s="37">
        <f>MIN(1,MAX(0,(X88-Inputs!$D$36)/(Inputs!$D$37-Inputs!$D$36)))</f>
        <v>1</v>
      </c>
      <c r="Z88" s="35">
        <f>Inputs!$D$6*F88*Inputs!$D$28*(1-Inputs!$D$38*Y88)</f>
        <v>2895.3832163850943</v>
      </c>
      <c r="AA88" s="39">
        <f>Z88*Inputs!$D$13</f>
        <v>24610.757339273303</v>
      </c>
      <c r="AB88" s="39">
        <f>AA88*(1-Inputs!$D$19)</f>
        <v>14766.454403563981</v>
      </c>
      <c r="AC88" s="39">
        <f t="shared" si="4"/>
        <v>250757.65331427334</v>
      </c>
      <c r="AD88" s="39">
        <f t="shared" si="5"/>
        <v>101526.699994814</v>
      </c>
      <c r="AE88" s="36">
        <f t="shared" si="6"/>
        <v>1.2360334090909093</v>
      </c>
      <c r="AF88" s="35">
        <f>IF(AND(AE88&lt;=Inputs!$D$35,C88&gt;=Inputs!$D$48*(A88+B88+C88),B88*Inputs!$D$22&lt;=Inputs!$D$50*Inputs!$D$8,B88*Inputs!$D$22&gt;=Inputs!$D$49*Inputs!$D$8,A88*Inputs!$D$20&lt;=Inputs!$D$47*Inputs!$D$8,C88&gt;=1),1,0)</f>
        <v>0</v>
      </c>
      <c r="AG88" s="39">
        <f t="shared" si="7"/>
        <v>-1</v>
      </c>
    </row>
    <row r="89" spans="1:33" x14ac:dyDescent="0.25">
      <c r="A89" s="35">
        <v>28</v>
      </c>
      <c r="B89" s="35">
        <v>22</v>
      </c>
      <c r="C89" s="35">
        <f>Inputs!$D$8-A89-Inputs!$D$22*B89</f>
        <v>48</v>
      </c>
      <c r="D89" s="35">
        <f>A89*Inputs!$D$20+C89*Inputs!$D$21+B89*Inputs!$D$22</f>
        <v>120</v>
      </c>
      <c r="E89" s="36">
        <f>MIN(Inputs!$E$15,Inputs!$D$15*(C89/Inputs!$D$43)^Inputs!$D$44)</f>
        <v>0.39525168457966786</v>
      </c>
      <c r="F89" s="36">
        <f>MIN(Inputs!$E$16,Inputs!$D$16*(B89/Inputs!$D$42)^Inputs!$D$44)</f>
        <v>0.41160230376843804</v>
      </c>
      <c r="G89" s="37">
        <f>Inputs!$D$26*(1+Inputs!$D$41*(B89-Inputs!$D$42))</f>
        <v>1.53</v>
      </c>
      <c r="H89" s="35">
        <f>Inputs!$D$6*Inputs!$D$14*G89*Inputs!$D$29</f>
        <v>1922.3379</v>
      </c>
      <c r="I89" s="36">
        <f>H89/(A89*Inputs!$D$32)</f>
        <v>1.2482713636363636</v>
      </c>
      <c r="J89" s="38">
        <f>IF(I89&gt;=1,999,I89/(Inputs!$D$32*(1-I89))*60)</f>
        <v>999</v>
      </c>
      <c r="K89" s="37">
        <f>MIN(1,MAX(0,(J89-Inputs!$D$36)/(Inputs!$D$37-Inputs!$D$36)))</f>
        <v>1</v>
      </c>
      <c r="L89" s="35">
        <f>Inputs!$D$6*Inputs!$D$14*G89*(1-Inputs!$D$38*K89)</f>
        <v>7048.5723000000016</v>
      </c>
      <c r="M89" s="39">
        <f>L89*Inputs!$D$11</f>
        <v>151544.30445000003</v>
      </c>
      <c r="N89" s="39">
        <f>M89*(1-Inputs!$D$17)</f>
        <v>53040.506557500004</v>
      </c>
      <c r="O89" s="35">
        <f>Inputs!$D$6*E89*Inputs!$D$27*Inputs!$D$30</f>
        <v>563.88818731569074</v>
      </c>
      <c r="P89" s="36">
        <f>O89/(C89*Inputs!$D$33)</f>
        <v>0.29369176422692228</v>
      </c>
      <c r="Q89" s="38">
        <f>IF(P89&gt;=1,999,P89/(Inputs!$D$33*(1-P89))*60)</f>
        <v>0.62371868828373556</v>
      </c>
      <c r="R89" s="37">
        <f>MIN(1,MAX(0,(Q89-Inputs!$D$36)/(Inputs!$D$37-Inputs!$D$36)))</f>
        <v>0</v>
      </c>
      <c r="S89" s="35">
        <f>Inputs!$D$6*E89*Inputs!$D$27*(1-Inputs!$D$38*R89)</f>
        <v>4699.0682276307562</v>
      </c>
      <c r="T89" s="39">
        <f>S89*Inputs!$D$12</f>
        <v>75185.091642092098</v>
      </c>
      <c r="U89" s="39">
        <f>T89*(1-Inputs!$D$18)</f>
        <v>33833.291238941441</v>
      </c>
      <c r="V89" s="35">
        <f>Inputs!$D$6*F89*Inputs!$D$28*Inputs!$D$31</f>
        <v>693.98124106416742</v>
      </c>
      <c r="W89" s="36">
        <f>V89/(B89*Inputs!$D$34)</f>
        <v>0.90127433904437326</v>
      </c>
      <c r="X89" s="38">
        <f>IF(W89&gt;=1,999,W89/(Inputs!$D$34*(1-W89))*60)</f>
        <v>15.649849381818807</v>
      </c>
      <c r="Y89" s="37">
        <f>MIN(1,MAX(0,(X89-Inputs!$D$36)/(Inputs!$D$37-Inputs!$D$36)))</f>
        <v>0.70998995878792048</v>
      </c>
      <c r="Z89" s="35">
        <f>Inputs!$D$6*F89*Inputs!$D$28*(1-Inputs!$D$38*Y89)</f>
        <v>3632.749002537963</v>
      </c>
      <c r="AA89" s="39">
        <f>Z89*Inputs!$D$13</f>
        <v>30878.366521572687</v>
      </c>
      <c r="AB89" s="39">
        <f>AA89*(1-Inputs!$D$19)</f>
        <v>18527.019912943611</v>
      </c>
      <c r="AC89" s="39">
        <f t="shared" si="4"/>
        <v>257607.76261366482</v>
      </c>
      <c r="AD89" s="39">
        <f t="shared" si="5"/>
        <v>105400.81770938505</v>
      </c>
      <c r="AE89" s="36">
        <f t="shared" si="6"/>
        <v>1.2482713636363636</v>
      </c>
      <c r="AF89" s="35">
        <f>IF(AND(AE89&lt;=Inputs!$D$35,C89&gt;=Inputs!$D$48*(A89+B89+C89),B89*Inputs!$D$22&lt;=Inputs!$D$50*Inputs!$D$8,B89*Inputs!$D$22&gt;=Inputs!$D$49*Inputs!$D$8,A89*Inputs!$D$20&lt;=Inputs!$D$47*Inputs!$D$8,C89&gt;=1),1,0)</f>
        <v>0</v>
      </c>
      <c r="AG89" s="39">
        <f t="shared" si="7"/>
        <v>-1</v>
      </c>
    </row>
    <row r="90" spans="1:33" x14ac:dyDescent="0.25">
      <c r="A90" s="35">
        <v>28</v>
      </c>
      <c r="B90" s="35">
        <v>23</v>
      </c>
      <c r="C90" s="35">
        <f>Inputs!$D$8-A90-Inputs!$D$22*B90</f>
        <v>46</v>
      </c>
      <c r="D90" s="35">
        <f>A90*Inputs!$D$20+C90*Inputs!$D$21+B90*Inputs!$D$22</f>
        <v>120</v>
      </c>
      <c r="E90" s="36">
        <f>MIN(Inputs!$E$15,Inputs!$D$15*(C90/Inputs!$D$43)^Inputs!$D$44)</f>
        <v>0.39023723685630041</v>
      </c>
      <c r="F90" s="36">
        <f>MIN(Inputs!$E$16,Inputs!$D$16*(B90/Inputs!$D$42)^Inputs!$D$44)</f>
        <v>0.41712800028621322</v>
      </c>
      <c r="G90" s="37">
        <f>Inputs!$D$26*(1+Inputs!$D$41*(B90-Inputs!$D$42))</f>
        <v>1.5449999999999999</v>
      </c>
      <c r="H90" s="35">
        <f>Inputs!$D$6*Inputs!$D$14*G90*Inputs!$D$29</f>
        <v>1941.18435</v>
      </c>
      <c r="I90" s="36">
        <f>H90/(A90*Inputs!$D$32)</f>
        <v>1.2605093181818181</v>
      </c>
      <c r="J90" s="38">
        <f>IF(I90&gt;=1,999,I90/(Inputs!$D$32*(1-I90))*60)</f>
        <v>999</v>
      </c>
      <c r="K90" s="37">
        <f>MIN(1,MAX(0,(J90-Inputs!$D$36)/(Inputs!$D$37-Inputs!$D$36)))</f>
        <v>1</v>
      </c>
      <c r="L90" s="35">
        <f>Inputs!$D$6*Inputs!$D$14*G90*(1-Inputs!$D$38*K90)</f>
        <v>7117.6759500000016</v>
      </c>
      <c r="M90" s="39">
        <f>L90*Inputs!$D$11</f>
        <v>153030.03292500004</v>
      </c>
      <c r="N90" s="39">
        <f>M90*(1-Inputs!$D$17)</f>
        <v>53560.511523750007</v>
      </c>
      <c r="O90" s="35">
        <f>Inputs!$D$6*E90*Inputs!$D$27*Inputs!$D$30</f>
        <v>556.73429538446214</v>
      </c>
      <c r="P90" s="36">
        <f>O90/(C90*Inputs!$D$33)</f>
        <v>0.30257298662199028</v>
      </c>
      <c r="Q90" s="38">
        <f>IF(P90&gt;=1,999,P90/(Inputs!$D$33*(1-P90))*60)</f>
        <v>0.65076269090109196</v>
      </c>
      <c r="R90" s="37">
        <f>MIN(1,MAX(0,(Q90-Inputs!$D$36)/(Inputs!$D$37-Inputs!$D$36)))</f>
        <v>0</v>
      </c>
      <c r="S90" s="35">
        <f>Inputs!$D$6*E90*Inputs!$D$27*(1-Inputs!$D$38*R90)</f>
        <v>4639.4524615371847</v>
      </c>
      <c r="T90" s="39">
        <f>S90*Inputs!$D$12</f>
        <v>74231.239384594955</v>
      </c>
      <c r="U90" s="39">
        <f>T90*(1-Inputs!$D$18)</f>
        <v>33404.05772306773</v>
      </c>
      <c r="V90" s="35">
        <f>Inputs!$D$6*F90*Inputs!$D$28*Inputs!$D$31</f>
        <v>703.29783062656929</v>
      </c>
      <c r="W90" s="36">
        <f>V90/(B90*Inputs!$D$34)</f>
        <v>0.87366190139946498</v>
      </c>
      <c r="X90" s="38">
        <f>IF(W90&gt;=1,999,W90/(Inputs!$D$34*(1-W90))*60)</f>
        <v>11.854746377182334</v>
      </c>
      <c r="Y90" s="37">
        <f>MIN(1,MAX(0,(X90-Inputs!$D$36)/(Inputs!$D$37-Inputs!$D$36)))</f>
        <v>0.45698309181215557</v>
      </c>
      <c r="Z90" s="35">
        <f>Inputs!$D$6*F90*Inputs!$D$28*(1-Inputs!$D$38*Y90)</f>
        <v>4297.4614071503011</v>
      </c>
      <c r="AA90" s="39">
        <f>Z90*Inputs!$D$13</f>
        <v>36528.421960777559</v>
      </c>
      <c r="AB90" s="39">
        <f>AA90*(1-Inputs!$D$19)</f>
        <v>21917.053176466536</v>
      </c>
      <c r="AC90" s="39">
        <f t="shared" si="4"/>
        <v>263789.69427037257</v>
      </c>
      <c r="AD90" s="39">
        <f t="shared" si="5"/>
        <v>108881.62242328427</v>
      </c>
      <c r="AE90" s="36">
        <f t="shared" si="6"/>
        <v>1.2605093181818181</v>
      </c>
      <c r="AF90" s="35">
        <f>IF(AND(AE90&lt;=Inputs!$D$35,C90&gt;=Inputs!$D$48*(A90+B90+C90),B90*Inputs!$D$22&lt;=Inputs!$D$50*Inputs!$D$8,B90*Inputs!$D$22&gt;=Inputs!$D$49*Inputs!$D$8,A90*Inputs!$D$20&lt;=Inputs!$D$47*Inputs!$D$8,C90&gt;=1),1,0)</f>
        <v>0</v>
      </c>
      <c r="AG90" s="39">
        <f t="shared" si="7"/>
        <v>-1</v>
      </c>
    </row>
    <row r="91" spans="1:33" x14ac:dyDescent="0.25">
      <c r="A91" s="35">
        <v>28</v>
      </c>
      <c r="B91" s="35">
        <v>24</v>
      </c>
      <c r="C91" s="35">
        <f>Inputs!$D$8-A91-Inputs!$D$22*B91</f>
        <v>44</v>
      </c>
      <c r="D91" s="35">
        <f>A91*Inputs!$D$20+C91*Inputs!$D$21+B91*Inputs!$D$22</f>
        <v>120</v>
      </c>
      <c r="E91" s="36">
        <f>MIN(Inputs!$E$15,Inputs!$D$15*(C91/Inputs!$D$43)^Inputs!$D$44)</f>
        <v>0.38506776240403751</v>
      </c>
      <c r="F91" s="36">
        <f>MIN(Inputs!$E$16,Inputs!$D$16*(B91/Inputs!$D$42)^Inputs!$D$44)</f>
        <v>0.42248798737570326</v>
      </c>
      <c r="G91" s="37">
        <f>Inputs!$D$26*(1+Inputs!$D$41*(B91-Inputs!$D$42))</f>
        <v>1.56</v>
      </c>
      <c r="H91" s="35">
        <f>Inputs!$D$6*Inputs!$D$14*G91*Inputs!$D$29</f>
        <v>1960.0308</v>
      </c>
      <c r="I91" s="36">
        <f>H91/(A91*Inputs!$D$32)</f>
        <v>1.2727472727272726</v>
      </c>
      <c r="J91" s="38">
        <f>IF(I91&gt;=1,999,I91/(Inputs!$D$32*(1-I91))*60)</f>
        <v>999</v>
      </c>
      <c r="K91" s="37">
        <f>MIN(1,MAX(0,(J91-Inputs!$D$36)/(Inputs!$D$37-Inputs!$D$36)))</f>
        <v>1</v>
      </c>
      <c r="L91" s="35">
        <f>Inputs!$D$6*Inputs!$D$14*G91*(1-Inputs!$D$38*K91)</f>
        <v>7186.7796000000017</v>
      </c>
      <c r="M91" s="39">
        <f>L91*Inputs!$D$11</f>
        <v>154515.76140000005</v>
      </c>
      <c r="N91" s="39">
        <f>M91*(1-Inputs!$D$17)</f>
        <v>54080.516490000016</v>
      </c>
      <c r="O91" s="35">
        <f>Inputs!$D$6*E91*Inputs!$D$27*Inputs!$D$30</f>
        <v>549.35923364029463</v>
      </c>
      <c r="P91" s="36">
        <f>O91/(C91*Inputs!$D$33)</f>
        <v>0.31213592820471286</v>
      </c>
      <c r="Q91" s="38">
        <f>IF(P91&gt;=1,999,P91/(Inputs!$D$33*(1-P91))*60)</f>
        <v>0.6806633919476025</v>
      </c>
      <c r="R91" s="37">
        <f>MIN(1,MAX(0,(Q91-Inputs!$D$36)/(Inputs!$D$37-Inputs!$D$36)))</f>
        <v>0</v>
      </c>
      <c r="S91" s="35">
        <f>Inputs!$D$6*E91*Inputs!$D$27*(1-Inputs!$D$38*R91)</f>
        <v>4577.9936136691222</v>
      </c>
      <c r="T91" s="39">
        <f>S91*Inputs!$D$12</f>
        <v>73247.897818705955</v>
      </c>
      <c r="U91" s="39">
        <f>T91*(1-Inputs!$D$18)</f>
        <v>32961.554018417679</v>
      </c>
      <c r="V91" s="35">
        <f>Inputs!$D$6*F91*Inputs!$D$28*Inputs!$D$31</f>
        <v>712.33502613882979</v>
      </c>
      <c r="W91" s="36">
        <f>V91/(B91*Inputs!$D$34)</f>
        <v>0.84801788826051161</v>
      </c>
      <c r="X91" s="38">
        <f>IF(W91&gt;=1,999,W91/(Inputs!$D$34*(1-W91))*60)</f>
        <v>9.5652372155190832</v>
      </c>
      <c r="Y91" s="37">
        <f>MIN(1,MAX(0,(X91-Inputs!$D$36)/(Inputs!$D$37-Inputs!$D$36)))</f>
        <v>0.30434914770127219</v>
      </c>
      <c r="Z91" s="35">
        <f>Inputs!$D$6*F91*Inputs!$D$28*(1-Inputs!$D$38*Y91)</f>
        <v>4729.0436538571339</v>
      </c>
      <c r="AA91" s="39">
        <f>Z91*Inputs!$D$13</f>
        <v>40196.87105778564</v>
      </c>
      <c r="AB91" s="39">
        <f>AA91*(1-Inputs!$D$19)</f>
        <v>24118.122634671385</v>
      </c>
      <c r="AC91" s="39">
        <f t="shared" si="4"/>
        <v>267960.53027649166</v>
      </c>
      <c r="AD91" s="39">
        <f t="shared" si="5"/>
        <v>111160.19314308908</v>
      </c>
      <c r="AE91" s="36">
        <f t="shared" si="6"/>
        <v>1.2727472727272726</v>
      </c>
      <c r="AF91" s="35">
        <f>IF(AND(AE91&lt;=Inputs!$D$35,C91&gt;=Inputs!$D$48*(A91+B91+C91),B91*Inputs!$D$22&lt;=Inputs!$D$50*Inputs!$D$8,B91*Inputs!$D$22&gt;=Inputs!$D$49*Inputs!$D$8,A91*Inputs!$D$20&lt;=Inputs!$D$47*Inputs!$D$8,C91&gt;=1),1,0)</f>
        <v>0</v>
      </c>
      <c r="AG91" s="39">
        <f t="shared" si="7"/>
        <v>-1</v>
      </c>
    </row>
    <row r="92" spans="1:33" x14ac:dyDescent="0.25">
      <c r="A92" s="35">
        <v>28</v>
      </c>
      <c r="B92" s="35">
        <v>25</v>
      </c>
      <c r="C92" s="35">
        <f>Inputs!$D$8-A92-Inputs!$D$22*B92</f>
        <v>42</v>
      </c>
      <c r="D92" s="35">
        <f>A92*Inputs!$D$20+C92*Inputs!$D$21+B92*Inputs!$D$22</f>
        <v>120</v>
      </c>
      <c r="E92" s="36">
        <f>MIN(Inputs!$E$15,Inputs!$D$15*(C92/Inputs!$D$43)^Inputs!$D$44)</f>
        <v>0.37973108090036384</v>
      </c>
      <c r="F92" s="36">
        <f>MIN(Inputs!$E$16,Inputs!$D$16*(B92/Inputs!$D$42)^Inputs!$D$44)</f>
        <v>0.42769383999647526</v>
      </c>
      <c r="G92" s="37">
        <f>Inputs!$D$26*(1+Inputs!$D$41*(B92-Inputs!$D$42))</f>
        <v>1.5750000000000002</v>
      </c>
      <c r="H92" s="35">
        <f>Inputs!$D$6*Inputs!$D$14*G92*Inputs!$D$29</f>
        <v>1978.8772500000005</v>
      </c>
      <c r="I92" s="36">
        <f>H92/(A92*Inputs!$D$32)</f>
        <v>1.2849852272727276</v>
      </c>
      <c r="J92" s="38">
        <f>IF(I92&gt;=1,999,I92/(Inputs!$D$32*(1-I92))*60)</f>
        <v>999</v>
      </c>
      <c r="K92" s="37">
        <f>MIN(1,MAX(0,(J92-Inputs!$D$36)/(Inputs!$D$37-Inputs!$D$36)))</f>
        <v>1</v>
      </c>
      <c r="L92" s="35">
        <f>Inputs!$D$6*Inputs!$D$14*G92*(1-Inputs!$D$38*K92)</f>
        <v>7255.8832500000026</v>
      </c>
      <c r="M92" s="39">
        <f>L92*Inputs!$D$11</f>
        <v>156001.48987500006</v>
      </c>
      <c r="N92" s="39">
        <f>M92*(1-Inputs!$D$17)</f>
        <v>54600.521456250019</v>
      </c>
      <c r="O92" s="35">
        <f>Inputs!$D$6*E92*Inputs!$D$27*Inputs!$D$30</f>
        <v>541.74562495298949</v>
      </c>
      <c r="P92" s="36">
        <f>O92/(C92*Inputs!$D$33)</f>
        <v>0.32246763390058897</v>
      </c>
      <c r="Q92" s="38">
        <f>IF(P92&gt;=1,999,P92/(Inputs!$D$33*(1-P92))*60)</f>
        <v>0.71391637514762252</v>
      </c>
      <c r="R92" s="37">
        <f>MIN(1,MAX(0,(Q92-Inputs!$D$36)/(Inputs!$D$37-Inputs!$D$36)))</f>
        <v>0</v>
      </c>
      <c r="S92" s="35">
        <f>Inputs!$D$6*E92*Inputs!$D$27*(1-Inputs!$D$38*R92)</f>
        <v>4514.5468746082461</v>
      </c>
      <c r="T92" s="39">
        <f>S92*Inputs!$D$12</f>
        <v>72232.749993731937</v>
      </c>
      <c r="U92" s="39">
        <f>T92*(1-Inputs!$D$18)</f>
        <v>32504.737497179369</v>
      </c>
      <c r="V92" s="35">
        <f>Inputs!$D$6*F92*Inputs!$D$28*Inputs!$D$31</f>
        <v>721.1123435383771</v>
      </c>
      <c r="W92" s="36">
        <f>V92/(B92*Inputs!$D$34)</f>
        <v>0.82412839261528814</v>
      </c>
      <c r="X92" s="38">
        <f>IF(W92&gt;=1,999,W92/(Inputs!$D$34*(1-W92))*60)</f>
        <v>8.0330847668163621</v>
      </c>
      <c r="Y92" s="37">
        <f>MIN(1,MAX(0,(X92-Inputs!$D$36)/(Inputs!$D$37-Inputs!$D$36)))</f>
        <v>0.20220565112109082</v>
      </c>
      <c r="Z92" s="35">
        <f>Inputs!$D$6*F92*Inputs!$D$28*(1-Inputs!$D$38*Y92)</f>
        <v>5042.2807508299393</v>
      </c>
      <c r="AA92" s="39">
        <f>Z92*Inputs!$D$13</f>
        <v>42859.386382054487</v>
      </c>
      <c r="AB92" s="39">
        <f>AA92*(1-Inputs!$D$19)</f>
        <v>25715.631829232691</v>
      </c>
      <c r="AC92" s="39">
        <f t="shared" si="4"/>
        <v>271093.62625078647</v>
      </c>
      <c r="AD92" s="39">
        <f t="shared" si="5"/>
        <v>112820.89078266207</v>
      </c>
      <c r="AE92" s="36">
        <f t="shared" si="6"/>
        <v>1.2849852272727276</v>
      </c>
      <c r="AF92" s="35">
        <f>IF(AND(AE92&lt;=Inputs!$D$35,C92&gt;=Inputs!$D$48*(A92+B92+C92),B92*Inputs!$D$22&lt;=Inputs!$D$50*Inputs!$D$8,B92*Inputs!$D$22&gt;=Inputs!$D$49*Inputs!$D$8,A92*Inputs!$D$20&lt;=Inputs!$D$47*Inputs!$D$8,C92&gt;=1),1,0)</f>
        <v>0</v>
      </c>
      <c r="AG92" s="39">
        <f t="shared" si="7"/>
        <v>-1</v>
      </c>
    </row>
    <row r="93" spans="1:33" x14ac:dyDescent="0.25">
      <c r="A93" s="35">
        <v>28</v>
      </c>
      <c r="B93" s="35">
        <v>26</v>
      </c>
      <c r="C93" s="35">
        <f>Inputs!$D$8-A93-Inputs!$D$22*B93</f>
        <v>40</v>
      </c>
      <c r="D93" s="35">
        <f>A93*Inputs!$D$20+C93*Inputs!$D$21+B93*Inputs!$D$22</f>
        <v>120</v>
      </c>
      <c r="E93" s="36">
        <f>MIN(Inputs!$E$15,Inputs!$D$15*(C93/Inputs!$D$43)^Inputs!$D$44)</f>
        <v>0.37421341802855551</v>
      </c>
      <c r="F93" s="36">
        <f>MIN(Inputs!$E$16,Inputs!$D$16*(B93/Inputs!$D$42)^Inputs!$D$44)</f>
        <v>0.43275589945781112</v>
      </c>
      <c r="G93" s="37">
        <f>Inputs!$D$26*(1+Inputs!$D$41*(B93-Inputs!$D$42))</f>
        <v>1.59</v>
      </c>
      <c r="H93" s="35">
        <f>Inputs!$D$6*Inputs!$D$14*G93*Inputs!$D$29</f>
        <v>1997.7237</v>
      </c>
      <c r="I93" s="36">
        <f>H93/(A93*Inputs!$D$32)</f>
        <v>1.2972231818181819</v>
      </c>
      <c r="J93" s="38">
        <f>IF(I93&gt;=1,999,I93/(Inputs!$D$32*(1-I93))*60)</f>
        <v>999</v>
      </c>
      <c r="K93" s="37">
        <f>MIN(1,MAX(0,(J93-Inputs!$D$36)/(Inputs!$D$37-Inputs!$D$36)))</f>
        <v>1</v>
      </c>
      <c r="L93" s="35">
        <f>Inputs!$D$6*Inputs!$D$14*G93*(1-Inputs!$D$38*K93)</f>
        <v>7324.9869000000017</v>
      </c>
      <c r="M93" s="39">
        <f>L93*Inputs!$D$11</f>
        <v>157487.21835000004</v>
      </c>
      <c r="N93" s="39">
        <f>M93*(1-Inputs!$D$17)</f>
        <v>55120.526422500014</v>
      </c>
      <c r="O93" s="35">
        <f>Inputs!$D$6*E93*Inputs!$D$27*Inputs!$D$30</f>
        <v>533.8738181109469</v>
      </c>
      <c r="P93" s="36">
        <f>O93/(C93*Inputs!$D$33)</f>
        <v>0.33367113631934181</v>
      </c>
      <c r="Q93" s="38">
        <f>IF(P93&gt;=1,999,P93/(Inputs!$D$33*(1-P93))*60)</f>
        <v>0.75114066305685867</v>
      </c>
      <c r="R93" s="37">
        <f>MIN(1,MAX(0,(Q93-Inputs!$D$36)/(Inputs!$D$37-Inputs!$D$36)))</f>
        <v>0</v>
      </c>
      <c r="S93" s="35">
        <f>Inputs!$D$6*E93*Inputs!$D$27*(1-Inputs!$D$38*R93)</f>
        <v>4448.9484842578913</v>
      </c>
      <c r="T93" s="39">
        <f>S93*Inputs!$D$12</f>
        <v>71183.175748126261</v>
      </c>
      <c r="U93" s="39">
        <f>T93*(1-Inputs!$D$18)</f>
        <v>32032.429086656815</v>
      </c>
      <c r="V93" s="35">
        <f>Inputs!$D$6*F93*Inputs!$D$28*Inputs!$D$31</f>
        <v>729.64721876904355</v>
      </c>
      <c r="W93" s="36">
        <f>V93/(B93*Inputs!$D$34)</f>
        <v>0.80181013051543248</v>
      </c>
      <c r="X93" s="38">
        <f>IF(W93&gt;=1,999,W93/(Inputs!$D$34*(1-W93))*60)</f>
        <v>6.9354284146153136</v>
      </c>
      <c r="Y93" s="37">
        <f>MIN(1,MAX(0,(X93-Inputs!$D$36)/(Inputs!$D$37-Inputs!$D$36)))</f>
        <v>0.12902856097435425</v>
      </c>
      <c r="Z93" s="35">
        <f>Inputs!$D$6*F93*Inputs!$D$28*(1-Inputs!$D$38*Y93)</f>
        <v>5286.7832305655711</v>
      </c>
      <c r="AA93" s="39">
        <f>Z93*Inputs!$D$13</f>
        <v>44937.657459807357</v>
      </c>
      <c r="AB93" s="39">
        <f>AA93*(1-Inputs!$D$19)</f>
        <v>26962.594475884413</v>
      </c>
      <c r="AC93" s="39">
        <f t="shared" si="4"/>
        <v>273608.05155793368</v>
      </c>
      <c r="AD93" s="39">
        <f t="shared" si="5"/>
        <v>114115.54998504125</v>
      </c>
      <c r="AE93" s="36">
        <f t="shared" si="6"/>
        <v>1.2972231818181819</v>
      </c>
      <c r="AF93" s="35">
        <f>IF(AND(AE93&lt;=Inputs!$D$35,C93&gt;=Inputs!$D$48*(A93+B93+C93),B93*Inputs!$D$22&lt;=Inputs!$D$50*Inputs!$D$8,B93*Inputs!$D$22&gt;=Inputs!$D$49*Inputs!$D$8,A93*Inputs!$D$20&lt;=Inputs!$D$47*Inputs!$D$8,C93&gt;=1),1,0)</f>
        <v>0</v>
      </c>
      <c r="AG93" s="39">
        <f t="shared" si="7"/>
        <v>-1</v>
      </c>
    </row>
    <row r="94" spans="1:33" x14ac:dyDescent="0.25">
      <c r="A94" s="35">
        <v>28</v>
      </c>
      <c r="B94" s="35">
        <v>27</v>
      </c>
      <c r="C94" s="35">
        <f>Inputs!$D$8-A94-Inputs!$D$22*B94</f>
        <v>38</v>
      </c>
      <c r="D94" s="35">
        <f>A94*Inputs!$D$20+C94*Inputs!$D$21+B94*Inputs!$D$22</f>
        <v>120</v>
      </c>
      <c r="E94" s="36">
        <f>MIN(Inputs!$E$15,Inputs!$D$15*(C94/Inputs!$D$43)^Inputs!$D$44)</f>
        <v>0.36849910497273691</v>
      </c>
      <c r="F94" s="36">
        <f>MIN(Inputs!$E$16,Inputs!$D$16*(B94/Inputs!$D$42)^Inputs!$D$44)</f>
        <v>0.43768344678187454</v>
      </c>
      <c r="G94" s="37">
        <f>Inputs!$D$26*(1+Inputs!$D$41*(B94-Inputs!$D$42))</f>
        <v>1.605</v>
      </c>
      <c r="H94" s="35">
        <f>Inputs!$D$6*Inputs!$D$14*G94*Inputs!$D$29</f>
        <v>2016.57015</v>
      </c>
      <c r="I94" s="36">
        <f>H94/(A94*Inputs!$D$32)</f>
        <v>1.3094611363636364</v>
      </c>
      <c r="J94" s="38">
        <f>IF(I94&gt;=1,999,I94/(Inputs!$D$32*(1-I94))*60)</f>
        <v>999</v>
      </c>
      <c r="K94" s="37">
        <f>MIN(1,MAX(0,(J94-Inputs!$D$36)/(Inputs!$D$37-Inputs!$D$36)))</f>
        <v>1</v>
      </c>
      <c r="L94" s="35">
        <f>Inputs!$D$6*Inputs!$D$14*G94*(1-Inputs!$D$38*K94)</f>
        <v>7394.0905500000017</v>
      </c>
      <c r="M94" s="39">
        <f>L94*Inputs!$D$11</f>
        <v>158972.94682500005</v>
      </c>
      <c r="N94" s="39">
        <f>M94*(1-Inputs!$D$17)</f>
        <v>55640.531388750016</v>
      </c>
      <c r="O94" s="35">
        <f>Inputs!$D$6*E94*Inputs!$D$27*Inputs!$D$30</f>
        <v>525.72145910398501</v>
      </c>
      <c r="P94" s="36">
        <f>O94/(C94*Inputs!$D$33)</f>
        <v>0.34586938098946385</v>
      </c>
      <c r="Q94" s="38">
        <f>IF(P94&gt;=1,999,P94/(Inputs!$D$33*(1-P94))*60)</f>
        <v>0.79311999225622454</v>
      </c>
      <c r="R94" s="37">
        <f>MIN(1,MAX(0,(Q94-Inputs!$D$36)/(Inputs!$D$37-Inputs!$D$36)))</f>
        <v>0</v>
      </c>
      <c r="S94" s="35">
        <f>Inputs!$D$6*E94*Inputs!$D$27*(1-Inputs!$D$38*R94)</f>
        <v>4381.012159199875</v>
      </c>
      <c r="T94" s="39">
        <f>S94*Inputs!$D$12</f>
        <v>70096.194547198</v>
      </c>
      <c r="U94" s="39">
        <f>T94*(1-Inputs!$D$18)</f>
        <v>31543.287546239098</v>
      </c>
      <c r="V94" s="35">
        <f>Inputs!$D$6*F94*Inputs!$D$28*Inputs!$D$31</f>
        <v>737.95530007968603</v>
      </c>
      <c r="W94" s="36">
        <f>V94/(B94*Inputs!$D$34)</f>
        <v>0.78090507944940324</v>
      </c>
      <c r="X94" s="38">
        <f>IF(W94&gt;=1,999,W94/(Inputs!$D$34*(1-W94))*60)</f>
        <v>6.1101116290101798</v>
      </c>
      <c r="Y94" s="37">
        <f>MIN(1,MAX(0,(X94-Inputs!$D$36)/(Inputs!$D$37-Inputs!$D$36)))</f>
        <v>7.4007441934011986E-2</v>
      </c>
      <c r="Z94" s="35">
        <f>Inputs!$D$6*F94*Inputs!$D$28*(1-Inputs!$D$38*Y94)</f>
        <v>5487.5301328495489</v>
      </c>
      <c r="AA94" s="39">
        <f>Z94*Inputs!$D$13</f>
        <v>46644.006129221169</v>
      </c>
      <c r="AB94" s="39">
        <f>AA94*(1-Inputs!$D$19)</f>
        <v>27986.4036775327</v>
      </c>
      <c r="AC94" s="39">
        <f t="shared" si="4"/>
        <v>275713.14750141924</v>
      </c>
      <c r="AD94" s="39">
        <f t="shared" si="5"/>
        <v>115170.22261252181</v>
      </c>
      <c r="AE94" s="36">
        <f t="shared" si="6"/>
        <v>1.3094611363636364</v>
      </c>
      <c r="AF94" s="35">
        <f>IF(AND(AE94&lt;=Inputs!$D$35,C94&gt;=Inputs!$D$48*(A94+B94+C94),B94*Inputs!$D$22&lt;=Inputs!$D$50*Inputs!$D$8,B94*Inputs!$D$22&gt;=Inputs!$D$49*Inputs!$D$8,A94*Inputs!$D$20&lt;=Inputs!$D$47*Inputs!$D$8,C94&gt;=1),1,0)</f>
        <v>0</v>
      </c>
      <c r="AG94" s="39">
        <f t="shared" si="7"/>
        <v>-1</v>
      </c>
    </row>
    <row r="95" spans="1:33" x14ac:dyDescent="0.25">
      <c r="A95" s="35">
        <v>28</v>
      </c>
      <c r="B95" s="35">
        <v>28</v>
      </c>
      <c r="C95" s="35">
        <f>Inputs!$D$8-A95-Inputs!$D$22*B95</f>
        <v>36</v>
      </c>
      <c r="D95" s="35">
        <f>A95*Inputs!$D$20+C95*Inputs!$D$21+B95*Inputs!$D$22</f>
        <v>120</v>
      </c>
      <c r="E95" s="36">
        <f>MIN(Inputs!$E$15,Inputs!$D$15*(C95/Inputs!$D$43)^Inputs!$D$44)</f>
        <v>0.36257020206219398</v>
      </c>
      <c r="F95" s="36">
        <f>MIN(Inputs!$E$16,Inputs!$D$16*(B95/Inputs!$D$42)^Inputs!$D$44)</f>
        <v>0.44248484624799689</v>
      </c>
      <c r="G95" s="37">
        <f>Inputs!$D$26*(1+Inputs!$D$41*(B95-Inputs!$D$42))</f>
        <v>1.62</v>
      </c>
      <c r="H95" s="35">
        <f>Inputs!$D$6*Inputs!$D$14*G95*Inputs!$D$29</f>
        <v>2035.4166</v>
      </c>
      <c r="I95" s="36">
        <f>H95/(A95*Inputs!$D$32)</f>
        <v>1.3216990909090909</v>
      </c>
      <c r="J95" s="38">
        <f>IF(I95&gt;=1,999,I95/(Inputs!$D$32*(1-I95))*60)</f>
        <v>999</v>
      </c>
      <c r="K95" s="37">
        <f>MIN(1,MAX(0,(J95-Inputs!$D$36)/(Inputs!$D$37-Inputs!$D$36)))</f>
        <v>1</v>
      </c>
      <c r="L95" s="35">
        <f>Inputs!$D$6*Inputs!$D$14*G95*(1-Inputs!$D$38*K95)</f>
        <v>7463.1942000000017</v>
      </c>
      <c r="M95" s="39">
        <f>L95*Inputs!$D$11</f>
        <v>160458.67530000003</v>
      </c>
      <c r="N95" s="39">
        <f>M95*(1-Inputs!$D$17)</f>
        <v>56160.536355000011</v>
      </c>
      <c r="O95" s="35">
        <f>Inputs!$D$6*E95*Inputs!$D$27*Inputs!$D$30</f>
        <v>517.26295419324151</v>
      </c>
      <c r="P95" s="36">
        <f>O95/(C95*Inputs!$D$33)</f>
        <v>0.35921038485641771</v>
      </c>
      <c r="Q95" s="38">
        <f>IF(P95&gt;=1,999,P95/(Inputs!$D$33*(1-P95))*60)</f>
        <v>0.84086190623406665</v>
      </c>
      <c r="R95" s="37">
        <f>MIN(1,MAX(0,(Q95-Inputs!$D$36)/(Inputs!$D$37-Inputs!$D$36)))</f>
        <v>0</v>
      </c>
      <c r="S95" s="35">
        <f>Inputs!$D$6*E95*Inputs!$D$27*(1-Inputs!$D$38*R95)</f>
        <v>4310.5246182770125</v>
      </c>
      <c r="T95" s="39">
        <f>S95*Inputs!$D$12</f>
        <v>68968.393892432199</v>
      </c>
      <c r="U95" s="39">
        <f>T95*(1-Inputs!$D$18)</f>
        <v>31035.777251594485</v>
      </c>
      <c r="V95" s="35">
        <f>Inputs!$D$6*F95*Inputs!$D$28*Inputs!$D$31</f>
        <v>746.05069004674272</v>
      </c>
      <c r="W95" s="36">
        <f>V95/(B95*Inputs!$D$34)</f>
        <v>0.76127621433341097</v>
      </c>
      <c r="X95" s="38">
        <f>IF(W95&gt;=1,999,W95/(Inputs!$D$34*(1-W95))*60)</f>
        <v>5.4667570523531852</v>
      </c>
      <c r="Y95" s="37">
        <f>MIN(1,MAX(0,(X95-Inputs!$D$36)/(Inputs!$D$37-Inputs!$D$36)))</f>
        <v>3.111713682354568E-2</v>
      </c>
      <c r="Z95" s="35">
        <f>Inputs!$D$6*F95*Inputs!$D$28*(1-Inputs!$D$38*Y95)</f>
        <v>5658.4919801305723</v>
      </c>
      <c r="AA95" s="39">
        <f>Z95*Inputs!$D$13</f>
        <v>48097.181831109861</v>
      </c>
      <c r="AB95" s="39">
        <f>AA95*(1-Inputs!$D$19)</f>
        <v>28858.309098665915</v>
      </c>
      <c r="AC95" s="39">
        <f t="shared" si="4"/>
        <v>277524.25102354208</v>
      </c>
      <c r="AD95" s="39">
        <f t="shared" si="5"/>
        <v>116054.62270526041</v>
      </c>
      <c r="AE95" s="36">
        <f t="shared" si="6"/>
        <v>1.3216990909090909</v>
      </c>
      <c r="AF95" s="35">
        <f>IF(AND(AE95&lt;=Inputs!$D$35,C95&gt;=Inputs!$D$48*(A95+B95+C95),B95*Inputs!$D$22&lt;=Inputs!$D$50*Inputs!$D$8,B95*Inputs!$D$22&gt;=Inputs!$D$49*Inputs!$D$8,A95*Inputs!$D$20&lt;=Inputs!$D$47*Inputs!$D$8,C95&gt;=1),1,0)</f>
        <v>0</v>
      </c>
      <c r="AG95" s="39">
        <f t="shared" si="7"/>
        <v>-1</v>
      </c>
    </row>
    <row r="96" spans="1:33" x14ac:dyDescent="0.25">
      <c r="A96" s="35">
        <v>28</v>
      </c>
      <c r="B96" s="35">
        <v>29</v>
      </c>
      <c r="C96" s="35">
        <f>Inputs!$D$8-A96-Inputs!$D$22*B96</f>
        <v>34</v>
      </c>
      <c r="D96" s="35">
        <f>A96*Inputs!$D$20+C96*Inputs!$D$21+B96*Inputs!$D$22</f>
        <v>120</v>
      </c>
      <c r="E96" s="36">
        <f>MIN(Inputs!$E$15,Inputs!$D$15*(C96/Inputs!$D$43)^Inputs!$D$44)</f>
        <v>0.35640602201959876</v>
      </c>
      <c r="F96" s="36">
        <f>MIN(Inputs!$E$16,Inputs!$D$16*(B96/Inputs!$D$42)^Inputs!$D$44)</f>
        <v>0.44716766511947192</v>
      </c>
      <c r="G96" s="37">
        <f>Inputs!$D$26*(1+Inputs!$D$41*(B96-Inputs!$D$42))</f>
        <v>1.6350000000000002</v>
      </c>
      <c r="H96" s="35">
        <f>Inputs!$D$6*Inputs!$D$14*G96*Inputs!$D$29</f>
        <v>2054.2630500000005</v>
      </c>
      <c r="I96" s="36">
        <f>H96/(A96*Inputs!$D$32)</f>
        <v>1.3339370454545458</v>
      </c>
      <c r="J96" s="38">
        <f>IF(I96&gt;=1,999,I96/(Inputs!$D$32*(1-I96))*60)</f>
        <v>999</v>
      </c>
      <c r="K96" s="37">
        <f>MIN(1,MAX(0,(J96-Inputs!$D$36)/(Inputs!$D$37-Inputs!$D$36)))</f>
        <v>1</v>
      </c>
      <c r="L96" s="35">
        <f>Inputs!$D$6*Inputs!$D$14*G96*(1-Inputs!$D$38*K96)</f>
        <v>7532.2978500000027</v>
      </c>
      <c r="M96" s="39">
        <f>L96*Inputs!$D$11</f>
        <v>161944.40377500007</v>
      </c>
      <c r="N96" s="39">
        <f>M96*(1-Inputs!$D$17)</f>
        <v>56680.541321250021</v>
      </c>
      <c r="O96" s="35">
        <f>Inputs!$D$6*E96*Inputs!$D$27*Inputs!$D$30</f>
        <v>508.46878975039266</v>
      </c>
      <c r="P96" s="36">
        <f>O96/(C96*Inputs!$D$33)</f>
        <v>0.37387411011058286</v>
      </c>
      <c r="Q96" s="38">
        <f>IF(P96&gt;=1,999,P96/(Inputs!$D$33*(1-P96))*60)</f>
        <v>0.89568435712652228</v>
      </c>
      <c r="R96" s="37">
        <f>MIN(1,MAX(0,(Q96-Inputs!$D$36)/(Inputs!$D$37-Inputs!$D$36)))</f>
        <v>0</v>
      </c>
      <c r="S96" s="35">
        <f>Inputs!$D$6*E96*Inputs!$D$27*(1-Inputs!$D$38*R96)</f>
        <v>4237.2399145866057</v>
      </c>
      <c r="T96" s="39">
        <f>S96*Inputs!$D$12</f>
        <v>67795.838633385691</v>
      </c>
      <c r="U96" s="39">
        <f>T96*(1-Inputs!$D$18)</f>
        <v>30508.127385023559</v>
      </c>
      <c r="V96" s="35">
        <f>Inputs!$D$6*F96*Inputs!$D$28*Inputs!$D$31</f>
        <v>753.9461474393554</v>
      </c>
      <c r="W96" s="36">
        <f>V96/(B96*Inputs!$D$34)</f>
        <v>0.74280408614714821</v>
      </c>
      <c r="X96" s="38">
        <f>IF(W96&gt;=1,999,W96/(Inputs!$D$34*(1-W96))*60)</f>
        <v>4.9510056918075414</v>
      </c>
      <c r="Y96" s="37">
        <f>MIN(1,MAX(0,(X96-Inputs!$D$36)/(Inputs!$D$37-Inputs!$D$36)))</f>
        <v>0</v>
      </c>
      <c r="Z96" s="35">
        <f>Inputs!$D$6*F96*Inputs!$D$28*(1-Inputs!$D$38*Y96)</f>
        <v>5799.5857495335031</v>
      </c>
      <c r="AA96" s="39">
        <f>Z96*Inputs!$D$13</f>
        <v>49296.478871034778</v>
      </c>
      <c r="AB96" s="39">
        <f>AA96*(1-Inputs!$D$19)</f>
        <v>29577.887322620867</v>
      </c>
      <c r="AC96" s="39">
        <f t="shared" si="4"/>
        <v>279036.72127942054</v>
      </c>
      <c r="AD96" s="39">
        <f t="shared" si="5"/>
        <v>116766.55602889444</v>
      </c>
      <c r="AE96" s="36">
        <f t="shared" si="6"/>
        <v>1.3339370454545458</v>
      </c>
      <c r="AF96" s="35">
        <f>IF(AND(AE96&lt;=Inputs!$D$35,C96&gt;=Inputs!$D$48*(A96+B96+C96),B96*Inputs!$D$22&lt;=Inputs!$D$50*Inputs!$D$8,B96*Inputs!$D$22&gt;=Inputs!$D$49*Inputs!$D$8,A96*Inputs!$D$20&lt;=Inputs!$D$47*Inputs!$D$8,C96&gt;=1),1,0)</f>
        <v>0</v>
      </c>
      <c r="AG96" s="39">
        <f t="shared" si="7"/>
        <v>-1</v>
      </c>
    </row>
    <row r="97" spans="1:33" x14ac:dyDescent="0.25">
      <c r="A97" s="35">
        <v>28</v>
      </c>
      <c r="B97" s="35">
        <v>30</v>
      </c>
      <c r="C97" s="35">
        <f>Inputs!$D$8-A97-Inputs!$D$22*B97</f>
        <v>32</v>
      </c>
      <c r="D97" s="35">
        <f>A97*Inputs!$D$20+C97*Inputs!$D$21+B97*Inputs!$D$22</f>
        <v>120</v>
      </c>
      <c r="E97" s="36">
        <f>MIN(Inputs!$E$15,Inputs!$D$15*(C97/Inputs!$D$43)^Inputs!$D$44)</f>
        <v>0.34998251836560429</v>
      </c>
      <c r="F97" s="36">
        <f>MIN(Inputs!$E$16,Inputs!$D$16*(B97/Inputs!$D$42)^Inputs!$D$44)</f>
        <v>0.45173877418274222</v>
      </c>
      <c r="G97" s="37">
        <f>Inputs!$D$26*(1+Inputs!$D$41*(B97-Inputs!$D$42))</f>
        <v>1.6500000000000001</v>
      </c>
      <c r="H97" s="35">
        <f>Inputs!$D$6*Inputs!$D$14*G97*Inputs!$D$29</f>
        <v>2073.1095000000005</v>
      </c>
      <c r="I97" s="36">
        <f>H97/(A97*Inputs!$D$32)</f>
        <v>1.3461750000000003</v>
      </c>
      <c r="J97" s="38">
        <f>IF(I97&gt;=1,999,I97/(Inputs!$D$32*(1-I97))*60)</f>
        <v>999</v>
      </c>
      <c r="K97" s="37">
        <f>MIN(1,MAX(0,(J97-Inputs!$D$36)/(Inputs!$D$37-Inputs!$D$36)))</f>
        <v>1</v>
      </c>
      <c r="L97" s="35">
        <f>Inputs!$D$6*Inputs!$D$14*G97*(1-Inputs!$D$38*K97)</f>
        <v>7601.4015000000027</v>
      </c>
      <c r="M97" s="39">
        <f>L97*Inputs!$D$11</f>
        <v>163430.13225000005</v>
      </c>
      <c r="N97" s="39">
        <f>M97*(1-Inputs!$D$17)</f>
        <v>57200.546287500016</v>
      </c>
      <c r="O97" s="35">
        <f>Inputs!$D$6*E97*Inputs!$D$27*Inputs!$D$30</f>
        <v>499.30465972139962</v>
      </c>
      <c r="P97" s="36">
        <f>O97/(C97*Inputs!$D$33)</f>
        <v>0.39008176540734346</v>
      </c>
      <c r="Q97" s="38">
        <f>IF(P97&gt;=1,999,P97/(Inputs!$D$33*(1-P97))*60)</f>
        <v>0.95934604824825165</v>
      </c>
      <c r="R97" s="37">
        <f>MIN(1,MAX(0,(Q97-Inputs!$D$36)/(Inputs!$D$37-Inputs!$D$36)))</f>
        <v>0</v>
      </c>
      <c r="S97" s="35">
        <f>Inputs!$D$6*E97*Inputs!$D$27*(1-Inputs!$D$38*R97)</f>
        <v>4160.8721643449971</v>
      </c>
      <c r="T97" s="39">
        <f>S97*Inputs!$D$12</f>
        <v>66573.954629519954</v>
      </c>
      <c r="U97" s="39">
        <f>T97*(1-Inputs!$D$18)</f>
        <v>29958.279583283977</v>
      </c>
      <c r="V97" s="35">
        <f>Inputs!$D$6*F97*Inputs!$D$28*Inputs!$D$31</f>
        <v>761.65325673326424</v>
      </c>
      <c r="W97" s="36">
        <f>V97/(B97*Inputs!$D$34)</f>
        <v>0.72538405403168027</v>
      </c>
      <c r="X97" s="38">
        <f>IF(W97&gt;=1,999,W97/(Inputs!$D$34*(1-W97))*60)</f>
        <v>4.5281985239874629</v>
      </c>
      <c r="Y97" s="37">
        <f>MIN(1,MAX(0,(X97-Inputs!$D$36)/(Inputs!$D$37-Inputs!$D$36)))</f>
        <v>0</v>
      </c>
      <c r="Z97" s="35">
        <f>Inputs!$D$6*F97*Inputs!$D$28*(1-Inputs!$D$38*Y97)</f>
        <v>5858.8712056404938</v>
      </c>
      <c r="AA97" s="39">
        <f>Z97*Inputs!$D$13</f>
        <v>49800.405247944196</v>
      </c>
      <c r="AB97" s="39">
        <f>AA97*(1-Inputs!$D$19)</f>
        <v>29880.243148766516</v>
      </c>
      <c r="AC97" s="39">
        <f t="shared" si="4"/>
        <v>279804.49212746421</v>
      </c>
      <c r="AD97" s="39">
        <f t="shared" si="5"/>
        <v>117039.06901955052</v>
      </c>
      <c r="AE97" s="36">
        <f t="shared" si="6"/>
        <v>1.3461750000000003</v>
      </c>
      <c r="AF97" s="35">
        <f>IF(AND(AE97&lt;=Inputs!$D$35,C97&gt;=Inputs!$D$48*(A97+B97+C97),B97*Inputs!$D$22&lt;=Inputs!$D$50*Inputs!$D$8,B97*Inputs!$D$22&gt;=Inputs!$D$49*Inputs!$D$8,A97*Inputs!$D$20&lt;=Inputs!$D$47*Inputs!$D$8,C97&gt;=1),1,0)</f>
        <v>0</v>
      </c>
      <c r="AG97" s="39">
        <f t="shared" si="7"/>
        <v>-1</v>
      </c>
    </row>
    <row r="98" spans="1:33" x14ac:dyDescent="0.25">
      <c r="A98" s="35">
        <v>28</v>
      </c>
      <c r="B98" s="35">
        <v>31</v>
      </c>
      <c r="C98" s="35">
        <f>Inputs!$D$8-A98-Inputs!$D$22*B98</f>
        <v>30</v>
      </c>
      <c r="D98" s="35">
        <f>A98*Inputs!$D$20+C98*Inputs!$D$21+B98*Inputs!$D$22</f>
        <v>120</v>
      </c>
      <c r="E98" s="36">
        <f>MIN(Inputs!$E$15,Inputs!$D$15*(C98/Inputs!$D$43)^Inputs!$D$44)</f>
        <v>0.3432714897427589</v>
      </c>
      <c r="F98" s="36">
        <f>MIN(Inputs!$E$16,Inputs!$D$16*(B98/Inputs!$D$42)^Inputs!$D$44)</f>
        <v>0.45620443270573335</v>
      </c>
      <c r="G98" s="37">
        <f>Inputs!$D$26*(1+Inputs!$D$41*(B98-Inputs!$D$42))</f>
        <v>1.665</v>
      </c>
      <c r="H98" s="35">
        <f>Inputs!$D$6*Inputs!$D$14*G98*Inputs!$D$29</f>
        <v>2091.95595</v>
      </c>
      <c r="I98" s="36">
        <f>H98/(A98*Inputs!$D$32)</f>
        <v>1.3584129545454546</v>
      </c>
      <c r="J98" s="38">
        <f>IF(I98&gt;=1,999,I98/(Inputs!$D$32*(1-I98))*60)</f>
        <v>999</v>
      </c>
      <c r="K98" s="37">
        <f>MIN(1,MAX(0,(J98-Inputs!$D$36)/(Inputs!$D$37-Inputs!$D$36)))</f>
        <v>1</v>
      </c>
      <c r="L98" s="35">
        <f>Inputs!$D$6*Inputs!$D$14*G98*(1-Inputs!$D$38*K98)</f>
        <v>7670.5051500000018</v>
      </c>
      <c r="M98" s="39">
        <f>L98*Inputs!$D$11</f>
        <v>164915.86072500004</v>
      </c>
      <c r="N98" s="39">
        <f>M98*(1-Inputs!$D$17)</f>
        <v>57720.551253750011</v>
      </c>
      <c r="O98" s="35">
        <f>Inputs!$D$6*E98*Inputs!$D$27*Inputs!$D$30</f>
        <v>489.73033047044544</v>
      </c>
      <c r="P98" s="36">
        <f>O98/(C98*Inputs!$D$33)</f>
        <v>0.40810860872537119</v>
      </c>
      <c r="Q98" s="38">
        <f>IF(P98&gt;=1,999,P98/(Inputs!$D$33*(1-P98))*60)</f>
        <v>1.0342487187890559</v>
      </c>
      <c r="R98" s="37">
        <f>MIN(1,MAX(0,(Q98-Inputs!$D$36)/(Inputs!$D$37-Inputs!$D$36)))</f>
        <v>0</v>
      </c>
      <c r="S98" s="35">
        <f>Inputs!$D$6*E98*Inputs!$D$27*(1-Inputs!$D$38*R98)</f>
        <v>4081.0860872537123</v>
      </c>
      <c r="T98" s="39">
        <f>S98*Inputs!$D$12</f>
        <v>65297.377396059397</v>
      </c>
      <c r="U98" s="39">
        <f>T98*(1-Inputs!$D$18)</f>
        <v>29383.819828226726</v>
      </c>
      <c r="V98" s="35">
        <f>Inputs!$D$6*F98*Inputs!$D$28*Inputs!$D$31</f>
        <v>769.18257135463637</v>
      </c>
      <c r="W98" s="36">
        <f>V98/(B98*Inputs!$D$34)</f>
        <v>0.70892402889828232</v>
      </c>
      <c r="X98" s="38">
        <f>IF(W98&gt;=1,999,W98/(Inputs!$D$34*(1-W98))*60)</f>
        <v>4.1751929252501148</v>
      </c>
      <c r="Y98" s="37">
        <f>MIN(1,MAX(0,(X98-Inputs!$D$36)/(Inputs!$D$37-Inputs!$D$36)))</f>
        <v>0</v>
      </c>
      <c r="Z98" s="35">
        <f>Inputs!$D$6*F98*Inputs!$D$28*(1-Inputs!$D$38*Y98)</f>
        <v>5916.7890104202797</v>
      </c>
      <c r="AA98" s="39">
        <f>Z98*Inputs!$D$13</f>
        <v>50292.706588572379</v>
      </c>
      <c r="AB98" s="39">
        <f>AA98*(1-Inputs!$D$19)</f>
        <v>30175.623953143426</v>
      </c>
      <c r="AC98" s="39">
        <f t="shared" si="4"/>
        <v>280505.94470963179</v>
      </c>
      <c r="AD98" s="39">
        <f t="shared" si="5"/>
        <v>117279.99503512017</v>
      </c>
      <c r="AE98" s="36">
        <f t="shared" si="6"/>
        <v>1.3584129545454546</v>
      </c>
      <c r="AF98" s="35">
        <f>IF(AND(AE98&lt;=Inputs!$D$35,C98&gt;=Inputs!$D$48*(A98+B98+C98),B98*Inputs!$D$22&lt;=Inputs!$D$50*Inputs!$D$8,B98*Inputs!$D$22&gt;=Inputs!$D$49*Inputs!$D$8,A98*Inputs!$D$20&lt;=Inputs!$D$47*Inputs!$D$8,C98&gt;=1),1,0)</f>
        <v>0</v>
      </c>
      <c r="AG98" s="39">
        <f t="shared" si="7"/>
        <v>-1</v>
      </c>
    </row>
    <row r="99" spans="1:33" x14ac:dyDescent="0.25">
      <c r="A99" s="35">
        <v>28</v>
      </c>
      <c r="B99" s="35">
        <v>32</v>
      </c>
      <c r="C99" s="35">
        <f>Inputs!$D$8-A99-Inputs!$D$22*B99</f>
        <v>28</v>
      </c>
      <c r="D99" s="35">
        <f>A99*Inputs!$D$20+C99*Inputs!$D$21+B99*Inputs!$D$22</f>
        <v>120</v>
      </c>
      <c r="E99" s="36">
        <f>MIN(Inputs!$E$15,Inputs!$D$15*(C99/Inputs!$D$43)^Inputs!$D$44)</f>
        <v>0.33623952833125714</v>
      </c>
      <c r="F99" s="36">
        <f>MIN(Inputs!$E$16,Inputs!$D$16*(B99/Inputs!$D$42)^Inputs!$D$44)</f>
        <v>0.46057036065052986</v>
      </c>
      <c r="G99" s="37">
        <f>Inputs!$D$26*(1+Inputs!$D$41*(B99-Inputs!$D$42))</f>
        <v>1.6800000000000002</v>
      </c>
      <c r="H99" s="35">
        <f>Inputs!$D$6*Inputs!$D$14*G99*Inputs!$D$29</f>
        <v>2110.8024000000005</v>
      </c>
      <c r="I99" s="36">
        <f>H99/(A99*Inputs!$D$32)</f>
        <v>1.3706509090909094</v>
      </c>
      <c r="J99" s="38">
        <f>IF(I99&gt;=1,999,I99/(Inputs!$D$32*(1-I99))*60)</f>
        <v>999</v>
      </c>
      <c r="K99" s="37">
        <f>MIN(1,MAX(0,(J99-Inputs!$D$36)/(Inputs!$D$37-Inputs!$D$36)))</f>
        <v>1</v>
      </c>
      <c r="L99" s="35">
        <f>Inputs!$D$6*Inputs!$D$14*G99*(1-Inputs!$D$38*K99)</f>
        <v>7739.6088000000027</v>
      </c>
      <c r="M99" s="39">
        <f>L99*Inputs!$D$11</f>
        <v>166401.58920000005</v>
      </c>
      <c r="N99" s="39">
        <f>M99*(1-Inputs!$D$17)</f>
        <v>58240.556220000013</v>
      </c>
      <c r="O99" s="35">
        <f>Inputs!$D$6*E99*Inputs!$D$27*Inputs!$D$30</f>
        <v>479.69814053095797</v>
      </c>
      <c r="P99" s="36">
        <f>O99/(C99*Inputs!$D$33)</f>
        <v>0.42830191118835531</v>
      </c>
      <c r="Q99" s="38">
        <f>IF(P99&gt;=1,999,P99/(Inputs!$D$33*(1-P99))*60)</f>
        <v>1.1237624882006552</v>
      </c>
      <c r="R99" s="37">
        <f>MIN(1,MAX(0,(Q99-Inputs!$D$36)/(Inputs!$D$37-Inputs!$D$36)))</f>
        <v>0</v>
      </c>
      <c r="S99" s="35">
        <f>Inputs!$D$6*E99*Inputs!$D$27*(1-Inputs!$D$38*R99)</f>
        <v>3997.4845044246499</v>
      </c>
      <c r="T99" s="39">
        <f>S99*Inputs!$D$12</f>
        <v>63959.752070794399</v>
      </c>
      <c r="U99" s="39">
        <f>T99*(1-Inputs!$D$18)</f>
        <v>28781.888431857478</v>
      </c>
      <c r="V99" s="35">
        <f>Inputs!$D$6*F99*Inputs!$D$28*Inputs!$D$31</f>
        <v>776.54373543410452</v>
      </c>
      <c r="W99" s="36">
        <f>V99/(B99*Inputs!$D$34)</f>
        <v>0.69334262092330756</v>
      </c>
      <c r="X99" s="38">
        <f>IF(W99&gt;=1,999,W99/(Inputs!$D$34*(1-W99))*60)</f>
        <v>3.8759457011369869</v>
      </c>
      <c r="Y99" s="37">
        <f>MIN(1,MAX(0,(X99-Inputs!$D$36)/(Inputs!$D$37-Inputs!$D$36)))</f>
        <v>0</v>
      </c>
      <c r="Z99" s="35">
        <f>Inputs!$D$6*F99*Inputs!$D$28*(1-Inputs!$D$38*Y99)</f>
        <v>5973.4133494931111</v>
      </c>
      <c r="AA99" s="39">
        <f>Z99*Inputs!$D$13</f>
        <v>50774.013470691447</v>
      </c>
      <c r="AB99" s="39">
        <f>AA99*(1-Inputs!$D$19)</f>
        <v>30464.408082414866</v>
      </c>
      <c r="AC99" s="39">
        <f t="shared" si="4"/>
        <v>281135.35474148591</v>
      </c>
      <c r="AD99" s="39">
        <f t="shared" si="5"/>
        <v>117486.85273427235</v>
      </c>
      <c r="AE99" s="36">
        <f t="shared" si="6"/>
        <v>1.3706509090909094</v>
      </c>
      <c r="AF99" s="35">
        <f>IF(AND(AE99&lt;=Inputs!$D$35,C99&gt;=Inputs!$D$48*(A99+B99+C99),B99*Inputs!$D$22&lt;=Inputs!$D$50*Inputs!$D$8,B99*Inputs!$D$22&gt;=Inputs!$D$49*Inputs!$D$8,A99*Inputs!$D$20&lt;=Inputs!$D$47*Inputs!$D$8,C99&gt;=1),1,0)</f>
        <v>0</v>
      </c>
      <c r="AG99" s="39">
        <f t="shared" si="7"/>
        <v>-1</v>
      </c>
    </row>
    <row r="100" spans="1:33" x14ac:dyDescent="0.25">
      <c r="A100" s="35">
        <v>28</v>
      </c>
      <c r="B100" s="35">
        <v>33</v>
      </c>
      <c r="C100" s="35">
        <f>Inputs!$D$8-A100-Inputs!$D$22*B100</f>
        <v>26</v>
      </c>
      <c r="D100" s="35">
        <f>A100*Inputs!$D$20+C100*Inputs!$D$21+B100*Inputs!$D$22</f>
        <v>120</v>
      </c>
      <c r="E100" s="36">
        <f>MIN(Inputs!$E$15,Inputs!$D$15*(C100/Inputs!$D$43)^Inputs!$D$44)</f>
        <v>0.32884660514387515</v>
      </c>
      <c r="F100" s="36">
        <f>MIN(Inputs!$E$16,Inputs!$D$16*(B100/Inputs!$D$42)^Inputs!$D$44)</f>
        <v>0.46484180038786721</v>
      </c>
      <c r="G100" s="37">
        <f>Inputs!$D$26*(1+Inputs!$D$41*(B100-Inputs!$D$42))</f>
        <v>1.6949999999999998</v>
      </c>
      <c r="H100" s="35">
        <f>Inputs!$D$6*Inputs!$D$14*G100*Inputs!$D$29</f>
        <v>2129.64885</v>
      </c>
      <c r="I100" s="36">
        <f>H100/(A100*Inputs!$D$32)</f>
        <v>1.3828888636363637</v>
      </c>
      <c r="J100" s="38">
        <f>IF(I100&gt;=1,999,I100/(Inputs!$D$32*(1-I100))*60)</f>
        <v>999</v>
      </c>
      <c r="K100" s="37">
        <f>MIN(1,MAX(0,(J100-Inputs!$D$36)/(Inputs!$D$37-Inputs!$D$36)))</f>
        <v>1</v>
      </c>
      <c r="L100" s="35">
        <f>Inputs!$D$6*Inputs!$D$14*G100*(1-Inputs!$D$38*K100)</f>
        <v>7808.71245</v>
      </c>
      <c r="M100" s="39">
        <f>L100*Inputs!$D$11</f>
        <v>167887.317675</v>
      </c>
      <c r="N100" s="39">
        <f>M100*(1-Inputs!$D$17)</f>
        <v>58760.561186249994</v>
      </c>
      <c r="O100" s="35">
        <f>Inputs!$D$6*E100*Inputs!$D$27*Inputs!$D$30</f>
        <v>469.15098230814039</v>
      </c>
      <c r="P100" s="36">
        <f>O100/(C100*Inputs!$D$33)</f>
        <v>0.45110671375782729</v>
      </c>
      <c r="Q100" s="38">
        <f>IF(P100&gt;=1,999,P100/(Inputs!$D$33*(1-P100))*60)</f>
        <v>1.2327716290160586</v>
      </c>
      <c r="R100" s="37">
        <f>MIN(1,MAX(0,(Q100-Inputs!$D$36)/(Inputs!$D$37-Inputs!$D$36)))</f>
        <v>0</v>
      </c>
      <c r="S100" s="35">
        <f>Inputs!$D$6*E100*Inputs!$D$27*(1-Inputs!$D$38*R100)</f>
        <v>3909.5915192345033</v>
      </c>
      <c r="T100" s="39">
        <f>S100*Inputs!$D$12</f>
        <v>62553.464307752052</v>
      </c>
      <c r="U100" s="39">
        <f>T100*(1-Inputs!$D$18)</f>
        <v>28149.058938488422</v>
      </c>
      <c r="V100" s="35">
        <f>Inputs!$D$6*F100*Inputs!$D$28*Inputs!$D$31</f>
        <v>783.74558786036266</v>
      </c>
      <c r="W100" s="36">
        <f>V100/(B100*Inputs!$D$34)</f>
        <v>0.67856760853711051</v>
      </c>
      <c r="X100" s="38">
        <f>IF(W100&gt;=1,999,W100/(Inputs!$D$34*(1-W100))*60)</f>
        <v>3.6189842355277744</v>
      </c>
      <c r="Y100" s="37">
        <f>MIN(1,MAX(0,(X100-Inputs!$D$36)/(Inputs!$D$37-Inputs!$D$36)))</f>
        <v>0</v>
      </c>
      <c r="Z100" s="35">
        <f>Inputs!$D$6*F100*Inputs!$D$28*(1-Inputs!$D$38*Y100)</f>
        <v>6028.812214310482</v>
      </c>
      <c r="AA100" s="39">
        <f>Z100*Inputs!$D$13</f>
        <v>51244.903821639098</v>
      </c>
      <c r="AB100" s="39">
        <f>AA100*(1-Inputs!$D$19)</f>
        <v>30746.942292983458</v>
      </c>
      <c r="AC100" s="39">
        <f t="shared" si="4"/>
        <v>281685.68580439116</v>
      </c>
      <c r="AD100" s="39">
        <f t="shared" si="5"/>
        <v>117656.56241772187</v>
      </c>
      <c r="AE100" s="36">
        <f t="shared" si="6"/>
        <v>1.3828888636363637</v>
      </c>
      <c r="AF100" s="35">
        <f>IF(AND(AE100&lt;=Inputs!$D$35,C100&gt;=Inputs!$D$48*(A100+B100+C100),B100*Inputs!$D$22&lt;=Inputs!$D$50*Inputs!$D$8,B100*Inputs!$D$22&gt;=Inputs!$D$49*Inputs!$D$8,A100*Inputs!$D$20&lt;=Inputs!$D$47*Inputs!$D$8,C100&gt;=1),1,0)</f>
        <v>0</v>
      </c>
      <c r="AG100" s="39">
        <f t="shared" si="7"/>
        <v>-1</v>
      </c>
    </row>
    <row r="101" spans="1:33" x14ac:dyDescent="0.25">
      <c r="A101" s="35">
        <v>29</v>
      </c>
      <c r="B101" s="35">
        <v>10</v>
      </c>
      <c r="C101" s="35">
        <f>Inputs!$D$8-A101-Inputs!$D$22*B101</f>
        <v>71</v>
      </c>
      <c r="D101" s="35">
        <f>A101*Inputs!$D$20+C101*Inputs!$D$21+B101*Inputs!$D$22</f>
        <v>120</v>
      </c>
      <c r="E101" s="36">
        <f>MIN(Inputs!$E$15,Inputs!$D$15*(C101/Inputs!$D$43)^Inputs!$D$44)</f>
        <v>0.4</v>
      </c>
      <c r="F101" s="36">
        <f>MIN(Inputs!$E$16,Inputs!$D$16*(B101/Inputs!$D$42)^Inputs!$D$44)</f>
        <v>0.32490095854249423</v>
      </c>
      <c r="G101" s="37">
        <f>Inputs!$D$26*(1+Inputs!$D$41*(B101-Inputs!$D$42))</f>
        <v>1.35</v>
      </c>
      <c r="H101" s="35">
        <f>Inputs!$D$6*Inputs!$D$14*G101*Inputs!$D$29</f>
        <v>1696.1805000000004</v>
      </c>
      <c r="I101" s="36">
        <f>H101/(A101*Inputs!$D$32)</f>
        <v>1.0634360501567401</v>
      </c>
      <c r="J101" s="38">
        <f>IF(I101&gt;=1,999,I101/(Inputs!$D$32*(1-I101))*60)</f>
        <v>999</v>
      </c>
      <c r="K101" s="37">
        <f>MIN(1,MAX(0,(J101-Inputs!$D$36)/(Inputs!$D$37-Inputs!$D$36)))</f>
        <v>1</v>
      </c>
      <c r="L101" s="35">
        <f>Inputs!$D$6*Inputs!$D$14*G101*(1-Inputs!$D$38*K101)</f>
        <v>6219.3285000000024</v>
      </c>
      <c r="M101" s="39">
        <f>L101*Inputs!$D$11</f>
        <v>133715.56275000004</v>
      </c>
      <c r="N101" s="39">
        <f>M101*(1-Inputs!$D$17)</f>
        <v>46800.446962500013</v>
      </c>
      <c r="O101" s="35">
        <f>Inputs!$D$6*E101*Inputs!$D$27*Inputs!$D$30</f>
        <v>570.66240000000005</v>
      </c>
      <c r="P101" s="36">
        <f>O101/(C101*Inputs!$D$33)</f>
        <v>0.20093746478873242</v>
      </c>
      <c r="Q101" s="38">
        <f>IF(P101&gt;=1,999,P101/(Inputs!$D$33*(1-P101))*60)</f>
        <v>0.37719976084651319</v>
      </c>
      <c r="R101" s="37">
        <f>MIN(1,MAX(0,(Q101-Inputs!$D$36)/(Inputs!$D$37-Inputs!$D$36)))</f>
        <v>0</v>
      </c>
      <c r="S101" s="35">
        <f>Inputs!$D$6*E101*Inputs!$D$27*(1-Inputs!$D$38*R101)</f>
        <v>4755.5200000000004</v>
      </c>
      <c r="T101" s="39">
        <f>S101*Inputs!$D$12</f>
        <v>76088.320000000007</v>
      </c>
      <c r="U101" s="39">
        <f>T101*(1-Inputs!$D$18)</f>
        <v>34239.743999999999</v>
      </c>
      <c r="V101" s="35">
        <f>Inputs!$D$6*F101*Inputs!$D$28*Inputs!$D$31</f>
        <v>547.7986113486553</v>
      </c>
      <c r="W101" s="36">
        <f>V101/(B101*Inputs!$D$34)</f>
        <v>1.5651388895675866</v>
      </c>
      <c r="X101" s="38">
        <f>IF(W101&gt;=1,999,W101/(Inputs!$D$34*(1-W101))*60)</f>
        <v>999</v>
      </c>
      <c r="Y101" s="37">
        <f>MIN(1,MAX(0,(X101-Inputs!$D$36)/(Inputs!$D$37-Inputs!$D$36)))</f>
        <v>1</v>
      </c>
      <c r="Z101" s="35">
        <f>Inputs!$D$6*F101*Inputs!$D$28*(1-Inputs!$D$38*Y101)</f>
        <v>2317.6095095520031</v>
      </c>
      <c r="AA101" s="39">
        <f>Z101*Inputs!$D$13</f>
        <v>19699.680831192025</v>
      </c>
      <c r="AB101" s="39">
        <f>AA101*(1-Inputs!$D$19)</f>
        <v>11819.808498715214</v>
      </c>
      <c r="AC101" s="39">
        <f t="shared" si="4"/>
        <v>229503.56358119208</v>
      </c>
      <c r="AD101" s="39">
        <f t="shared" si="5"/>
        <v>92859.999461215222</v>
      </c>
      <c r="AE101" s="36">
        <f t="shared" si="6"/>
        <v>1.5651388895675866</v>
      </c>
      <c r="AF101" s="35">
        <f>IF(AND(AE101&lt;=Inputs!$D$35,C101&gt;=Inputs!$D$48*(A101+B101+C101),B101*Inputs!$D$22&lt;=Inputs!$D$50*Inputs!$D$8,B101*Inputs!$D$22&gt;=Inputs!$D$49*Inputs!$D$8,A101*Inputs!$D$20&lt;=Inputs!$D$47*Inputs!$D$8,C101&gt;=1),1,0)</f>
        <v>0</v>
      </c>
      <c r="AG101" s="39">
        <f t="shared" si="7"/>
        <v>-1</v>
      </c>
    </row>
    <row r="102" spans="1:33" x14ac:dyDescent="0.25">
      <c r="A102" s="35">
        <v>29</v>
      </c>
      <c r="B102" s="35">
        <v>11</v>
      </c>
      <c r="C102" s="35">
        <f>Inputs!$D$8-A102-Inputs!$D$22*B102</f>
        <v>69</v>
      </c>
      <c r="D102" s="35">
        <f>A102*Inputs!$D$20+C102*Inputs!$D$21+B102*Inputs!$D$22</f>
        <v>120</v>
      </c>
      <c r="E102" s="36">
        <f>MIN(Inputs!$E$15,Inputs!$D$15*(C102/Inputs!$D$43)^Inputs!$D$44)</f>
        <v>0.4</v>
      </c>
      <c r="F102" s="36">
        <f>MIN(Inputs!$E$16,Inputs!$D$16*(B102/Inputs!$D$42)^Inputs!$D$44)</f>
        <v>0.33432495758166098</v>
      </c>
      <c r="G102" s="37">
        <f>Inputs!$D$26*(1+Inputs!$D$41*(B102-Inputs!$D$42))</f>
        <v>1.365</v>
      </c>
      <c r="H102" s="35">
        <f>Inputs!$D$6*Inputs!$D$14*G102*Inputs!$D$29</f>
        <v>1715.0269500000002</v>
      </c>
      <c r="I102" s="36">
        <f>H102/(A102*Inputs!$D$32)</f>
        <v>1.0752520062695925</v>
      </c>
      <c r="J102" s="38">
        <f>IF(I102&gt;=1,999,I102/(Inputs!$D$32*(1-I102))*60)</f>
        <v>999</v>
      </c>
      <c r="K102" s="37">
        <f>MIN(1,MAX(0,(J102-Inputs!$D$36)/(Inputs!$D$37-Inputs!$D$36)))</f>
        <v>1</v>
      </c>
      <c r="L102" s="35">
        <f>Inputs!$D$6*Inputs!$D$14*G102*(1-Inputs!$D$38*K102)</f>
        <v>6288.4321500000005</v>
      </c>
      <c r="M102" s="39">
        <f>L102*Inputs!$D$11</f>
        <v>135201.29122500002</v>
      </c>
      <c r="N102" s="39">
        <f>M102*(1-Inputs!$D$17)</f>
        <v>47320.451928750008</v>
      </c>
      <c r="O102" s="35">
        <f>Inputs!$D$6*E102*Inputs!$D$27*Inputs!$D$30</f>
        <v>570.66240000000005</v>
      </c>
      <c r="P102" s="36">
        <f>O102/(C102*Inputs!$D$33)</f>
        <v>0.2067617391304348</v>
      </c>
      <c r="Q102" s="38">
        <f>IF(P102&gt;=1,999,P102/(Inputs!$D$33*(1-P102))*60)</f>
        <v>0.3909829164766549</v>
      </c>
      <c r="R102" s="37">
        <f>MIN(1,MAX(0,(Q102-Inputs!$D$36)/(Inputs!$D$37-Inputs!$D$36)))</f>
        <v>0</v>
      </c>
      <c r="S102" s="35">
        <f>Inputs!$D$6*E102*Inputs!$D$27*(1-Inputs!$D$38*R102)</f>
        <v>4755.5200000000004</v>
      </c>
      <c r="T102" s="39">
        <f>S102*Inputs!$D$12</f>
        <v>76088.320000000007</v>
      </c>
      <c r="U102" s="39">
        <f>T102*(1-Inputs!$D$18)</f>
        <v>34239.743999999999</v>
      </c>
      <c r="V102" s="35">
        <f>Inputs!$D$6*F102*Inputs!$D$28*Inputs!$D$31</f>
        <v>563.68792608064427</v>
      </c>
      <c r="W102" s="36">
        <f>V102/(B102*Inputs!$D$34)</f>
        <v>1.4641244833263487</v>
      </c>
      <c r="X102" s="38">
        <f>IF(W102&gt;=1,999,W102/(Inputs!$D$34*(1-W102))*60)</f>
        <v>999</v>
      </c>
      <c r="Y102" s="37">
        <f>MIN(1,MAX(0,(X102-Inputs!$D$36)/(Inputs!$D$37-Inputs!$D$36)))</f>
        <v>1</v>
      </c>
      <c r="Z102" s="35">
        <f>Inputs!$D$6*F102*Inputs!$D$28*(1-Inputs!$D$38*Y102)</f>
        <v>2384.8335334181106</v>
      </c>
      <c r="AA102" s="39">
        <f>Z102*Inputs!$D$13</f>
        <v>20271.08503405394</v>
      </c>
      <c r="AB102" s="39">
        <f>AA102*(1-Inputs!$D$19)</f>
        <v>12162.651020432364</v>
      </c>
      <c r="AC102" s="39">
        <f t="shared" si="4"/>
        <v>231560.69625905398</v>
      </c>
      <c r="AD102" s="39">
        <f t="shared" si="5"/>
        <v>93722.846949182363</v>
      </c>
      <c r="AE102" s="36">
        <f t="shared" si="6"/>
        <v>1.4641244833263487</v>
      </c>
      <c r="AF102" s="35">
        <f>IF(AND(AE102&lt;=Inputs!$D$35,C102&gt;=Inputs!$D$48*(A102+B102+C102),B102*Inputs!$D$22&lt;=Inputs!$D$50*Inputs!$D$8,B102*Inputs!$D$22&gt;=Inputs!$D$49*Inputs!$D$8,A102*Inputs!$D$20&lt;=Inputs!$D$47*Inputs!$D$8,C102&gt;=1),1,0)</f>
        <v>0</v>
      </c>
      <c r="AG102" s="39">
        <f t="shared" si="7"/>
        <v>-1</v>
      </c>
    </row>
    <row r="103" spans="1:33" x14ac:dyDescent="0.25">
      <c r="A103" s="35">
        <v>29</v>
      </c>
      <c r="B103" s="35">
        <v>12</v>
      </c>
      <c r="C103" s="35">
        <f>Inputs!$D$8-A103-Inputs!$D$22*B103</f>
        <v>67</v>
      </c>
      <c r="D103" s="35">
        <f>A103*Inputs!$D$20+C103*Inputs!$D$21+B103*Inputs!$D$22</f>
        <v>120</v>
      </c>
      <c r="E103" s="36">
        <f>MIN(Inputs!$E$15,Inputs!$D$15*(C103/Inputs!$D$43)^Inputs!$D$44)</f>
        <v>0.4</v>
      </c>
      <c r="F103" s="36">
        <f>MIN(Inputs!$E$16,Inputs!$D$16*(B103/Inputs!$D$42)^Inputs!$D$44)</f>
        <v>0.34316688017763797</v>
      </c>
      <c r="G103" s="37">
        <f>Inputs!$D$26*(1+Inputs!$D$41*(B103-Inputs!$D$42))</f>
        <v>1.3800000000000001</v>
      </c>
      <c r="H103" s="35">
        <f>Inputs!$D$6*Inputs!$D$14*G103*Inputs!$D$29</f>
        <v>1733.8734000000004</v>
      </c>
      <c r="I103" s="36">
        <f>H103/(A103*Inputs!$D$32)</f>
        <v>1.0870679623824453</v>
      </c>
      <c r="J103" s="38">
        <f>IF(I103&gt;=1,999,I103/(Inputs!$D$32*(1-I103))*60)</f>
        <v>999</v>
      </c>
      <c r="K103" s="37">
        <f>MIN(1,MAX(0,(J103-Inputs!$D$36)/(Inputs!$D$37-Inputs!$D$36)))</f>
        <v>1</v>
      </c>
      <c r="L103" s="35">
        <f>Inputs!$D$6*Inputs!$D$14*G103*(1-Inputs!$D$38*K103)</f>
        <v>6357.5358000000024</v>
      </c>
      <c r="M103" s="39">
        <f>L103*Inputs!$D$11</f>
        <v>136687.01970000006</v>
      </c>
      <c r="N103" s="39">
        <f>M103*(1-Inputs!$D$17)</f>
        <v>47840.456895000018</v>
      </c>
      <c r="O103" s="35">
        <f>Inputs!$D$6*E103*Inputs!$D$27*Inputs!$D$30</f>
        <v>570.66240000000005</v>
      </c>
      <c r="P103" s="36">
        <f>O103/(C103*Inputs!$D$33)</f>
        <v>0.21293373134328361</v>
      </c>
      <c r="Q103" s="38">
        <f>IF(P103&gt;=1,999,P103/(Inputs!$D$33*(1-P103))*60)</f>
        <v>0.40581156852274392</v>
      </c>
      <c r="R103" s="37">
        <f>MIN(1,MAX(0,(Q103-Inputs!$D$36)/(Inputs!$D$37-Inputs!$D$36)))</f>
        <v>0</v>
      </c>
      <c r="S103" s="35">
        <f>Inputs!$D$6*E103*Inputs!$D$27*(1-Inputs!$D$38*R103)</f>
        <v>4755.5200000000004</v>
      </c>
      <c r="T103" s="39">
        <f>S103*Inputs!$D$12</f>
        <v>76088.320000000007</v>
      </c>
      <c r="U103" s="39">
        <f>T103*(1-Inputs!$D$18)</f>
        <v>34239.743999999999</v>
      </c>
      <c r="V103" s="35">
        <f>Inputs!$D$6*F103*Inputs!$D$28*Inputs!$D$31</f>
        <v>578.5958319897461</v>
      </c>
      <c r="W103" s="36">
        <f>V103/(B103*Inputs!$D$34)</f>
        <v>1.3776091237851098</v>
      </c>
      <c r="X103" s="38">
        <f>IF(W103&gt;=1,999,W103/(Inputs!$D$34*(1-W103))*60)</f>
        <v>999</v>
      </c>
      <c r="Y103" s="37">
        <f>MIN(1,MAX(0,(X103-Inputs!$D$36)/(Inputs!$D$37-Inputs!$D$36)))</f>
        <v>1</v>
      </c>
      <c r="Z103" s="35">
        <f>Inputs!$D$6*F103*Inputs!$D$28*(1-Inputs!$D$38*Y103)</f>
        <v>2447.9054430335414</v>
      </c>
      <c r="AA103" s="39">
        <f>Z103*Inputs!$D$13</f>
        <v>20807.1962657851</v>
      </c>
      <c r="AB103" s="39">
        <f>AA103*(1-Inputs!$D$19)</f>
        <v>12484.31775947106</v>
      </c>
      <c r="AC103" s="39">
        <f t="shared" si="4"/>
        <v>233582.53596578518</v>
      </c>
      <c r="AD103" s="39">
        <f t="shared" si="5"/>
        <v>94564.518654471074</v>
      </c>
      <c r="AE103" s="36">
        <f t="shared" si="6"/>
        <v>1.3776091237851098</v>
      </c>
      <c r="AF103" s="35">
        <f>IF(AND(AE103&lt;=Inputs!$D$35,C103&gt;=Inputs!$D$48*(A103+B103+C103),B103*Inputs!$D$22&lt;=Inputs!$D$50*Inputs!$D$8,B103*Inputs!$D$22&gt;=Inputs!$D$49*Inputs!$D$8,A103*Inputs!$D$20&lt;=Inputs!$D$47*Inputs!$D$8,C103&gt;=1),1,0)</f>
        <v>0</v>
      </c>
      <c r="AG103" s="39">
        <f t="shared" si="7"/>
        <v>-1</v>
      </c>
    </row>
    <row r="104" spans="1:33" x14ac:dyDescent="0.25">
      <c r="A104" s="35">
        <v>29</v>
      </c>
      <c r="B104" s="35">
        <v>13</v>
      </c>
      <c r="C104" s="35">
        <f>Inputs!$D$8-A104-Inputs!$D$22*B104</f>
        <v>65</v>
      </c>
      <c r="D104" s="35">
        <f>A104*Inputs!$D$20+C104*Inputs!$D$21+B104*Inputs!$D$22</f>
        <v>120</v>
      </c>
      <c r="E104" s="36">
        <f>MIN(Inputs!$E$15,Inputs!$D$15*(C104/Inputs!$D$43)^Inputs!$D$44)</f>
        <v>0.4</v>
      </c>
      <c r="F104" s="36">
        <f>MIN(Inputs!$E$16,Inputs!$D$16*(B104/Inputs!$D$42)^Inputs!$D$44)</f>
        <v>0.35150701637190523</v>
      </c>
      <c r="G104" s="37">
        <f>Inputs!$D$26*(1+Inputs!$D$41*(B104-Inputs!$D$42))</f>
        <v>1.395</v>
      </c>
      <c r="H104" s="35">
        <f>Inputs!$D$6*Inputs!$D$14*G104*Inputs!$D$29</f>
        <v>1752.7198500000002</v>
      </c>
      <c r="I104" s="36">
        <f>H104/(A104*Inputs!$D$32)</f>
        <v>1.0988839184952979</v>
      </c>
      <c r="J104" s="38">
        <f>IF(I104&gt;=1,999,I104/(Inputs!$D$32*(1-I104))*60)</f>
        <v>999</v>
      </c>
      <c r="K104" s="37">
        <f>MIN(1,MAX(0,(J104-Inputs!$D$36)/(Inputs!$D$37-Inputs!$D$36)))</f>
        <v>1</v>
      </c>
      <c r="L104" s="35">
        <f>Inputs!$D$6*Inputs!$D$14*G104*(1-Inputs!$D$38*K104)</f>
        <v>6426.6394500000006</v>
      </c>
      <c r="M104" s="39">
        <f>L104*Inputs!$D$11</f>
        <v>138172.74817500002</v>
      </c>
      <c r="N104" s="39">
        <f>M104*(1-Inputs!$D$17)</f>
        <v>48360.461861250005</v>
      </c>
      <c r="O104" s="35">
        <f>Inputs!$D$6*E104*Inputs!$D$27*Inputs!$D$30</f>
        <v>570.66240000000005</v>
      </c>
      <c r="P104" s="36">
        <f>O104/(C104*Inputs!$D$33)</f>
        <v>0.21948553846153848</v>
      </c>
      <c r="Q104" s="38">
        <f>IF(P104&gt;=1,999,P104/(Inputs!$D$33*(1-P104))*60)</f>
        <v>0.42180936281868536</v>
      </c>
      <c r="R104" s="37">
        <f>MIN(1,MAX(0,(Q104-Inputs!$D$36)/(Inputs!$D$37-Inputs!$D$36)))</f>
        <v>0</v>
      </c>
      <c r="S104" s="35">
        <f>Inputs!$D$6*E104*Inputs!$D$27*(1-Inputs!$D$38*R104)</f>
        <v>4755.5200000000004</v>
      </c>
      <c r="T104" s="39">
        <f>S104*Inputs!$D$12</f>
        <v>76088.320000000007</v>
      </c>
      <c r="U104" s="39">
        <f>T104*(1-Inputs!$D$18)</f>
        <v>34239.743999999999</v>
      </c>
      <c r="V104" s="35">
        <f>Inputs!$D$6*F104*Inputs!$D$28*Inputs!$D$31</f>
        <v>592.65770193981814</v>
      </c>
      <c r="W104" s="36">
        <f>V104/(B104*Inputs!$D$34)</f>
        <v>1.3025443998677322</v>
      </c>
      <c r="X104" s="38">
        <f>IF(W104&gt;=1,999,W104/(Inputs!$D$34*(1-W104))*60)</f>
        <v>999</v>
      </c>
      <c r="Y104" s="37">
        <f>MIN(1,MAX(0,(X104-Inputs!$D$36)/(Inputs!$D$37-Inputs!$D$36)))</f>
        <v>1</v>
      </c>
      <c r="Z104" s="35">
        <f>Inputs!$D$6*F104*Inputs!$D$28*(1-Inputs!$D$38*Y104)</f>
        <v>2507.3979697453847</v>
      </c>
      <c r="AA104" s="39">
        <f>Z104*Inputs!$D$13</f>
        <v>21312.882742835769</v>
      </c>
      <c r="AB104" s="39">
        <f>AA104*(1-Inputs!$D$19)</f>
        <v>12787.729645701462</v>
      </c>
      <c r="AC104" s="39">
        <f t="shared" si="4"/>
        <v>235573.95091783578</v>
      </c>
      <c r="AD104" s="39">
        <f t="shared" si="5"/>
        <v>95387.935506951457</v>
      </c>
      <c r="AE104" s="36">
        <f t="shared" si="6"/>
        <v>1.3025443998677322</v>
      </c>
      <c r="AF104" s="35">
        <f>IF(AND(AE104&lt;=Inputs!$D$35,C104&gt;=Inputs!$D$48*(A104+B104+C104),B104*Inputs!$D$22&lt;=Inputs!$D$50*Inputs!$D$8,B104*Inputs!$D$22&gt;=Inputs!$D$49*Inputs!$D$8,A104*Inputs!$D$20&lt;=Inputs!$D$47*Inputs!$D$8,C104&gt;=1),1,0)</f>
        <v>0</v>
      </c>
      <c r="AG104" s="39">
        <f t="shared" si="7"/>
        <v>-1</v>
      </c>
    </row>
    <row r="105" spans="1:33" x14ac:dyDescent="0.25">
      <c r="A105" s="35">
        <v>29</v>
      </c>
      <c r="B105" s="35">
        <v>14</v>
      </c>
      <c r="C105" s="35">
        <f>Inputs!$D$8-A105-Inputs!$D$22*B105</f>
        <v>63</v>
      </c>
      <c r="D105" s="35">
        <f>A105*Inputs!$D$20+C105*Inputs!$D$21+B105*Inputs!$D$22</f>
        <v>120</v>
      </c>
      <c r="E105" s="36">
        <f>MIN(Inputs!$E$15,Inputs!$D$15*(C105/Inputs!$D$43)^Inputs!$D$44)</f>
        <v>0.4</v>
      </c>
      <c r="F105" s="36">
        <f>MIN(Inputs!$E$16,Inputs!$D$16*(B105/Inputs!$D$42)^Inputs!$D$44)</f>
        <v>0.35940937671625589</v>
      </c>
      <c r="G105" s="37">
        <f>Inputs!$D$26*(1+Inputs!$D$41*(B105-Inputs!$D$42))</f>
        <v>1.41</v>
      </c>
      <c r="H105" s="35">
        <f>Inputs!$D$6*Inputs!$D$14*G105*Inputs!$D$29</f>
        <v>1771.5663000000002</v>
      </c>
      <c r="I105" s="36">
        <f>H105/(A105*Inputs!$D$32)</f>
        <v>1.1106998746081507</v>
      </c>
      <c r="J105" s="38">
        <f>IF(I105&gt;=1,999,I105/(Inputs!$D$32*(1-I105))*60)</f>
        <v>999</v>
      </c>
      <c r="K105" s="37">
        <f>MIN(1,MAX(0,(J105-Inputs!$D$36)/(Inputs!$D$37-Inputs!$D$36)))</f>
        <v>1</v>
      </c>
      <c r="L105" s="35">
        <f>Inputs!$D$6*Inputs!$D$14*G105*(1-Inputs!$D$38*K105)</f>
        <v>6495.7431000000006</v>
      </c>
      <c r="M105" s="39">
        <f>L105*Inputs!$D$11</f>
        <v>139658.47665000003</v>
      </c>
      <c r="N105" s="39">
        <f>M105*(1-Inputs!$D$17)</f>
        <v>48880.466827500008</v>
      </c>
      <c r="O105" s="35">
        <f>Inputs!$D$6*E105*Inputs!$D$27*Inputs!$D$30</f>
        <v>570.66240000000005</v>
      </c>
      <c r="P105" s="36">
        <f>O105/(C105*Inputs!$D$33)</f>
        <v>0.22645333333333334</v>
      </c>
      <c r="Q105" s="38">
        <f>IF(P105&gt;=1,999,P105/(Inputs!$D$33*(1-P105))*60)</f>
        <v>0.43912024269167138</v>
      </c>
      <c r="R105" s="37">
        <f>MIN(1,MAX(0,(Q105-Inputs!$D$36)/(Inputs!$D$37-Inputs!$D$36)))</f>
        <v>0</v>
      </c>
      <c r="S105" s="35">
        <f>Inputs!$D$6*E105*Inputs!$D$27*(1-Inputs!$D$38*R105)</f>
        <v>4755.5200000000004</v>
      </c>
      <c r="T105" s="39">
        <f>S105*Inputs!$D$12</f>
        <v>76088.320000000007</v>
      </c>
      <c r="U105" s="39">
        <f>T105*(1-Inputs!$D$18)</f>
        <v>34239.743999999999</v>
      </c>
      <c r="V105" s="35">
        <f>Inputs!$D$6*F105*Inputs!$D$28*Inputs!$D$31</f>
        <v>605.98146079368973</v>
      </c>
      <c r="W105" s="36">
        <f>V105/(B105*Inputs!$D$34)</f>
        <v>1.2366968587626321</v>
      </c>
      <c r="X105" s="38">
        <f>IF(W105&gt;=1,999,W105/(Inputs!$D$34*(1-W105))*60)</f>
        <v>999</v>
      </c>
      <c r="Y105" s="37">
        <f>MIN(1,MAX(0,(X105-Inputs!$D$36)/(Inputs!$D$37-Inputs!$D$36)))</f>
        <v>1</v>
      </c>
      <c r="Z105" s="35">
        <f>Inputs!$D$6*F105*Inputs!$D$28*(1-Inputs!$D$38*Y105)</f>
        <v>2563.7677187425338</v>
      </c>
      <c r="AA105" s="39">
        <f>Z105*Inputs!$D$13</f>
        <v>21792.025609311539</v>
      </c>
      <c r="AB105" s="39">
        <f>AA105*(1-Inputs!$D$19)</f>
        <v>13075.215365586922</v>
      </c>
      <c r="AC105" s="39">
        <f t="shared" si="4"/>
        <v>237538.82225931156</v>
      </c>
      <c r="AD105" s="39">
        <f t="shared" si="5"/>
        <v>96195.426193086925</v>
      </c>
      <c r="AE105" s="36">
        <f t="shared" si="6"/>
        <v>1.2366968587626321</v>
      </c>
      <c r="AF105" s="35">
        <f>IF(AND(AE105&lt;=Inputs!$D$35,C105&gt;=Inputs!$D$48*(A105+B105+C105),B105*Inputs!$D$22&lt;=Inputs!$D$50*Inputs!$D$8,B105*Inputs!$D$22&gt;=Inputs!$D$49*Inputs!$D$8,A105*Inputs!$D$20&lt;=Inputs!$D$47*Inputs!$D$8,C105&gt;=1),1,0)</f>
        <v>0</v>
      </c>
      <c r="AG105" s="39">
        <f t="shared" si="7"/>
        <v>-1</v>
      </c>
    </row>
    <row r="106" spans="1:33" x14ac:dyDescent="0.25">
      <c r="A106" s="35">
        <v>29</v>
      </c>
      <c r="B106" s="35">
        <v>15</v>
      </c>
      <c r="C106" s="35">
        <f>Inputs!$D$8-A106-Inputs!$D$22*B106</f>
        <v>61</v>
      </c>
      <c r="D106" s="35">
        <f>A106*Inputs!$D$20+C106*Inputs!$D$21+B106*Inputs!$D$22</f>
        <v>120</v>
      </c>
      <c r="E106" s="36">
        <f>MIN(Inputs!$E$15,Inputs!$D$15*(C106/Inputs!$D$43)^Inputs!$D$44)</f>
        <v>0.4</v>
      </c>
      <c r="F106" s="36">
        <f>MIN(Inputs!$E$16,Inputs!$D$16*(B106/Inputs!$D$42)^Inputs!$D$44)</f>
        <v>0.36692590185696072</v>
      </c>
      <c r="G106" s="37">
        <f>Inputs!$D$26*(1+Inputs!$D$41*(B106-Inputs!$D$42))</f>
        <v>1.4249999999999998</v>
      </c>
      <c r="H106" s="35">
        <f>Inputs!$D$6*Inputs!$D$14*G106*Inputs!$D$29</f>
        <v>1790.4127499999997</v>
      </c>
      <c r="I106" s="36">
        <f>H106/(A106*Inputs!$D$32)</f>
        <v>1.122515830721003</v>
      </c>
      <c r="J106" s="38">
        <f>IF(I106&gt;=1,999,I106/(Inputs!$D$32*(1-I106))*60)</f>
        <v>999</v>
      </c>
      <c r="K106" s="37">
        <f>MIN(1,MAX(0,(J106-Inputs!$D$36)/(Inputs!$D$37-Inputs!$D$36)))</f>
        <v>1</v>
      </c>
      <c r="L106" s="35">
        <f>Inputs!$D$6*Inputs!$D$14*G106*(1-Inputs!$D$38*K106)</f>
        <v>6564.8467499999997</v>
      </c>
      <c r="M106" s="39">
        <f>L106*Inputs!$D$11</f>
        <v>141144.20512500001</v>
      </c>
      <c r="N106" s="39">
        <f>M106*(1-Inputs!$D$17)</f>
        <v>49400.471793750003</v>
      </c>
      <c r="O106" s="35">
        <f>Inputs!$D$6*E106*Inputs!$D$27*Inputs!$D$30</f>
        <v>570.66240000000005</v>
      </c>
      <c r="P106" s="36">
        <f>O106/(C106*Inputs!$D$33)</f>
        <v>0.23387803278688526</v>
      </c>
      <c r="Q106" s="38">
        <f>IF(P106&gt;=1,999,P106/(Inputs!$D$33*(1-P106))*60)</f>
        <v>0.45791279221046005</v>
      </c>
      <c r="R106" s="37">
        <f>MIN(1,MAX(0,(Q106-Inputs!$D$36)/(Inputs!$D$37-Inputs!$D$36)))</f>
        <v>0</v>
      </c>
      <c r="S106" s="35">
        <f>Inputs!$D$6*E106*Inputs!$D$27*(1-Inputs!$D$38*R106)</f>
        <v>4755.5200000000004</v>
      </c>
      <c r="T106" s="39">
        <f>S106*Inputs!$D$12</f>
        <v>76088.320000000007</v>
      </c>
      <c r="U106" s="39">
        <f>T106*(1-Inputs!$D$18)</f>
        <v>34239.743999999999</v>
      </c>
      <c r="V106" s="35">
        <f>Inputs!$D$6*F106*Inputs!$D$28*Inputs!$D$31</f>
        <v>618.65468297412497</v>
      </c>
      <c r="W106" s="36">
        <f>V106/(B106*Inputs!$D$34)</f>
        <v>1.1783898723316666</v>
      </c>
      <c r="X106" s="38">
        <f>IF(W106&gt;=1,999,W106/(Inputs!$D$34*(1-W106))*60)</f>
        <v>999</v>
      </c>
      <c r="Y106" s="37">
        <f>MIN(1,MAX(0,(X106-Inputs!$D$36)/(Inputs!$D$37-Inputs!$D$36)))</f>
        <v>1</v>
      </c>
      <c r="Z106" s="35">
        <f>Inputs!$D$6*F106*Inputs!$D$28*(1-Inputs!$D$38*Y106)</f>
        <v>2617.3851971982212</v>
      </c>
      <c r="AA106" s="39">
        <f>Z106*Inputs!$D$13</f>
        <v>22247.774176184881</v>
      </c>
      <c r="AB106" s="39">
        <f>AA106*(1-Inputs!$D$19)</f>
        <v>13348.664505710929</v>
      </c>
      <c r="AC106" s="39">
        <f t="shared" si="4"/>
        <v>239480.29930118489</v>
      </c>
      <c r="AD106" s="39">
        <f t="shared" si="5"/>
        <v>96988.880299460929</v>
      </c>
      <c r="AE106" s="36">
        <f t="shared" si="6"/>
        <v>1.1783898723316666</v>
      </c>
      <c r="AF106" s="35">
        <f>IF(AND(AE106&lt;=Inputs!$D$35,C106&gt;=Inputs!$D$48*(A106+B106+C106),B106*Inputs!$D$22&lt;=Inputs!$D$50*Inputs!$D$8,B106*Inputs!$D$22&gt;=Inputs!$D$49*Inputs!$D$8,A106*Inputs!$D$20&lt;=Inputs!$D$47*Inputs!$D$8,C106&gt;=1),1,0)</f>
        <v>0</v>
      </c>
      <c r="AG106" s="39">
        <f t="shared" si="7"/>
        <v>-1</v>
      </c>
    </row>
    <row r="107" spans="1:33" x14ac:dyDescent="0.25">
      <c r="A107" s="35">
        <v>29</v>
      </c>
      <c r="B107" s="35">
        <v>16</v>
      </c>
      <c r="C107" s="35">
        <f>Inputs!$D$8-A107-Inputs!$D$22*B107</f>
        <v>59</v>
      </c>
      <c r="D107" s="35">
        <f>A107*Inputs!$D$20+C107*Inputs!$D$21+B107*Inputs!$D$22</f>
        <v>120</v>
      </c>
      <c r="E107" s="36">
        <f>MIN(Inputs!$E$15,Inputs!$D$15*(C107/Inputs!$D$43)^Inputs!$D$44)</f>
        <v>0.4</v>
      </c>
      <c r="F107" s="36">
        <f>MIN(Inputs!$E$16,Inputs!$D$16*(B107/Inputs!$D$42)^Inputs!$D$44)</f>
        <v>0.37409937912904856</v>
      </c>
      <c r="G107" s="37">
        <f>Inputs!$D$26*(1+Inputs!$D$41*(B107-Inputs!$D$42))</f>
        <v>1.44</v>
      </c>
      <c r="H107" s="35">
        <f>Inputs!$D$6*Inputs!$D$14*G107*Inputs!$D$29</f>
        <v>1809.2592000000002</v>
      </c>
      <c r="I107" s="36">
        <f>H107/(A107*Inputs!$D$32)</f>
        <v>1.1343317868338558</v>
      </c>
      <c r="J107" s="38">
        <f>IF(I107&gt;=1,999,I107/(Inputs!$D$32*(1-I107))*60)</f>
        <v>999</v>
      </c>
      <c r="K107" s="37">
        <f>MIN(1,MAX(0,(J107-Inputs!$D$36)/(Inputs!$D$37-Inputs!$D$36)))</f>
        <v>1</v>
      </c>
      <c r="L107" s="35">
        <f>Inputs!$D$6*Inputs!$D$14*G107*(1-Inputs!$D$38*K107)</f>
        <v>6633.9504000000006</v>
      </c>
      <c r="M107" s="39">
        <f>L107*Inputs!$D$11</f>
        <v>142629.93360000002</v>
      </c>
      <c r="N107" s="39">
        <f>M107*(1-Inputs!$D$17)</f>
        <v>49920.476760000005</v>
      </c>
      <c r="O107" s="35">
        <f>Inputs!$D$6*E107*Inputs!$D$27*Inputs!$D$30</f>
        <v>570.66240000000005</v>
      </c>
      <c r="P107" s="36">
        <f>O107/(C107*Inputs!$D$33)</f>
        <v>0.24180610169491529</v>
      </c>
      <c r="Q107" s="38">
        <f>IF(P107&gt;=1,999,P107/(Inputs!$D$33*(1-P107))*60)</f>
        <v>0.47838574453473742</v>
      </c>
      <c r="R107" s="37">
        <f>MIN(1,MAX(0,(Q107-Inputs!$D$36)/(Inputs!$D$37-Inputs!$D$36)))</f>
        <v>0</v>
      </c>
      <c r="S107" s="35">
        <f>Inputs!$D$6*E107*Inputs!$D$27*(1-Inputs!$D$38*R107)</f>
        <v>4755.5200000000004</v>
      </c>
      <c r="T107" s="39">
        <f>S107*Inputs!$D$12</f>
        <v>76088.320000000007</v>
      </c>
      <c r="U107" s="39">
        <f>T107*(1-Inputs!$D$18)</f>
        <v>34239.743999999999</v>
      </c>
      <c r="V107" s="35">
        <f>Inputs!$D$6*F107*Inputs!$D$28*Inputs!$D$31</f>
        <v>630.74950998177405</v>
      </c>
      <c r="W107" s="36">
        <f>V107/(B107*Inputs!$D$34)</f>
        <v>1.1263384106817393</v>
      </c>
      <c r="X107" s="38">
        <f>IF(W107&gt;=1,999,W107/(Inputs!$D$34*(1-W107))*60)</f>
        <v>999</v>
      </c>
      <c r="Y107" s="37">
        <f>MIN(1,MAX(0,(X107-Inputs!$D$36)/(Inputs!$D$37-Inputs!$D$36)))</f>
        <v>1</v>
      </c>
      <c r="Z107" s="35">
        <f>Inputs!$D$6*F107*Inputs!$D$28*(1-Inputs!$D$38*Y107)</f>
        <v>2668.5556191536598</v>
      </c>
      <c r="AA107" s="39">
        <f>Z107*Inputs!$D$13</f>
        <v>22682.722762806108</v>
      </c>
      <c r="AB107" s="39">
        <f>AA107*(1-Inputs!$D$19)</f>
        <v>13609.633657683664</v>
      </c>
      <c r="AC107" s="39">
        <f t="shared" si="4"/>
        <v>241400.97636280613</v>
      </c>
      <c r="AD107" s="39">
        <f t="shared" si="5"/>
        <v>97769.854417683659</v>
      </c>
      <c r="AE107" s="36">
        <f t="shared" si="6"/>
        <v>1.1343317868338558</v>
      </c>
      <c r="AF107" s="35">
        <f>IF(AND(AE107&lt;=Inputs!$D$35,C107&gt;=Inputs!$D$48*(A107+B107+C107),B107*Inputs!$D$22&lt;=Inputs!$D$50*Inputs!$D$8,B107*Inputs!$D$22&gt;=Inputs!$D$49*Inputs!$D$8,A107*Inputs!$D$20&lt;=Inputs!$D$47*Inputs!$D$8,C107&gt;=1),1,0)</f>
        <v>0</v>
      </c>
      <c r="AG107" s="39">
        <f t="shared" si="7"/>
        <v>-1</v>
      </c>
    </row>
    <row r="108" spans="1:33" x14ac:dyDescent="0.25">
      <c r="A108" s="35">
        <v>29</v>
      </c>
      <c r="B108" s="35">
        <v>17</v>
      </c>
      <c r="C108" s="35">
        <f>Inputs!$D$8-A108-Inputs!$D$22*B108</f>
        <v>57</v>
      </c>
      <c r="D108" s="35">
        <f>A108*Inputs!$D$20+C108*Inputs!$D$21+B108*Inputs!$D$22</f>
        <v>120</v>
      </c>
      <c r="E108" s="36">
        <f>MIN(Inputs!$E$15,Inputs!$D$15*(C108/Inputs!$D$43)^Inputs!$D$44)</f>
        <v>0.4</v>
      </c>
      <c r="F108" s="36">
        <f>MIN(Inputs!$E$16,Inputs!$D$16*(B108/Inputs!$D$42)^Inputs!$D$44)</f>
        <v>0.3809655184437048</v>
      </c>
      <c r="G108" s="37">
        <f>Inputs!$D$26*(1+Inputs!$D$41*(B108-Inputs!$D$42))</f>
        <v>1.4550000000000001</v>
      </c>
      <c r="H108" s="35">
        <f>Inputs!$D$6*Inputs!$D$14*G108*Inputs!$D$29</f>
        <v>1828.1056500000002</v>
      </c>
      <c r="I108" s="36">
        <f>H108/(A108*Inputs!$D$32)</f>
        <v>1.1461477429467086</v>
      </c>
      <c r="J108" s="38">
        <f>IF(I108&gt;=1,999,I108/(Inputs!$D$32*(1-I108))*60)</f>
        <v>999</v>
      </c>
      <c r="K108" s="37">
        <f>MIN(1,MAX(0,(J108-Inputs!$D$36)/(Inputs!$D$37-Inputs!$D$36)))</f>
        <v>1</v>
      </c>
      <c r="L108" s="35">
        <f>Inputs!$D$6*Inputs!$D$14*G108*(1-Inputs!$D$38*K108)</f>
        <v>6703.0540500000006</v>
      </c>
      <c r="M108" s="39">
        <f>L108*Inputs!$D$11</f>
        <v>144115.662075</v>
      </c>
      <c r="N108" s="39">
        <f>M108*(1-Inputs!$D$17)</f>
        <v>50440.48172625</v>
      </c>
      <c r="O108" s="35">
        <f>Inputs!$D$6*E108*Inputs!$D$27*Inputs!$D$30</f>
        <v>570.66240000000005</v>
      </c>
      <c r="P108" s="36">
        <f>O108/(C108*Inputs!$D$33)</f>
        <v>0.25029052631578952</v>
      </c>
      <c r="Q108" s="38">
        <f>IF(P108&gt;=1,999,P108/(Inputs!$D$33*(1-P108))*60)</f>
        <v>0.50077503706699034</v>
      </c>
      <c r="R108" s="37">
        <f>MIN(1,MAX(0,(Q108-Inputs!$D$36)/(Inputs!$D$37-Inputs!$D$36)))</f>
        <v>0</v>
      </c>
      <c r="S108" s="35">
        <f>Inputs!$D$6*E108*Inputs!$D$27*(1-Inputs!$D$38*R108)</f>
        <v>4755.5200000000004</v>
      </c>
      <c r="T108" s="39">
        <f>S108*Inputs!$D$12</f>
        <v>76088.320000000007</v>
      </c>
      <c r="U108" s="39">
        <f>T108*(1-Inputs!$D$18)</f>
        <v>34239.743999999999</v>
      </c>
      <c r="V108" s="35">
        <f>Inputs!$D$6*F108*Inputs!$D$28*Inputs!$D$31</f>
        <v>642.32615044097156</v>
      </c>
      <c r="W108" s="36">
        <f>V108/(B108*Inputs!$D$34)</f>
        <v>1.0795397486402882</v>
      </c>
      <c r="X108" s="38">
        <f>IF(W108&gt;=1,999,W108/(Inputs!$D$34*(1-W108))*60)</f>
        <v>999</v>
      </c>
      <c r="Y108" s="37">
        <f>MIN(1,MAX(0,(X108-Inputs!$D$36)/(Inputs!$D$37-Inputs!$D$36)))</f>
        <v>1</v>
      </c>
      <c r="Z108" s="35">
        <f>Inputs!$D$6*F108*Inputs!$D$28*(1-Inputs!$D$38*Y108)</f>
        <v>2717.5337134041106</v>
      </c>
      <c r="AA108" s="39">
        <f>Z108*Inputs!$D$13</f>
        <v>23099.03656393494</v>
      </c>
      <c r="AB108" s="39">
        <f>AA108*(1-Inputs!$D$19)</f>
        <v>13859.421938360963</v>
      </c>
      <c r="AC108" s="39">
        <f t="shared" si="4"/>
        <v>243303.01863893494</v>
      </c>
      <c r="AD108" s="39">
        <f t="shared" si="5"/>
        <v>98539.647664610966</v>
      </c>
      <c r="AE108" s="36">
        <f t="shared" si="6"/>
        <v>1.1461477429467086</v>
      </c>
      <c r="AF108" s="35">
        <f>IF(AND(AE108&lt;=Inputs!$D$35,C108&gt;=Inputs!$D$48*(A108+B108+C108),B108*Inputs!$D$22&lt;=Inputs!$D$50*Inputs!$D$8,B108*Inputs!$D$22&gt;=Inputs!$D$49*Inputs!$D$8,A108*Inputs!$D$20&lt;=Inputs!$D$47*Inputs!$D$8,C108&gt;=1),1,0)</f>
        <v>0</v>
      </c>
      <c r="AG108" s="39">
        <f t="shared" si="7"/>
        <v>-1</v>
      </c>
    </row>
    <row r="109" spans="1:33" x14ac:dyDescent="0.25">
      <c r="A109" s="35">
        <v>29</v>
      </c>
      <c r="B109" s="35">
        <v>18</v>
      </c>
      <c r="C109" s="35">
        <f>Inputs!$D$8-A109-Inputs!$D$22*B109</f>
        <v>55</v>
      </c>
      <c r="D109" s="35">
        <f>A109*Inputs!$D$20+C109*Inputs!$D$21+B109*Inputs!$D$22</f>
        <v>120</v>
      </c>
      <c r="E109" s="36">
        <f>MIN(Inputs!$E$15,Inputs!$D$15*(C109/Inputs!$D$43)^Inputs!$D$44)</f>
        <v>0.4</v>
      </c>
      <c r="F109" s="36">
        <f>MIN(Inputs!$E$16,Inputs!$D$16*(B109/Inputs!$D$42)^Inputs!$D$44)</f>
        <v>0.38755446447890535</v>
      </c>
      <c r="G109" s="37">
        <f>Inputs!$D$26*(1+Inputs!$D$41*(B109-Inputs!$D$42))</f>
        <v>1.47</v>
      </c>
      <c r="H109" s="35">
        <f>Inputs!$D$6*Inputs!$D$14*G109*Inputs!$D$29</f>
        <v>1846.9521</v>
      </c>
      <c r="I109" s="36">
        <f>H109/(A109*Inputs!$D$32)</f>
        <v>1.1579636990595612</v>
      </c>
      <c r="J109" s="38">
        <f>IF(I109&gt;=1,999,I109/(Inputs!$D$32*(1-I109))*60)</f>
        <v>999</v>
      </c>
      <c r="K109" s="37">
        <f>MIN(1,MAX(0,(J109-Inputs!$D$36)/(Inputs!$D$37-Inputs!$D$36)))</f>
        <v>1</v>
      </c>
      <c r="L109" s="35">
        <f>Inputs!$D$6*Inputs!$D$14*G109*(1-Inputs!$D$38*K109)</f>
        <v>6772.1577000000016</v>
      </c>
      <c r="M109" s="39">
        <f>L109*Inputs!$D$11</f>
        <v>145601.39055000004</v>
      </c>
      <c r="N109" s="39">
        <f>M109*(1-Inputs!$D$17)</f>
        <v>50960.48669250001</v>
      </c>
      <c r="O109" s="35">
        <f>Inputs!$D$6*E109*Inputs!$D$27*Inputs!$D$30</f>
        <v>570.66240000000005</v>
      </c>
      <c r="P109" s="36">
        <f>O109/(C109*Inputs!$D$33)</f>
        <v>0.25939200000000001</v>
      </c>
      <c r="Q109" s="38">
        <f>IF(P109&gt;=1,999,P109/(Inputs!$D$33*(1-P109))*60)</f>
        <v>0.52536294503975123</v>
      </c>
      <c r="R109" s="37">
        <f>MIN(1,MAX(0,(Q109-Inputs!$D$36)/(Inputs!$D$37-Inputs!$D$36)))</f>
        <v>0</v>
      </c>
      <c r="S109" s="35">
        <f>Inputs!$D$6*E109*Inputs!$D$27*(1-Inputs!$D$38*R109)</f>
        <v>4755.5200000000004</v>
      </c>
      <c r="T109" s="39">
        <f>S109*Inputs!$D$12</f>
        <v>76088.320000000007</v>
      </c>
      <c r="U109" s="39">
        <f>T109*(1-Inputs!$D$18)</f>
        <v>34239.743999999999</v>
      </c>
      <c r="V109" s="35">
        <f>Inputs!$D$6*F109*Inputs!$D$28*Inputs!$D$31</f>
        <v>653.43542972572936</v>
      </c>
      <c r="W109" s="36">
        <f>V109/(B109*Inputs!$D$34)</f>
        <v>1.037199094802745</v>
      </c>
      <c r="X109" s="38">
        <f>IF(W109&gt;=1,999,W109/(Inputs!$D$34*(1-W109))*60)</f>
        <v>999</v>
      </c>
      <c r="Y109" s="37">
        <f>MIN(1,MAX(0,(X109-Inputs!$D$36)/(Inputs!$D$37-Inputs!$D$36)))</f>
        <v>1</v>
      </c>
      <c r="Z109" s="35">
        <f>Inputs!$D$6*F109*Inputs!$D$28*(1-Inputs!$D$38*Y109)</f>
        <v>2764.534510378086</v>
      </c>
      <c r="AA109" s="39">
        <f>Z109*Inputs!$D$13</f>
        <v>23498.543338213731</v>
      </c>
      <c r="AB109" s="39">
        <f>AA109*(1-Inputs!$D$19)</f>
        <v>14099.126002928238</v>
      </c>
      <c r="AC109" s="39">
        <f t="shared" si="4"/>
        <v>245188.25388821377</v>
      </c>
      <c r="AD109" s="39">
        <f t="shared" si="5"/>
        <v>99299.356695428258</v>
      </c>
      <c r="AE109" s="36">
        <f t="shared" si="6"/>
        <v>1.1579636990595612</v>
      </c>
      <c r="AF109" s="35">
        <f>IF(AND(AE109&lt;=Inputs!$D$35,C109&gt;=Inputs!$D$48*(A109+B109+C109),B109*Inputs!$D$22&lt;=Inputs!$D$50*Inputs!$D$8,B109*Inputs!$D$22&gt;=Inputs!$D$49*Inputs!$D$8,A109*Inputs!$D$20&lt;=Inputs!$D$47*Inputs!$D$8,C109&gt;=1),1,0)</f>
        <v>0</v>
      </c>
      <c r="AG109" s="39">
        <f t="shared" si="7"/>
        <v>-1</v>
      </c>
    </row>
    <row r="110" spans="1:33" x14ac:dyDescent="0.25">
      <c r="A110" s="35">
        <v>29</v>
      </c>
      <c r="B110" s="35">
        <v>19</v>
      </c>
      <c r="C110" s="35">
        <f>Inputs!$D$8-A110-Inputs!$D$22*B110</f>
        <v>53</v>
      </c>
      <c r="D110" s="35">
        <f>A110*Inputs!$D$20+C110*Inputs!$D$21+B110*Inputs!$D$22</f>
        <v>120</v>
      </c>
      <c r="E110" s="36">
        <f>MIN(Inputs!$E$15,Inputs!$D$15*(C110/Inputs!$D$43)^Inputs!$D$44)</f>
        <v>0.4</v>
      </c>
      <c r="F110" s="36">
        <f>MIN(Inputs!$E$16,Inputs!$D$16*(B110/Inputs!$D$42)^Inputs!$D$44)</f>
        <v>0.39389192072703005</v>
      </c>
      <c r="G110" s="37">
        <f>Inputs!$D$26*(1+Inputs!$D$41*(B110-Inputs!$D$42))</f>
        <v>1.4849999999999999</v>
      </c>
      <c r="H110" s="35">
        <f>Inputs!$D$6*Inputs!$D$14*G110*Inputs!$D$29</f>
        <v>1865.7985499999998</v>
      </c>
      <c r="I110" s="36">
        <f>H110/(A110*Inputs!$D$32)</f>
        <v>1.1697796551724136</v>
      </c>
      <c r="J110" s="38">
        <f>IF(I110&gt;=1,999,I110/(Inputs!$D$32*(1-I110))*60)</f>
        <v>999</v>
      </c>
      <c r="K110" s="37">
        <f>MIN(1,MAX(0,(J110-Inputs!$D$36)/(Inputs!$D$37-Inputs!$D$36)))</f>
        <v>1</v>
      </c>
      <c r="L110" s="35">
        <f>Inputs!$D$6*Inputs!$D$14*G110*(1-Inputs!$D$38*K110)</f>
        <v>6841.2613499999998</v>
      </c>
      <c r="M110" s="39">
        <f>L110*Inputs!$D$11</f>
        <v>147087.11902499999</v>
      </c>
      <c r="N110" s="39">
        <f>M110*(1-Inputs!$D$17)</f>
        <v>51480.491658749997</v>
      </c>
      <c r="O110" s="35">
        <f>Inputs!$D$6*E110*Inputs!$D$27*Inputs!$D$30</f>
        <v>570.66240000000005</v>
      </c>
      <c r="P110" s="36">
        <f>O110/(C110*Inputs!$D$33)</f>
        <v>0.2691803773584906</v>
      </c>
      <c r="Q110" s="38">
        <f>IF(P110&gt;=1,999,P110/(Inputs!$D$33*(1-P110))*60)</f>
        <v>0.5524900447778458</v>
      </c>
      <c r="R110" s="37">
        <f>MIN(1,MAX(0,(Q110-Inputs!$D$36)/(Inputs!$D$37-Inputs!$D$36)))</f>
        <v>0</v>
      </c>
      <c r="S110" s="35">
        <f>Inputs!$D$6*E110*Inputs!$D$27*(1-Inputs!$D$38*R110)</f>
        <v>4755.5200000000004</v>
      </c>
      <c r="T110" s="39">
        <f>S110*Inputs!$D$12</f>
        <v>76088.320000000007</v>
      </c>
      <c r="U110" s="39">
        <f>T110*(1-Inputs!$D$18)</f>
        <v>34239.743999999999</v>
      </c>
      <c r="V110" s="35">
        <f>Inputs!$D$6*F110*Inputs!$D$28*Inputs!$D$31</f>
        <v>664.12068515796761</v>
      </c>
      <c r="W110" s="36">
        <f>V110/(B110*Inputs!$D$34)</f>
        <v>0.99867772204205651</v>
      </c>
      <c r="X110" s="38">
        <f>IF(W110&gt;=1,999,W110/(Inputs!$D$34*(1-W110))*60)</f>
        <v>1294.749671797274</v>
      </c>
      <c r="Y110" s="37">
        <f>MIN(1,MAX(0,(X110-Inputs!$D$36)/(Inputs!$D$37-Inputs!$D$36)))</f>
        <v>1</v>
      </c>
      <c r="Z110" s="35">
        <f>Inputs!$D$6*F110*Inputs!$D$28*(1-Inputs!$D$38*Y110)</f>
        <v>2809.7413602837091</v>
      </c>
      <c r="AA110" s="39">
        <f>Z110*Inputs!$D$13</f>
        <v>23882.801562411529</v>
      </c>
      <c r="AB110" s="39">
        <f>AA110*(1-Inputs!$D$19)</f>
        <v>14329.680937446918</v>
      </c>
      <c r="AC110" s="39">
        <f t="shared" si="4"/>
        <v>247058.24058741154</v>
      </c>
      <c r="AD110" s="39">
        <f t="shared" si="5"/>
        <v>100049.91659619691</v>
      </c>
      <c r="AE110" s="36">
        <f t="shared" si="6"/>
        <v>1.1697796551724136</v>
      </c>
      <c r="AF110" s="35">
        <f>IF(AND(AE110&lt;=Inputs!$D$35,C110&gt;=Inputs!$D$48*(A110+B110+C110),B110*Inputs!$D$22&lt;=Inputs!$D$50*Inputs!$D$8,B110*Inputs!$D$22&gt;=Inputs!$D$49*Inputs!$D$8,A110*Inputs!$D$20&lt;=Inputs!$D$47*Inputs!$D$8,C110&gt;=1),1,0)</f>
        <v>0</v>
      </c>
      <c r="AG110" s="39">
        <f t="shared" si="7"/>
        <v>-1</v>
      </c>
    </row>
    <row r="111" spans="1:33" x14ac:dyDescent="0.25">
      <c r="A111" s="35">
        <v>29</v>
      </c>
      <c r="B111" s="35">
        <v>20</v>
      </c>
      <c r="C111" s="35">
        <f>Inputs!$D$8-A111-Inputs!$D$22*B111</f>
        <v>51</v>
      </c>
      <c r="D111" s="35">
        <f>A111*Inputs!$D$20+C111*Inputs!$D$21+B111*Inputs!$D$22</f>
        <v>120</v>
      </c>
      <c r="E111" s="36">
        <f>MIN(Inputs!$E$15,Inputs!$D$15*(C111/Inputs!$D$43)^Inputs!$D$44)</f>
        <v>0.4</v>
      </c>
      <c r="F111" s="36">
        <f>MIN(Inputs!$E$16,Inputs!$D$16*(B111/Inputs!$D$42)^Inputs!$D$44)</f>
        <v>0.4</v>
      </c>
      <c r="G111" s="37">
        <f>Inputs!$D$26*(1+Inputs!$D$41*(B111-Inputs!$D$42))</f>
        <v>1.5</v>
      </c>
      <c r="H111" s="35">
        <f>Inputs!$D$6*Inputs!$D$14*G111*Inputs!$D$29</f>
        <v>1884.645</v>
      </c>
      <c r="I111" s="36">
        <f>H111/(A111*Inputs!$D$32)</f>
        <v>1.1815956112852664</v>
      </c>
      <c r="J111" s="38">
        <f>IF(I111&gt;=1,999,I111/(Inputs!$D$32*(1-I111))*60)</f>
        <v>999</v>
      </c>
      <c r="K111" s="37">
        <f>MIN(1,MAX(0,(J111-Inputs!$D$36)/(Inputs!$D$37-Inputs!$D$36)))</f>
        <v>1</v>
      </c>
      <c r="L111" s="35">
        <f>Inputs!$D$6*Inputs!$D$14*G111*(1-Inputs!$D$38*K111)</f>
        <v>6910.3650000000016</v>
      </c>
      <c r="M111" s="39">
        <f>L111*Inputs!$D$11</f>
        <v>148572.84750000003</v>
      </c>
      <c r="N111" s="39">
        <f>M111*(1-Inputs!$D$17)</f>
        <v>52000.496625000007</v>
      </c>
      <c r="O111" s="35">
        <f>Inputs!$D$6*E111*Inputs!$D$27*Inputs!$D$30</f>
        <v>570.66240000000005</v>
      </c>
      <c r="P111" s="36">
        <f>O111/(C111*Inputs!$D$33)</f>
        <v>0.27973647058823531</v>
      </c>
      <c r="Q111" s="38">
        <f>IF(P111&gt;=1,999,P111/(Inputs!$D$33*(1-P111))*60)</f>
        <v>0.5825710850930379</v>
      </c>
      <c r="R111" s="37">
        <f>MIN(1,MAX(0,(Q111-Inputs!$D$36)/(Inputs!$D$37-Inputs!$D$36)))</f>
        <v>0</v>
      </c>
      <c r="S111" s="35">
        <f>Inputs!$D$6*E111*Inputs!$D$27*(1-Inputs!$D$38*R111)</f>
        <v>4755.5200000000004</v>
      </c>
      <c r="T111" s="39">
        <f>S111*Inputs!$D$12</f>
        <v>76088.320000000007</v>
      </c>
      <c r="U111" s="39">
        <f>T111*(1-Inputs!$D$18)</f>
        <v>34239.743999999999</v>
      </c>
      <c r="V111" s="35">
        <f>Inputs!$D$6*F111*Inputs!$D$28*Inputs!$D$31</f>
        <v>674.41919999999993</v>
      </c>
      <c r="W111" s="36">
        <f>V111/(B111*Inputs!$D$34)</f>
        <v>0.96345599999999987</v>
      </c>
      <c r="X111" s="38">
        <f>IF(W111&gt;=1,999,W111/(Inputs!$D$34*(1-W111))*60)</f>
        <v>45.195896922691851</v>
      </c>
      <c r="Y111" s="37">
        <f>MIN(1,MAX(0,(X111-Inputs!$D$36)/(Inputs!$D$37-Inputs!$D$36)))</f>
        <v>1</v>
      </c>
      <c r="Z111" s="35">
        <f>Inputs!$D$6*F111*Inputs!$D$28*(1-Inputs!$D$38*Y111)</f>
        <v>2853.3119999999999</v>
      </c>
      <c r="AA111" s="39">
        <f>Z111*Inputs!$D$13</f>
        <v>24253.151999999998</v>
      </c>
      <c r="AB111" s="39">
        <f>AA111*(1-Inputs!$D$19)</f>
        <v>14551.891199999998</v>
      </c>
      <c r="AC111" s="39">
        <f t="shared" si="4"/>
        <v>248914.31950000004</v>
      </c>
      <c r="AD111" s="39">
        <f t="shared" si="5"/>
        <v>100792.131825</v>
      </c>
      <c r="AE111" s="36">
        <f t="shared" si="6"/>
        <v>1.1815956112852664</v>
      </c>
      <c r="AF111" s="35">
        <f>IF(AND(AE111&lt;=Inputs!$D$35,C111&gt;=Inputs!$D$48*(A111+B111+C111),B111*Inputs!$D$22&lt;=Inputs!$D$50*Inputs!$D$8,B111*Inputs!$D$22&gt;=Inputs!$D$49*Inputs!$D$8,A111*Inputs!$D$20&lt;=Inputs!$D$47*Inputs!$D$8,C111&gt;=1),1,0)</f>
        <v>0</v>
      </c>
      <c r="AG111" s="39">
        <f t="shared" si="7"/>
        <v>-1</v>
      </c>
    </row>
    <row r="112" spans="1:33" x14ac:dyDescent="0.25">
      <c r="A112" s="35">
        <v>29</v>
      </c>
      <c r="B112" s="35">
        <v>21</v>
      </c>
      <c r="C112" s="35">
        <f>Inputs!$D$8-A112-Inputs!$D$22*B112</f>
        <v>49</v>
      </c>
      <c r="D112" s="35">
        <f>A112*Inputs!$D$20+C112*Inputs!$D$21+B112*Inputs!$D$22</f>
        <v>120</v>
      </c>
      <c r="E112" s="36">
        <f>MIN(Inputs!$E$15,Inputs!$D$15*(C112/Inputs!$D$43)^Inputs!$D$44)</f>
        <v>0.39770420454194916</v>
      </c>
      <c r="F112" s="36">
        <f>MIN(Inputs!$E$16,Inputs!$D$16*(B112/Inputs!$D$42)^Inputs!$D$44)</f>
        <v>0.40589787816896217</v>
      </c>
      <c r="G112" s="37">
        <f>Inputs!$D$26*(1+Inputs!$D$41*(B112-Inputs!$D$42))</f>
        <v>1.5150000000000001</v>
      </c>
      <c r="H112" s="35">
        <f>Inputs!$D$6*Inputs!$D$14*G112*Inputs!$D$29</f>
        <v>1903.4914500000004</v>
      </c>
      <c r="I112" s="36">
        <f>H112/(A112*Inputs!$D$32)</f>
        <v>1.1934115673981194</v>
      </c>
      <c r="J112" s="38">
        <f>IF(I112&gt;=1,999,I112/(Inputs!$D$32*(1-I112))*60)</f>
        <v>999</v>
      </c>
      <c r="K112" s="37">
        <f>MIN(1,MAX(0,(J112-Inputs!$D$36)/(Inputs!$D$37-Inputs!$D$36)))</f>
        <v>1</v>
      </c>
      <c r="L112" s="35">
        <f>Inputs!$D$6*Inputs!$D$14*G112*(1-Inputs!$D$38*K112)</f>
        <v>6979.4686500000025</v>
      </c>
      <c r="M112" s="39">
        <f>L112*Inputs!$D$11</f>
        <v>150058.57597500004</v>
      </c>
      <c r="N112" s="39">
        <f>M112*(1-Inputs!$D$17)</f>
        <v>52520.501591250009</v>
      </c>
      <c r="O112" s="35">
        <f>Inputs!$D$6*E112*Inputs!$D$27*Inputs!$D$30</f>
        <v>567.38708963499903</v>
      </c>
      <c r="P112" s="36">
        <f>O112/(C112*Inputs!$D$33)</f>
        <v>0.2894832089974485</v>
      </c>
      <c r="Q112" s="38">
        <f>IF(P112&gt;=1,999,P112/(Inputs!$D$33*(1-P112))*60)</f>
        <v>0.61113941147467321</v>
      </c>
      <c r="R112" s="37">
        <f>MIN(1,MAX(0,(Q112-Inputs!$D$36)/(Inputs!$D$37-Inputs!$D$36)))</f>
        <v>0</v>
      </c>
      <c r="S112" s="35">
        <f>Inputs!$D$6*E112*Inputs!$D$27*(1-Inputs!$D$38*R112)</f>
        <v>4728.2257469583255</v>
      </c>
      <c r="T112" s="39">
        <f>S112*Inputs!$D$12</f>
        <v>75651.611951333209</v>
      </c>
      <c r="U112" s="39">
        <f>T112*(1-Inputs!$D$18)</f>
        <v>34043.225378099938</v>
      </c>
      <c r="V112" s="35">
        <f>Inputs!$D$6*F112*Inputs!$D$28*Inputs!$D$31</f>
        <v>684.36330569102222</v>
      </c>
      <c r="W112" s="36">
        <f>V112/(B112*Inputs!$D$34)</f>
        <v>0.93110653835513224</v>
      </c>
      <c r="X112" s="38">
        <f>IF(W112&gt;=1,999,W112/(Inputs!$D$34*(1-W112))*60)</f>
        <v>23.16885520150278</v>
      </c>
      <c r="Y112" s="37">
        <f>MIN(1,MAX(0,(X112-Inputs!$D$36)/(Inputs!$D$37-Inputs!$D$36)))</f>
        <v>1</v>
      </c>
      <c r="Z112" s="35">
        <f>Inputs!$D$6*F112*Inputs!$D$28*(1-Inputs!$D$38*Y112)</f>
        <v>2895.3832163850943</v>
      </c>
      <c r="AA112" s="39">
        <f>Z112*Inputs!$D$13</f>
        <v>24610.757339273303</v>
      </c>
      <c r="AB112" s="39">
        <f>AA112*(1-Inputs!$D$19)</f>
        <v>14766.454403563981</v>
      </c>
      <c r="AC112" s="39">
        <f t="shared" si="4"/>
        <v>250320.94526560657</v>
      </c>
      <c r="AD112" s="39">
        <f t="shared" si="5"/>
        <v>101330.18137291394</v>
      </c>
      <c r="AE112" s="36">
        <f t="shared" si="6"/>
        <v>1.1934115673981194</v>
      </c>
      <c r="AF112" s="35">
        <f>IF(AND(AE112&lt;=Inputs!$D$35,C112&gt;=Inputs!$D$48*(A112+B112+C112),B112*Inputs!$D$22&lt;=Inputs!$D$50*Inputs!$D$8,B112*Inputs!$D$22&gt;=Inputs!$D$49*Inputs!$D$8,A112*Inputs!$D$20&lt;=Inputs!$D$47*Inputs!$D$8,C112&gt;=1),1,0)</f>
        <v>0</v>
      </c>
      <c r="AG112" s="39">
        <f t="shared" si="7"/>
        <v>-1</v>
      </c>
    </row>
    <row r="113" spans="1:33" x14ac:dyDescent="0.25">
      <c r="A113" s="35">
        <v>29</v>
      </c>
      <c r="B113" s="35">
        <v>22</v>
      </c>
      <c r="C113" s="35">
        <f>Inputs!$D$8-A113-Inputs!$D$22*B113</f>
        <v>47</v>
      </c>
      <c r="D113" s="35">
        <f>A113*Inputs!$D$20+C113*Inputs!$D$21+B113*Inputs!$D$22</f>
        <v>120</v>
      </c>
      <c r="E113" s="36">
        <f>MIN(Inputs!$E$15,Inputs!$D$15*(C113/Inputs!$D$43)^Inputs!$D$44)</f>
        <v>0.39276313309091065</v>
      </c>
      <c r="F113" s="36">
        <f>MIN(Inputs!$E$16,Inputs!$D$16*(B113/Inputs!$D$42)^Inputs!$D$44)</f>
        <v>0.41160230376843804</v>
      </c>
      <c r="G113" s="37">
        <f>Inputs!$D$26*(1+Inputs!$D$41*(B113-Inputs!$D$42))</f>
        <v>1.53</v>
      </c>
      <c r="H113" s="35">
        <f>Inputs!$D$6*Inputs!$D$14*G113*Inputs!$D$29</f>
        <v>1922.3379</v>
      </c>
      <c r="I113" s="36">
        <f>H113/(A113*Inputs!$D$32)</f>
        <v>1.2052275235109717</v>
      </c>
      <c r="J113" s="38">
        <f>IF(I113&gt;=1,999,I113/(Inputs!$D$32*(1-I113))*60)</f>
        <v>999</v>
      </c>
      <c r="K113" s="37">
        <f>MIN(1,MAX(0,(J113-Inputs!$D$36)/(Inputs!$D$37-Inputs!$D$36)))</f>
        <v>1</v>
      </c>
      <c r="L113" s="35">
        <f>Inputs!$D$6*Inputs!$D$14*G113*(1-Inputs!$D$38*K113)</f>
        <v>7048.5723000000016</v>
      </c>
      <c r="M113" s="39">
        <f>L113*Inputs!$D$11</f>
        <v>151544.30445000003</v>
      </c>
      <c r="N113" s="39">
        <f>M113*(1-Inputs!$D$17)</f>
        <v>53040.506557500004</v>
      </c>
      <c r="O113" s="35">
        <f>Inputs!$D$6*E113*Inputs!$D$27*Inputs!$D$30</f>
        <v>560.33788040294633</v>
      </c>
      <c r="P113" s="36">
        <f>O113/(C113*Inputs!$D$33)</f>
        <v>0.29805206404412038</v>
      </c>
      <c r="Q113" s="38">
        <f>IF(P113&gt;=1,999,P113/(Inputs!$D$33*(1-P113))*60)</f>
        <v>0.63691062138016075</v>
      </c>
      <c r="R113" s="37">
        <f>MIN(1,MAX(0,(Q113-Inputs!$D$36)/(Inputs!$D$37-Inputs!$D$36)))</f>
        <v>0</v>
      </c>
      <c r="S113" s="35">
        <f>Inputs!$D$6*E113*Inputs!$D$27*(1-Inputs!$D$38*R113)</f>
        <v>4669.4823366912196</v>
      </c>
      <c r="T113" s="39">
        <f>S113*Inputs!$D$12</f>
        <v>74711.717387059514</v>
      </c>
      <c r="U113" s="39">
        <f>T113*(1-Inputs!$D$18)</f>
        <v>33620.272824176776</v>
      </c>
      <c r="V113" s="35">
        <f>Inputs!$D$6*F113*Inputs!$D$28*Inputs!$D$31</f>
        <v>693.98124106416742</v>
      </c>
      <c r="W113" s="36">
        <f>V113/(B113*Inputs!$D$34)</f>
        <v>0.90127433904437326</v>
      </c>
      <c r="X113" s="38">
        <f>IF(W113&gt;=1,999,W113/(Inputs!$D$34*(1-W113))*60)</f>
        <v>15.649849381818807</v>
      </c>
      <c r="Y113" s="37">
        <f>MIN(1,MAX(0,(X113-Inputs!$D$36)/(Inputs!$D$37-Inputs!$D$36)))</f>
        <v>0.70998995878792048</v>
      </c>
      <c r="Z113" s="35">
        <f>Inputs!$D$6*F113*Inputs!$D$28*(1-Inputs!$D$38*Y113)</f>
        <v>3632.749002537963</v>
      </c>
      <c r="AA113" s="39">
        <f>Z113*Inputs!$D$13</f>
        <v>30878.366521572687</v>
      </c>
      <c r="AB113" s="39">
        <f>AA113*(1-Inputs!$D$19)</f>
        <v>18527.019912943611</v>
      </c>
      <c r="AC113" s="39">
        <f t="shared" si="4"/>
        <v>257134.38835863222</v>
      </c>
      <c r="AD113" s="39">
        <f t="shared" si="5"/>
        <v>105187.79929462039</v>
      </c>
      <c r="AE113" s="36">
        <f t="shared" si="6"/>
        <v>1.2052275235109717</v>
      </c>
      <c r="AF113" s="35">
        <f>IF(AND(AE113&lt;=Inputs!$D$35,C113&gt;=Inputs!$D$48*(A113+B113+C113),B113*Inputs!$D$22&lt;=Inputs!$D$50*Inputs!$D$8,B113*Inputs!$D$22&gt;=Inputs!$D$49*Inputs!$D$8,A113*Inputs!$D$20&lt;=Inputs!$D$47*Inputs!$D$8,C113&gt;=1),1,0)</f>
        <v>0</v>
      </c>
      <c r="AG113" s="39">
        <f t="shared" si="7"/>
        <v>-1</v>
      </c>
    </row>
    <row r="114" spans="1:33" x14ac:dyDescent="0.25">
      <c r="A114" s="35">
        <v>29</v>
      </c>
      <c r="B114" s="35">
        <v>23</v>
      </c>
      <c r="C114" s="35">
        <f>Inputs!$D$8-A114-Inputs!$D$22*B114</f>
        <v>45</v>
      </c>
      <c r="D114" s="35">
        <f>A114*Inputs!$D$20+C114*Inputs!$D$21+B114*Inputs!$D$22</f>
        <v>120</v>
      </c>
      <c r="E114" s="36">
        <f>MIN(Inputs!$E$15,Inputs!$D$15*(C114/Inputs!$D$43)^Inputs!$D$44)</f>
        <v>0.38767260497069417</v>
      </c>
      <c r="F114" s="36">
        <f>MIN(Inputs!$E$16,Inputs!$D$16*(B114/Inputs!$D$42)^Inputs!$D$44)</f>
        <v>0.41712800028621322</v>
      </c>
      <c r="G114" s="37">
        <f>Inputs!$D$26*(1+Inputs!$D$41*(B114-Inputs!$D$42))</f>
        <v>1.5449999999999999</v>
      </c>
      <c r="H114" s="35">
        <f>Inputs!$D$6*Inputs!$D$14*G114*Inputs!$D$29</f>
        <v>1941.18435</v>
      </c>
      <c r="I114" s="36">
        <f>H114/(A114*Inputs!$D$32)</f>
        <v>1.2170434796238245</v>
      </c>
      <c r="J114" s="38">
        <f>IF(I114&gt;=1,999,I114/(Inputs!$D$32*(1-I114))*60)</f>
        <v>999</v>
      </c>
      <c r="K114" s="37">
        <f>MIN(1,MAX(0,(J114-Inputs!$D$36)/(Inputs!$D$37-Inputs!$D$36)))</f>
        <v>1</v>
      </c>
      <c r="L114" s="35">
        <f>Inputs!$D$6*Inputs!$D$14*G114*(1-Inputs!$D$38*K114)</f>
        <v>7117.6759500000016</v>
      </c>
      <c r="M114" s="39">
        <f>L114*Inputs!$D$11</f>
        <v>153030.03292500004</v>
      </c>
      <c r="N114" s="39">
        <f>M114*(1-Inputs!$D$17)</f>
        <v>53560.511523750007</v>
      </c>
      <c r="O114" s="35">
        <f>Inputs!$D$6*E114*Inputs!$D$27*Inputs!$D$30</f>
        <v>553.07544791707073</v>
      </c>
      <c r="P114" s="36">
        <f>O114/(C114*Inputs!$D$33)</f>
        <v>0.30726413773170597</v>
      </c>
      <c r="Q114" s="38">
        <f>IF(P114&gt;=1,999,P114/(Inputs!$D$33*(1-P114))*60)</f>
        <v>0.66532748151423926</v>
      </c>
      <c r="R114" s="37">
        <f>MIN(1,MAX(0,(Q114-Inputs!$D$36)/(Inputs!$D$37-Inputs!$D$36)))</f>
        <v>0</v>
      </c>
      <c r="S114" s="35">
        <f>Inputs!$D$6*E114*Inputs!$D$27*(1-Inputs!$D$38*R114)</f>
        <v>4608.9620659755892</v>
      </c>
      <c r="T114" s="39">
        <f>S114*Inputs!$D$12</f>
        <v>73743.393055609427</v>
      </c>
      <c r="U114" s="39">
        <f>T114*(1-Inputs!$D$18)</f>
        <v>33184.526875024239</v>
      </c>
      <c r="V114" s="35">
        <f>Inputs!$D$6*F114*Inputs!$D$28*Inputs!$D$31</f>
        <v>703.29783062656929</v>
      </c>
      <c r="W114" s="36">
        <f>V114/(B114*Inputs!$D$34)</f>
        <v>0.87366190139946498</v>
      </c>
      <c r="X114" s="38">
        <f>IF(W114&gt;=1,999,W114/(Inputs!$D$34*(1-W114))*60)</f>
        <v>11.854746377182334</v>
      </c>
      <c r="Y114" s="37">
        <f>MIN(1,MAX(0,(X114-Inputs!$D$36)/(Inputs!$D$37-Inputs!$D$36)))</f>
        <v>0.45698309181215557</v>
      </c>
      <c r="Z114" s="35">
        <f>Inputs!$D$6*F114*Inputs!$D$28*(1-Inputs!$D$38*Y114)</f>
        <v>4297.4614071503011</v>
      </c>
      <c r="AA114" s="39">
        <f>Z114*Inputs!$D$13</f>
        <v>36528.421960777559</v>
      </c>
      <c r="AB114" s="39">
        <f>AA114*(1-Inputs!$D$19)</f>
        <v>21917.053176466536</v>
      </c>
      <c r="AC114" s="39">
        <f t="shared" si="4"/>
        <v>263301.84794138704</v>
      </c>
      <c r="AD114" s="39">
        <f t="shared" si="5"/>
        <v>108662.09157524079</v>
      </c>
      <c r="AE114" s="36">
        <f t="shared" si="6"/>
        <v>1.2170434796238245</v>
      </c>
      <c r="AF114" s="35">
        <f>IF(AND(AE114&lt;=Inputs!$D$35,C114&gt;=Inputs!$D$48*(A114+B114+C114),B114*Inputs!$D$22&lt;=Inputs!$D$50*Inputs!$D$8,B114*Inputs!$D$22&gt;=Inputs!$D$49*Inputs!$D$8,A114*Inputs!$D$20&lt;=Inputs!$D$47*Inputs!$D$8,C114&gt;=1),1,0)</f>
        <v>0</v>
      </c>
      <c r="AG114" s="39">
        <f t="shared" si="7"/>
        <v>-1</v>
      </c>
    </row>
    <row r="115" spans="1:33" x14ac:dyDescent="0.25">
      <c r="A115" s="35">
        <v>29</v>
      </c>
      <c r="B115" s="35">
        <v>24</v>
      </c>
      <c r="C115" s="35">
        <f>Inputs!$D$8-A115-Inputs!$D$22*B115</f>
        <v>43</v>
      </c>
      <c r="D115" s="35">
        <f>A115*Inputs!$D$20+C115*Inputs!$D$21+B115*Inputs!$D$22</f>
        <v>120</v>
      </c>
      <c r="E115" s="36">
        <f>MIN(Inputs!$E$15,Inputs!$D$15*(C115/Inputs!$D$43)^Inputs!$D$44)</f>
        <v>0.38242114286867052</v>
      </c>
      <c r="F115" s="36">
        <f>MIN(Inputs!$E$16,Inputs!$D$16*(B115/Inputs!$D$42)^Inputs!$D$44)</f>
        <v>0.42248798737570326</v>
      </c>
      <c r="G115" s="37">
        <f>Inputs!$D$26*(1+Inputs!$D$41*(B115-Inputs!$D$42))</f>
        <v>1.56</v>
      </c>
      <c r="H115" s="35">
        <f>Inputs!$D$6*Inputs!$D$14*G115*Inputs!$D$29</f>
        <v>1960.0308</v>
      </c>
      <c r="I115" s="36">
        <f>H115/(A115*Inputs!$D$32)</f>
        <v>1.2288594357366771</v>
      </c>
      <c r="J115" s="38">
        <f>IF(I115&gt;=1,999,I115/(Inputs!$D$32*(1-I115))*60)</f>
        <v>999</v>
      </c>
      <c r="K115" s="37">
        <f>MIN(1,MAX(0,(J115-Inputs!$D$36)/(Inputs!$D$37-Inputs!$D$36)))</f>
        <v>1</v>
      </c>
      <c r="L115" s="35">
        <f>Inputs!$D$6*Inputs!$D$14*G115*(1-Inputs!$D$38*K115)</f>
        <v>7186.7796000000017</v>
      </c>
      <c r="M115" s="39">
        <f>L115*Inputs!$D$11</f>
        <v>154515.76140000005</v>
      </c>
      <c r="N115" s="39">
        <f>M115*(1-Inputs!$D$17)</f>
        <v>54080.516490000016</v>
      </c>
      <c r="O115" s="35">
        <f>Inputs!$D$6*E115*Inputs!$D$27*Inputs!$D$30</f>
        <v>545.58341800044604</v>
      </c>
      <c r="P115" s="36">
        <f>O115/(C115*Inputs!$D$33)</f>
        <v>0.31719966162816632</v>
      </c>
      <c r="Q115" s="38">
        <f>IF(P115&gt;=1,999,P115/(Inputs!$D$33*(1-P115))*60)</f>
        <v>0.69683546668534679</v>
      </c>
      <c r="R115" s="37">
        <f>MIN(1,MAX(0,(Q115-Inputs!$D$36)/(Inputs!$D$37-Inputs!$D$36)))</f>
        <v>0</v>
      </c>
      <c r="S115" s="35">
        <f>Inputs!$D$6*E115*Inputs!$D$27*(1-Inputs!$D$38*R115)</f>
        <v>4546.5284833370506</v>
      </c>
      <c r="T115" s="39">
        <f>S115*Inputs!$D$12</f>
        <v>72744.45573339281</v>
      </c>
      <c r="U115" s="39">
        <f>T115*(1-Inputs!$D$18)</f>
        <v>32735.00508002676</v>
      </c>
      <c r="V115" s="35">
        <f>Inputs!$D$6*F115*Inputs!$D$28*Inputs!$D$31</f>
        <v>712.33502613882979</v>
      </c>
      <c r="W115" s="36">
        <f>V115/(B115*Inputs!$D$34)</f>
        <v>0.84801788826051161</v>
      </c>
      <c r="X115" s="38">
        <f>IF(W115&gt;=1,999,W115/(Inputs!$D$34*(1-W115))*60)</f>
        <v>9.5652372155190832</v>
      </c>
      <c r="Y115" s="37">
        <f>MIN(1,MAX(0,(X115-Inputs!$D$36)/(Inputs!$D$37-Inputs!$D$36)))</f>
        <v>0.30434914770127219</v>
      </c>
      <c r="Z115" s="35">
        <f>Inputs!$D$6*F115*Inputs!$D$28*(1-Inputs!$D$38*Y115)</f>
        <v>4729.0436538571339</v>
      </c>
      <c r="AA115" s="39">
        <f>Z115*Inputs!$D$13</f>
        <v>40196.87105778564</v>
      </c>
      <c r="AB115" s="39">
        <f>AA115*(1-Inputs!$D$19)</f>
        <v>24118.122634671385</v>
      </c>
      <c r="AC115" s="39">
        <f t="shared" si="4"/>
        <v>267457.08819117851</v>
      </c>
      <c r="AD115" s="39">
        <f t="shared" si="5"/>
        <v>110933.64420469815</v>
      </c>
      <c r="AE115" s="36">
        <f t="shared" si="6"/>
        <v>1.2288594357366771</v>
      </c>
      <c r="AF115" s="35">
        <f>IF(AND(AE115&lt;=Inputs!$D$35,C115&gt;=Inputs!$D$48*(A115+B115+C115),B115*Inputs!$D$22&lt;=Inputs!$D$50*Inputs!$D$8,B115*Inputs!$D$22&gt;=Inputs!$D$49*Inputs!$D$8,A115*Inputs!$D$20&lt;=Inputs!$D$47*Inputs!$D$8,C115&gt;=1),1,0)</f>
        <v>0</v>
      </c>
      <c r="AG115" s="39">
        <f t="shared" si="7"/>
        <v>-1</v>
      </c>
    </row>
    <row r="116" spans="1:33" x14ac:dyDescent="0.25">
      <c r="A116" s="35">
        <v>29</v>
      </c>
      <c r="B116" s="35">
        <v>25</v>
      </c>
      <c r="C116" s="35">
        <f>Inputs!$D$8-A116-Inputs!$D$22*B116</f>
        <v>41</v>
      </c>
      <c r="D116" s="35">
        <f>A116*Inputs!$D$20+C116*Inputs!$D$21+B116*Inputs!$D$22</f>
        <v>120</v>
      </c>
      <c r="E116" s="36">
        <f>MIN(Inputs!$E$15,Inputs!$D$15*(C116/Inputs!$D$43)^Inputs!$D$44)</f>
        <v>0.37699580304543617</v>
      </c>
      <c r="F116" s="36">
        <f>MIN(Inputs!$E$16,Inputs!$D$16*(B116/Inputs!$D$42)^Inputs!$D$44)</f>
        <v>0.42769383999647526</v>
      </c>
      <c r="G116" s="37">
        <f>Inputs!$D$26*(1+Inputs!$D$41*(B116-Inputs!$D$42))</f>
        <v>1.5750000000000002</v>
      </c>
      <c r="H116" s="35">
        <f>Inputs!$D$6*Inputs!$D$14*G116*Inputs!$D$29</f>
        <v>1978.8772500000005</v>
      </c>
      <c r="I116" s="36">
        <f>H116/(A116*Inputs!$D$32)</f>
        <v>1.2406753918495301</v>
      </c>
      <c r="J116" s="38">
        <f>IF(I116&gt;=1,999,I116/(Inputs!$D$32*(1-I116))*60)</f>
        <v>999</v>
      </c>
      <c r="K116" s="37">
        <f>MIN(1,MAX(0,(J116-Inputs!$D$36)/(Inputs!$D$37-Inputs!$D$36)))</f>
        <v>1</v>
      </c>
      <c r="L116" s="35">
        <f>Inputs!$D$6*Inputs!$D$14*G116*(1-Inputs!$D$38*K116)</f>
        <v>7255.8832500000026</v>
      </c>
      <c r="M116" s="39">
        <f>L116*Inputs!$D$11</f>
        <v>156001.48987500006</v>
      </c>
      <c r="N116" s="39">
        <f>M116*(1-Inputs!$D$17)</f>
        <v>54600.521456250019</v>
      </c>
      <c r="O116" s="35">
        <f>Inputs!$D$6*E116*Inputs!$D$27*Inputs!$D$30</f>
        <v>537.84332438958984</v>
      </c>
      <c r="P116" s="36">
        <f>O116/(C116*Inputs!$D$33)</f>
        <v>0.3279532465790182</v>
      </c>
      <c r="Q116" s="38">
        <f>IF(P116&gt;=1,999,P116/(Inputs!$D$33*(1-P116))*60)</f>
        <v>0.73198756985940516</v>
      </c>
      <c r="R116" s="37">
        <f>MIN(1,MAX(0,(Q116-Inputs!$D$36)/(Inputs!$D$37-Inputs!$D$36)))</f>
        <v>0</v>
      </c>
      <c r="S116" s="35">
        <f>Inputs!$D$6*E116*Inputs!$D$27*(1-Inputs!$D$38*R116)</f>
        <v>4482.027703246582</v>
      </c>
      <c r="T116" s="39">
        <f>S116*Inputs!$D$12</f>
        <v>71712.443251945311</v>
      </c>
      <c r="U116" s="39">
        <f>T116*(1-Inputs!$D$18)</f>
        <v>32270.599463375387</v>
      </c>
      <c r="V116" s="35">
        <f>Inputs!$D$6*F116*Inputs!$D$28*Inputs!$D$31</f>
        <v>721.1123435383771</v>
      </c>
      <c r="W116" s="36">
        <f>V116/(B116*Inputs!$D$34)</f>
        <v>0.82412839261528814</v>
      </c>
      <c r="X116" s="38">
        <f>IF(W116&gt;=1,999,W116/(Inputs!$D$34*(1-W116))*60)</f>
        <v>8.0330847668163621</v>
      </c>
      <c r="Y116" s="37">
        <f>MIN(1,MAX(0,(X116-Inputs!$D$36)/(Inputs!$D$37-Inputs!$D$36)))</f>
        <v>0.20220565112109082</v>
      </c>
      <c r="Z116" s="35">
        <f>Inputs!$D$6*F116*Inputs!$D$28*(1-Inputs!$D$38*Y116)</f>
        <v>5042.2807508299393</v>
      </c>
      <c r="AA116" s="39">
        <f>Z116*Inputs!$D$13</f>
        <v>42859.386382054487</v>
      </c>
      <c r="AB116" s="39">
        <f>AA116*(1-Inputs!$D$19)</f>
        <v>25715.631829232691</v>
      </c>
      <c r="AC116" s="39">
        <f t="shared" si="4"/>
        <v>270573.31950899988</v>
      </c>
      <c r="AD116" s="39">
        <f t="shared" si="5"/>
        <v>112586.7527488581</v>
      </c>
      <c r="AE116" s="36">
        <f t="shared" si="6"/>
        <v>1.2406753918495301</v>
      </c>
      <c r="AF116" s="35">
        <f>IF(AND(AE116&lt;=Inputs!$D$35,C116&gt;=Inputs!$D$48*(A116+B116+C116),B116*Inputs!$D$22&lt;=Inputs!$D$50*Inputs!$D$8,B116*Inputs!$D$22&gt;=Inputs!$D$49*Inputs!$D$8,A116*Inputs!$D$20&lt;=Inputs!$D$47*Inputs!$D$8,C116&gt;=1),1,0)</f>
        <v>0</v>
      </c>
      <c r="AG116" s="39">
        <f t="shared" si="7"/>
        <v>-1</v>
      </c>
    </row>
    <row r="117" spans="1:33" x14ac:dyDescent="0.25">
      <c r="A117" s="35">
        <v>29</v>
      </c>
      <c r="B117" s="35">
        <v>26</v>
      </c>
      <c r="C117" s="35">
        <f>Inputs!$D$8-A117-Inputs!$D$22*B117</f>
        <v>39</v>
      </c>
      <c r="D117" s="35">
        <f>A117*Inputs!$D$20+C117*Inputs!$D$21+B117*Inputs!$D$22</f>
        <v>120</v>
      </c>
      <c r="E117" s="36">
        <f>MIN(Inputs!$E$15,Inputs!$D$15*(C117/Inputs!$D$43)^Inputs!$D$44)</f>
        <v>0.37138190575462604</v>
      </c>
      <c r="F117" s="36">
        <f>MIN(Inputs!$E$16,Inputs!$D$16*(B117/Inputs!$D$42)^Inputs!$D$44)</f>
        <v>0.43275589945781112</v>
      </c>
      <c r="G117" s="37">
        <f>Inputs!$D$26*(1+Inputs!$D$41*(B117-Inputs!$D$42))</f>
        <v>1.59</v>
      </c>
      <c r="H117" s="35">
        <f>Inputs!$D$6*Inputs!$D$14*G117*Inputs!$D$29</f>
        <v>1997.7237</v>
      </c>
      <c r="I117" s="36">
        <f>H117/(A117*Inputs!$D$32)</f>
        <v>1.2524913479623825</v>
      </c>
      <c r="J117" s="38">
        <f>IF(I117&gt;=1,999,I117/(Inputs!$D$32*(1-I117))*60)</f>
        <v>999</v>
      </c>
      <c r="K117" s="37">
        <f>MIN(1,MAX(0,(J117-Inputs!$D$36)/(Inputs!$D$37-Inputs!$D$36)))</f>
        <v>1</v>
      </c>
      <c r="L117" s="35">
        <f>Inputs!$D$6*Inputs!$D$14*G117*(1-Inputs!$D$38*K117)</f>
        <v>7324.9869000000017</v>
      </c>
      <c r="M117" s="39">
        <f>L117*Inputs!$D$11</f>
        <v>157487.21835000004</v>
      </c>
      <c r="N117" s="39">
        <f>M117*(1-Inputs!$D$17)</f>
        <v>55120.526422500014</v>
      </c>
      <c r="O117" s="35">
        <f>Inputs!$D$6*E117*Inputs!$D$27*Inputs!$D$30</f>
        <v>529.8342241362717</v>
      </c>
      <c r="P117" s="36">
        <f>O117/(C117*Inputs!$D$33)</f>
        <v>0.33963732316427675</v>
      </c>
      <c r="Q117" s="38">
        <f>IF(P117&gt;=1,999,P117/(Inputs!$D$33*(1-P117))*60)</f>
        <v>0.77147907145144612</v>
      </c>
      <c r="R117" s="37">
        <f>MIN(1,MAX(0,(Q117-Inputs!$D$36)/(Inputs!$D$37-Inputs!$D$36)))</f>
        <v>0</v>
      </c>
      <c r="S117" s="35">
        <f>Inputs!$D$6*E117*Inputs!$D$27*(1-Inputs!$D$38*R117)</f>
        <v>4415.2852011355981</v>
      </c>
      <c r="T117" s="39">
        <f>S117*Inputs!$D$12</f>
        <v>70644.563218169569</v>
      </c>
      <c r="U117" s="39">
        <f>T117*(1-Inputs!$D$18)</f>
        <v>31790.053448176302</v>
      </c>
      <c r="V117" s="35">
        <f>Inputs!$D$6*F117*Inputs!$D$28*Inputs!$D$31</f>
        <v>729.64721876904355</v>
      </c>
      <c r="W117" s="36">
        <f>V117/(B117*Inputs!$D$34)</f>
        <v>0.80181013051543248</v>
      </c>
      <c r="X117" s="38">
        <f>IF(W117&gt;=1,999,W117/(Inputs!$D$34*(1-W117))*60)</f>
        <v>6.9354284146153136</v>
      </c>
      <c r="Y117" s="37">
        <f>MIN(1,MAX(0,(X117-Inputs!$D$36)/(Inputs!$D$37-Inputs!$D$36)))</f>
        <v>0.12902856097435425</v>
      </c>
      <c r="Z117" s="35">
        <f>Inputs!$D$6*F117*Inputs!$D$28*(1-Inputs!$D$38*Y117)</f>
        <v>5286.7832305655711</v>
      </c>
      <c r="AA117" s="39">
        <f>Z117*Inputs!$D$13</f>
        <v>44937.657459807357</v>
      </c>
      <c r="AB117" s="39">
        <f>AA117*(1-Inputs!$D$19)</f>
        <v>26962.594475884413</v>
      </c>
      <c r="AC117" s="39">
        <f t="shared" si="4"/>
        <v>273069.43902797694</v>
      </c>
      <c r="AD117" s="39">
        <f t="shared" si="5"/>
        <v>113873.17434656073</v>
      </c>
      <c r="AE117" s="36">
        <f t="shared" si="6"/>
        <v>1.2524913479623825</v>
      </c>
      <c r="AF117" s="35">
        <f>IF(AND(AE117&lt;=Inputs!$D$35,C117&gt;=Inputs!$D$48*(A117+B117+C117),B117*Inputs!$D$22&lt;=Inputs!$D$50*Inputs!$D$8,B117*Inputs!$D$22&gt;=Inputs!$D$49*Inputs!$D$8,A117*Inputs!$D$20&lt;=Inputs!$D$47*Inputs!$D$8,C117&gt;=1),1,0)</f>
        <v>0</v>
      </c>
      <c r="AG117" s="39">
        <f t="shared" si="7"/>
        <v>-1</v>
      </c>
    </row>
    <row r="118" spans="1:33" x14ac:dyDescent="0.25">
      <c r="A118" s="35">
        <v>29</v>
      </c>
      <c r="B118" s="35">
        <v>27</v>
      </c>
      <c r="C118" s="35">
        <f>Inputs!$D$8-A118-Inputs!$D$22*B118</f>
        <v>37</v>
      </c>
      <c r="D118" s="35">
        <f>A118*Inputs!$D$20+C118*Inputs!$D$21+B118*Inputs!$D$22</f>
        <v>120</v>
      </c>
      <c r="E118" s="36">
        <f>MIN(Inputs!$E$15,Inputs!$D$15*(C118/Inputs!$D$43)^Inputs!$D$44)</f>
        <v>0.36556269939951974</v>
      </c>
      <c r="F118" s="36">
        <f>MIN(Inputs!$E$16,Inputs!$D$16*(B118/Inputs!$D$42)^Inputs!$D$44)</f>
        <v>0.43768344678187454</v>
      </c>
      <c r="G118" s="37">
        <f>Inputs!$D$26*(1+Inputs!$D$41*(B118-Inputs!$D$42))</f>
        <v>1.605</v>
      </c>
      <c r="H118" s="35">
        <f>Inputs!$D$6*Inputs!$D$14*G118*Inputs!$D$29</f>
        <v>2016.57015</v>
      </c>
      <c r="I118" s="36">
        <f>H118/(A118*Inputs!$D$32)</f>
        <v>1.2643073040752351</v>
      </c>
      <c r="J118" s="38">
        <f>IF(I118&gt;=1,999,I118/(Inputs!$D$32*(1-I118))*60)</f>
        <v>999</v>
      </c>
      <c r="K118" s="37">
        <f>MIN(1,MAX(0,(J118-Inputs!$D$36)/(Inputs!$D$37-Inputs!$D$36)))</f>
        <v>1</v>
      </c>
      <c r="L118" s="35">
        <f>Inputs!$D$6*Inputs!$D$14*G118*(1-Inputs!$D$38*K118)</f>
        <v>7394.0905500000017</v>
      </c>
      <c r="M118" s="39">
        <f>L118*Inputs!$D$11</f>
        <v>158972.94682500005</v>
      </c>
      <c r="N118" s="39">
        <f>M118*(1-Inputs!$D$17)</f>
        <v>55640.531388750016</v>
      </c>
      <c r="O118" s="35">
        <f>Inputs!$D$6*E118*Inputs!$D$27*Inputs!$D$30</f>
        <v>521.5322184745213</v>
      </c>
      <c r="P118" s="36">
        <f>O118/(C118*Inputs!$D$33)</f>
        <v>0.35238663410440629</v>
      </c>
      <c r="Q118" s="38">
        <f>IF(P118&gt;=1,999,P118/(Inputs!$D$33*(1-P118))*60)</f>
        <v>0.81619679116046151</v>
      </c>
      <c r="R118" s="37">
        <f>MIN(1,MAX(0,(Q118-Inputs!$D$36)/(Inputs!$D$37-Inputs!$D$36)))</f>
        <v>0</v>
      </c>
      <c r="S118" s="35">
        <f>Inputs!$D$6*E118*Inputs!$D$27*(1-Inputs!$D$38*R118)</f>
        <v>4346.101820621011</v>
      </c>
      <c r="T118" s="39">
        <f>S118*Inputs!$D$12</f>
        <v>69537.629129936176</v>
      </c>
      <c r="U118" s="39">
        <f>T118*(1-Inputs!$D$18)</f>
        <v>31291.933108471276</v>
      </c>
      <c r="V118" s="35">
        <f>Inputs!$D$6*F118*Inputs!$D$28*Inputs!$D$31</f>
        <v>737.95530007968603</v>
      </c>
      <c r="W118" s="36">
        <f>V118/(B118*Inputs!$D$34)</f>
        <v>0.78090507944940324</v>
      </c>
      <c r="X118" s="38">
        <f>IF(W118&gt;=1,999,W118/(Inputs!$D$34*(1-W118))*60)</f>
        <v>6.1101116290101798</v>
      </c>
      <c r="Y118" s="37">
        <f>MIN(1,MAX(0,(X118-Inputs!$D$36)/(Inputs!$D$37-Inputs!$D$36)))</f>
        <v>7.4007441934011986E-2</v>
      </c>
      <c r="Z118" s="35">
        <f>Inputs!$D$6*F118*Inputs!$D$28*(1-Inputs!$D$38*Y118)</f>
        <v>5487.5301328495489</v>
      </c>
      <c r="AA118" s="39">
        <f>Z118*Inputs!$D$13</f>
        <v>46644.006129221169</v>
      </c>
      <c r="AB118" s="39">
        <f>AA118*(1-Inputs!$D$19)</f>
        <v>27986.4036775327</v>
      </c>
      <c r="AC118" s="39">
        <f t="shared" si="4"/>
        <v>275154.58208415739</v>
      </c>
      <c r="AD118" s="39">
        <f t="shared" si="5"/>
        <v>114918.86817475398</v>
      </c>
      <c r="AE118" s="36">
        <f t="shared" si="6"/>
        <v>1.2643073040752351</v>
      </c>
      <c r="AF118" s="35">
        <f>IF(AND(AE118&lt;=Inputs!$D$35,C118&gt;=Inputs!$D$48*(A118+B118+C118),B118*Inputs!$D$22&lt;=Inputs!$D$50*Inputs!$D$8,B118*Inputs!$D$22&gt;=Inputs!$D$49*Inputs!$D$8,A118*Inputs!$D$20&lt;=Inputs!$D$47*Inputs!$D$8,C118&gt;=1),1,0)</f>
        <v>0</v>
      </c>
      <c r="AG118" s="39">
        <f t="shared" si="7"/>
        <v>-1</v>
      </c>
    </row>
    <row r="119" spans="1:33" x14ac:dyDescent="0.25">
      <c r="A119" s="35">
        <v>29</v>
      </c>
      <c r="B119" s="35">
        <v>28</v>
      </c>
      <c r="C119" s="35">
        <f>Inputs!$D$8-A119-Inputs!$D$22*B119</f>
        <v>35</v>
      </c>
      <c r="D119" s="35">
        <f>A119*Inputs!$D$20+C119*Inputs!$D$21+B119*Inputs!$D$22</f>
        <v>120</v>
      </c>
      <c r="E119" s="36">
        <f>MIN(Inputs!$E$15,Inputs!$D$15*(C119/Inputs!$D$43)^Inputs!$D$44)</f>
        <v>0.3595189375764975</v>
      </c>
      <c r="F119" s="36">
        <f>MIN(Inputs!$E$16,Inputs!$D$16*(B119/Inputs!$D$42)^Inputs!$D$44)</f>
        <v>0.44248484624799689</v>
      </c>
      <c r="G119" s="37">
        <f>Inputs!$D$26*(1+Inputs!$D$41*(B119-Inputs!$D$42))</f>
        <v>1.62</v>
      </c>
      <c r="H119" s="35">
        <f>Inputs!$D$6*Inputs!$D$14*G119*Inputs!$D$29</f>
        <v>2035.4166</v>
      </c>
      <c r="I119" s="36">
        <f>H119/(A119*Inputs!$D$32)</f>
        <v>1.2761232601880879</v>
      </c>
      <c r="J119" s="38">
        <f>IF(I119&gt;=1,999,I119/(Inputs!$D$32*(1-I119))*60)</f>
        <v>999</v>
      </c>
      <c r="K119" s="37">
        <f>MIN(1,MAX(0,(J119-Inputs!$D$36)/(Inputs!$D$37-Inputs!$D$36)))</f>
        <v>1</v>
      </c>
      <c r="L119" s="35">
        <f>Inputs!$D$6*Inputs!$D$14*G119*(1-Inputs!$D$38*K119)</f>
        <v>7463.1942000000017</v>
      </c>
      <c r="M119" s="39">
        <f>L119*Inputs!$D$11</f>
        <v>160458.67530000003</v>
      </c>
      <c r="N119" s="39">
        <f>M119*(1-Inputs!$D$17)</f>
        <v>56160.536355000011</v>
      </c>
      <c r="O119" s="35">
        <f>Inputs!$D$6*E119*Inputs!$D$27*Inputs!$D$30</f>
        <v>512.90984940713565</v>
      </c>
      <c r="P119" s="36">
        <f>O119/(C119*Inputs!$D$33)</f>
        <v>0.36636417814795402</v>
      </c>
      <c r="Q119" s="38">
        <f>IF(P119&gt;=1,999,P119/(Inputs!$D$33*(1-P119))*60)</f>
        <v>0.86729040289368331</v>
      </c>
      <c r="R119" s="37">
        <f>MIN(1,MAX(0,(Q119-Inputs!$D$36)/(Inputs!$D$37-Inputs!$D$36)))</f>
        <v>0</v>
      </c>
      <c r="S119" s="35">
        <f>Inputs!$D$6*E119*Inputs!$D$27*(1-Inputs!$D$38*R119)</f>
        <v>4274.2487450594635</v>
      </c>
      <c r="T119" s="39">
        <f>S119*Inputs!$D$12</f>
        <v>68387.979920951417</v>
      </c>
      <c r="U119" s="39">
        <f>T119*(1-Inputs!$D$18)</f>
        <v>30774.590964428135</v>
      </c>
      <c r="V119" s="35">
        <f>Inputs!$D$6*F119*Inputs!$D$28*Inputs!$D$31</f>
        <v>746.05069004674272</v>
      </c>
      <c r="W119" s="36">
        <f>V119/(B119*Inputs!$D$34)</f>
        <v>0.76127621433341097</v>
      </c>
      <c r="X119" s="38">
        <f>IF(W119&gt;=1,999,W119/(Inputs!$D$34*(1-W119))*60)</f>
        <v>5.4667570523531852</v>
      </c>
      <c r="Y119" s="37">
        <f>MIN(1,MAX(0,(X119-Inputs!$D$36)/(Inputs!$D$37-Inputs!$D$36)))</f>
        <v>3.111713682354568E-2</v>
      </c>
      <c r="Z119" s="35">
        <f>Inputs!$D$6*F119*Inputs!$D$28*(1-Inputs!$D$38*Y119)</f>
        <v>5658.4919801305723</v>
      </c>
      <c r="AA119" s="39">
        <f>Z119*Inputs!$D$13</f>
        <v>48097.181831109861</v>
      </c>
      <c r="AB119" s="39">
        <f>AA119*(1-Inputs!$D$19)</f>
        <v>28858.309098665915</v>
      </c>
      <c r="AC119" s="39">
        <f t="shared" si="4"/>
        <v>276943.83705206134</v>
      </c>
      <c r="AD119" s="39">
        <f t="shared" si="5"/>
        <v>115793.43641809406</v>
      </c>
      <c r="AE119" s="36">
        <f t="shared" si="6"/>
        <v>1.2761232601880879</v>
      </c>
      <c r="AF119" s="35">
        <f>IF(AND(AE119&lt;=Inputs!$D$35,C119&gt;=Inputs!$D$48*(A119+B119+C119),B119*Inputs!$D$22&lt;=Inputs!$D$50*Inputs!$D$8,B119*Inputs!$D$22&gt;=Inputs!$D$49*Inputs!$D$8,A119*Inputs!$D$20&lt;=Inputs!$D$47*Inputs!$D$8,C119&gt;=1),1,0)</f>
        <v>0</v>
      </c>
      <c r="AG119" s="39">
        <f t="shared" si="7"/>
        <v>-1</v>
      </c>
    </row>
    <row r="120" spans="1:33" x14ac:dyDescent="0.25">
      <c r="A120" s="35">
        <v>29</v>
      </c>
      <c r="B120" s="35">
        <v>29</v>
      </c>
      <c r="C120" s="35">
        <f>Inputs!$D$8-A120-Inputs!$D$22*B120</f>
        <v>33</v>
      </c>
      <c r="D120" s="35">
        <f>A120*Inputs!$D$20+C120*Inputs!$D$21+B120*Inputs!$D$22</f>
        <v>120</v>
      </c>
      <c r="E120" s="36">
        <f>MIN(Inputs!$E$15,Inputs!$D$15*(C120/Inputs!$D$43)^Inputs!$D$44)</f>
        <v>0.35322833999035824</v>
      </c>
      <c r="F120" s="36">
        <f>MIN(Inputs!$E$16,Inputs!$D$16*(B120/Inputs!$D$42)^Inputs!$D$44)</f>
        <v>0.44716766511947192</v>
      </c>
      <c r="G120" s="37">
        <f>Inputs!$D$26*(1+Inputs!$D$41*(B120-Inputs!$D$42))</f>
        <v>1.6350000000000002</v>
      </c>
      <c r="H120" s="35">
        <f>Inputs!$D$6*Inputs!$D$14*G120*Inputs!$D$29</f>
        <v>2054.2630500000005</v>
      </c>
      <c r="I120" s="36">
        <f>H120/(A120*Inputs!$D$32)</f>
        <v>1.2879392163009407</v>
      </c>
      <c r="J120" s="38">
        <f>IF(I120&gt;=1,999,I120/(Inputs!$D$32*(1-I120))*60)</f>
        <v>999</v>
      </c>
      <c r="K120" s="37">
        <f>MIN(1,MAX(0,(J120-Inputs!$D$36)/(Inputs!$D$37-Inputs!$D$36)))</f>
        <v>1</v>
      </c>
      <c r="L120" s="35">
        <f>Inputs!$D$6*Inputs!$D$14*G120*(1-Inputs!$D$38*K120)</f>
        <v>7532.2978500000027</v>
      </c>
      <c r="M120" s="39">
        <f>L120*Inputs!$D$11</f>
        <v>161944.40377500007</v>
      </c>
      <c r="N120" s="39">
        <f>M120*(1-Inputs!$D$17)</f>
        <v>56680.541321250021</v>
      </c>
      <c r="O120" s="35">
        <f>Inputs!$D$6*E120*Inputs!$D$27*Inputs!$D$30</f>
        <v>503.93533061728459</v>
      </c>
      <c r="P120" s="36">
        <f>O120/(C120*Inputs!$D$33)</f>
        <v>0.38176918986157926</v>
      </c>
      <c r="Q120" s="38">
        <f>IF(P120&gt;=1,999,P120/(Inputs!$D$33*(1-P120))*60)</f>
        <v>0.92627830156855617</v>
      </c>
      <c r="R120" s="37">
        <f>MIN(1,MAX(0,(Q120-Inputs!$D$36)/(Inputs!$D$37-Inputs!$D$36)))</f>
        <v>0</v>
      </c>
      <c r="S120" s="35">
        <f>Inputs!$D$6*E120*Inputs!$D$27*(1-Inputs!$D$38*R120)</f>
        <v>4199.461088477372</v>
      </c>
      <c r="T120" s="39">
        <f>S120*Inputs!$D$12</f>
        <v>67191.377415637951</v>
      </c>
      <c r="U120" s="39">
        <f>T120*(1-Inputs!$D$18)</f>
        <v>30236.119837037077</v>
      </c>
      <c r="V120" s="35">
        <f>Inputs!$D$6*F120*Inputs!$D$28*Inputs!$D$31</f>
        <v>753.9461474393554</v>
      </c>
      <c r="W120" s="36">
        <f>V120/(B120*Inputs!$D$34)</f>
        <v>0.74280408614714821</v>
      </c>
      <c r="X120" s="38">
        <f>IF(W120&gt;=1,999,W120/(Inputs!$D$34*(1-W120))*60)</f>
        <v>4.9510056918075414</v>
      </c>
      <c r="Y120" s="37">
        <f>MIN(1,MAX(0,(X120-Inputs!$D$36)/(Inputs!$D$37-Inputs!$D$36)))</f>
        <v>0</v>
      </c>
      <c r="Z120" s="35">
        <f>Inputs!$D$6*F120*Inputs!$D$28*(1-Inputs!$D$38*Y120)</f>
        <v>5799.5857495335031</v>
      </c>
      <c r="AA120" s="39">
        <f>Z120*Inputs!$D$13</f>
        <v>49296.478871034778</v>
      </c>
      <c r="AB120" s="39">
        <f>AA120*(1-Inputs!$D$19)</f>
        <v>29577.887322620867</v>
      </c>
      <c r="AC120" s="39">
        <f t="shared" si="4"/>
        <v>278432.26006167277</v>
      </c>
      <c r="AD120" s="39">
        <f t="shared" si="5"/>
        <v>116494.54848090796</v>
      </c>
      <c r="AE120" s="36">
        <f t="shared" si="6"/>
        <v>1.2879392163009407</v>
      </c>
      <c r="AF120" s="35">
        <f>IF(AND(AE120&lt;=Inputs!$D$35,C120&gt;=Inputs!$D$48*(A120+B120+C120),B120*Inputs!$D$22&lt;=Inputs!$D$50*Inputs!$D$8,B120*Inputs!$D$22&gt;=Inputs!$D$49*Inputs!$D$8,A120*Inputs!$D$20&lt;=Inputs!$D$47*Inputs!$D$8,C120&gt;=1),1,0)</f>
        <v>0</v>
      </c>
      <c r="AG120" s="39">
        <f t="shared" si="7"/>
        <v>-1</v>
      </c>
    </row>
    <row r="121" spans="1:33" x14ac:dyDescent="0.25">
      <c r="A121" s="35">
        <v>29</v>
      </c>
      <c r="B121" s="35">
        <v>30</v>
      </c>
      <c r="C121" s="35">
        <f>Inputs!$D$8-A121-Inputs!$D$22*B121</f>
        <v>31</v>
      </c>
      <c r="D121" s="35">
        <f>A121*Inputs!$D$20+C121*Inputs!$D$21+B121*Inputs!$D$22</f>
        <v>120</v>
      </c>
      <c r="E121" s="36">
        <f>MIN(Inputs!$E$15,Inputs!$D$15*(C121/Inputs!$D$43)^Inputs!$D$44)</f>
        <v>0.34666489615699225</v>
      </c>
      <c r="F121" s="36">
        <f>MIN(Inputs!$E$16,Inputs!$D$16*(B121/Inputs!$D$42)^Inputs!$D$44)</f>
        <v>0.45173877418274222</v>
      </c>
      <c r="G121" s="37">
        <f>Inputs!$D$26*(1+Inputs!$D$41*(B121-Inputs!$D$42))</f>
        <v>1.6500000000000001</v>
      </c>
      <c r="H121" s="35">
        <f>Inputs!$D$6*Inputs!$D$14*G121*Inputs!$D$29</f>
        <v>2073.1095000000005</v>
      </c>
      <c r="I121" s="36">
        <f>H121/(A121*Inputs!$D$32)</f>
        <v>1.2997551724137935</v>
      </c>
      <c r="J121" s="38">
        <f>IF(I121&gt;=1,999,I121/(Inputs!$D$32*(1-I121))*60)</f>
        <v>999</v>
      </c>
      <c r="K121" s="37">
        <f>MIN(1,MAX(0,(J121-Inputs!$D$36)/(Inputs!$D$37-Inputs!$D$36)))</f>
        <v>1</v>
      </c>
      <c r="L121" s="35">
        <f>Inputs!$D$6*Inputs!$D$14*G121*(1-Inputs!$D$38*K121)</f>
        <v>7601.4015000000027</v>
      </c>
      <c r="M121" s="39">
        <f>L121*Inputs!$D$11</f>
        <v>163430.13225000005</v>
      </c>
      <c r="N121" s="39">
        <f>M121*(1-Inputs!$D$17)</f>
        <v>57200.546287500016</v>
      </c>
      <c r="O121" s="35">
        <f>Inputs!$D$6*E121*Inputs!$D$27*Inputs!$D$30</f>
        <v>494.57155409174993</v>
      </c>
      <c r="P121" s="36">
        <f>O121/(C121*Inputs!$D$33)</f>
        <v>0.39884802749334675</v>
      </c>
      <c r="Q121" s="38">
        <f>IF(P121&gt;=1,999,P121/(Inputs!$D$33*(1-P121))*60)</f>
        <v>0.9952093124561755</v>
      </c>
      <c r="R121" s="37">
        <f>MIN(1,MAX(0,(Q121-Inputs!$D$36)/(Inputs!$D$37-Inputs!$D$36)))</f>
        <v>0</v>
      </c>
      <c r="S121" s="35">
        <f>Inputs!$D$6*E121*Inputs!$D$27*(1-Inputs!$D$38*R121)</f>
        <v>4121.4296174312494</v>
      </c>
      <c r="T121" s="39">
        <f>S121*Inputs!$D$12</f>
        <v>65942.873878899991</v>
      </c>
      <c r="U121" s="39">
        <f>T121*(1-Inputs!$D$18)</f>
        <v>29674.293245504992</v>
      </c>
      <c r="V121" s="35">
        <f>Inputs!$D$6*F121*Inputs!$D$28*Inputs!$D$31</f>
        <v>761.65325673326424</v>
      </c>
      <c r="W121" s="36">
        <f>V121/(B121*Inputs!$D$34)</f>
        <v>0.72538405403168027</v>
      </c>
      <c r="X121" s="38">
        <f>IF(W121&gt;=1,999,W121/(Inputs!$D$34*(1-W121))*60)</f>
        <v>4.5281985239874629</v>
      </c>
      <c r="Y121" s="37">
        <f>MIN(1,MAX(0,(X121-Inputs!$D$36)/(Inputs!$D$37-Inputs!$D$36)))</f>
        <v>0</v>
      </c>
      <c r="Z121" s="35">
        <f>Inputs!$D$6*F121*Inputs!$D$28*(1-Inputs!$D$38*Y121)</f>
        <v>5858.8712056404938</v>
      </c>
      <c r="AA121" s="39">
        <f>Z121*Inputs!$D$13</f>
        <v>49800.405247944196</v>
      </c>
      <c r="AB121" s="39">
        <f>AA121*(1-Inputs!$D$19)</f>
        <v>29880.243148766516</v>
      </c>
      <c r="AC121" s="39">
        <f t="shared" si="4"/>
        <v>279173.41137684422</v>
      </c>
      <c r="AD121" s="39">
        <f t="shared" si="5"/>
        <v>116755.08268177153</v>
      </c>
      <c r="AE121" s="36">
        <f t="shared" si="6"/>
        <v>1.2997551724137935</v>
      </c>
      <c r="AF121" s="35">
        <f>IF(AND(AE121&lt;=Inputs!$D$35,C121&gt;=Inputs!$D$48*(A121+B121+C121),B121*Inputs!$D$22&lt;=Inputs!$D$50*Inputs!$D$8,B121*Inputs!$D$22&gt;=Inputs!$D$49*Inputs!$D$8,A121*Inputs!$D$20&lt;=Inputs!$D$47*Inputs!$D$8,C121&gt;=1),1,0)</f>
        <v>0</v>
      </c>
      <c r="AG121" s="39">
        <f t="shared" si="7"/>
        <v>-1</v>
      </c>
    </row>
    <row r="122" spans="1:33" x14ac:dyDescent="0.25">
      <c r="A122" s="35">
        <v>29</v>
      </c>
      <c r="B122" s="35">
        <v>31</v>
      </c>
      <c r="C122" s="35">
        <f>Inputs!$D$8-A122-Inputs!$D$22*B122</f>
        <v>29</v>
      </c>
      <c r="D122" s="35">
        <f>A122*Inputs!$D$20+C122*Inputs!$D$21+B122*Inputs!$D$22</f>
        <v>120</v>
      </c>
      <c r="E122" s="36">
        <f>MIN(Inputs!$E$15,Inputs!$D$15*(C122/Inputs!$D$43)^Inputs!$D$44)</f>
        <v>0.33979795258455459</v>
      </c>
      <c r="F122" s="36">
        <f>MIN(Inputs!$E$16,Inputs!$D$16*(B122/Inputs!$D$42)^Inputs!$D$44)</f>
        <v>0.45620443270573335</v>
      </c>
      <c r="G122" s="37">
        <f>Inputs!$D$26*(1+Inputs!$D$41*(B122-Inputs!$D$42))</f>
        <v>1.665</v>
      </c>
      <c r="H122" s="35">
        <f>Inputs!$D$6*Inputs!$D$14*G122*Inputs!$D$29</f>
        <v>2091.95595</v>
      </c>
      <c r="I122" s="36">
        <f>H122/(A122*Inputs!$D$32)</f>
        <v>1.3115711285266458</v>
      </c>
      <c r="J122" s="38">
        <f>IF(I122&gt;=1,999,I122/(Inputs!$D$32*(1-I122))*60)</f>
        <v>999</v>
      </c>
      <c r="K122" s="37">
        <f>MIN(1,MAX(0,(J122-Inputs!$D$36)/(Inputs!$D$37-Inputs!$D$36)))</f>
        <v>1</v>
      </c>
      <c r="L122" s="35">
        <f>Inputs!$D$6*Inputs!$D$14*G122*(1-Inputs!$D$38*K122)</f>
        <v>7670.5051500000018</v>
      </c>
      <c r="M122" s="39">
        <f>L122*Inputs!$D$11</f>
        <v>164915.86072500004</v>
      </c>
      <c r="N122" s="39">
        <f>M122*(1-Inputs!$D$17)</f>
        <v>57720.551253750011</v>
      </c>
      <c r="O122" s="35">
        <f>Inputs!$D$6*E122*Inputs!$D$27*Inputs!$D$30</f>
        <v>484.77478784247035</v>
      </c>
      <c r="P122" s="36">
        <f>O122/(C122*Inputs!$D$33)</f>
        <v>0.41790929986419856</v>
      </c>
      <c r="Q122" s="38">
        <f>IF(P122&gt;=1,999,P122/(Inputs!$D$33*(1-P122))*60)</f>
        <v>1.0769179951681944</v>
      </c>
      <c r="R122" s="37">
        <f>MIN(1,MAX(0,(Q122-Inputs!$D$36)/(Inputs!$D$37-Inputs!$D$36)))</f>
        <v>0</v>
      </c>
      <c r="S122" s="35">
        <f>Inputs!$D$6*E122*Inputs!$D$27*(1-Inputs!$D$38*R122)</f>
        <v>4039.7898986872528</v>
      </c>
      <c r="T122" s="39">
        <f>S122*Inputs!$D$12</f>
        <v>64636.638378996046</v>
      </c>
      <c r="U122" s="39">
        <f>T122*(1-Inputs!$D$18)</f>
        <v>29086.487270548219</v>
      </c>
      <c r="V122" s="35">
        <f>Inputs!$D$6*F122*Inputs!$D$28*Inputs!$D$31</f>
        <v>769.18257135463637</v>
      </c>
      <c r="W122" s="36">
        <f>V122/(B122*Inputs!$D$34)</f>
        <v>0.70892402889828232</v>
      </c>
      <c r="X122" s="38">
        <f>IF(W122&gt;=1,999,W122/(Inputs!$D$34*(1-W122))*60)</f>
        <v>4.1751929252501148</v>
      </c>
      <c r="Y122" s="37">
        <f>MIN(1,MAX(0,(X122-Inputs!$D$36)/(Inputs!$D$37-Inputs!$D$36)))</f>
        <v>0</v>
      </c>
      <c r="Z122" s="35">
        <f>Inputs!$D$6*F122*Inputs!$D$28*(1-Inputs!$D$38*Y122)</f>
        <v>5916.7890104202797</v>
      </c>
      <c r="AA122" s="39">
        <f>Z122*Inputs!$D$13</f>
        <v>50292.706588572379</v>
      </c>
      <c r="AB122" s="39">
        <f>AA122*(1-Inputs!$D$19)</f>
        <v>30175.623953143426</v>
      </c>
      <c r="AC122" s="39">
        <f t="shared" si="4"/>
        <v>279845.20569256844</v>
      </c>
      <c r="AD122" s="39">
        <f t="shared" si="5"/>
        <v>116982.66247744166</v>
      </c>
      <c r="AE122" s="36">
        <f t="shared" si="6"/>
        <v>1.3115711285266458</v>
      </c>
      <c r="AF122" s="35">
        <f>IF(AND(AE122&lt;=Inputs!$D$35,C122&gt;=Inputs!$D$48*(A122+B122+C122),B122*Inputs!$D$22&lt;=Inputs!$D$50*Inputs!$D$8,B122*Inputs!$D$22&gt;=Inputs!$D$49*Inputs!$D$8,A122*Inputs!$D$20&lt;=Inputs!$D$47*Inputs!$D$8,C122&gt;=1),1,0)</f>
        <v>0</v>
      </c>
      <c r="AG122" s="39">
        <f t="shared" si="7"/>
        <v>-1</v>
      </c>
    </row>
    <row r="123" spans="1:33" x14ac:dyDescent="0.25">
      <c r="A123" s="35">
        <v>29</v>
      </c>
      <c r="B123" s="35">
        <v>32</v>
      </c>
      <c r="C123" s="35">
        <f>Inputs!$D$8-A123-Inputs!$D$22*B123</f>
        <v>27</v>
      </c>
      <c r="D123" s="35">
        <f>A123*Inputs!$D$20+C123*Inputs!$D$21+B123*Inputs!$D$22</f>
        <v>120</v>
      </c>
      <c r="E123" s="36">
        <f>MIN(Inputs!$E$15,Inputs!$D$15*(C123/Inputs!$D$43)^Inputs!$D$44)</f>
        <v>0.33259099594532748</v>
      </c>
      <c r="F123" s="36">
        <f>MIN(Inputs!$E$16,Inputs!$D$16*(B123/Inputs!$D$42)^Inputs!$D$44)</f>
        <v>0.46057036065052986</v>
      </c>
      <c r="G123" s="37">
        <f>Inputs!$D$26*(1+Inputs!$D$41*(B123-Inputs!$D$42))</f>
        <v>1.6800000000000002</v>
      </c>
      <c r="H123" s="35">
        <f>Inputs!$D$6*Inputs!$D$14*G123*Inputs!$D$29</f>
        <v>2110.8024000000005</v>
      </c>
      <c r="I123" s="36">
        <f>H123/(A123*Inputs!$D$32)</f>
        <v>1.3233870846394988</v>
      </c>
      <c r="J123" s="38">
        <f>IF(I123&gt;=1,999,I123/(Inputs!$D$32*(1-I123))*60)</f>
        <v>999</v>
      </c>
      <c r="K123" s="37">
        <f>MIN(1,MAX(0,(J123-Inputs!$D$36)/(Inputs!$D$37-Inputs!$D$36)))</f>
        <v>1</v>
      </c>
      <c r="L123" s="35">
        <f>Inputs!$D$6*Inputs!$D$14*G123*(1-Inputs!$D$38*K123)</f>
        <v>7739.6088000000027</v>
      </c>
      <c r="M123" s="39">
        <f>L123*Inputs!$D$11</f>
        <v>166401.58920000005</v>
      </c>
      <c r="N123" s="39">
        <f>M123*(1-Inputs!$D$17)</f>
        <v>58240.556220000013</v>
      </c>
      <c r="O123" s="35">
        <f>Inputs!$D$6*E123*Inputs!$D$27*Inputs!$D$30</f>
        <v>474.49293991137716</v>
      </c>
      <c r="P123" s="36">
        <f>O123/(C123*Inputs!$D$33)</f>
        <v>0.43934531473275662</v>
      </c>
      <c r="Q123" s="38">
        <f>IF(P123&gt;=1,999,P123/(Inputs!$D$33*(1-P123))*60)</f>
        <v>1.1754436187133714</v>
      </c>
      <c r="R123" s="37">
        <f>MIN(1,MAX(0,(Q123-Inputs!$D$36)/(Inputs!$D$37-Inputs!$D$36)))</f>
        <v>0</v>
      </c>
      <c r="S123" s="35">
        <f>Inputs!$D$6*E123*Inputs!$D$27*(1-Inputs!$D$38*R123)</f>
        <v>3954.1078325948097</v>
      </c>
      <c r="T123" s="39">
        <f>S123*Inputs!$D$12</f>
        <v>63265.725321516955</v>
      </c>
      <c r="U123" s="39">
        <f>T123*(1-Inputs!$D$18)</f>
        <v>28469.576394682626</v>
      </c>
      <c r="V123" s="35">
        <f>Inputs!$D$6*F123*Inputs!$D$28*Inputs!$D$31</f>
        <v>776.54373543410452</v>
      </c>
      <c r="W123" s="36">
        <f>V123/(B123*Inputs!$D$34)</f>
        <v>0.69334262092330756</v>
      </c>
      <c r="X123" s="38">
        <f>IF(W123&gt;=1,999,W123/(Inputs!$D$34*(1-W123))*60)</f>
        <v>3.8759457011369869</v>
      </c>
      <c r="Y123" s="37">
        <f>MIN(1,MAX(0,(X123-Inputs!$D$36)/(Inputs!$D$37-Inputs!$D$36)))</f>
        <v>0</v>
      </c>
      <c r="Z123" s="35">
        <f>Inputs!$D$6*F123*Inputs!$D$28*(1-Inputs!$D$38*Y123)</f>
        <v>5973.4133494931111</v>
      </c>
      <c r="AA123" s="39">
        <f>Z123*Inputs!$D$13</f>
        <v>50774.013470691447</v>
      </c>
      <c r="AB123" s="39">
        <f>AA123*(1-Inputs!$D$19)</f>
        <v>30464.408082414866</v>
      </c>
      <c r="AC123" s="39">
        <f t="shared" si="4"/>
        <v>280441.32799220842</v>
      </c>
      <c r="AD123" s="39">
        <f t="shared" si="5"/>
        <v>117174.5406970975</v>
      </c>
      <c r="AE123" s="36">
        <f t="shared" si="6"/>
        <v>1.3233870846394988</v>
      </c>
      <c r="AF123" s="35">
        <f>IF(AND(AE123&lt;=Inputs!$D$35,C123&gt;=Inputs!$D$48*(A123+B123+C123),B123*Inputs!$D$22&lt;=Inputs!$D$50*Inputs!$D$8,B123*Inputs!$D$22&gt;=Inputs!$D$49*Inputs!$D$8,A123*Inputs!$D$20&lt;=Inputs!$D$47*Inputs!$D$8,C123&gt;=1),1,0)</f>
        <v>0</v>
      </c>
      <c r="AG123" s="39">
        <f t="shared" si="7"/>
        <v>-1</v>
      </c>
    </row>
    <row r="124" spans="1:33" x14ac:dyDescent="0.25">
      <c r="A124" s="35">
        <v>29</v>
      </c>
      <c r="B124" s="35">
        <v>33</v>
      </c>
      <c r="C124" s="35">
        <f>Inputs!$D$8-A124-Inputs!$D$22*B124</f>
        <v>25</v>
      </c>
      <c r="D124" s="35">
        <f>A124*Inputs!$D$20+C124*Inputs!$D$21+B124*Inputs!$D$22</f>
        <v>120</v>
      </c>
      <c r="E124" s="36">
        <f>MIN(Inputs!$E$15,Inputs!$D$15*(C124/Inputs!$D$43)^Inputs!$D$44)</f>
        <v>0.32500000000000001</v>
      </c>
      <c r="F124" s="36">
        <f>MIN(Inputs!$E$16,Inputs!$D$16*(B124/Inputs!$D$42)^Inputs!$D$44)</f>
        <v>0.46484180038786721</v>
      </c>
      <c r="G124" s="37">
        <f>Inputs!$D$26*(1+Inputs!$D$41*(B124-Inputs!$D$42))</f>
        <v>1.6949999999999998</v>
      </c>
      <c r="H124" s="35">
        <f>Inputs!$D$6*Inputs!$D$14*G124*Inputs!$D$29</f>
        <v>2129.64885</v>
      </c>
      <c r="I124" s="36">
        <f>H124/(A124*Inputs!$D$32)</f>
        <v>1.3352030407523512</v>
      </c>
      <c r="J124" s="38">
        <f>IF(I124&gt;=1,999,I124/(Inputs!$D$32*(1-I124))*60)</f>
        <v>999</v>
      </c>
      <c r="K124" s="37">
        <f>MIN(1,MAX(0,(J124-Inputs!$D$36)/(Inputs!$D$37-Inputs!$D$36)))</f>
        <v>1</v>
      </c>
      <c r="L124" s="35">
        <f>Inputs!$D$6*Inputs!$D$14*G124*(1-Inputs!$D$38*K124)</f>
        <v>7808.71245</v>
      </c>
      <c r="M124" s="39">
        <f>L124*Inputs!$D$11</f>
        <v>167887.317675</v>
      </c>
      <c r="N124" s="39">
        <f>M124*(1-Inputs!$D$17)</f>
        <v>58760.561186249994</v>
      </c>
      <c r="O124" s="35">
        <f>Inputs!$D$6*E124*Inputs!$D$27*Inputs!$D$30</f>
        <v>463.66320000000002</v>
      </c>
      <c r="P124" s="36">
        <f>O124/(C124*Inputs!$D$33)</f>
        <v>0.4636632</v>
      </c>
      <c r="Q124" s="38">
        <f>IF(P124&gt;=1,999,P124/(Inputs!$D$33*(1-P124))*60)</f>
        <v>1.296750101801704</v>
      </c>
      <c r="R124" s="37">
        <f>MIN(1,MAX(0,(Q124-Inputs!$D$36)/(Inputs!$D$37-Inputs!$D$36)))</f>
        <v>0</v>
      </c>
      <c r="S124" s="35">
        <f>Inputs!$D$6*E124*Inputs!$D$27*(1-Inputs!$D$38*R124)</f>
        <v>3863.86</v>
      </c>
      <c r="T124" s="39">
        <f>S124*Inputs!$D$12</f>
        <v>61821.760000000002</v>
      </c>
      <c r="U124" s="39">
        <f>T124*(1-Inputs!$D$18)</f>
        <v>27819.791999999998</v>
      </c>
      <c r="V124" s="35">
        <f>Inputs!$D$6*F124*Inputs!$D$28*Inputs!$D$31</f>
        <v>783.74558786036266</v>
      </c>
      <c r="W124" s="36">
        <f>V124/(B124*Inputs!$D$34)</f>
        <v>0.67856760853711051</v>
      </c>
      <c r="X124" s="38">
        <f>IF(W124&gt;=1,999,W124/(Inputs!$D$34*(1-W124))*60)</f>
        <v>3.6189842355277744</v>
      </c>
      <c r="Y124" s="37">
        <f>MIN(1,MAX(0,(X124-Inputs!$D$36)/(Inputs!$D$37-Inputs!$D$36)))</f>
        <v>0</v>
      </c>
      <c r="Z124" s="35">
        <f>Inputs!$D$6*F124*Inputs!$D$28*(1-Inputs!$D$38*Y124)</f>
        <v>6028.812214310482</v>
      </c>
      <c r="AA124" s="39">
        <f>Z124*Inputs!$D$13</f>
        <v>51244.903821639098</v>
      </c>
      <c r="AB124" s="39">
        <f>AA124*(1-Inputs!$D$19)</f>
        <v>30746.942292983458</v>
      </c>
      <c r="AC124" s="39">
        <f t="shared" si="4"/>
        <v>280953.98149663908</v>
      </c>
      <c r="AD124" s="39">
        <f t="shared" si="5"/>
        <v>117327.29547923345</v>
      </c>
      <c r="AE124" s="36">
        <f t="shared" si="6"/>
        <v>1.3352030407523512</v>
      </c>
      <c r="AF124" s="35">
        <f>IF(AND(AE124&lt;=Inputs!$D$35,C124&gt;=Inputs!$D$48*(A124+B124+C124),B124*Inputs!$D$22&lt;=Inputs!$D$50*Inputs!$D$8,B124*Inputs!$D$22&gt;=Inputs!$D$49*Inputs!$D$8,A124*Inputs!$D$20&lt;=Inputs!$D$47*Inputs!$D$8,C124&gt;=1),1,0)</f>
        <v>0</v>
      </c>
      <c r="AG124" s="39">
        <f t="shared" si="7"/>
        <v>-1</v>
      </c>
    </row>
    <row r="125" spans="1:33" x14ac:dyDescent="0.25">
      <c r="A125" s="35">
        <v>30</v>
      </c>
      <c r="B125" s="35">
        <v>10</v>
      </c>
      <c r="C125" s="35">
        <f>Inputs!$D$8-A125-Inputs!$D$22*B125</f>
        <v>70</v>
      </c>
      <c r="D125" s="35">
        <f>A125*Inputs!$D$20+C125*Inputs!$D$21+B125*Inputs!$D$22</f>
        <v>120</v>
      </c>
      <c r="E125" s="36">
        <f>MIN(Inputs!$E$15,Inputs!$D$15*(C125/Inputs!$D$43)^Inputs!$D$44)</f>
        <v>0.4</v>
      </c>
      <c r="F125" s="36">
        <f>MIN(Inputs!$E$16,Inputs!$D$16*(B125/Inputs!$D$42)^Inputs!$D$44)</f>
        <v>0.32490095854249423</v>
      </c>
      <c r="G125" s="37">
        <f>Inputs!$D$26*(1+Inputs!$D$41*(B125-Inputs!$D$42))</f>
        <v>1.35</v>
      </c>
      <c r="H125" s="35">
        <f>Inputs!$D$6*Inputs!$D$14*G125*Inputs!$D$29</f>
        <v>1696.1805000000004</v>
      </c>
      <c r="I125" s="36">
        <f>H125/(A125*Inputs!$D$32)</f>
        <v>1.027988181818182</v>
      </c>
      <c r="J125" s="38">
        <f>IF(I125&gt;=1,999,I125/(Inputs!$D$32*(1-I125))*60)</f>
        <v>999</v>
      </c>
      <c r="K125" s="37">
        <f>MIN(1,MAX(0,(J125-Inputs!$D$36)/(Inputs!$D$37-Inputs!$D$36)))</f>
        <v>1</v>
      </c>
      <c r="L125" s="35">
        <f>Inputs!$D$6*Inputs!$D$14*G125*(1-Inputs!$D$38*K125)</f>
        <v>6219.3285000000024</v>
      </c>
      <c r="M125" s="39">
        <f>L125*Inputs!$D$11</f>
        <v>133715.56275000004</v>
      </c>
      <c r="N125" s="39">
        <f>M125*(1-Inputs!$D$17)</f>
        <v>46800.446962500013</v>
      </c>
      <c r="O125" s="35">
        <f>Inputs!$D$6*E125*Inputs!$D$27*Inputs!$D$30</f>
        <v>570.66240000000005</v>
      </c>
      <c r="P125" s="36">
        <f>O125/(C125*Inputs!$D$33)</f>
        <v>0.20380800000000002</v>
      </c>
      <c r="Q125" s="38">
        <f>IF(P125&gt;=1,999,P125/(Inputs!$D$33*(1-P125))*60)</f>
        <v>0.3839676861862466</v>
      </c>
      <c r="R125" s="37">
        <f>MIN(1,MAX(0,(Q125-Inputs!$D$36)/(Inputs!$D$37-Inputs!$D$36)))</f>
        <v>0</v>
      </c>
      <c r="S125" s="35">
        <f>Inputs!$D$6*E125*Inputs!$D$27*(1-Inputs!$D$38*R125)</f>
        <v>4755.5200000000004</v>
      </c>
      <c r="T125" s="39">
        <f>S125*Inputs!$D$12</f>
        <v>76088.320000000007</v>
      </c>
      <c r="U125" s="39">
        <f>T125*(1-Inputs!$D$18)</f>
        <v>34239.743999999999</v>
      </c>
      <c r="V125" s="35">
        <f>Inputs!$D$6*F125*Inputs!$D$28*Inputs!$D$31</f>
        <v>547.7986113486553</v>
      </c>
      <c r="W125" s="36">
        <f>V125/(B125*Inputs!$D$34)</f>
        <v>1.5651388895675866</v>
      </c>
      <c r="X125" s="38">
        <f>IF(W125&gt;=1,999,W125/(Inputs!$D$34*(1-W125))*60)</f>
        <v>999</v>
      </c>
      <c r="Y125" s="37">
        <f>MIN(1,MAX(0,(X125-Inputs!$D$36)/(Inputs!$D$37-Inputs!$D$36)))</f>
        <v>1</v>
      </c>
      <c r="Z125" s="35">
        <f>Inputs!$D$6*F125*Inputs!$D$28*(1-Inputs!$D$38*Y125)</f>
        <v>2317.6095095520031</v>
      </c>
      <c r="AA125" s="39">
        <f>Z125*Inputs!$D$13</f>
        <v>19699.680831192025</v>
      </c>
      <c r="AB125" s="39">
        <f>AA125*(1-Inputs!$D$19)</f>
        <v>11819.808498715214</v>
      </c>
      <c r="AC125" s="39">
        <f t="shared" si="4"/>
        <v>229503.56358119208</v>
      </c>
      <c r="AD125" s="39">
        <f t="shared" si="5"/>
        <v>92859.999461215222</v>
      </c>
      <c r="AE125" s="36">
        <f t="shared" si="6"/>
        <v>1.5651388895675866</v>
      </c>
      <c r="AF125" s="35">
        <f>IF(AND(AE125&lt;=Inputs!$D$35,C125&gt;=Inputs!$D$48*(A125+B125+C125),B125*Inputs!$D$22&lt;=Inputs!$D$50*Inputs!$D$8,B125*Inputs!$D$22&gt;=Inputs!$D$49*Inputs!$D$8,A125*Inputs!$D$20&lt;=Inputs!$D$47*Inputs!$D$8,C125&gt;=1),1,0)</f>
        <v>0</v>
      </c>
      <c r="AG125" s="39">
        <f t="shared" si="7"/>
        <v>-1</v>
      </c>
    </row>
    <row r="126" spans="1:33" x14ac:dyDescent="0.25">
      <c r="A126" s="35">
        <v>30</v>
      </c>
      <c r="B126" s="35">
        <v>11</v>
      </c>
      <c r="C126" s="35">
        <f>Inputs!$D$8-A126-Inputs!$D$22*B126</f>
        <v>68</v>
      </c>
      <c r="D126" s="35">
        <f>A126*Inputs!$D$20+C126*Inputs!$D$21+B126*Inputs!$D$22</f>
        <v>120</v>
      </c>
      <c r="E126" s="36">
        <f>MIN(Inputs!$E$15,Inputs!$D$15*(C126/Inputs!$D$43)^Inputs!$D$44)</f>
        <v>0.4</v>
      </c>
      <c r="F126" s="36">
        <f>MIN(Inputs!$E$16,Inputs!$D$16*(B126/Inputs!$D$42)^Inputs!$D$44)</f>
        <v>0.33432495758166098</v>
      </c>
      <c r="G126" s="37">
        <f>Inputs!$D$26*(1+Inputs!$D$41*(B126-Inputs!$D$42))</f>
        <v>1.365</v>
      </c>
      <c r="H126" s="35">
        <f>Inputs!$D$6*Inputs!$D$14*G126*Inputs!$D$29</f>
        <v>1715.0269500000002</v>
      </c>
      <c r="I126" s="36">
        <f>H126/(A126*Inputs!$D$32)</f>
        <v>1.0394102727272729</v>
      </c>
      <c r="J126" s="38">
        <f>IF(I126&gt;=1,999,I126/(Inputs!$D$32*(1-I126))*60)</f>
        <v>999</v>
      </c>
      <c r="K126" s="37">
        <f>MIN(1,MAX(0,(J126-Inputs!$D$36)/(Inputs!$D$37-Inputs!$D$36)))</f>
        <v>1</v>
      </c>
      <c r="L126" s="35">
        <f>Inputs!$D$6*Inputs!$D$14*G126*(1-Inputs!$D$38*K126)</f>
        <v>6288.4321500000005</v>
      </c>
      <c r="M126" s="39">
        <f>L126*Inputs!$D$11</f>
        <v>135201.29122500002</v>
      </c>
      <c r="N126" s="39">
        <f>M126*(1-Inputs!$D$17)</f>
        <v>47320.451928750008</v>
      </c>
      <c r="O126" s="35">
        <f>Inputs!$D$6*E126*Inputs!$D$27*Inputs!$D$30</f>
        <v>570.66240000000005</v>
      </c>
      <c r="P126" s="36">
        <f>O126/(C126*Inputs!$D$33)</f>
        <v>0.2098023529411765</v>
      </c>
      <c r="Q126" s="38">
        <f>IF(P126&gt;=1,999,P126/(Inputs!$D$33*(1-P126))*60)</f>
        <v>0.3982592590386918</v>
      </c>
      <c r="R126" s="37">
        <f>MIN(1,MAX(0,(Q126-Inputs!$D$36)/(Inputs!$D$37-Inputs!$D$36)))</f>
        <v>0</v>
      </c>
      <c r="S126" s="35">
        <f>Inputs!$D$6*E126*Inputs!$D$27*(1-Inputs!$D$38*R126)</f>
        <v>4755.5200000000004</v>
      </c>
      <c r="T126" s="39">
        <f>S126*Inputs!$D$12</f>
        <v>76088.320000000007</v>
      </c>
      <c r="U126" s="39">
        <f>T126*(1-Inputs!$D$18)</f>
        <v>34239.743999999999</v>
      </c>
      <c r="V126" s="35">
        <f>Inputs!$D$6*F126*Inputs!$D$28*Inputs!$D$31</f>
        <v>563.68792608064427</v>
      </c>
      <c r="W126" s="36">
        <f>V126/(B126*Inputs!$D$34)</f>
        <v>1.4641244833263487</v>
      </c>
      <c r="X126" s="38">
        <f>IF(W126&gt;=1,999,W126/(Inputs!$D$34*(1-W126))*60)</f>
        <v>999</v>
      </c>
      <c r="Y126" s="37">
        <f>MIN(1,MAX(0,(X126-Inputs!$D$36)/(Inputs!$D$37-Inputs!$D$36)))</f>
        <v>1</v>
      </c>
      <c r="Z126" s="35">
        <f>Inputs!$D$6*F126*Inputs!$D$28*(1-Inputs!$D$38*Y126)</f>
        <v>2384.8335334181106</v>
      </c>
      <c r="AA126" s="39">
        <f>Z126*Inputs!$D$13</f>
        <v>20271.08503405394</v>
      </c>
      <c r="AB126" s="39">
        <f>AA126*(1-Inputs!$D$19)</f>
        <v>12162.651020432364</v>
      </c>
      <c r="AC126" s="39">
        <f t="shared" si="4"/>
        <v>231560.69625905398</v>
      </c>
      <c r="AD126" s="39">
        <f t="shared" si="5"/>
        <v>93722.846949182363</v>
      </c>
      <c r="AE126" s="36">
        <f t="shared" si="6"/>
        <v>1.4641244833263487</v>
      </c>
      <c r="AF126" s="35">
        <f>IF(AND(AE126&lt;=Inputs!$D$35,C126&gt;=Inputs!$D$48*(A126+B126+C126),B126*Inputs!$D$22&lt;=Inputs!$D$50*Inputs!$D$8,B126*Inputs!$D$22&gt;=Inputs!$D$49*Inputs!$D$8,A126*Inputs!$D$20&lt;=Inputs!$D$47*Inputs!$D$8,C126&gt;=1),1,0)</f>
        <v>0</v>
      </c>
      <c r="AG126" s="39">
        <f t="shared" si="7"/>
        <v>-1</v>
      </c>
    </row>
    <row r="127" spans="1:33" x14ac:dyDescent="0.25">
      <c r="A127" s="35">
        <v>30</v>
      </c>
      <c r="B127" s="35">
        <v>12</v>
      </c>
      <c r="C127" s="35">
        <f>Inputs!$D$8-A127-Inputs!$D$22*B127</f>
        <v>66</v>
      </c>
      <c r="D127" s="35">
        <f>A127*Inputs!$D$20+C127*Inputs!$D$21+B127*Inputs!$D$22</f>
        <v>120</v>
      </c>
      <c r="E127" s="36">
        <f>MIN(Inputs!$E$15,Inputs!$D$15*(C127/Inputs!$D$43)^Inputs!$D$44)</f>
        <v>0.4</v>
      </c>
      <c r="F127" s="36">
        <f>MIN(Inputs!$E$16,Inputs!$D$16*(B127/Inputs!$D$42)^Inputs!$D$44)</f>
        <v>0.34316688017763797</v>
      </c>
      <c r="G127" s="37">
        <f>Inputs!$D$26*(1+Inputs!$D$41*(B127-Inputs!$D$42))</f>
        <v>1.3800000000000001</v>
      </c>
      <c r="H127" s="35">
        <f>Inputs!$D$6*Inputs!$D$14*G127*Inputs!$D$29</f>
        <v>1733.8734000000004</v>
      </c>
      <c r="I127" s="36">
        <f>H127/(A127*Inputs!$D$32)</f>
        <v>1.0508323636363639</v>
      </c>
      <c r="J127" s="38">
        <f>IF(I127&gt;=1,999,I127/(Inputs!$D$32*(1-I127))*60)</f>
        <v>999</v>
      </c>
      <c r="K127" s="37">
        <f>MIN(1,MAX(0,(J127-Inputs!$D$36)/(Inputs!$D$37-Inputs!$D$36)))</f>
        <v>1</v>
      </c>
      <c r="L127" s="35">
        <f>Inputs!$D$6*Inputs!$D$14*G127*(1-Inputs!$D$38*K127)</f>
        <v>6357.5358000000024</v>
      </c>
      <c r="M127" s="39">
        <f>L127*Inputs!$D$11</f>
        <v>136687.01970000006</v>
      </c>
      <c r="N127" s="39">
        <f>M127*(1-Inputs!$D$17)</f>
        <v>47840.456895000018</v>
      </c>
      <c r="O127" s="35">
        <f>Inputs!$D$6*E127*Inputs!$D$27*Inputs!$D$30</f>
        <v>570.66240000000005</v>
      </c>
      <c r="P127" s="36">
        <f>O127/(C127*Inputs!$D$33)</f>
        <v>0.21616000000000002</v>
      </c>
      <c r="Q127" s="38">
        <f>IF(P127&gt;=1,999,P127/(Inputs!$D$33*(1-P127))*60)</f>
        <v>0.41365584813227191</v>
      </c>
      <c r="R127" s="37">
        <f>MIN(1,MAX(0,(Q127-Inputs!$D$36)/(Inputs!$D$37-Inputs!$D$36)))</f>
        <v>0</v>
      </c>
      <c r="S127" s="35">
        <f>Inputs!$D$6*E127*Inputs!$D$27*(1-Inputs!$D$38*R127)</f>
        <v>4755.5200000000004</v>
      </c>
      <c r="T127" s="39">
        <f>S127*Inputs!$D$12</f>
        <v>76088.320000000007</v>
      </c>
      <c r="U127" s="39">
        <f>T127*(1-Inputs!$D$18)</f>
        <v>34239.743999999999</v>
      </c>
      <c r="V127" s="35">
        <f>Inputs!$D$6*F127*Inputs!$D$28*Inputs!$D$31</f>
        <v>578.5958319897461</v>
      </c>
      <c r="W127" s="36">
        <f>V127/(B127*Inputs!$D$34)</f>
        <v>1.3776091237851098</v>
      </c>
      <c r="X127" s="38">
        <f>IF(W127&gt;=1,999,W127/(Inputs!$D$34*(1-W127))*60)</f>
        <v>999</v>
      </c>
      <c r="Y127" s="37">
        <f>MIN(1,MAX(0,(X127-Inputs!$D$36)/(Inputs!$D$37-Inputs!$D$36)))</f>
        <v>1</v>
      </c>
      <c r="Z127" s="35">
        <f>Inputs!$D$6*F127*Inputs!$D$28*(1-Inputs!$D$38*Y127)</f>
        <v>2447.9054430335414</v>
      </c>
      <c r="AA127" s="39">
        <f>Z127*Inputs!$D$13</f>
        <v>20807.1962657851</v>
      </c>
      <c r="AB127" s="39">
        <f>AA127*(1-Inputs!$D$19)</f>
        <v>12484.31775947106</v>
      </c>
      <c r="AC127" s="39">
        <f t="shared" si="4"/>
        <v>233582.53596578518</v>
      </c>
      <c r="AD127" s="39">
        <f t="shared" si="5"/>
        <v>94564.518654471074</v>
      </c>
      <c r="AE127" s="36">
        <f t="shared" si="6"/>
        <v>1.3776091237851098</v>
      </c>
      <c r="AF127" s="35">
        <f>IF(AND(AE127&lt;=Inputs!$D$35,C127&gt;=Inputs!$D$48*(A127+B127+C127),B127*Inputs!$D$22&lt;=Inputs!$D$50*Inputs!$D$8,B127*Inputs!$D$22&gt;=Inputs!$D$49*Inputs!$D$8,A127*Inputs!$D$20&lt;=Inputs!$D$47*Inputs!$D$8,C127&gt;=1),1,0)</f>
        <v>0</v>
      </c>
      <c r="AG127" s="39">
        <f t="shared" si="7"/>
        <v>-1</v>
      </c>
    </row>
    <row r="128" spans="1:33" x14ac:dyDescent="0.25">
      <c r="A128" s="35">
        <v>30</v>
      </c>
      <c r="B128" s="35">
        <v>13</v>
      </c>
      <c r="C128" s="35">
        <f>Inputs!$D$8-A128-Inputs!$D$22*B128</f>
        <v>64</v>
      </c>
      <c r="D128" s="35">
        <f>A128*Inputs!$D$20+C128*Inputs!$D$21+B128*Inputs!$D$22</f>
        <v>120</v>
      </c>
      <c r="E128" s="36">
        <f>MIN(Inputs!$E$15,Inputs!$D$15*(C128/Inputs!$D$43)^Inputs!$D$44)</f>
        <v>0.4</v>
      </c>
      <c r="F128" s="36">
        <f>MIN(Inputs!$E$16,Inputs!$D$16*(B128/Inputs!$D$42)^Inputs!$D$44)</f>
        <v>0.35150701637190523</v>
      </c>
      <c r="G128" s="37">
        <f>Inputs!$D$26*(1+Inputs!$D$41*(B128-Inputs!$D$42))</f>
        <v>1.395</v>
      </c>
      <c r="H128" s="35">
        <f>Inputs!$D$6*Inputs!$D$14*G128*Inputs!$D$29</f>
        <v>1752.7198500000002</v>
      </c>
      <c r="I128" s="36">
        <f>H128/(A128*Inputs!$D$32)</f>
        <v>1.0622544545454546</v>
      </c>
      <c r="J128" s="38">
        <f>IF(I128&gt;=1,999,I128/(Inputs!$D$32*(1-I128))*60)</f>
        <v>999</v>
      </c>
      <c r="K128" s="37">
        <f>MIN(1,MAX(0,(J128-Inputs!$D$36)/(Inputs!$D$37-Inputs!$D$36)))</f>
        <v>1</v>
      </c>
      <c r="L128" s="35">
        <f>Inputs!$D$6*Inputs!$D$14*G128*(1-Inputs!$D$38*K128)</f>
        <v>6426.6394500000006</v>
      </c>
      <c r="M128" s="39">
        <f>L128*Inputs!$D$11</f>
        <v>138172.74817500002</v>
      </c>
      <c r="N128" s="39">
        <f>M128*(1-Inputs!$D$17)</f>
        <v>48360.461861250005</v>
      </c>
      <c r="O128" s="35">
        <f>Inputs!$D$6*E128*Inputs!$D$27*Inputs!$D$30</f>
        <v>570.66240000000005</v>
      </c>
      <c r="P128" s="36">
        <f>O128/(C128*Inputs!$D$33)</f>
        <v>0.22291500000000003</v>
      </c>
      <c r="Q128" s="38">
        <f>IF(P128&gt;=1,999,P128/(Inputs!$D$33*(1-P128))*60)</f>
        <v>0.43029076613240513</v>
      </c>
      <c r="R128" s="37">
        <f>MIN(1,MAX(0,(Q128-Inputs!$D$36)/(Inputs!$D$37-Inputs!$D$36)))</f>
        <v>0</v>
      </c>
      <c r="S128" s="35">
        <f>Inputs!$D$6*E128*Inputs!$D$27*(1-Inputs!$D$38*R128)</f>
        <v>4755.5200000000004</v>
      </c>
      <c r="T128" s="39">
        <f>S128*Inputs!$D$12</f>
        <v>76088.320000000007</v>
      </c>
      <c r="U128" s="39">
        <f>T128*(1-Inputs!$D$18)</f>
        <v>34239.743999999999</v>
      </c>
      <c r="V128" s="35">
        <f>Inputs!$D$6*F128*Inputs!$D$28*Inputs!$D$31</f>
        <v>592.65770193981814</v>
      </c>
      <c r="W128" s="36">
        <f>V128/(B128*Inputs!$D$34)</f>
        <v>1.3025443998677322</v>
      </c>
      <c r="X128" s="38">
        <f>IF(W128&gt;=1,999,W128/(Inputs!$D$34*(1-W128))*60)</f>
        <v>999</v>
      </c>
      <c r="Y128" s="37">
        <f>MIN(1,MAX(0,(X128-Inputs!$D$36)/(Inputs!$D$37-Inputs!$D$36)))</f>
        <v>1</v>
      </c>
      <c r="Z128" s="35">
        <f>Inputs!$D$6*F128*Inputs!$D$28*(1-Inputs!$D$38*Y128)</f>
        <v>2507.3979697453847</v>
      </c>
      <c r="AA128" s="39">
        <f>Z128*Inputs!$D$13</f>
        <v>21312.882742835769</v>
      </c>
      <c r="AB128" s="39">
        <f>AA128*(1-Inputs!$D$19)</f>
        <v>12787.729645701462</v>
      </c>
      <c r="AC128" s="39">
        <f t="shared" si="4"/>
        <v>235573.95091783578</v>
      </c>
      <c r="AD128" s="39">
        <f t="shared" si="5"/>
        <v>95387.935506951457</v>
      </c>
      <c r="AE128" s="36">
        <f t="shared" si="6"/>
        <v>1.3025443998677322</v>
      </c>
      <c r="AF128" s="35">
        <f>IF(AND(AE128&lt;=Inputs!$D$35,C128&gt;=Inputs!$D$48*(A128+B128+C128),B128*Inputs!$D$22&lt;=Inputs!$D$50*Inputs!$D$8,B128*Inputs!$D$22&gt;=Inputs!$D$49*Inputs!$D$8,A128*Inputs!$D$20&lt;=Inputs!$D$47*Inputs!$D$8,C128&gt;=1),1,0)</f>
        <v>0</v>
      </c>
      <c r="AG128" s="39">
        <f t="shared" si="7"/>
        <v>-1</v>
      </c>
    </row>
    <row r="129" spans="1:33" x14ac:dyDescent="0.25">
      <c r="A129" s="35">
        <v>30</v>
      </c>
      <c r="B129" s="35">
        <v>14</v>
      </c>
      <c r="C129" s="35">
        <f>Inputs!$D$8-A129-Inputs!$D$22*B129</f>
        <v>62</v>
      </c>
      <c r="D129" s="35">
        <f>A129*Inputs!$D$20+C129*Inputs!$D$21+B129*Inputs!$D$22</f>
        <v>120</v>
      </c>
      <c r="E129" s="36">
        <f>MIN(Inputs!$E$15,Inputs!$D$15*(C129/Inputs!$D$43)^Inputs!$D$44)</f>
        <v>0.4</v>
      </c>
      <c r="F129" s="36">
        <f>MIN(Inputs!$E$16,Inputs!$D$16*(B129/Inputs!$D$42)^Inputs!$D$44)</f>
        <v>0.35940937671625589</v>
      </c>
      <c r="G129" s="37">
        <f>Inputs!$D$26*(1+Inputs!$D$41*(B129-Inputs!$D$42))</f>
        <v>1.41</v>
      </c>
      <c r="H129" s="35">
        <f>Inputs!$D$6*Inputs!$D$14*G129*Inputs!$D$29</f>
        <v>1771.5663000000002</v>
      </c>
      <c r="I129" s="36">
        <f>H129/(A129*Inputs!$D$32)</f>
        <v>1.0736765454545456</v>
      </c>
      <c r="J129" s="38">
        <f>IF(I129&gt;=1,999,I129/(Inputs!$D$32*(1-I129))*60)</f>
        <v>999</v>
      </c>
      <c r="K129" s="37">
        <f>MIN(1,MAX(0,(J129-Inputs!$D$36)/(Inputs!$D$37-Inputs!$D$36)))</f>
        <v>1</v>
      </c>
      <c r="L129" s="35">
        <f>Inputs!$D$6*Inputs!$D$14*G129*(1-Inputs!$D$38*K129)</f>
        <v>6495.7431000000006</v>
      </c>
      <c r="M129" s="39">
        <f>L129*Inputs!$D$11</f>
        <v>139658.47665000003</v>
      </c>
      <c r="N129" s="39">
        <f>M129*(1-Inputs!$D$17)</f>
        <v>48880.466827500008</v>
      </c>
      <c r="O129" s="35">
        <f>Inputs!$D$6*E129*Inputs!$D$27*Inputs!$D$30</f>
        <v>570.66240000000005</v>
      </c>
      <c r="P129" s="36">
        <f>O129/(C129*Inputs!$D$33)</f>
        <v>0.23010580645161291</v>
      </c>
      <c r="Q129" s="38">
        <f>IF(P129&gt;=1,999,P129/(Inputs!$D$33*(1-P129))*60)</f>
        <v>0.44831966855939992</v>
      </c>
      <c r="R129" s="37">
        <f>MIN(1,MAX(0,(Q129-Inputs!$D$36)/(Inputs!$D$37-Inputs!$D$36)))</f>
        <v>0</v>
      </c>
      <c r="S129" s="35">
        <f>Inputs!$D$6*E129*Inputs!$D$27*(1-Inputs!$D$38*R129)</f>
        <v>4755.5200000000004</v>
      </c>
      <c r="T129" s="39">
        <f>S129*Inputs!$D$12</f>
        <v>76088.320000000007</v>
      </c>
      <c r="U129" s="39">
        <f>T129*(1-Inputs!$D$18)</f>
        <v>34239.743999999999</v>
      </c>
      <c r="V129" s="35">
        <f>Inputs!$D$6*F129*Inputs!$D$28*Inputs!$D$31</f>
        <v>605.98146079368973</v>
      </c>
      <c r="W129" s="36">
        <f>V129/(B129*Inputs!$D$34)</f>
        <v>1.2366968587626321</v>
      </c>
      <c r="X129" s="38">
        <f>IF(W129&gt;=1,999,W129/(Inputs!$D$34*(1-W129))*60)</f>
        <v>999</v>
      </c>
      <c r="Y129" s="37">
        <f>MIN(1,MAX(0,(X129-Inputs!$D$36)/(Inputs!$D$37-Inputs!$D$36)))</f>
        <v>1</v>
      </c>
      <c r="Z129" s="35">
        <f>Inputs!$D$6*F129*Inputs!$D$28*(1-Inputs!$D$38*Y129)</f>
        <v>2563.7677187425338</v>
      </c>
      <c r="AA129" s="39">
        <f>Z129*Inputs!$D$13</f>
        <v>21792.025609311539</v>
      </c>
      <c r="AB129" s="39">
        <f>AA129*(1-Inputs!$D$19)</f>
        <v>13075.215365586922</v>
      </c>
      <c r="AC129" s="39">
        <f t="shared" si="4"/>
        <v>237538.82225931156</v>
      </c>
      <c r="AD129" s="39">
        <f t="shared" si="5"/>
        <v>96195.426193086925</v>
      </c>
      <c r="AE129" s="36">
        <f t="shared" si="6"/>
        <v>1.2366968587626321</v>
      </c>
      <c r="AF129" s="35">
        <f>IF(AND(AE129&lt;=Inputs!$D$35,C129&gt;=Inputs!$D$48*(A129+B129+C129),B129*Inputs!$D$22&lt;=Inputs!$D$50*Inputs!$D$8,B129*Inputs!$D$22&gt;=Inputs!$D$49*Inputs!$D$8,A129*Inputs!$D$20&lt;=Inputs!$D$47*Inputs!$D$8,C129&gt;=1),1,0)</f>
        <v>0</v>
      </c>
      <c r="AG129" s="39">
        <f t="shared" si="7"/>
        <v>-1</v>
      </c>
    </row>
    <row r="130" spans="1:33" x14ac:dyDescent="0.25">
      <c r="A130" s="35">
        <v>30</v>
      </c>
      <c r="B130" s="35">
        <v>15</v>
      </c>
      <c r="C130" s="35">
        <f>Inputs!$D$8-A130-Inputs!$D$22*B130</f>
        <v>60</v>
      </c>
      <c r="D130" s="35">
        <f>A130*Inputs!$D$20+C130*Inputs!$D$21+B130*Inputs!$D$22</f>
        <v>120</v>
      </c>
      <c r="E130" s="36">
        <f>MIN(Inputs!$E$15,Inputs!$D$15*(C130/Inputs!$D$43)^Inputs!$D$44)</f>
        <v>0.4</v>
      </c>
      <c r="F130" s="36">
        <f>MIN(Inputs!$E$16,Inputs!$D$16*(B130/Inputs!$D$42)^Inputs!$D$44)</f>
        <v>0.36692590185696072</v>
      </c>
      <c r="G130" s="37">
        <f>Inputs!$D$26*(1+Inputs!$D$41*(B130-Inputs!$D$42))</f>
        <v>1.4249999999999998</v>
      </c>
      <c r="H130" s="35">
        <f>Inputs!$D$6*Inputs!$D$14*G130*Inputs!$D$29</f>
        <v>1790.4127499999997</v>
      </c>
      <c r="I130" s="36">
        <f>H130/(A130*Inputs!$D$32)</f>
        <v>1.0850986363636361</v>
      </c>
      <c r="J130" s="38">
        <f>IF(I130&gt;=1,999,I130/(Inputs!$D$32*(1-I130))*60)</f>
        <v>999</v>
      </c>
      <c r="K130" s="37">
        <f>MIN(1,MAX(0,(J130-Inputs!$D$36)/(Inputs!$D$37-Inputs!$D$36)))</f>
        <v>1</v>
      </c>
      <c r="L130" s="35">
        <f>Inputs!$D$6*Inputs!$D$14*G130*(1-Inputs!$D$38*K130)</f>
        <v>6564.8467499999997</v>
      </c>
      <c r="M130" s="39">
        <f>L130*Inputs!$D$11</f>
        <v>141144.20512500001</v>
      </c>
      <c r="N130" s="39">
        <f>M130*(1-Inputs!$D$17)</f>
        <v>49400.471793750003</v>
      </c>
      <c r="O130" s="35">
        <f>Inputs!$D$6*E130*Inputs!$D$27*Inputs!$D$30</f>
        <v>570.66240000000005</v>
      </c>
      <c r="P130" s="36">
        <f>O130/(C130*Inputs!$D$33)</f>
        <v>0.23777600000000002</v>
      </c>
      <c r="Q130" s="38">
        <f>IF(P130&gt;=1,999,P130/(Inputs!$D$33*(1-P130))*60)</f>
        <v>0.46792543924095809</v>
      </c>
      <c r="R130" s="37">
        <f>MIN(1,MAX(0,(Q130-Inputs!$D$36)/(Inputs!$D$37-Inputs!$D$36)))</f>
        <v>0</v>
      </c>
      <c r="S130" s="35">
        <f>Inputs!$D$6*E130*Inputs!$D$27*(1-Inputs!$D$38*R130)</f>
        <v>4755.5200000000004</v>
      </c>
      <c r="T130" s="39">
        <f>S130*Inputs!$D$12</f>
        <v>76088.320000000007</v>
      </c>
      <c r="U130" s="39">
        <f>T130*(1-Inputs!$D$18)</f>
        <v>34239.743999999999</v>
      </c>
      <c r="V130" s="35">
        <f>Inputs!$D$6*F130*Inputs!$D$28*Inputs!$D$31</f>
        <v>618.65468297412497</v>
      </c>
      <c r="W130" s="36">
        <f>V130/(B130*Inputs!$D$34)</f>
        <v>1.1783898723316666</v>
      </c>
      <c r="X130" s="38">
        <f>IF(W130&gt;=1,999,W130/(Inputs!$D$34*(1-W130))*60)</f>
        <v>999</v>
      </c>
      <c r="Y130" s="37">
        <f>MIN(1,MAX(0,(X130-Inputs!$D$36)/(Inputs!$D$37-Inputs!$D$36)))</f>
        <v>1</v>
      </c>
      <c r="Z130" s="35">
        <f>Inputs!$D$6*F130*Inputs!$D$28*(1-Inputs!$D$38*Y130)</f>
        <v>2617.3851971982212</v>
      </c>
      <c r="AA130" s="39">
        <f>Z130*Inputs!$D$13</f>
        <v>22247.774176184881</v>
      </c>
      <c r="AB130" s="39">
        <f>AA130*(1-Inputs!$D$19)</f>
        <v>13348.664505710929</v>
      </c>
      <c r="AC130" s="39">
        <f t="shared" si="4"/>
        <v>239480.29930118489</v>
      </c>
      <c r="AD130" s="39">
        <f t="shared" si="5"/>
        <v>96988.880299460929</v>
      </c>
      <c r="AE130" s="36">
        <f t="shared" si="6"/>
        <v>1.1783898723316666</v>
      </c>
      <c r="AF130" s="35">
        <f>IF(AND(AE130&lt;=Inputs!$D$35,C130&gt;=Inputs!$D$48*(A130+B130+C130),B130*Inputs!$D$22&lt;=Inputs!$D$50*Inputs!$D$8,B130*Inputs!$D$22&gt;=Inputs!$D$49*Inputs!$D$8,A130*Inputs!$D$20&lt;=Inputs!$D$47*Inputs!$D$8,C130&gt;=1),1,0)</f>
        <v>0</v>
      </c>
      <c r="AG130" s="39">
        <f t="shared" si="7"/>
        <v>-1</v>
      </c>
    </row>
    <row r="131" spans="1:33" x14ac:dyDescent="0.25">
      <c r="A131" s="35">
        <v>30</v>
      </c>
      <c r="B131" s="35">
        <v>16</v>
      </c>
      <c r="C131" s="35">
        <f>Inputs!$D$8-A131-Inputs!$D$22*B131</f>
        <v>58</v>
      </c>
      <c r="D131" s="35">
        <f>A131*Inputs!$D$20+C131*Inputs!$D$21+B131*Inputs!$D$22</f>
        <v>120</v>
      </c>
      <c r="E131" s="36">
        <f>MIN(Inputs!$E$15,Inputs!$D$15*(C131/Inputs!$D$43)^Inputs!$D$44)</f>
        <v>0.4</v>
      </c>
      <c r="F131" s="36">
        <f>MIN(Inputs!$E$16,Inputs!$D$16*(B131/Inputs!$D$42)^Inputs!$D$44)</f>
        <v>0.37409937912904856</v>
      </c>
      <c r="G131" s="37">
        <f>Inputs!$D$26*(1+Inputs!$D$41*(B131-Inputs!$D$42))</f>
        <v>1.44</v>
      </c>
      <c r="H131" s="35">
        <f>Inputs!$D$6*Inputs!$D$14*G131*Inputs!$D$29</f>
        <v>1809.2592000000002</v>
      </c>
      <c r="I131" s="36">
        <f>H131/(A131*Inputs!$D$32)</f>
        <v>1.0965207272727273</v>
      </c>
      <c r="J131" s="38">
        <f>IF(I131&gt;=1,999,I131/(Inputs!$D$32*(1-I131))*60)</f>
        <v>999</v>
      </c>
      <c r="K131" s="37">
        <f>MIN(1,MAX(0,(J131-Inputs!$D$36)/(Inputs!$D$37-Inputs!$D$36)))</f>
        <v>1</v>
      </c>
      <c r="L131" s="35">
        <f>Inputs!$D$6*Inputs!$D$14*G131*(1-Inputs!$D$38*K131)</f>
        <v>6633.9504000000006</v>
      </c>
      <c r="M131" s="39">
        <f>L131*Inputs!$D$11</f>
        <v>142629.93360000002</v>
      </c>
      <c r="N131" s="39">
        <f>M131*(1-Inputs!$D$17)</f>
        <v>49920.476760000005</v>
      </c>
      <c r="O131" s="35">
        <f>Inputs!$D$6*E131*Inputs!$D$27*Inputs!$D$30</f>
        <v>570.66240000000005</v>
      </c>
      <c r="P131" s="36">
        <f>O131/(C131*Inputs!$D$33)</f>
        <v>0.24597517241379313</v>
      </c>
      <c r="Q131" s="38">
        <f>IF(P131&gt;=1,999,P131/(Inputs!$D$33*(1-P131))*60)</f>
        <v>0.48932441628191153</v>
      </c>
      <c r="R131" s="37">
        <f>MIN(1,MAX(0,(Q131-Inputs!$D$36)/(Inputs!$D$37-Inputs!$D$36)))</f>
        <v>0</v>
      </c>
      <c r="S131" s="35">
        <f>Inputs!$D$6*E131*Inputs!$D$27*(1-Inputs!$D$38*R131)</f>
        <v>4755.5200000000004</v>
      </c>
      <c r="T131" s="39">
        <f>S131*Inputs!$D$12</f>
        <v>76088.320000000007</v>
      </c>
      <c r="U131" s="39">
        <f>T131*(1-Inputs!$D$18)</f>
        <v>34239.743999999999</v>
      </c>
      <c r="V131" s="35">
        <f>Inputs!$D$6*F131*Inputs!$D$28*Inputs!$D$31</f>
        <v>630.74950998177405</v>
      </c>
      <c r="W131" s="36">
        <f>V131/(B131*Inputs!$D$34)</f>
        <v>1.1263384106817393</v>
      </c>
      <c r="X131" s="38">
        <f>IF(W131&gt;=1,999,W131/(Inputs!$D$34*(1-W131))*60)</f>
        <v>999</v>
      </c>
      <c r="Y131" s="37">
        <f>MIN(1,MAX(0,(X131-Inputs!$D$36)/(Inputs!$D$37-Inputs!$D$36)))</f>
        <v>1</v>
      </c>
      <c r="Z131" s="35">
        <f>Inputs!$D$6*F131*Inputs!$D$28*(1-Inputs!$D$38*Y131)</f>
        <v>2668.5556191536598</v>
      </c>
      <c r="AA131" s="39">
        <f>Z131*Inputs!$D$13</f>
        <v>22682.722762806108</v>
      </c>
      <c r="AB131" s="39">
        <f>AA131*(1-Inputs!$D$19)</f>
        <v>13609.633657683664</v>
      </c>
      <c r="AC131" s="39">
        <f t="shared" si="4"/>
        <v>241400.97636280613</v>
      </c>
      <c r="AD131" s="39">
        <f t="shared" si="5"/>
        <v>97769.854417683659</v>
      </c>
      <c r="AE131" s="36">
        <f t="shared" si="6"/>
        <v>1.1263384106817393</v>
      </c>
      <c r="AF131" s="35">
        <f>IF(AND(AE131&lt;=Inputs!$D$35,C131&gt;=Inputs!$D$48*(A131+B131+C131),B131*Inputs!$D$22&lt;=Inputs!$D$50*Inputs!$D$8,B131*Inputs!$D$22&gt;=Inputs!$D$49*Inputs!$D$8,A131*Inputs!$D$20&lt;=Inputs!$D$47*Inputs!$D$8,C131&gt;=1),1,0)</f>
        <v>0</v>
      </c>
      <c r="AG131" s="39">
        <f t="shared" si="7"/>
        <v>-1</v>
      </c>
    </row>
    <row r="132" spans="1:33" x14ac:dyDescent="0.25">
      <c r="A132" s="35">
        <v>30</v>
      </c>
      <c r="B132" s="35">
        <v>17</v>
      </c>
      <c r="C132" s="35">
        <f>Inputs!$D$8-A132-Inputs!$D$22*B132</f>
        <v>56</v>
      </c>
      <c r="D132" s="35">
        <f>A132*Inputs!$D$20+C132*Inputs!$D$21+B132*Inputs!$D$22</f>
        <v>120</v>
      </c>
      <c r="E132" s="36">
        <f>MIN(Inputs!$E$15,Inputs!$D$15*(C132/Inputs!$D$43)^Inputs!$D$44)</f>
        <v>0.4</v>
      </c>
      <c r="F132" s="36">
        <f>MIN(Inputs!$E$16,Inputs!$D$16*(B132/Inputs!$D$42)^Inputs!$D$44)</f>
        <v>0.3809655184437048</v>
      </c>
      <c r="G132" s="37">
        <f>Inputs!$D$26*(1+Inputs!$D$41*(B132-Inputs!$D$42))</f>
        <v>1.4550000000000001</v>
      </c>
      <c r="H132" s="35">
        <f>Inputs!$D$6*Inputs!$D$14*G132*Inputs!$D$29</f>
        <v>1828.1056500000002</v>
      </c>
      <c r="I132" s="36">
        <f>H132/(A132*Inputs!$D$32)</f>
        <v>1.1079428181818183</v>
      </c>
      <c r="J132" s="38">
        <f>IF(I132&gt;=1,999,I132/(Inputs!$D$32*(1-I132))*60)</f>
        <v>999</v>
      </c>
      <c r="K132" s="37">
        <f>MIN(1,MAX(0,(J132-Inputs!$D$36)/(Inputs!$D$37-Inputs!$D$36)))</f>
        <v>1</v>
      </c>
      <c r="L132" s="35">
        <f>Inputs!$D$6*Inputs!$D$14*G132*(1-Inputs!$D$38*K132)</f>
        <v>6703.0540500000006</v>
      </c>
      <c r="M132" s="39">
        <f>L132*Inputs!$D$11</f>
        <v>144115.662075</v>
      </c>
      <c r="N132" s="39">
        <f>M132*(1-Inputs!$D$17)</f>
        <v>50440.48172625</v>
      </c>
      <c r="O132" s="35">
        <f>Inputs!$D$6*E132*Inputs!$D$27*Inputs!$D$30</f>
        <v>570.66240000000005</v>
      </c>
      <c r="P132" s="36">
        <f>O132/(C132*Inputs!$D$33)</f>
        <v>0.25476000000000004</v>
      </c>
      <c r="Q132" s="38">
        <f>IF(P132&gt;=1,999,P132/(Inputs!$D$33*(1-P132))*60)</f>
        <v>0.51277440824432408</v>
      </c>
      <c r="R132" s="37">
        <f>MIN(1,MAX(0,(Q132-Inputs!$D$36)/(Inputs!$D$37-Inputs!$D$36)))</f>
        <v>0</v>
      </c>
      <c r="S132" s="35">
        <f>Inputs!$D$6*E132*Inputs!$D$27*(1-Inputs!$D$38*R132)</f>
        <v>4755.5200000000004</v>
      </c>
      <c r="T132" s="39">
        <f>S132*Inputs!$D$12</f>
        <v>76088.320000000007</v>
      </c>
      <c r="U132" s="39">
        <f>T132*(1-Inputs!$D$18)</f>
        <v>34239.743999999999</v>
      </c>
      <c r="V132" s="35">
        <f>Inputs!$D$6*F132*Inputs!$D$28*Inputs!$D$31</f>
        <v>642.32615044097156</v>
      </c>
      <c r="W132" s="36">
        <f>V132/(B132*Inputs!$D$34)</f>
        <v>1.0795397486402882</v>
      </c>
      <c r="X132" s="38">
        <f>IF(W132&gt;=1,999,W132/(Inputs!$D$34*(1-W132))*60)</f>
        <v>999</v>
      </c>
      <c r="Y132" s="37">
        <f>MIN(1,MAX(0,(X132-Inputs!$D$36)/(Inputs!$D$37-Inputs!$D$36)))</f>
        <v>1</v>
      </c>
      <c r="Z132" s="35">
        <f>Inputs!$D$6*F132*Inputs!$D$28*(1-Inputs!$D$38*Y132)</f>
        <v>2717.5337134041106</v>
      </c>
      <c r="AA132" s="39">
        <f>Z132*Inputs!$D$13</f>
        <v>23099.03656393494</v>
      </c>
      <c r="AB132" s="39">
        <f>AA132*(1-Inputs!$D$19)</f>
        <v>13859.421938360963</v>
      </c>
      <c r="AC132" s="39">
        <f t="shared" si="4"/>
        <v>243303.01863893494</v>
      </c>
      <c r="AD132" s="39">
        <f t="shared" si="5"/>
        <v>98539.647664610966</v>
      </c>
      <c r="AE132" s="36">
        <f t="shared" si="6"/>
        <v>1.1079428181818183</v>
      </c>
      <c r="AF132" s="35">
        <f>IF(AND(AE132&lt;=Inputs!$D$35,C132&gt;=Inputs!$D$48*(A132+B132+C132),B132*Inputs!$D$22&lt;=Inputs!$D$50*Inputs!$D$8,B132*Inputs!$D$22&gt;=Inputs!$D$49*Inputs!$D$8,A132*Inputs!$D$20&lt;=Inputs!$D$47*Inputs!$D$8,C132&gt;=1),1,0)</f>
        <v>0</v>
      </c>
      <c r="AG132" s="39">
        <f t="shared" si="7"/>
        <v>-1</v>
      </c>
    </row>
    <row r="133" spans="1:33" x14ac:dyDescent="0.25">
      <c r="A133" s="35">
        <v>30</v>
      </c>
      <c r="B133" s="35">
        <v>18</v>
      </c>
      <c r="C133" s="35">
        <f>Inputs!$D$8-A133-Inputs!$D$22*B133</f>
        <v>54</v>
      </c>
      <c r="D133" s="35">
        <f>A133*Inputs!$D$20+C133*Inputs!$D$21+B133*Inputs!$D$22</f>
        <v>120</v>
      </c>
      <c r="E133" s="36">
        <f>MIN(Inputs!$E$15,Inputs!$D$15*(C133/Inputs!$D$43)^Inputs!$D$44)</f>
        <v>0.4</v>
      </c>
      <c r="F133" s="36">
        <f>MIN(Inputs!$E$16,Inputs!$D$16*(B133/Inputs!$D$42)^Inputs!$D$44)</f>
        <v>0.38755446447890535</v>
      </c>
      <c r="G133" s="37">
        <f>Inputs!$D$26*(1+Inputs!$D$41*(B133-Inputs!$D$42))</f>
        <v>1.47</v>
      </c>
      <c r="H133" s="35">
        <f>Inputs!$D$6*Inputs!$D$14*G133*Inputs!$D$29</f>
        <v>1846.9521</v>
      </c>
      <c r="I133" s="36">
        <f>H133/(A133*Inputs!$D$32)</f>
        <v>1.119364909090909</v>
      </c>
      <c r="J133" s="38">
        <f>IF(I133&gt;=1,999,I133/(Inputs!$D$32*(1-I133))*60)</f>
        <v>999</v>
      </c>
      <c r="K133" s="37">
        <f>MIN(1,MAX(0,(J133-Inputs!$D$36)/(Inputs!$D$37-Inputs!$D$36)))</f>
        <v>1</v>
      </c>
      <c r="L133" s="35">
        <f>Inputs!$D$6*Inputs!$D$14*G133*(1-Inputs!$D$38*K133)</f>
        <v>6772.1577000000016</v>
      </c>
      <c r="M133" s="39">
        <f>L133*Inputs!$D$11</f>
        <v>145601.39055000004</v>
      </c>
      <c r="N133" s="39">
        <f>M133*(1-Inputs!$D$17)</f>
        <v>50960.48669250001</v>
      </c>
      <c r="O133" s="35">
        <f>Inputs!$D$6*E133*Inputs!$D$27*Inputs!$D$30</f>
        <v>570.66240000000005</v>
      </c>
      <c r="P133" s="36">
        <f>O133/(C133*Inputs!$D$33)</f>
        <v>0.26419555555555557</v>
      </c>
      <c r="Q133" s="38">
        <f>IF(P133&gt;=1,999,P133/(Inputs!$D$33*(1-P133))*60)</f>
        <v>0.53858513131508379</v>
      </c>
      <c r="R133" s="37">
        <f>MIN(1,MAX(0,(Q133-Inputs!$D$36)/(Inputs!$D$37-Inputs!$D$36)))</f>
        <v>0</v>
      </c>
      <c r="S133" s="35">
        <f>Inputs!$D$6*E133*Inputs!$D$27*(1-Inputs!$D$38*R133)</f>
        <v>4755.5200000000004</v>
      </c>
      <c r="T133" s="39">
        <f>S133*Inputs!$D$12</f>
        <v>76088.320000000007</v>
      </c>
      <c r="U133" s="39">
        <f>T133*(1-Inputs!$D$18)</f>
        <v>34239.743999999999</v>
      </c>
      <c r="V133" s="35">
        <f>Inputs!$D$6*F133*Inputs!$D$28*Inputs!$D$31</f>
        <v>653.43542972572936</v>
      </c>
      <c r="W133" s="36">
        <f>V133/(B133*Inputs!$D$34)</f>
        <v>1.037199094802745</v>
      </c>
      <c r="X133" s="38">
        <f>IF(W133&gt;=1,999,W133/(Inputs!$D$34*(1-W133))*60)</f>
        <v>999</v>
      </c>
      <c r="Y133" s="37">
        <f>MIN(1,MAX(0,(X133-Inputs!$D$36)/(Inputs!$D$37-Inputs!$D$36)))</f>
        <v>1</v>
      </c>
      <c r="Z133" s="35">
        <f>Inputs!$D$6*F133*Inputs!$D$28*(1-Inputs!$D$38*Y133)</f>
        <v>2764.534510378086</v>
      </c>
      <c r="AA133" s="39">
        <f>Z133*Inputs!$D$13</f>
        <v>23498.543338213731</v>
      </c>
      <c r="AB133" s="39">
        <f>AA133*(1-Inputs!$D$19)</f>
        <v>14099.126002928238</v>
      </c>
      <c r="AC133" s="39">
        <f t="shared" ref="AC133:AC196" si="8">M133+T133+AA133</f>
        <v>245188.25388821377</v>
      </c>
      <c r="AD133" s="39">
        <f t="shared" ref="AD133:AD196" si="9">N133+U133+AB133</f>
        <v>99299.356695428258</v>
      </c>
      <c r="AE133" s="36">
        <f t="shared" ref="AE133:AE196" si="10">MAX(I133,P133,W133)</f>
        <v>1.119364909090909</v>
      </c>
      <c r="AF133" s="35">
        <f>IF(AND(AE133&lt;=Inputs!$D$35,C133&gt;=Inputs!$D$48*(A133+B133+C133),B133*Inputs!$D$22&lt;=Inputs!$D$50*Inputs!$D$8,B133*Inputs!$D$22&gt;=Inputs!$D$49*Inputs!$D$8,A133*Inputs!$D$20&lt;=Inputs!$D$47*Inputs!$D$8,C133&gt;=1),1,0)</f>
        <v>0</v>
      </c>
      <c r="AG133" s="39">
        <f t="shared" ref="AG133:AG196" si="11">IF(AF133=1,AD133,-1)</f>
        <v>-1</v>
      </c>
    </row>
    <row r="134" spans="1:33" x14ac:dyDescent="0.25">
      <c r="A134" s="35">
        <v>30</v>
      </c>
      <c r="B134" s="35">
        <v>19</v>
      </c>
      <c r="C134" s="35">
        <f>Inputs!$D$8-A134-Inputs!$D$22*B134</f>
        <v>52</v>
      </c>
      <c r="D134" s="35">
        <f>A134*Inputs!$D$20+C134*Inputs!$D$21+B134*Inputs!$D$22</f>
        <v>120</v>
      </c>
      <c r="E134" s="36">
        <f>MIN(Inputs!$E$15,Inputs!$D$15*(C134/Inputs!$D$43)^Inputs!$D$44)</f>
        <v>0.4</v>
      </c>
      <c r="F134" s="36">
        <f>MIN(Inputs!$E$16,Inputs!$D$16*(B134/Inputs!$D$42)^Inputs!$D$44)</f>
        <v>0.39389192072703005</v>
      </c>
      <c r="G134" s="37">
        <f>Inputs!$D$26*(1+Inputs!$D$41*(B134-Inputs!$D$42))</f>
        <v>1.4849999999999999</v>
      </c>
      <c r="H134" s="35">
        <f>Inputs!$D$6*Inputs!$D$14*G134*Inputs!$D$29</f>
        <v>1865.7985499999998</v>
      </c>
      <c r="I134" s="36">
        <f>H134/(A134*Inputs!$D$32)</f>
        <v>1.1307869999999998</v>
      </c>
      <c r="J134" s="38">
        <f>IF(I134&gt;=1,999,I134/(Inputs!$D$32*(1-I134))*60)</f>
        <v>999</v>
      </c>
      <c r="K134" s="37">
        <f>MIN(1,MAX(0,(J134-Inputs!$D$36)/(Inputs!$D$37-Inputs!$D$36)))</f>
        <v>1</v>
      </c>
      <c r="L134" s="35">
        <f>Inputs!$D$6*Inputs!$D$14*G134*(1-Inputs!$D$38*K134)</f>
        <v>6841.2613499999998</v>
      </c>
      <c r="M134" s="39">
        <f>L134*Inputs!$D$11</f>
        <v>147087.11902499999</v>
      </c>
      <c r="N134" s="39">
        <f>M134*(1-Inputs!$D$17)</f>
        <v>51480.491658749997</v>
      </c>
      <c r="O134" s="35">
        <f>Inputs!$D$6*E134*Inputs!$D$27*Inputs!$D$30</f>
        <v>570.66240000000005</v>
      </c>
      <c r="P134" s="36">
        <f>O134/(C134*Inputs!$D$33)</f>
        <v>0.27435692307692311</v>
      </c>
      <c r="Q134" s="38">
        <f>IF(P134&gt;=1,999,P134/(Inputs!$D$33*(1-P134))*60)</f>
        <v>0.56713196570469071</v>
      </c>
      <c r="R134" s="37">
        <f>MIN(1,MAX(0,(Q134-Inputs!$D$36)/(Inputs!$D$37-Inputs!$D$36)))</f>
        <v>0</v>
      </c>
      <c r="S134" s="35">
        <f>Inputs!$D$6*E134*Inputs!$D$27*(1-Inputs!$D$38*R134)</f>
        <v>4755.5200000000004</v>
      </c>
      <c r="T134" s="39">
        <f>S134*Inputs!$D$12</f>
        <v>76088.320000000007</v>
      </c>
      <c r="U134" s="39">
        <f>T134*(1-Inputs!$D$18)</f>
        <v>34239.743999999999</v>
      </c>
      <c r="V134" s="35">
        <f>Inputs!$D$6*F134*Inputs!$D$28*Inputs!$D$31</f>
        <v>664.12068515796761</v>
      </c>
      <c r="W134" s="36">
        <f>V134/(B134*Inputs!$D$34)</f>
        <v>0.99867772204205651</v>
      </c>
      <c r="X134" s="38">
        <f>IF(W134&gt;=1,999,W134/(Inputs!$D$34*(1-W134))*60)</f>
        <v>1294.749671797274</v>
      </c>
      <c r="Y134" s="37">
        <f>MIN(1,MAX(0,(X134-Inputs!$D$36)/(Inputs!$D$37-Inputs!$D$36)))</f>
        <v>1</v>
      </c>
      <c r="Z134" s="35">
        <f>Inputs!$D$6*F134*Inputs!$D$28*(1-Inputs!$D$38*Y134)</f>
        <v>2809.7413602837091</v>
      </c>
      <c r="AA134" s="39">
        <f>Z134*Inputs!$D$13</f>
        <v>23882.801562411529</v>
      </c>
      <c r="AB134" s="39">
        <f>AA134*(1-Inputs!$D$19)</f>
        <v>14329.680937446918</v>
      </c>
      <c r="AC134" s="39">
        <f t="shared" si="8"/>
        <v>247058.24058741154</v>
      </c>
      <c r="AD134" s="39">
        <f t="shared" si="9"/>
        <v>100049.91659619691</v>
      </c>
      <c r="AE134" s="36">
        <f t="shared" si="10"/>
        <v>1.1307869999999998</v>
      </c>
      <c r="AF134" s="35">
        <f>IF(AND(AE134&lt;=Inputs!$D$35,C134&gt;=Inputs!$D$48*(A134+B134+C134),B134*Inputs!$D$22&lt;=Inputs!$D$50*Inputs!$D$8,B134*Inputs!$D$22&gt;=Inputs!$D$49*Inputs!$D$8,A134*Inputs!$D$20&lt;=Inputs!$D$47*Inputs!$D$8,C134&gt;=1),1,0)</f>
        <v>0</v>
      </c>
      <c r="AG134" s="39">
        <f t="shared" si="11"/>
        <v>-1</v>
      </c>
    </row>
    <row r="135" spans="1:33" x14ac:dyDescent="0.25">
      <c r="A135" s="35">
        <v>30</v>
      </c>
      <c r="B135" s="35">
        <v>20</v>
      </c>
      <c r="C135" s="35">
        <f>Inputs!$D$8-A135-Inputs!$D$22*B135</f>
        <v>50</v>
      </c>
      <c r="D135" s="35">
        <f>A135*Inputs!$D$20+C135*Inputs!$D$21+B135*Inputs!$D$22</f>
        <v>120</v>
      </c>
      <c r="E135" s="36">
        <f>MIN(Inputs!$E$15,Inputs!$D$15*(C135/Inputs!$D$43)^Inputs!$D$44)</f>
        <v>0.4</v>
      </c>
      <c r="F135" s="36">
        <f>MIN(Inputs!$E$16,Inputs!$D$16*(B135/Inputs!$D$42)^Inputs!$D$44)</f>
        <v>0.4</v>
      </c>
      <c r="G135" s="37">
        <f>Inputs!$D$26*(1+Inputs!$D$41*(B135-Inputs!$D$42))</f>
        <v>1.5</v>
      </c>
      <c r="H135" s="35">
        <f>Inputs!$D$6*Inputs!$D$14*G135*Inputs!$D$29</f>
        <v>1884.645</v>
      </c>
      <c r="I135" s="36">
        <f>H135/(A135*Inputs!$D$32)</f>
        <v>1.142209090909091</v>
      </c>
      <c r="J135" s="38">
        <f>IF(I135&gt;=1,999,I135/(Inputs!$D$32*(1-I135))*60)</f>
        <v>999</v>
      </c>
      <c r="K135" s="37">
        <f>MIN(1,MAX(0,(J135-Inputs!$D$36)/(Inputs!$D$37-Inputs!$D$36)))</f>
        <v>1</v>
      </c>
      <c r="L135" s="35">
        <f>Inputs!$D$6*Inputs!$D$14*G135*(1-Inputs!$D$38*K135)</f>
        <v>6910.3650000000016</v>
      </c>
      <c r="M135" s="39">
        <f>L135*Inputs!$D$11</f>
        <v>148572.84750000003</v>
      </c>
      <c r="N135" s="39">
        <f>M135*(1-Inputs!$D$17)</f>
        <v>52000.496625000007</v>
      </c>
      <c r="O135" s="35">
        <f>Inputs!$D$6*E135*Inputs!$D$27*Inputs!$D$30</f>
        <v>570.66240000000005</v>
      </c>
      <c r="P135" s="36">
        <f>O135/(C135*Inputs!$D$33)</f>
        <v>0.28533120000000001</v>
      </c>
      <c r="Q135" s="38">
        <f>IF(P135&gt;=1,999,P135/(Inputs!$D$33*(1-P135))*60)</f>
        <v>0.59887433171841276</v>
      </c>
      <c r="R135" s="37">
        <f>MIN(1,MAX(0,(Q135-Inputs!$D$36)/(Inputs!$D$37-Inputs!$D$36)))</f>
        <v>0</v>
      </c>
      <c r="S135" s="35">
        <f>Inputs!$D$6*E135*Inputs!$D$27*(1-Inputs!$D$38*R135)</f>
        <v>4755.5200000000004</v>
      </c>
      <c r="T135" s="39">
        <f>S135*Inputs!$D$12</f>
        <v>76088.320000000007</v>
      </c>
      <c r="U135" s="39">
        <f>T135*(1-Inputs!$D$18)</f>
        <v>34239.743999999999</v>
      </c>
      <c r="V135" s="35">
        <f>Inputs!$D$6*F135*Inputs!$D$28*Inputs!$D$31</f>
        <v>674.41919999999993</v>
      </c>
      <c r="W135" s="36">
        <f>V135/(B135*Inputs!$D$34)</f>
        <v>0.96345599999999987</v>
      </c>
      <c r="X135" s="38">
        <f>IF(W135&gt;=1,999,W135/(Inputs!$D$34*(1-W135))*60)</f>
        <v>45.195896922691851</v>
      </c>
      <c r="Y135" s="37">
        <f>MIN(1,MAX(0,(X135-Inputs!$D$36)/(Inputs!$D$37-Inputs!$D$36)))</f>
        <v>1</v>
      </c>
      <c r="Z135" s="35">
        <f>Inputs!$D$6*F135*Inputs!$D$28*(1-Inputs!$D$38*Y135)</f>
        <v>2853.3119999999999</v>
      </c>
      <c r="AA135" s="39">
        <f>Z135*Inputs!$D$13</f>
        <v>24253.151999999998</v>
      </c>
      <c r="AB135" s="39">
        <f>AA135*(1-Inputs!$D$19)</f>
        <v>14551.891199999998</v>
      </c>
      <c r="AC135" s="39">
        <f t="shared" si="8"/>
        <v>248914.31950000004</v>
      </c>
      <c r="AD135" s="39">
        <f t="shared" si="9"/>
        <v>100792.131825</v>
      </c>
      <c r="AE135" s="36">
        <f t="shared" si="10"/>
        <v>1.142209090909091</v>
      </c>
      <c r="AF135" s="35">
        <f>IF(AND(AE135&lt;=Inputs!$D$35,C135&gt;=Inputs!$D$48*(A135+B135+C135),B135*Inputs!$D$22&lt;=Inputs!$D$50*Inputs!$D$8,B135*Inputs!$D$22&gt;=Inputs!$D$49*Inputs!$D$8,A135*Inputs!$D$20&lt;=Inputs!$D$47*Inputs!$D$8,C135&gt;=1),1,0)</f>
        <v>0</v>
      </c>
      <c r="AG135" s="39">
        <f t="shared" si="11"/>
        <v>-1</v>
      </c>
    </row>
    <row r="136" spans="1:33" x14ac:dyDescent="0.25">
      <c r="A136" s="35">
        <v>30</v>
      </c>
      <c r="B136" s="35">
        <v>21</v>
      </c>
      <c r="C136" s="35">
        <f>Inputs!$D$8-A136-Inputs!$D$22*B136</f>
        <v>48</v>
      </c>
      <c r="D136" s="35">
        <f>A136*Inputs!$D$20+C136*Inputs!$D$21+B136*Inputs!$D$22</f>
        <v>120</v>
      </c>
      <c r="E136" s="36">
        <f>MIN(Inputs!$E$15,Inputs!$D$15*(C136/Inputs!$D$43)^Inputs!$D$44)</f>
        <v>0.39525168457966786</v>
      </c>
      <c r="F136" s="36">
        <f>MIN(Inputs!$E$16,Inputs!$D$16*(B136/Inputs!$D$42)^Inputs!$D$44)</f>
        <v>0.40589787816896217</v>
      </c>
      <c r="G136" s="37">
        <f>Inputs!$D$26*(1+Inputs!$D$41*(B136-Inputs!$D$42))</f>
        <v>1.5150000000000001</v>
      </c>
      <c r="H136" s="35">
        <f>Inputs!$D$6*Inputs!$D$14*G136*Inputs!$D$29</f>
        <v>1903.4914500000004</v>
      </c>
      <c r="I136" s="36">
        <f>H136/(A136*Inputs!$D$32)</f>
        <v>1.1536311818181821</v>
      </c>
      <c r="J136" s="38">
        <f>IF(I136&gt;=1,999,I136/(Inputs!$D$32*(1-I136))*60)</f>
        <v>999</v>
      </c>
      <c r="K136" s="37">
        <f>MIN(1,MAX(0,(J136-Inputs!$D$36)/(Inputs!$D$37-Inputs!$D$36)))</f>
        <v>1</v>
      </c>
      <c r="L136" s="35">
        <f>Inputs!$D$6*Inputs!$D$14*G136*(1-Inputs!$D$38*K136)</f>
        <v>6979.4686500000025</v>
      </c>
      <c r="M136" s="39">
        <f>L136*Inputs!$D$11</f>
        <v>150058.57597500004</v>
      </c>
      <c r="N136" s="39">
        <f>M136*(1-Inputs!$D$17)</f>
        <v>52520.501591250009</v>
      </c>
      <c r="O136" s="35">
        <f>Inputs!$D$6*E136*Inputs!$D$27*Inputs!$D$30</f>
        <v>563.88818731569074</v>
      </c>
      <c r="P136" s="36">
        <f>O136/(C136*Inputs!$D$33)</f>
        <v>0.29369176422692228</v>
      </c>
      <c r="Q136" s="38">
        <f>IF(P136&gt;=1,999,P136/(Inputs!$D$33*(1-P136))*60)</f>
        <v>0.62371868828373556</v>
      </c>
      <c r="R136" s="37">
        <f>MIN(1,MAX(0,(Q136-Inputs!$D$36)/(Inputs!$D$37-Inputs!$D$36)))</f>
        <v>0</v>
      </c>
      <c r="S136" s="35">
        <f>Inputs!$D$6*E136*Inputs!$D$27*(1-Inputs!$D$38*R136)</f>
        <v>4699.0682276307562</v>
      </c>
      <c r="T136" s="39">
        <f>S136*Inputs!$D$12</f>
        <v>75185.091642092098</v>
      </c>
      <c r="U136" s="39">
        <f>T136*(1-Inputs!$D$18)</f>
        <v>33833.291238941441</v>
      </c>
      <c r="V136" s="35">
        <f>Inputs!$D$6*F136*Inputs!$D$28*Inputs!$D$31</f>
        <v>684.36330569102222</v>
      </c>
      <c r="W136" s="36">
        <f>V136/(B136*Inputs!$D$34)</f>
        <v>0.93110653835513224</v>
      </c>
      <c r="X136" s="38">
        <f>IF(W136&gt;=1,999,W136/(Inputs!$D$34*(1-W136))*60)</f>
        <v>23.16885520150278</v>
      </c>
      <c r="Y136" s="37">
        <f>MIN(1,MAX(0,(X136-Inputs!$D$36)/(Inputs!$D$37-Inputs!$D$36)))</f>
        <v>1</v>
      </c>
      <c r="Z136" s="35">
        <f>Inputs!$D$6*F136*Inputs!$D$28*(1-Inputs!$D$38*Y136)</f>
        <v>2895.3832163850943</v>
      </c>
      <c r="AA136" s="39">
        <f>Z136*Inputs!$D$13</f>
        <v>24610.757339273303</v>
      </c>
      <c r="AB136" s="39">
        <f>AA136*(1-Inputs!$D$19)</f>
        <v>14766.454403563981</v>
      </c>
      <c r="AC136" s="39">
        <f t="shared" si="8"/>
        <v>249854.42495636543</v>
      </c>
      <c r="AD136" s="39">
        <f t="shared" si="9"/>
        <v>101120.24723375544</v>
      </c>
      <c r="AE136" s="36">
        <f t="shared" si="10"/>
        <v>1.1536311818181821</v>
      </c>
      <c r="AF136" s="35">
        <f>IF(AND(AE136&lt;=Inputs!$D$35,C136&gt;=Inputs!$D$48*(A136+B136+C136),B136*Inputs!$D$22&lt;=Inputs!$D$50*Inputs!$D$8,B136*Inputs!$D$22&gt;=Inputs!$D$49*Inputs!$D$8,A136*Inputs!$D$20&lt;=Inputs!$D$47*Inputs!$D$8,C136&gt;=1),1,0)</f>
        <v>0</v>
      </c>
      <c r="AG136" s="39">
        <f t="shared" si="11"/>
        <v>-1</v>
      </c>
    </row>
    <row r="137" spans="1:33" x14ac:dyDescent="0.25">
      <c r="A137" s="35">
        <v>30</v>
      </c>
      <c r="B137" s="35">
        <v>22</v>
      </c>
      <c r="C137" s="35">
        <f>Inputs!$D$8-A137-Inputs!$D$22*B137</f>
        <v>46</v>
      </c>
      <c r="D137" s="35">
        <f>A137*Inputs!$D$20+C137*Inputs!$D$21+B137*Inputs!$D$22</f>
        <v>120</v>
      </c>
      <c r="E137" s="36">
        <f>MIN(Inputs!$E$15,Inputs!$D$15*(C137/Inputs!$D$43)^Inputs!$D$44)</f>
        <v>0.39023723685630041</v>
      </c>
      <c r="F137" s="36">
        <f>MIN(Inputs!$E$16,Inputs!$D$16*(B137/Inputs!$D$42)^Inputs!$D$44)</f>
        <v>0.41160230376843804</v>
      </c>
      <c r="G137" s="37">
        <f>Inputs!$D$26*(1+Inputs!$D$41*(B137-Inputs!$D$42))</f>
        <v>1.53</v>
      </c>
      <c r="H137" s="35">
        <f>Inputs!$D$6*Inputs!$D$14*G137*Inputs!$D$29</f>
        <v>1922.3379</v>
      </c>
      <c r="I137" s="36">
        <f>H137/(A137*Inputs!$D$32)</f>
        <v>1.1650532727272727</v>
      </c>
      <c r="J137" s="38">
        <f>IF(I137&gt;=1,999,I137/(Inputs!$D$32*(1-I137))*60)</f>
        <v>999</v>
      </c>
      <c r="K137" s="37">
        <f>MIN(1,MAX(0,(J137-Inputs!$D$36)/(Inputs!$D$37-Inputs!$D$36)))</f>
        <v>1</v>
      </c>
      <c r="L137" s="35">
        <f>Inputs!$D$6*Inputs!$D$14*G137*(1-Inputs!$D$38*K137)</f>
        <v>7048.5723000000016</v>
      </c>
      <c r="M137" s="39">
        <f>L137*Inputs!$D$11</f>
        <v>151544.30445000003</v>
      </c>
      <c r="N137" s="39">
        <f>M137*(1-Inputs!$D$17)</f>
        <v>53040.506557500004</v>
      </c>
      <c r="O137" s="35">
        <f>Inputs!$D$6*E137*Inputs!$D$27*Inputs!$D$30</f>
        <v>556.73429538446214</v>
      </c>
      <c r="P137" s="36">
        <f>O137/(C137*Inputs!$D$33)</f>
        <v>0.30257298662199028</v>
      </c>
      <c r="Q137" s="38">
        <f>IF(P137&gt;=1,999,P137/(Inputs!$D$33*(1-P137))*60)</f>
        <v>0.65076269090109196</v>
      </c>
      <c r="R137" s="37">
        <f>MIN(1,MAX(0,(Q137-Inputs!$D$36)/(Inputs!$D$37-Inputs!$D$36)))</f>
        <v>0</v>
      </c>
      <c r="S137" s="35">
        <f>Inputs!$D$6*E137*Inputs!$D$27*(1-Inputs!$D$38*R137)</f>
        <v>4639.4524615371847</v>
      </c>
      <c r="T137" s="39">
        <f>S137*Inputs!$D$12</f>
        <v>74231.239384594955</v>
      </c>
      <c r="U137" s="39">
        <f>T137*(1-Inputs!$D$18)</f>
        <v>33404.05772306773</v>
      </c>
      <c r="V137" s="35">
        <f>Inputs!$D$6*F137*Inputs!$D$28*Inputs!$D$31</f>
        <v>693.98124106416742</v>
      </c>
      <c r="W137" s="36">
        <f>V137/(B137*Inputs!$D$34)</f>
        <v>0.90127433904437326</v>
      </c>
      <c r="X137" s="38">
        <f>IF(W137&gt;=1,999,W137/(Inputs!$D$34*(1-W137))*60)</f>
        <v>15.649849381818807</v>
      </c>
      <c r="Y137" s="37">
        <f>MIN(1,MAX(0,(X137-Inputs!$D$36)/(Inputs!$D$37-Inputs!$D$36)))</f>
        <v>0.70998995878792048</v>
      </c>
      <c r="Z137" s="35">
        <f>Inputs!$D$6*F137*Inputs!$D$28*(1-Inputs!$D$38*Y137)</f>
        <v>3632.749002537963</v>
      </c>
      <c r="AA137" s="39">
        <f>Z137*Inputs!$D$13</f>
        <v>30878.366521572687</v>
      </c>
      <c r="AB137" s="39">
        <f>AA137*(1-Inputs!$D$19)</f>
        <v>18527.019912943611</v>
      </c>
      <c r="AC137" s="39">
        <f t="shared" si="8"/>
        <v>256653.91035616767</v>
      </c>
      <c r="AD137" s="39">
        <f t="shared" si="9"/>
        <v>104971.58419351134</v>
      </c>
      <c r="AE137" s="36">
        <f t="shared" si="10"/>
        <v>1.1650532727272727</v>
      </c>
      <c r="AF137" s="35">
        <f>IF(AND(AE137&lt;=Inputs!$D$35,C137&gt;=Inputs!$D$48*(A137+B137+C137),B137*Inputs!$D$22&lt;=Inputs!$D$50*Inputs!$D$8,B137*Inputs!$D$22&gt;=Inputs!$D$49*Inputs!$D$8,A137*Inputs!$D$20&lt;=Inputs!$D$47*Inputs!$D$8,C137&gt;=1),1,0)</f>
        <v>0</v>
      </c>
      <c r="AG137" s="39">
        <f t="shared" si="11"/>
        <v>-1</v>
      </c>
    </row>
    <row r="138" spans="1:33" x14ac:dyDescent="0.25">
      <c r="A138" s="35">
        <v>30</v>
      </c>
      <c r="B138" s="35">
        <v>23</v>
      </c>
      <c r="C138" s="35">
        <f>Inputs!$D$8-A138-Inputs!$D$22*B138</f>
        <v>44</v>
      </c>
      <c r="D138" s="35">
        <f>A138*Inputs!$D$20+C138*Inputs!$D$21+B138*Inputs!$D$22</f>
        <v>120</v>
      </c>
      <c r="E138" s="36">
        <f>MIN(Inputs!$E$15,Inputs!$D$15*(C138/Inputs!$D$43)^Inputs!$D$44)</f>
        <v>0.38506776240403751</v>
      </c>
      <c r="F138" s="36">
        <f>MIN(Inputs!$E$16,Inputs!$D$16*(B138/Inputs!$D$42)^Inputs!$D$44)</f>
        <v>0.41712800028621322</v>
      </c>
      <c r="G138" s="37">
        <f>Inputs!$D$26*(1+Inputs!$D$41*(B138-Inputs!$D$42))</f>
        <v>1.5449999999999999</v>
      </c>
      <c r="H138" s="35">
        <f>Inputs!$D$6*Inputs!$D$14*G138*Inputs!$D$29</f>
        <v>1941.18435</v>
      </c>
      <c r="I138" s="36">
        <f>H138/(A138*Inputs!$D$32)</f>
        <v>1.1764753636363636</v>
      </c>
      <c r="J138" s="38">
        <f>IF(I138&gt;=1,999,I138/(Inputs!$D$32*(1-I138))*60)</f>
        <v>999</v>
      </c>
      <c r="K138" s="37">
        <f>MIN(1,MAX(0,(J138-Inputs!$D$36)/(Inputs!$D$37-Inputs!$D$36)))</f>
        <v>1</v>
      </c>
      <c r="L138" s="35">
        <f>Inputs!$D$6*Inputs!$D$14*G138*(1-Inputs!$D$38*K138)</f>
        <v>7117.6759500000016</v>
      </c>
      <c r="M138" s="39">
        <f>L138*Inputs!$D$11</f>
        <v>153030.03292500004</v>
      </c>
      <c r="N138" s="39">
        <f>M138*(1-Inputs!$D$17)</f>
        <v>53560.511523750007</v>
      </c>
      <c r="O138" s="35">
        <f>Inputs!$D$6*E138*Inputs!$D$27*Inputs!$D$30</f>
        <v>549.35923364029463</v>
      </c>
      <c r="P138" s="36">
        <f>O138/(C138*Inputs!$D$33)</f>
        <v>0.31213592820471286</v>
      </c>
      <c r="Q138" s="38">
        <f>IF(P138&gt;=1,999,P138/(Inputs!$D$33*(1-P138))*60)</f>
        <v>0.6806633919476025</v>
      </c>
      <c r="R138" s="37">
        <f>MIN(1,MAX(0,(Q138-Inputs!$D$36)/(Inputs!$D$37-Inputs!$D$36)))</f>
        <v>0</v>
      </c>
      <c r="S138" s="35">
        <f>Inputs!$D$6*E138*Inputs!$D$27*(1-Inputs!$D$38*R138)</f>
        <v>4577.9936136691222</v>
      </c>
      <c r="T138" s="39">
        <f>S138*Inputs!$D$12</f>
        <v>73247.897818705955</v>
      </c>
      <c r="U138" s="39">
        <f>T138*(1-Inputs!$D$18)</f>
        <v>32961.554018417679</v>
      </c>
      <c r="V138" s="35">
        <f>Inputs!$D$6*F138*Inputs!$D$28*Inputs!$D$31</f>
        <v>703.29783062656929</v>
      </c>
      <c r="W138" s="36">
        <f>V138/(B138*Inputs!$D$34)</f>
        <v>0.87366190139946498</v>
      </c>
      <c r="X138" s="38">
        <f>IF(W138&gt;=1,999,W138/(Inputs!$D$34*(1-W138))*60)</f>
        <v>11.854746377182334</v>
      </c>
      <c r="Y138" s="37">
        <f>MIN(1,MAX(0,(X138-Inputs!$D$36)/(Inputs!$D$37-Inputs!$D$36)))</f>
        <v>0.45698309181215557</v>
      </c>
      <c r="Z138" s="35">
        <f>Inputs!$D$6*F138*Inputs!$D$28*(1-Inputs!$D$38*Y138)</f>
        <v>4297.4614071503011</v>
      </c>
      <c r="AA138" s="39">
        <f>Z138*Inputs!$D$13</f>
        <v>36528.421960777559</v>
      </c>
      <c r="AB138" s="39">
        <f>AA138*(1-Inputs!$D$19)</f>
        <v>21917.053176466536</v>
      </c>
      <c r="AC138" s="39">
        <f t="shared" si="8"/>
        <v>262806.35270448355</v>
      </c>
      <c r="AD138" s="39">
        <f t="shared" si="9"/>
        <v>108439.11871863423</v>
      </c>
      <c r="AE138" s="36">
        <f t="shared" si="10"/>
        <v>1.1764753636363636</v>
      </c>
      <c r="AF138" s="35">
        <f>IF(AND(AE138&lt;=Inputs!$D$35,C138&gt;=Inputs!$D$48*(A138+B138+C138),B138*Inputs!$D$22&lt;=Inputs!$D$50*Inputs!$D$8,B138*Inputs!$D$22&gt;=Inputs!$D$49*Inputs!$D$8,A138*Inputs!$D$20&lt;=Inputs!$D$47*Inputs!$D$8,C138&gt;=1),1,0)</f>
        <v>0</v>
      </c>
      <c r="AG138" s="39">
        <f t="shared" si="11"/>
        <v>-1</v>
      </c>
    </row>
    <row r="139" spans="1:33" x14ac:dyDescent="0.25">
      <c r="A139" s="35">
        <v>30</v>
      </c>
      <c r="B139" s="35">
        <v>24</v>
      </c>
      <c r="C139" s="35">
        <f>Inputs!$D$8-A139-Inputs!$D$22*B139</f>
        <v>42</v>
      </c>
      <c r="D139" s="35">
        <f>A139*Inputs!$D$20+C139*Inputs!$D$21+B139*Inputs!$D$22</f>
        <v>120</v>
      </c>
      <c r="E139" s="36">
        <f>MIN(Inputs!$E$15,Inputs!$D$15*(C139/Inputs!$D$43)^Inputs!$D$44)</f>
        <v>0.37973108090036384</v>
      </c>
      <c r="F139" s="36">
        <f>MIN(Inputs!$E$16,Inputs!$D$16*(B139/Inputs!$D$42)^Inputs!$D$44)</f>
        <v>0.42248798737570326</v>
      </c>
      <c r="G139" s="37">
        <f>Inputs!$D$26*(1+Inputs!$D$41*(B139-Inputs!$D$42))</f>
        <v>1.56</v>
      </c>
      <c r="H139" s="35">
        <f>Inputs!$D$6*Inputs!$D$14*G139*Inputs!$D$29</f>
        <v>1960.0308</v>
      </c>
      <c r="I139" s="36">
        <f>H139/(A139*Inputs!$D$32)</f>
        <v>1.1878974545454546</v>
      </c>
      <c r="J139" s="38">
        <f>IF(I139&gt;=1,999,I139/(Inputs!$D$32*(1-I139))*60)</f>
        <v>999</v>
      </c>
      <c r="K139" s="37">
        <f>MIN(1,MAX(0,(J139-Inputs!$D$36)/(Inputs!$D$37-Inputs!$D$36)))</f>
        <v>1</v>
      </c>
      <c r="L139" s="35">
        <f>Inputs!$D$6*Inputs!$D$14*G139*(1-Inputs!$D$38*K139)</f>
        <v>7186.7796000000017</v>
      </c>
      <c r="M139" s="39">
        <f>L139*Inputs!$D$11</f>
        <v>154515.76140000005</v>
      </c>
      <c r="N139" s="39">
        <f>M139*(1-Inputs!$D$17)</f>
        <v>54080.516490000016</v>
      </c>
      <c r="O139" s="35">
        <f>Inputs!$D$6*E139*Inputs!$D$27*Inputs!$D$30</f>
        <v>541.74562495298949</v>
      </c>
      <c r="P139" s="36">
        <f>O139/(C139*Inputs!$D$33)</f>
        <v>0.32246763390058897</v>
      </c>
      <c r="Q139" s="38">
        <f>IF(P139&gt;=1,999,P139/(Inputs!$D$33*(1-P139))*60)</f>
        <v>0.71391637514762252</v>
      </c>
      <c r="R139" s="37">
        <f>MIN(1,MAX(0,(Q139-Inputs!$D$36)/(Inputs!$D$37-Inputs!$D$36)))</f>
        <v>0</v>
      </c>
      <c r="S139" s="35">
        <f>Inputs!$D$6*E139*Inputs!$D$27*(1-Inputs!$D$38*R139)</f>
        <v>4514.5468746082461</v>
      </c>
      <c r="T139" s="39">
        <f>S139*Inputs!$D$12</f>
        <v>72232.749993731937</v>
      </c>
      <c r="U139" s="39">
        <f>T139*(1-Inputs!$D$18)</f>
        <v>32504.737497179369</v>
      </c>
      <c r="V139" s="35">
        <f>Inputs!$D$6*F139*Inputs!$D$28*Inputs!$D$31</f>
        <v>712.33502613882979</v>
      </c>
      <c r="W139" s="36">
        <f>V139/(B139*Inputs!$D$34)</f>
        <v>0.84801788826051161</v>
      </c>
      <c r="X139" s="38">
        <f>IF(W139&gt;=1,999,W139/(Inputs!$D$34*(1-W139))*60)</f>
        <v>9.5652372155190832</v>
      </c>
      <c r="Y139" s="37">
        <f>MIN(1,MAX(0,(X139-Inputs!$D$36)/(Inputs!$D$37-Inputs!$D$36)))</f>
        <v>0.30434914770127219</v>
      </c>
      <c r="Z139" s="35">
        <f>Inputs!$D$6*F139*Inputs!$D$28*(1-Inputs!$D$38*Y139)</f>
        <v>4729.0436538571339</v>
      </c>
      <c r="AA139" s="39">
        <f>Z139*Inputs!$D$13</f>
        <v>40196.87105778564</v>
      </c>
      <c r="AB139" s="39">
        <f>AA139*(1-Inputs!$D$19)</f>
        <v>24118.122634671385</v>
      </c>
      <c r="AC139" s="39">
        <f t="shared" si="8"/>
        <v>266945.38245151762</v>
      </c>
      <c r="AD139" s="39">
        <f t="shared" si="9"/>
        <v>110703.37662185077</v>
      </c>
      <c r="AE139" s="36">
        <f t="shared" si="10"/>
        <v>1.1878974545454546</v>
      </c>
      <c r="AF139" s="35">
        <f>IF(AND(AE139&lt;=Inputs!$D$35,C139&gt;=Inputs!$D$48*(A139+B139+C139),B139*Inputs!$D$22&lt;=Inputs!$D$50*Inputs!$D$8,B139*Inputs!$D$22&gt;=Inputs!$D$49*Inputs!$D$8,A139*Inputs!$D$20&lt;=Inputs!$D$47*Inputs!$D$8,C139&gt;=1),1,0)</f>
        <v>0</v>
      </c>
      <c r="AG139" s="39">
        <f t="shared" si="11"/>
        <v>-1</v>
      </c>
    </row>
    <row r="140" spans="1:33" x14ac:dyDescent="0.25">
      <c r="A140" s="35">
        <v>30</v>
      </c>
      <c r="B140" s="35">
        <v>25</v>
      </c>
      <c r="C140" s="35">
        <f>Inputs!$D$8-A140-Inputs!$D$22*B140</f>
        <v>40</v>
      </c>
      <c r="D140" s="35">
        <f>A140*Inputs!$D$20+C140*Inputs!$D$21+B140*Inputs!$D$22</f>
        <v>120</v>
      </c>
      <c r="E140" s="36">
        <f>MIN(Inputs!$E$15,Inputs!$D$15*(C140/Inputs!$D$43)^Inputs!$D$44)</f>
        <v>0.37421341802855551</v>
      </c>
      <c r="F140" s="36">
        <f>MIN(Inputs!$E$16,Inputs!$D$16*(B140/Inputs!$D$42)^Inputs!$D$44)</f>
        <v>0.42769383999647526</v>
      </c>
      <c r="G140" s="37">
        <f>Inputs!$D$26*(1+Inputs!$D$41*(B140-Inputs!$D$42))</f>
        <v>1.5750000000000002</v>
      </c>
      <c r="H140" s="35">
        <f>Inputs!$D$6*Inputs!$D$14*G140*Inputs!$D$29</f>
        <v>1978.8772500000005</v>
      </c>
      <c r="I140" s="36">
        <f>H140/(A140*Inputs!$D$32)</f>
        <v>1.1993195454545458</v>
      </c>
      <c r="J140" s="38">
        <f>IF(I140&gt;=1,999,I140/(Inputs!$D$32*(1-I140))*60)</f>
        <v>999</v>
      </c>
      <c r="K140" s="37">
        <f>MIN(1,MAX(0,(J140-Inputs!$D$36)/(Inputs!$D$37-Inputs!$D$36)))</f>
        <v>1</v>
      </c>
      <c r="L140" s="35">
        <f>Inputs!$D$6*Inputs!$D$14*G140*(1-Inputs!$D$38*K140)</f>
        <v>7255.8832500000026</v>
      </c>
      <c r="M140" s="39">
        <f>L140*Inputs!$D$11</f>
        <v>156001.48987500006</v>
      </c>
      <c r="N140" s="39">
        <f>M140*(1-Inputs!$D$17)</f>
        <v>54600.521456250019</v>
      </c>
      <c r="O140" s="35">
        <f>Inputs!$D$6*E140*Inputs!$D$27*Inputs!$D$30</f>
        <v>533.8738181109469</v>
      </c>
      <c r="P140" s="36">
        <f>O140/(C140*Inputs!$D$33)</f>
        <v>0.33367113631934181</v>
      </c>
      <c r="Q140" s="38">
        <f>IF(P140&gt;=1,999,P140/(Inputs!$D$33*(1-P140))*60)</f>
        <v>0.75114066305685867</v>
      </c>
      <c r="R140" s="37">
        <f>MIN(1,MAX(0,(Q140-Inputs!$D$36)/(Inputs!$D$37-Inputs!$D$36)))</f>
        <v>0</v>
      </c>
      <c r="S140" s="35">
        <f>Inputs!$D$6*E140*Inputs!$D$27*(1-Inputs!$D$38*R140)</f>
        <v>4448.9484842578913</v>
      </c>
      <c r="T140" s="39">
        <f>S140*Inputs!$D$12</f>
        <v>71183.175748126261</v>
      </c>
      <c r="U140" s="39">
        <f>T140*(1-Inputs!$D$18)</f>
        <v>32032.429086656815</v>
      </c>
      <c r="V140" s="35">
        <f>Inputs!$D$6*F140*Inputs!$D$28*Inputs!$D$31</f>
        <v>721.1123435383771</v>
      </c>
      <c r="W140" s="36">
        <f>V140/(B140*Inputs!$D$34)</f>
        <v>0.82412839261528814</v>
      </c>
      <c r="X140" s="38">
        <f>IF(W140&gt;=1,999,W140/(Inputs!$D$34*(1-W140))*60)</f>
        <v>8.0330847668163621</v>
      </c>
      <c r="Y140" s="37">
        <f>MIN(1,MAX(0,(X140-Inputs!$D$36)/(Inputs!$D$37-Inputs!$D$36)))</f>
        <v>0.20220565112109082</v>
      </c>
      <c r="Z140" s="35">
        <f>Inputs!$D$6*F140*Inputs!$D$28*(1-Inputs!$D$38*Y140)</f>
        <v>5042.2807508299393</v>
      </c>
      <c r="AA140" s="39">
        <f>Z140*Inputs!$D$13</f>
        <v>42859.386382054487</v>
      </c>
      <c r="AB140" s="39">
        <f>AA140*(1-Inputs!$D$19)</f>
        <v>25715.631829232691</v>
      </c>
      <c r="AC140" s="39">
        <f t="shared" si="8"/>
        <v>270044.0520051808</v>
      </c>
      <c r="AD140" s="39">
        <f t="shared" si="9"/>
        <v>112348.58237213953</v>
      </c>
      <c r="AE140" s="36">
        <f t="shared" si="10"/>
        <v>1.1993195454545458</v>
      </c>
      <c r="AF140" s="35">
        <f>IF(AND(AE140&lt;=Inputs!$D$35,C140&gt;=Inputs!$D$48*(A140+B140+C140),B140*Inputs!$D$22&lt;=Inputs!$D$50*Inputs!$D$8,B140*Inputs!$D$22&gt;=Inputs!$D$49*Inputs!$D$8,A140*Inputs!$D$20&lt;=Inputs!$D$47*Inputs!$D$8,C140&gt;=1),1,0)</f>
        <v>0</v>
      </c>
      <c r="AG140" s="39">
        <f t="shared" si="11"/>
        <v>-1</v>
      </c>
    </row>
    <row r="141" spans="1:33" x14ac:dyDescent="0.25">
      <c r="A141" s="35">
        <v>30</v>
      </c>
      <c r="B141" s="35">
        <v>26</v>
      </c>
      <c r="C141" s="35">
        <f>Inputs!$D$8-A141-Inputs!$D$22*B141</f>
        <v>38</v>
      </c>
      <c r="D141" s="35">
        <f>A141*Inputs!$D$20+C141*Inputs!$D$21+B141*Inputs!$D$22</f>
        <v>120</v>
      </c>
      <c r="E141" s="36">
        <f>MIN(Inputs!$E$15,Inputs!$D$15*(C141/Inputs!$D$43)^Inputs!$D$44)</f>
        <v>0.36849910497273691</v>
      </c>
      <c r="F141" s="36">
        <f>MIN(Inputs!$E$16,Inputs!$D$16*(B141/Inputs!$D$42)^Inputs!$D$44)</f>
        <v>0.43275589945781112</v>
      </c>
      <c r="G141" s="37">
        <f>Inputs!$D$26*(1+Inputs!$D$41*(B141-Inputs!$D$42))</f>
        <v>1.59</v>
      </c>
      <c r="H141" s="35">
        <f>Inputs!$D$6*Inputs!$D$14*G141*Inputs!$D$29</f>
        <v>1997.7237</v>
      </c>
      <c r="I141" s="36">
        <f>H141/(A141*Inputs!$D$32)</f>
        <v>1.2107416363636363</v>
      </c>
      <c r="J141" s="38">
        <f>IF(I141&gt;=1,999,I141/(Inputs!$D$32*(1-I141))*60)</f>
        <v>999</v>
      </c>
      <c r="K141" s="37">
        <f>MIN(1,MAX(0,(J141-Inputs!$D$36)/(Inputs!$D$37-Inputs!$D$36)))</f>
        <v>1</v>
      </c>
      <c r="L141" s="35">
        <f>Inputs!$D$6*Inputs!$D$14*G141*(1-Inputs!$D$38*K141)</f>
        <v>7324.9869000000017</v>
      </c>
      <c r="M141" s="39">
        <f>L141*Inputs!$D$11</f>
        <v>157487.21835000004</v>
      </c>
      <c r="N141" s="39">
        <f>M141*(1-Inputs!$D$17)</f>
        <v>55120.526422500014</v>
      </c>
      <c r="O141" s="35">
        <f>Inputs!$D$6*E141*Inputs!$D$27*Inputs!$D$30</f>
        <v>525.72145910398501</v>
      </c>
      <c r="P141" s="36">
        <f>O141/(C141*Inputs!$D$33)</f>
        <v>0.34586938098946385</v>
      </c>
      <c r="Q141" s="38">
        <f>IF(P141&gt;=1,999,P141/(Inputs!$D$33*(1-P141))*60)</f>
        <v>0.79311999225622454</v>
      </c>
      <c r="R141" s="37">
        <f>MIN(1,MAX(0,(Q141-Inputs!$D$36)/(Inputs!$D$37-Inputs!$D$36)))</f>
        <v>0</v>
      </c>
      <c r="S141" s="35">
        <f>Inputs!$D$6*E141*Inputs!$D$27*(1-Inputs!$D$38*R141)</f>
        <v>4381.012159199875</v>
      </c>
      <c r="T141" s="39">
        <f>S141*Inputs!$D$12</f>
        <v>70096.194547198</v>
      </c>
      <c r="U141" s="39">
        <f>T141*(1-Inputs!$D$18)</f>
        <v>31543.287546239098</v>
      </c>
      <c r="V141" s="35">
        <f>Inputs!$D$6*F141*Inputs!$D$28*Inputs!$D$31</f>
        <v>729.64721876904355</v>
      </c>
      <c r="W141" s="36">
        <f>V141/(B141*Inputs!$D$34)</f>
        <v>0.80181013051543248</v>
      </c>
      <c r="X141" s="38">
        <f>IF(W141&gt;=1,999,W141/(Inputs!$D$34*(1-W141))*60)</f>
        <v>6.9354284146153136</v>
      </c>
      <c r="Y141" s="37">
        <f>MIN(1,MAX(0,(X141-Inputs!$D$36)/(Inputs!$D$37-Inputs!$D$36)))</f>
        <v>0.12902856097435425</v>
      </c>
      <c r="Z141" s="35">
        <f>Inputs!$D$6*F141*Inputs!$D$28*(1-Inputs!$D$38*Y141)</f>
        <v>5286.7832305655711</v>
      </c>
      <c r="AA141" s="39">
        <f>Z141*Inputs!$D$13</f>
        <v>44937.657459807357</v>
      </c>
      <c r="AB141" s="39">
        <f>AA141*(1-Inputs!$D$19)</f>
        <v>26962.594475884413</v>
      </c>
      <c r="AC141" s="39">
        <f t="shared" si="8"/>
        <v>272521.0703570054</v>
      </c>
      <c r="AD141" s="39">
        <f t="shared" si="9"/>
        <v>113626.40844462352</v>
      </c>
      <c r="AE141" s="36">
        <f t="shared" si="10"/>
        <v>1.2107416363636363</v>
      </c>
      <c r="AF141" s="35">
        <f>IF(AND(AE141&lt;=Inputs!$D$35,C141&gt;=Inputs!$D$48*(A141+B141+C141),B141*Inputs!$D$22&lt;=Inputs!$D$50*Inputs!$D$8,B141*Inputs!$D$22&gt;=Inputs!$D$49*Inputs!$D$8,A141*Inputs!$D$20&lt;=Inputs!$D$47*Inputs!$D$8,C141&gt;=1),1,0)</f>
        <v>0</v>
      </c>
      <c r="AG141" s="39">
        <f t="shared" si="11"/>
        <v>-1</v>
      </c>
    </row>
    <row r="142" spans="1:33" x14ac:dyDescent="0.25">
      <c r="A142" s="35">
        <v>30</v>
      </c>
      <c r="B142" s="35">
        <v>27</v>
      </c>
      <c r="C142" s="35">
        <f>Inputs!$D$8-A142-Inputs!$D$22*B142</f>
        <v>36</v>
      </c>
      <c r="D142" s="35">
        <f>A142*Inputs!$D$20+C142*Inputs!$D$21+B142*Inputs!$D$22</f>
        <v>120</v>
      </c>
      <c r="E142" s="36">
        <f>MIN(Inputs!$E$15,Inputs!$D$15*(C142/Inputs!$D$43)^Inputs!$D$44)</f>
        <v>0.36257020206219398</v>
      </c>
      <c r="F142" s="36">
        <f>MIN(Inputs!$E$16,Inputs!$D$16*(B142/Inputs!$D$42)^Inputs!$D$44)</f>
        <v>0.43768344678187454</v>
      </c>
      <c r="G142" s="37">
        <f>Inputs!$D$26*(1+Inputs!$D$41*(B142-Inputs!$D$42))</f>
        <v>1.605</v>
      </c>
      <c r="H142" s="35">
        <f>Inputs!$D$6*Inputs!$D$14*G142*Inputs!$D$29</f>
        <v>2016.57015</v>
      </c>
      <c r="I142" s="36">
        <f>H142/(A142*Inputs!$D$32)</f>
        <v>1.2221637272727273</v>
      </c>
      <c r="J142" s="38">
        <f>IF(I142&gt;=1,999,I142/(Inputs!$D$32*(1-I142))*60)</f>
        <v>999</v>
      </c>
      <c r="K142" s="37">
        <f>MIN(1,MAX(0,(J142-Inputs!$D$36)/(Inputs!$D$37-Inputs!$D$36)))</f>
        <v>1</v>
      </c>
      <c r="L142" s="35">
        <f>Inputs!$D$6*Inputs!$D$14*G142*(1-Inputs!$D$38*K142)</f>
        <v>7394.0905500000017</v>
      </c>
      <c r="M142" s="39">
        <f>L142*Inputs!$D$11</f>
        <v>158972.94682500005</v>
      </c>
      <c r="N142" s="39">
        <f>M142*(1-Inputs!$D$17)</f>
        <v>55640.531388750016</v>
      </c>
      <c r="O142" s="35">
        <f>Inputs!$D$6*E142*Inputs!$D$27*Inputs!$D$30</f>
        <v>517.26295419324151</v>
      </c>
      <c r="P142" s="36">
        <f>O142/(C142*Inputs!$D$33)</f>
        <v>0.35921038485641771</v>
      </c>
      <c r="Q142" s="38">
        <f>IF(P142&gt;=1,999,P142/(Inputs!$D$33*(1-P142))*60)</f>
        <v>0.84086190623406665</v>
      </c>
      <c r="R142" s="37">
        <f>MIN(1,MAX(0,(Q142-Inputs!$D$36)/(Inputs!$D$37-Inputs!$D$36)))</f>
        <v>0</v>
      </c>
      <c r="S142" s="35">
        <f>Inputs!$D$6*E142*Inputs!$D$27*(1-Inputs!$D$38*R142)</f>
        <v>4310.5246182770125</v>
      </c>
      <c r="T142" s="39">
        <f>S142*Inputs!$D$12</f>
        <v>68968.393892432199</v>
      </c>
      <c r="U142" s="39">
        <f>T142*(1-Inputs!$D$18)</f>
        <v>31035.777251594485</v>
      </c>
      <c r="V142" s="35">
        <f>Inputs!$D$6*F142*Inputs!$D$28*Inputs!$D$31</f>
        <v>737.95530007968603</v>
      </c>
      <c r="W142" s="36">
        <f>V142/(B142*Inputs!$D$34)</f>
        <v>0.78090507944940324</v>
      </c>
      <c r="X142" s="38">
        <f>IF(W142&gt;=1,999,W142/(Inputs!$D$34*(1-W142))*60)</f>
        <v>6.1101116290101798</v>
      </c>
      <c r="Y142" s="37">
        <f>MIN(1,MAX(0,(X142-Inputs!$D$36)/(Inputs!$D$37-Inputs!$D$36)))</f>
        <v>7.4007441934011986E-2</v>
      </c>
      <c r="Z142" s="35">
        <f>Inputs!$D$6*F142*Inputs!$D$28*(1-Inputs!$D$38*Y142)</f>
        <v>5487.5301328495489</v>
      </c>
      <c r="AA142" s="39">
        <f>Z142*Inputs!$D$13</f>
        <v>46644.006129221169</v>
      </c>
      <c r="AB142" s="39">
        <f>AA142*(1-Inputs!$D$19)</f>
        <v>27986.4036775327</v>
      </c>
      <c r="AC142" s="39">
        <f t="shared" si="8"/>
        <v>274585.34684665344</v>
      </c>
      <c r="AD142" s="39">
        <f t="shared" si="9"/>
        <v>114662.7123178772</v>
      </c>
      <c r="AE142" s="36">
        <f t="shared" si="10"/>
        <v>1.2221637272727273</v>
      </c>
      <c r="AF142" s="35">
        <f>IF(AND(AE142&lt;=Inputs!$D$35,C142&gt;=Inputs!$D$48*(A142+B142+C142),B142*Inputs!$D$22&lt;=Inputs!$D$50*Inputs!$D$8,B142*Inputs!$D$22&gt;=Inputs!$D$49*Inputs!$D$8,A142*Inputs!$D$20&lt;=Inputs!$D$47*Inputs!$D$8,C142&gt;=1),1,0)</f>
        <v>0</v>
      </c>
      <c r="AG142" s="39">
        <f t="shared" si="11"/>
        <v>-1</v>
      </c>
    </row>
    <row r="143" spans="1:33" x14ac:dyDescent="0.25">
      <c r="A143" s="35">
        <v>30</v>
      </c>
      <c r="B143" s="35">
        <v>28</v>
      </c>
      <c r="C143" s="35">
        <f>Inputs!$D$8-A143-Inputs!$D$22*B143</f>
        <v>34</v>
      </c>
      <c r="D143" s="35">
        <f>A143*Inputs!$D$20+C143*Inputs!$D$21+B143*Inputs!$D$22</f>
        <v>120</v>
      </c>
      <c r="E143" s="36">
        <f>MIN(Inputs!$E$15,Inputs!$D$15*(C143/Inputs!$D$43)^Inputs!$D$44)</f>
        <v>0.35640602201959876</v>
      </c>
      <c r="F143" s="36">
        <f>MIN(Inputs!$E$16,Inputs!$D$16*(B143/Inputs!$D$42)^Inputs!$D$44)</f>
        <v>0.44248484624799689</v>
      </c>
      <c r="G143" s="37">
        <f>Inputs!$D$26*(1+Inputs!$D$41*(B143-Inputs!$D$42))</f>
        <v>1.62</v>
      </c>
      <c r="H143" s="35">
        <f>Inputs!$D$6*Inputs!$D$14*G143*Inputs!$D$29</f>
        <v>2035.4166</v>
      </c>
      <c r="I143" s="36">
        <f>H143/(A143*Inputs!$D$32)</f>
        <v>1.2335858181818182</v>
      </c>
      <c r="J143" s="38">
        <f>IF(I143&gt;=1,999,I143/(Inputs!$D$32*(1-I143))*60)</f>
        <v>999</v>
      </c>
      <c r="K143" s="37">
        <f>MIN(1,MAX(0,(J143-Inputs!$D$36)/(Inputs!$D$37-Inputs!$D$36)))</f>
        <v>1</v>
      </c>
      <c r="L143" s="35">
        <f>Inputs!$D$6*Inputs!$D$14*G143*(1-Inputs!$D$38*K143)</f>
        <v>7463.1942000000017</v>
      </c>
      <c r="M143" s="39">
        <f>L143*Inputs!$D$11</f>
        <v>160458.67530000003</v>
      </c>
      <c r="N143" s="39">
        <f>M143*(1-Inputs!$D$17)</f>
        <v>56160.536355000011</v>
      </c>
      <c r="O143" s="35">
        <f>Inputs!$D$6*E143*Inputs!$D$27*Inputs!$D$30</f>
        <v>508.46878975039266</v>
      </c>
      <c r="P143" s="36">
        <f>O143/(C143*Inputs!$D$33)</f>
        <v>0.37387411011058286</v>
      </c>
      <c r="Q143" s="38">
        <f>IF(P143&gt;=1,999,P143/(Inputs!$D$33*(1-P143))*60)</f>
        <v>0.89568435712652228</v>
      </c>
      <c r="R143" s="37">
        <f>MIN(1,MAX(0,(Q143-Inputs!$D$36)/(Inputs!$D$37-Inputs!$D$36)))</f>
        <v>0</v>
      </c>
      <c r="S143" s="35">
        <f>Inputs!$D$6*E143*Inputs!$D$27*(1-Inputs!$D$38*R143)</f>
        <v>4237.2399145866057</v>
      </c>
      <c r="T143" s="39">
        <f>S143*Inputs!$D$12</f>
        <v>67795.838633385691</v>
      </c>
      <c r="U143" s="39">
        <f>T143*(1-Inputs!$D$18)</f>
        <v>30508.127385023559</v>
      </c>
      <c r="V143" s="35">
        <f>Inputs!$D$6*F143*Inputs!$D$28*Inputs!$D$31</f>
        <v>746.05069004674272</v>
      </c>
      <c r="W143" s="36">
        <f>V143/(B143*Inputs!$D$34)</f>
        <v>0.76127621433341097</v>
      </c>
      <c r="X143" s="38">
        <f>IF(W143&gt;=1,999,W143/(Inputs!$D$34*(1-W143))*60)</f>
        <v>5.4667570523531852</v>
      </c>
      <c r="Y143" s="37">
        <f>MIN(1,MAX(0,(X143-Inputs!$D$36)/(Inputs!$D$37-Inputs!$D$36)))</f>
        <v>3.111713682354568E-2</v>
      </c>
      <c r="Z143" s="35">
        <f>Inputs!$D$6*F143*Inputs!$D$28*(1-Inputs!$D$38*Y143)</f>
        <v>5658.4919801305723</v>
      </c>
      <c r="AA143" s="39">
        <f>Z143*Inputs!$D$13</f>
        <v>48097.181831109861</v>
      </c>
      <c r="AB143" s="39">
        <f>AA143*(1-Inputs!$D$19)</f>
        <v>28858.309098665915</v>
      </c>
      <c r="AC143" s="39">
        <f t="shared" si="8"/>
        <v>276351.69576449558</v>
      </c>
      <c r="AD143" s="39">
        <f t="shared" si="9"/>
        <v>115526.97283868949</v>
      </c>
      <c r="AE143" s="36">
        <f t="shared" si="10"/>
        <v>1.2335858181818182</v>
      </c>
      <c r="AF143" s="35">
        <f>IF(AND(AE143&lt;=Inputs!$D$35,C143&gt;=Inputs!$D$48*(A143+B143+C143),B143*Inputs!$D$22&lt;=Inputs!$D$50*Inputs!$D$8,B143*Inputs!$D$22&gt;=Inputs!$D$49*Inputs!$D$8,A143*Inputs!$D$20&lt;=Inputs!$D$47*Inputs!$D$8,C143&gt;=1),1,0)</f>
        <v>0</v>
      </c>
      <c r="AG143" s="39">
        <f t="shared" si="11"/>
        <v>-1</v>
      </c>
    </row>
    <row r="144" spans="1:33" x14ac:dyDescent="0.25">
      <c r="A144" s="35">
        <v>30</v>
      </c>
      <c r="B144" s="35">
        <v>29</v>
      </c>
      <c r="C144" s="35">
        <f>Inputs!$D$8-A144-Inputs!$D$22*B144</f>
        <v>32</v>
      </c>
      <c r="D144" s="35">
        <f>A144*Inputs!$D$20+C144*Inputs!$D$21+B144*Inputs!$D$22</f>
        <v>120</v>
      </c>
      <c r="E144" s="36">
        <f>MIN(Inputs!$E$15,Inputs!$D$15*(C144/Inputs!$D$43)^Inputs!$D$44)</f>
        <v>0.34998251836560429</v>
      </c>
      <c r="F144" s="36">
        <f>MIN(Inputs!$E$16,Inputs!$D$16*(B144/Inputs!$D$42)^Inputs!$D$44)</f>
        <v>0.44716766511947192</v>
      </c>
      <c r="G144" s="37">
        <f>Inputs!$D$26*(1+Inputs!$D$41*(B144-Inputs!$D$42))</f>
        <v>1.6350000000000002</v>
      </c>
      <c r="H144" s="35">
        <f>Inputs!$D$6*Inputs!$D$14*G144*Inputs!$D$29</f>
        <v>2054.2630500000005</v>
      </c>
      <c r="I144" s="36">
        <f>H144/(A144*Inputs!$D$32)</f>
        <v>1.2450079090909094</v>
      </c>
      <c r="J144" s="38">
        <f>IF(I144&gt;=1,999,I144/(Inputs!$D$32*(1-I144))*60)</f>
        <v>999</v>
      </c>
      <c r="K144" s="37">
        <f>MIN(1,MAX(0,(J144-Inputs!$D$36)/(Inputs!$D$37-Inputs!$D$36)))</f>
        <v>1</v>
      </c>
      <c r="L144" s="35">
        <f>Inputs!$D$6*Inputs!$D$14*G144*(1-Inputs!$D$38*K144)</f>
        <v>7532.2978500000027</v>
      </c>
      <c r="M144" s="39">
        <f>L144*Inputs!$D$11</f>
        <v>161944.40377500007</v>
      </c>
      <c r="N144" s="39">
        <f>M144*(1-Inputs!$D$17)</f>
        <v>56680.541321250021</v>
      </c>
      <c r="O144" s="35">
        <f>Inputs!$D$6*E144*Inputs!$D$27*Inputs!$D$30</f>
        <v>499.30465972139962</v>
      </c>
      <c r="P144" s="36">
        <f>O144/(C144*Inputs!$D$33)</f>
        <v>0.39008176540734346</v>
      </c>
      <c r="Q144" s="38">
        <f>IF(P144&gt;=1,999,P144/(Inputs!$D$33*(1-P144))*60)</f>
        <v>0.95934604824825165</v>
      </c>
      <c r="R144" s="37">
        <f>MIN(1,MAX(0,(Q144-Inputs!$D$36)/(Inputs!$D$37-Inputs!$D$36)))</f>
        <v>0</v>
      </c>
      <c r="S144" s="35">
        <f>Inputs!$D$6*E144*Inputs!$D$27*(1-Inputs!$D$38*R144)</f>
        <v>4160.8721643449971</v>
      </c>
      <c r="T144" s="39">
        <f>S144*Inputs!$D$12</f>
        <v>66573.954629519954</v>
      </c>
      <c r="U144" s="39">
        <f>T144*(1-Inputs!$D$18)</f>
        <v>29958.279583283977</v>
      </c>
      <c r="V144" s="35">
        <f>Inputs!$D$6*F144*Inputs!$D$28*Inputs!$D$31</f>
        <v>753.9461474393554</v>
      </c>
      <c r="W144" s="36">
        <f>V144/(B144*Inputs!$D$34)</f>
        <v>0.74280408614714821</v>
      </c>
      <c r="X144" s="38">
        <f>IF(W144&gt;=1,999,W144/(Inputs!$D$34*(1-W144))*60)</f>
        <v>4.9510056918075414</v>
      </c>
      <c r="Y144" s="37">
        <f>MIN(1,MAX(0,(X144-Inputs!$D$36)/(Inputs!$D$37-Inputs!$D$36)))</f>
        <v>0</v>
      </c>
      <c r="Z144" s="35">
        <f>Inputs!$D$6*F144*Inputs!$D$28*(1-Inputs!$D$38*Y144)</f>
        <v>5799.5857495335031</v>
      </c>
      <c r="AA144" s="39">
        <f>Z144*Inputs!$D$13</f>
        <v>49296.478871034778</v>
      </c>
      <c r="AB144" s="39">
        <f>AA144*(1-Inputs!$D$19)</f>
        <v>29577.887322620867</v>
      </c>
      <c r="AC144" s="39">
        <f t="shared" si="8"/>
        <v>277814.83727555478</v>
      </c>
      <c r="AD144" s="39">
        <f t="shared" si="9"/>
        <v>116216.70822715486</v>
      </c>
      <c r="AE144" s="36">
        <f t="shared" si="10"/>
        <v>1.2450079090909094</v>
      </c>
      <c r="AF144" s="35">
        <f>IF(AND(AE144&lt;=Inputs!$D$35,C144&gt;=Inputs!$D$48*(A144+B144+C144),B144*Inputs!$D$22&lt;=Inputs!$D$50*Inputs!$D$8,B144*Inputs!$D$22&gt;=Inputs!$D$49*Inputs!$D$8,A144*Inputs!$D$20&lt;=Inputs!$D$47*Inputs!$D$8,C144&gt;=1),1,0)</f>
        <v>0</v>
      </c>
      <c r="AG144" s="39">
        <f t="shared" si="11"/>
        <v>-1</v>
      </c>
    </row>
    <row r="145" spans="1:33" x14ac:dyDescent="0.25">
      <c r="A145" s="35">
        <v>30</v>
      </c>
      <c r="B145" s="35">
        <v>30</v>
      </c>
      <c r="C145" s="35">
        <f>Inputs!$D$8-A145-Inputs!$D$22*B145</f>
        <v>30</v>
      </c>
      <c r="D145" s="35">
        <f>A145*Inputs!$D$20+C145*Inputs!$D$21+B145*Inputs!$D$22</f>
        <v>120</v>
      </c>
      <c r="E145" s="36">
        <f>MIN(Inputs!$E$15,Inputs!$D$15*(C145/Inputs!$D$43)^Inputs!$D$44)</f>
        <v>0.3432714897427589</v>
      </c>
      <c r="F145" s="36">
        <f>MIN(Inputs!$E$16,Inputs!$D$16*(B145/Inputs!$D$42)^Inputs!$D$44)</f>
        <v>0.45173877418274222</v>
      </c>
      <c r="G145" s="37">
        <f>Inputs!$D$26*(1+Inputs!$D$41*(B145-Inputs!$D$42))</f>
        <v>1.6500000000000001</v>
      </c>
      <c r="H145" s="35">
        <f>Inputs!$D$6*Inputs!$D$14*G145*Inputs!$D$29</f>
        <v>2073.1095000000005</v>
      </c>
      <c r="I145" s="36">
        <f>H145/(A145*Inputs!$D$32)</f>
        <v>1.2564300000000004</v>
      </c>
      <c r="J145" s="38">
        <f>IF(I145&gt;=1,999,I145/(Inputs!$D$32*(1-I145))*60)</f>
        <v>999</v>
      </c>
      <c r="K145" s="37">
        <f>MIN(1,MAX(0,(J145-Inputs!$D$36)/(Inputs!$D$37-Inputs!$D$36)))</f>
        <v>1</v>
      </c>
      <c r="L145" s="35">
        <f>Inputs!$D$6*Inputs!$D$14*G145*(1-Inputs!$D$38*K145)</f>
        <v>7601.4015000000027</v>
      </c>
      <c r="M145" s="39">
        <f>L145*Inputs!$D$11</f>
        <v>163430.13225000005</v>
      </c>
      <c r="N145" s="39">
        <f>M145*(1-Inputs!$D$17)</f>
        <v>57200.546287500016</v>
      </c>
      <c r="O145" s="35">
        <f>Inputs!$D$6*E145*Inputs!$D$27*Inputs!$D$30</f>
        <v>489.73033047044544</v>
      </c>
      <c r="P145" s="36">
        <f>O145/(C145*Inputs!$D$33)</f>
        <v>0.40810860872537119</v>
      </c>
      <c r="Q145" s="38">
        <f>IF(P145&gt;=1,999,P145/(Inputs!$D$33*(1-P145))*60)</f>
        <v>1.0342487187890559</v>
      </c>
      <c r="R145" s="37">
        <f>MIN(1,MAX(0,(Q145-Inputs!$D$36)/(Inputs!$D$37-Inputs!$D$36)))</f>
        <v>0</v>
      </c>
      <c r="S145" s="35">
        <f>Inputs!$D$6*E145*Inputs!$D$27*(1-Inputs!$D$38*R145)</f>
        <v>4081.0860872537123</v>
      </c>
      <c r="T145" s="39">
        <f>S145*Inputs!$D$12</f>
        <v>65297.377396059397</v>
      </c>
      <c r="U145" s="39">
        <f>T145*(1-Inputs!$D$18)</f>
        <v>29383.819828226726</v>
      </c>
      <c r="V145" s="35">
        <f>Inputs!$D$6*F145*Inputs!$D$28*Inputs!$D$31</f>
        <v>761.65325673326424</v>
      </c>
      <c r="W145" s="36">
        <f>V145/(B145*Inputs!$D$34)</f>
        <v>0.72538405403168027</v>
      </c>
      <c r="X145" s="38">
        <f>IF(W145&gt;=1,999,W145/(Inputs!$D$34*(1-W145))*60)</f>
        <v>4.5281985239874629</v>
      </c>
      <c r="Y145" s="37">
        <f>MIN(1,MAX(0,(X145-Inputs!$D$36)/(Inputs!$D$37-Inputs!$D$36)))</f>
        <v>0</v>
      </c>
      <c r="Z145" s="35">
        <f>Inputs!$D$6*F145*Inputs!$D$28*(1-Inputs!$D$38*Y145)</f>
        <v>5858.8712056404938</v>
      </c>
      <c r="AA145" s="39">
        <f>Z145*Inputs!$D$13</f>
        <v>49800.405247944196</v>
      </c>
      <c r="AB145" s="39">
        <f>AA145*(1-Inputs!$D$19)</f>
        <v>29880.243148766516</v>
      </c>
      <c r="AC145" s="39">
        <f t="shared" si="8"/>
        <v>278527.91489400365</v>
      </c>
      <c r="AD145" s="39">
        <f t="shared" si="9"/>
        <v>116464.60926449325</v>
      </c>
      <c r="AE145" s="36">
        <f t="shared" si="10"/>
        <v>1.2564300000000004</v>
      </c>
      <c r="AF145" s="35">
        <f>IF(AND(AE145&lt;=Inputs!$D$35,C145&gt;=Inputs!$D$48*(A145+B145+C145),B145*Inputs!$D$22&lt;=Inputs!$D$50*Inputs!$D$8,B145*Inputs!$D$22&gt;=Inputs!$D$49*Inputs!$D$8,A145*Inputs!$D$20&lt;=Inputs!$D$47*Inputs!$D$8,C145&gt;=1),1,0)</f>
        <v>0</v>
      </c>
      <c r="AG145" s="39">
        <f t="shared" si="11"/>
        <v>-1</v>
      </c>
    </row>
    <row r="146" spans="1:33" x14ac:dyDescent="0.25">
      <c r="A146" s="35">
        <v>30</v>
      </c>
      <c r="B146" s="35">
        <v>31</v>
      </c>
      <c r="C146" s="35">
        <f>Inputs!$D$8-A146-Inputs!$D$22*B146</f>
        <v>28</v>
      </c>
      <c r="D146" s="35">
        <f>A146*Inputs!$D$20+C146*Inputs!$D$21+B146*Inputs!$D$22</f>
        <v>120</v>
      </c>
      <c r="E146" s="36">
        <f>MIN(Inputs!$E$15,Inputs!$D$15*(C146/Inputs!$D$43)^Inputs!$D$44)</f>
        <v>0.33623952833125714</v>
      </c>
      <c r="F146" s="36">
        <f>MIN(Inputs!$E$16,Inputs!$D$16*(B146/Inputs!$D$42)^Inputs!$D$44)</f>
        <v>0.45620443270573335</v>
      </c>
      <c r="G146" s="37">
        <f>Inputs!$D$26*(1+Inputs!$D$41*(B146-Inputs!$D$42))</f>
        <v>1.665</v>
      </c>
      <c r="H146" s="35">
        <f>Inputs!$D$6*Inputs!$D$14*G146*Inputs!$D$29</f>
        <v>2091.95595</v>
      </c>
      <c r="I146" s="36">
        <f>H146/(A146*Inputs!$D$32)</f>
        <v>1.2678520909090909</v>
      </c>
      <c r="J146" s="38">
        <f>IF(I146&gt;=1,999,I146/(Inputs!$D$32*(1-I146))*60)</f>
        <v>999</v>
      </c>
      <c r="K146" s="37">
        <f>MIN(1,MAX(0,(J146-Inputs!$D$36)/(Inputs!$D$37-Inputs!$D$36)))</f>
        <v>1</v>
      </c>
      <c r="L146" s="35">
        <f>Inputs!$D$6*Inputs!$D$14*G146*(1-Inputs!$D$38*K146)</f>
        <v>7670.5051500000018</v>
      </c>
      <c r="M146" s="39">
        <f>L146*Inputs!$D$11</f>
        <v>164915.86072500004</v>
      </c>
      <c r="N146" s="39">
        <f>M146*(1-Inputs!$D$17)</f>
        <v>57720.551253750011</v>
      </c>
      <c r="O146" s="35">
        <f>Inputs!$D$6*E146*Inputs!$D$27*Inputs!$D$30</f>
        <v>479.69814053095797</v>
      </c>
      <c r="P146" s="36">
        <f>O146/(C146*Inputs!$D$33)</f>
        <v>0.42830191118835531</v>
      </c>
      <c r="Q146" s="38">
        <f>IF(P146&gt;=1,999,P146/(Inputs!$D$33*(1-P146))*60)</f>
        <v>1.1237624882006552</v>
      </c>
      <c r="R146" s="37">
        <f>MIN(1,MAX(0,(Q146-Inputs!$D$36)/(Inputs!$D$37-Inputs!$D$36)))</f>
        <v>0</v>
      </c>
      <c r="S146" s="35">
        <f>Inputs!$D$6*E146*Inputs!$D$27*(1-Inputs!$D$38*R146)</f>
        <v>3997.4845044246499</v>
      </c>
      <c r="T146" s="39">
        <f>S146*Inputs!$D$12</f>
        <v>63959.752070794399</v>
      </c>
      <c r="U146" s="39">
        <f>T146*(1-Inputs!$D$18)</f>
        <v>28781.888431857478</v>
      </c>
      <c r="V146" s="35">
        <f>Inputs!$D$6*F146*Inputs!$D$28*Inputs!$D$31</f>
        <v>769.18257135463637</v>
      </c>
      <c r="W146" s="36">
        <f>V146/(B146*Inputs!$D$34)</f>
        <v>0.70892402889828232</v>
      </c>
      <c r="X146" s="38">
        <f>IF(W146&gt;=1,999,W146/(Inputs!$D$34*(1-W146))*60)</f>
        <v>4.1751929252501148</v>
      </c>
      <c r="Y146" s="37">
        <f>MIN(1,MAX(0,(X146-Inputs!$D$36)/(Inputs!$D$37-Inputs!$D$36)))</f>
        <v>0</v>
      </c>
      <c r="Z146" s="35">
        <f>Inputs!$D$6*F146*Inputs!$D$28*(1-Inputs!$D$38*Y146)</f>
        <v>5916.7890104202797</v>
      </c>
      <c r="AA146" s="39">
        <f>Z146*Inputs!$D$13</f>
        <v>50292.706588572379</v>
      </c>
      <c r="AB146" s="39">
        <f>AA146*(1-Inputs!$D$19)</f>
        <v>30175.623953143426</v>
      </c>
      <c r="AC146" s="39">
        <f t="shared" si="8"/>
        <v>279168.3193843668</v>
      </c>
      <c r="AD146" s="39">
        <f t="shared" si="9"/>
        <v>116678.06363875091</v>
      </c>
      <c r="AE146" s="36">
        <f t="shared" si="10"/>
        <v>1.2678520909090909</v>
      </c>
      <c r="AF146" s="35">
        <f>IF(AND(AE146&lt;=Inputs!$D$35,C146&gt;=Inputs!$D$48*(A146+B146+C146),B146*Inputs!$D$22&lt;=Inputs!$D$50*Inputs!$D$8,B146*Inputs!$D$22&gt;=Inputs!$D$49*Inputs!$D$8,A146*Inputs!$D$20&lt;=Inputs!$D$47*Inputs!$D$8,C146&gt;=1),1,0)</f>
        <v>0</v>
      </c>
      <c r="AG146" s="39">
        <f t="shared" si="11"/>
        <v>-1</v>
      </c>
    </row>
    <row r="147" spans="1:33" x14ac:dyDescent="0.25">
      <c r="A147" s="35">
        <v>30</v>
      </c>
      <c r="B147" s="35">
        <v>32</v>
      </c>
      <c r="C147" s="35">
        <f>Inputs!$D$8-A147-Inputs!$D$22*B147</f>
        <v>26</v>
      </c>
      <c r="D147" s="35">
        <f>A147*Inputs!$D$20+C147*Inputs!$D$21+B147*Inputs!$D$22</f>
        <v>120</v>
      </c>
      <c r="E147" s="36">
        <f>MIN(Inputs!$E$15,Inputs!$D$15*(C147/Inputs!$D$43)^Inputs!$D$44)</f>
        <v>0.32884660514387515</v>
      </c>
      <c r="F147" s="36">
        <f>MIN(Inputs!$E$16,Inputs!$D$16*(B147/Inputs!$D$42)^Inputs!$D$44)</f>
        <v>0.46057036065052986</v>
      </c>
      <c r="G147" s="37">
        <f>Inputs!$D$26*(1+Inputs!$D$41*(B147-Inputs!$D$42))</f>
        <v>1.6800000000000002</v>
      </c>
      <c r="H147" s="35">
        <f>Inputs!$D$6*Inputs!$D$14*G147*Inputs!$D$29</f>
        <v>2110.8024000000005</v>
      </c>
      <c r="I147" s="36">
        <f>H147/(A147*Inputs!$D$32)</f>
        <v>1.2792741818181821</v>
      </c>
      <c r="J147" s="38">
        <f>IF(I147&gt;=1,999,I147/(Inputs!$D$32*(1-I147))*60)</f>
        <v>999</v>
      </c>
      <c r="K147" s="37">
        <f>MIN(1,MAX(0,(J147-Inputs!$D$36)/(Inputs!$D$37-Inputs!$D$36)))</f>
        <v>1</v>
      </c>
      <c r="L147" s="35">
        <f>Inputs!$D$6*Inputs!$D$14*G147*(1-Inputs!$D$38*K147)</f>
        <v>7739.6088000000027</v>
      </c>
      <c r="M147" s="39">
        <f>L147*Inputs!$D$11</f>
        <v>166401.58920000005</v>
      </c>
      <c r="N147" s="39">
        <f>M147*(1-Inputs!$D$17)</f>
        <v>58240.556220000013</v>
      </c>
      <c r="O147" s="35">
        <f>Inputs!$D$6*E147*Inputs!$D$27*Inputs!$D$30</f>
        <v>469.15098230814039</v>
      </c>
      <c r="P147" s="36">
        <f>O147/(C147*Inputs!$D$33)</f>
        <v>0.45110671375782729</v>
      </c>
      <c r="Q147" s="38">
        <f>IF(P147&gt;=1,999,P147/(Inputs!$D$33*(1-P147))*60)</f>
        <v>1.2327716290160586</v>
      </c>
      <c r="R147" s="37">
        <f>MIN(1,MAX(0,(Q147-Inputs!$D$36)/(Inputs!$D$37-Inputs!$D$36)))</f>
        <v>0</v>
      </c>
      <c r="S147" s="35">
        <f>Inputs!$D$6*E147*Inputs!$D$27*(1-Inputs!$D$38*R147)</f>
        <v>3909.5915192345033</v>
      </c>
      <c r="T147" s="39">
        <f>S147*Inputs!$D$12</f>
        <v>62553.464307752052</v>
      </c>
      <c r="U147" s="39">
        <f>T147*(1-Inputs!$D$18)</f>
        <v>28149.058938488422</v>
      </c>
      <c r="V147" s="35">
        <f>Inputs!$D$6*F147*Inputs!$D$28*Inputs!$D$31</f>
        <v>776.54373543410452</v>
      </c>
      <c r="W147" s="36">
        <f>V147/(B147*Inputs!$D$34)</f>
        <v>0.69334262092330756</v>
      </c>
      <c r="X147" s="38">
        <f>IF(W147&gt;=1,999,W147/(Inputs!$D$34*(1-W147))*60)</f>
        <v>3.8759457011369869</v>
      </c>
      <c r="Y147" s="37">
        <f>MIN(1,MAX(0,(X147-Inputs!$D$36)/(Inputs!$D$37-Inputs!$D$36)))</f>
        <v>0</v>
      </c>
      <c r="Z147" s="35">
        <f>Inputs!$D$6*F147*Inputs!$D$28*(1-Inputs!$D$38*Y147)</f>
        <v>5973.4133494931111</v>
      </c>
      <c r="AA147" s="39">
        <f>Z147*Inputs!$D$13</f>
        <v>50774.013470691447</v>
      </c>
      <c r="AB147" s="39">
        <f>AA147*(1-Inputs!$D$19)</f>
        <v>30464.408082414866</v>
      </c>
      <c r="AC147" s="39">
        <f t="shared" si="8"/>
        <v>279729.06697844353</v>
      </c>
      <c r="AD147" s="39">
        <f t="shared" si="9"/>
        <v>116854.02324090331</v>
      </c>
      <c r="AE147" s="36">
        <f t="shared" si="10"/>
        <v>1.2792741818181821</v>
      </c>
      <c r="AF147" s="35">
        <f>IF(AND(AE147&lt;=Inputs!$D$35,C147&gt;=Inputs!$D$48*(A147+B147+C147),B147*Inputs!$D$22&lt;=Inputs!$D$50*Inputs!$D$8,B147*Inputs!$D$22&gt;=Inputs!$D$49*Inputs!$D$8,A147*Inputs!$D$20&lt;=Inputs!$D$47*Inputs!$D$8,C147&gt;=1),1,0)</f>
        <v>0</v>
      </c>
      <c r="AG147" s="39">
        <f t="shared" si="11"/>
        <v>-1</v>
      </c>
    </row>
    <row r="148" spans="1:33" x14ac:dyDescent="0.25">
      <c r="A148" s="35">
        <v>30</v>
      </c>
      <c r="B148" s="35">
        <v>33</v>
      </c>
      <c r="C148" s="35">
        <f>Inputs!$D$8-A148-Inputs!$D$22*B148</f>
        <v>24</v>
      </c>
      <c r="D148" s="35">
        <f>A148*Inputs!$D$20+C148*Inputs!$D$21+B148*Inputs!$D$22</f>
        <v>120</v>
      </c>
      <c r="E148" s="36">
        <f>MIN(Inputs!$E$15,Inputs!$D$15*(C148/Inputs!$D$43)^Inputs!$D$44)</f>
        <v>0.32104412796367415</v>
      </c>
      <c r="F148" s="36">
        <f>MIN(Inputs!$E$16,Inputs!$D$16*(B148/Inputs!$D$42)^Inputs!$D$44)</f>
        <v>0.46484180038786721</v>
      </c>
      <c r="G148" s="37">
        <f>Inputs!$D$26*(1+Inputs!$D$41*(B148-Inputs!$D$42))</f>
        <v>1.6949999999999998</v>
      </c>
      <c r="H148" s="35">
        <f>Inputs!$D$6*Inputs!$D$14*G148*Inputs!$D$29</f>
        <v>2129.64885</v>
      </c>
      <c r="I148" s="36">
        <f>H148/(A148*Inputs!$D$32)</f>
        <v>1.2906962727272728</v>
      </c>
      <c r="J148" s="38">
        <f>IF(I148&gt;=1,999,I148/(Inputs!$D$32*(1-I148))*60)</f>
        <v>999</v>
      </c>
      <c r="K148" s="37">
        <f>MIN(1,MAX(0,(J148-Inputs!$D$36)/(Inputs!$D$37-Inputs!$D$36)))</f>
        <v>1</v>
      </c>
      <c r="L148" s="35">
        <f>Inputs!$D$6*Inputs!$D$14*G148*(1-Inputs!$D$38*K148)</f>
        <v>7808.71245</v>
      </c>
      <c r="M148" s="39">
        <f>L148*Inputs!$D$11</f>
        <v>167887.317675</v>
      </c>
      <c r="N148" s="39">
        <f>M148*(1-Inputs!$D$17)</f>
        <v>58760.561186249994</v>
      </c>
      <c r="O148" s="35">
        <f>Inputs!$D$6*E148*Inputs!$D$27*Inputs!$D$30</f>
        <v>458.01953142414351</v>
      </c>
      <c r="P148" s="36">
        <f>O148/(C148*Inputs!$D$33)</f>
        <v>0.47710367856681618</v>
      </c>
      <c r="Q148" s="38">
        <f>IF(P148&gt;=1,999,P148/(Inputs!$D$33*(1-P148))*60)</f>
        <v>1.3686375071232384</v>
      </c>
      <c r="R148" s="37">
        <f>MIN(1,MAX(0,(Q148-Inputs!$D$36)/(Inputs!$D$37-Inputs!$D$36)))</f>
        <v>0</v>
      </c>
      <c r="S148" s="35">
        <f>Inputs!$D$6*E148*Inputs!$D$27*(1-Inputs!$D$38*R148)</f>
        <v>3816.8294285345296</v>
      </c>
      <c r="T148" s="39">
        <f>S148*Inputs!$D$12</f>
        <v>61069.270856552474</v>
      </c>
      <c r="U148" s="39">
        <f>T148*(1-Inputs!$D$18)</f>
        <v>27481.17188544861</v>
      </c>
      <c r="V148" s="35">
        <f>Inputs!$D$6*F148*Inputs!$D$28*Inputs!$D$31</f>
        <v>783.74558786036266</v>
      </c>
      <c r="W148" s="36">
        <f>V148/(B148*Inputs!$D$34)</f>
        <v>0.67856760853711051</v>
      </c>
      <c r="X148" s="38">
        <f>IF(W148&gt;=1,999,W148/(Inputs!$D$34*(1-W148))*60)</f>
        <v>3.6189842355277744</v>
      </c>
      <c r="Y148" s="37">
        <f>MIN(1,MAX(0,(X148-Inputs!$D$36)/(Inputs!$D$37-Inputs!$D$36)))</f>
        <v>0</v>
      </c>
      <c r="Z148" s="35">
        <f>Inputs!$D$6*F148*Inputs!$D$28*(1-Inputs!$D$38*Y148)</f>
        <v>6028.812214310482</v>
      </c>
      <c r="AA148" s="39">
        <f>Z148*Inputs!$D$13</f>
        <v>51244.903821639098</v>
      </c>
      <c r="AB148" s="39">
        <f>AA148*(1-Inputs!$D$19)</f>
        <v>30746.942292983458</v>
      </c>
      <c r="AC148" s="39">
        <f t="shared" si="8"/>
        <v>280201.49235319154</v>
      </c>
      <c r="AD148" s="39">
        <f t="shared" si="9"/>
        <v>116988.67536468206</v>
      </c>
      <c r="AE148" s="36">
        <f t="shared" si="10"/>
        <v>1.2906962727272728</v>
      </c>
      <c r="AF148" s="35">
        <f>IF(AND(AE148&lt;=Inputs!$D$35,C148&gt;=Inputs!$D$48*(A148+B148+C148),B148*Inputs!$D$22&lt;=Inputs!$D$50*Inputs!$D$8,B148*Inputs!$D$22&gt;=Inputs!$D$49*Inputs!$D$8,A148*Inputs!$D$20&lt;=Inputs!$D$47*Inputs!$D$8,C148&gt;=1),1,0)</f>
        <v>0</v>
      </c>
      <c r="AG148" s="39">
        <f t="shared" si="11"/>
        <v>-1</v>
      </c>
    </row>
    <row r="149" spans="1:33" x14ac:dyDescent="0.25">
      <c r="A149" s="35">
        <v>31</v>
      </c>
      <c r="B149" s="35">
        <v>10</v>
      </c>
      <c r="C149" s="35">
        <f>Inputs!$D$8-A149-Inputs!$D$22*B149</f>
        <v>69</v>
      </c>
      <c r="D149" s="35">
        <f>A149*Inputs!$D$20+C149*Inputs!$D$21+B149*Inputs!$D$22</f>
        <v>120</v>
      </c>
      <c r="E149" s="36">
        <f>MIN(Inputs!$E$15,Inputs!$D$15*(C149/Inputs!$D$43)^Inputs!$D$44)</f>
        <v>0.4</v>
      </c>
      <c r="F149" s="36">
        <f>MIN(Inputs!$E$16,Inputs!$D$16*(B149/Inputs!$D$42)^Inputs!$D$44)</f>
        <v>0.32490095854249423</v>
      </c>
      <c r="G149" s="37">
        <f>Inputs!$D$26*(1+Inputs!$D$41*(B149-Inputs!$D$42))</f>
        <v>1.35</v>
      </c>
      <c r="H149" s="35">
        <f>Inputs!$D$6*Inputs!$D$14*G149*Inputs!$D$29</f>
        <v>1696.1805000000004</v>
      </c>
      <c r="I149" s="36">
        <f>H149/(A149*Inputs!$D$32)</f>
        <v>0.994827272727273</v>
      </c>
      <c r="J149" s="38">
        <f>IF(I149&gt;=1,999,I149/(Inputs!$D$32*(1-I149))*60)</f>
        <v>209.80540022368922</v>
      </c>
      <c r="K149" s="37">
        <f>MIN(1,MAX(0,(J149-Inputs!$D$36)/(Inputs!$D$37-Inputs!$D$36)))</f>
        <v>1</v>
      </c>
      <c r="L149" s="35">
        <f>Inputs!$D$6*Inputs!$D$14*G149*(1-Inputs!$D$38*K149)</f>
        <v>6219.3285000000024</v>
      </c>
      <c r="M149" s="39">
        <f>L149*Inputs!$D$11</f>
        <v>133715.56275000004</v>
      </c>
      <c r="N149" s="39">
        <f>M149*(1-Inputs!$D$17)</f>
        <v>46800.446962500013</v>
      </c>
      <c r="O149" s="35">
        <f>Inputs!$D$6*E149*Inputs!$D$27*Inputs!$D$30</f>
        <v>570.66240000000005</v>
      </c>
      <c r="P149" s="36">
        <f>O149/(C149*Inputs!$D$33)</f>
        <v>0.2067617391304348</v>
      </c>
      <c r="Q149" s="38">
        <f>IF(P149&gt;=1,999,P149/(Inputs!$D$33*(1-P149))*60)</f>
        <v>0.3909829164766549</v>
      </c>
      <c r="R149" s="37">
        <f>MIN(1,MAX(0,(Q149-Inputs!$D$36)/(Inputs!$D$37-Inputs!$D$36)))</f>
        <v>0</v>
      </c>
      <c r="S149" s="35">
        <f>Inputs!$D$6*E149*Inputs!$D$27*(1-Inputs!$D$38*R149)</f>
        <v>4755.5200000000004</v>
      </c>
      <c r="T149" s="39">
        <f>S149*Inputs!$D$12</f>
        <v>76088.320000000007</v>
      </c>
      <c r="U149" s="39">
        <f>T149*(1-Inputs!$D$18)</f>
        <v>34239.743999999999</v>
      </c>
      <c r="V149" s="35">
        <f>Inputs!$D$6*F149*Inputs!$D$28*Inputs!$D$31</f>
        <v>547.7986113486553</v>
      </c>
      <c r="W149" s="36">
        <f>V149/(B149*Inputs!$D$34)</f>
        <v>1.5651388895675866</v>
      </c>
      <c r="X149" s="38">
        <f>IF(W149&gt;=1,999,W149/(Inputs!$D$34*(1-W149))*60)</f>
        <v>999</v>
      </c>
      <c r="Y149" s="37">
        <f>MIN(1,MAX(0,(X149-Inputs!$D$36)/(Inputs!$D$37-Inputs!$D$36)))</f>
        <v>1</v>
      </c>
      <c r="Z149" s="35">
        <f>Inputs!$D$6*F149*Inputs!$D$28*(1-Inputs!$D$38*Y149)</f>
        <v>2317.6095095520031</v>
      </c>
      <c r="AA149" s="39">
        <f>Z149*Inputs!$D$13</f>
        <v>19699.680831192025</v>
      </c>
      <c r="AB149" s="39">
        <f>AA149*(1-Inputs!$D$19)</f>
        <v>11819.808498715214</v>
      </c>
      <c r="AC149" s="39">
        <f t="shared" si="8"/>
        <v>229503.56358119208</v>
      </c>
      <c r="AD149" s="39">
        <f t="shared" si="9"/>
        <v>92859.999461215222</v>
      </c>
      <c r="AE149" s="36">
        <f t="shared" si="10"/>
        <v>1.5651388895675866</v>
      </c>
      <c r="AF149" s="35">
        <f>IF(AND(AE149&lt;=Inputs!$D$35,C149&gt;=Inputs!$D$48*(A149+B149+C149),B149*Inputs!$D$22&lt;=Inputs!$D$50*Inputs!$D$8,B149*Inputs!$D$22&gt;=Inputs!$D$49*Inputs!$D$8,A149*Inputs!$D$20&lt;=Inputs!$D$47*Inputs!$D$8,C149&gt;=1),1,0)</f>
        <v>0</v>
      </c>
      <c r="AG149" s="39">
        <f t="shared" si="11"/>
        <v>-1</v>
      </c>
    </row>
    <row r="150" spans="1:33" x14ac:dyDescent="0.25">
      <c r="A150" s="35">
        <v>31</v>
      </c>
      <c r="B150" s="35">
        <v>11</v>
      </c>
      <c r="C150" s="35">
        <f>Inputs!$D$8-A150-Inputs!$D$22*B150</f>
        <v>67</v>
      </c>
      <c r="D150" s="35">
        <f>A150*Inputs!$D$20+C150*Inputs!$D$21+B150*Inputs!$D$22</f>
        <v>120</v>
      </c>
      <c r="E150" s="36">
        <f>MIN(Inputs!$E$15,Inputs!$D$15*(C150/Inputs!$D$43)^Inputs!$D$44)</f>
        <v>0.4</v>
      </c>
      <c r="F150" s="36">
        <f>MIN(Inputs!$E$16,Inputs!$D$16*(B150/Inputs!$D$42)^Inputs!$D$44)</f>
        <v>0.33432495758166098</v>
      </c>
      <c r="G150" s="37">
        <f>Inputs!$D$26*(1+Inputs!$D$41*(B150-Inputs!$D$42))</f>
        <v>1.365</v>
      </c>
      <c r="H150" s="35">
        <f>Inputs!$D$6*Inputs!$D$14*G150*Inputs!$D$29</f>
        <v>1715.0269500000002</v>
      </c>
      <c r="I150" s="36">
        <f>H150/(A150*Inputs!$D$32)</f>
        <v>1.0058809090909091</v>
      </c>
      <c r="J150" s="38">
        <f>IF(I150&gt;=1,999,I150/(Inputs!$D$32*(1-I150))*60)</f>
        <v>999</v>
      </c>
      <c r="K150" s="37">
        <f>MIN(1,MAX(0,(J150-Inputs!$D$36)/(Inputs!$D$37-Inputs!$D$36)))</f>
        <v>1</v>
      </c>
      <c r="L150" s="35">
        <f>Inputs!$D$6*Inputs!$D$14*G150*(1-Inputs!$D$38*K150)</f>
        <v>6288.4321500000005</v>
      </c>
      <c r="M150" s="39">
        <f>L150*Inputs!$D$11</f>
        <v>135201.29122500002</v>
      </c>
      <c r="N150" s="39">
        <f>M150*(1-Inputs!$D$17)</f>
        <v>47320.451928750008</v>
      </c>
      <c r="O150" s="35">
        <f>Inputs!$D$6*E150*Inputs!$D$27*Inputs!$D$30</f>
        <v>570.66240000000005</v>
      </c>
      <c r="P150" s="36">
        <f>O150/(C150*Inputs!$D$33)</f>
        <v>0.21293373134328361</v>
      </c>
      <c r="Q150" s="38">
        <f>IF(P150&gt;=1,999,P150/(Inputs!$D$33*(1-P150))*60)</f>
        <v>0.40581156852274392</v>
      </c>
      <c r="R150" s="37">
        <f>MIN(1,MAX(0,(Q150-Inputs!$D$36)/(Inputs!$D$37-Inputs!$D$36)))</f>
        <v>0</v>
      </c>
      <c r="S150" s="35">
        <f>Inputs!$D$6*E150*Inputs!$D$27*(1-Inputs!$D$38*R150)</f>
        <v>4755.5200000000004</v>
      </c>
      <c r="T150" s="39">
        <f>S150*Inputs!$D$12</f>
        <v>76088.320000000007</v>
      </c>
      <c r="U150" s="39">
        <f>T150*(1-Inputs!$D$18)</f>
        <v>34239.743999999999</v>
      </c>
      <c r="V150" s="35">
        <f>Inputs!$D$6*F150*Inputs!$D$28*Inputs!$D$31</f>
        <v>563.68792608064427</v>
      </c>
      <c r="W150" s="36">
        <f>V150/(B150*Inputs!$D$34)</f>
        <v>1.4641244833263487</v>
      </c>
      <c r="X150" s="38">
        <f>IF(W150&gt;=1,999,W150/(Inputs!$D$34*(1-W150))*60)</f>
        <v>999</v>
      </c>
      <c r="Y150" s="37">
        <f>MIN(1,MAX(0,(X150-Inputs!$D$36)/(Inputs!$D$37-Inputs!$D$36)))</f>
        <v>1</v>
      </c>
      <c r="Z150" s="35">
        <f>Inputs!$D$6*F150*Inputs!$D$28*(1-Inputs!$D$38*Y150)</f>
        <v>2384.8335334181106</v>
      </c>
      <c r="AA150" s="39">
        <f>Z150*Inputs!$D$13</f>
        <v>20271.08503405394</v>
      </c>
      <c r="AB150" s="39">
        <f>AA150*(1-Inputs!$D$19)</f>
        <v>12162.651020432364</v>
      </c>
      <c r="AC150" s="39">
        <f t="shared" si="8"/>
        <v>231560.69625905398</v>
      </c>
      <c r="AD150" s="39">
        <f t="shared" si="9"/>
        <v>93722.846949182363</v>
      </c>
      <c r="AE150" s="36">
        <f t="shared" si="10"/>
        <v>1.4641244833263487</v>
      </c>
      <c r="AF150" s="35">
        <f>IF(AND(AE150&lt;=Inputs!$D$35,C150&gt;=Inputs!$D$48*(A150+B150+C150),B150*Inputs!$D$22&lt;=Inputs!$D$50*Inputs!$D$8,B150*Inputs!$D$22&gt;=Inputs!$D$49*Inputs!$D$8,A150*Inputs!$D$20&lt;=Inputs!$D$47*Inputs!$D$8,C150&gt;=1),1,0)</f>
        <v>0</v>
      </c>
      <c r="AG150" s="39">
        <f t="shared" si="11"/>
        <v>-1</v>
      </c>
    </row>
    <row r="151" spans="1:33" x14ac:dyDescent="0.25">
      <c r="A151" s="35">
        <v>31</v>
      </c>
      <c r="B151" s="35">
        <v>12</v>
      </c>
      <c r="C151" s="35">
        <f>Inputs!$D$8-A151-Inputs!$D$22*B151</f>
        <v>65</v>
      </c>
      <c r="D151" s="35">
        <f>A151*Inputs!$D$20+C151*Inputs!$D$21+B151*Inputs!$D$22</f>
        <v>120</v>
      </c>
      <c r="E151" s="36">
        <f>MIN(Inputs!$E$15,Inputs!$D$15*(C151/Inputs!$D$43)^Inputs!$D$44)</f>
        <v>0.4</v>
      </c>
      <c r="F151" s="36">
        <f>MIN(Inputs!$E$16,Inputs!$D$16*(B151/Inputs!$D$42)^Inputs!$D$44)</f>
        <v>0.34316688017763797</v>
      </c>
      <c r="G151" s="37">
        <f>Inputs!$D$26*(1+Inputs!$D$41*(B151-Inputs!$D$42))</f>
        <v>1.3800000000000001</v>
      </c>
      <c r="H151" s="35">
        <f>Inputs!$D$6*Inputs!$D$14*G151*Inputs!$D$29</f>
        <v>1733.8734000000004</v>
      </c>
      <c r="I151" s="36">
        <f>H151/(A151*Inputs!$D$32)</f>
        <v>1.0169345454545458</v>
      </c>
      <c r="J151" s="38">
        <f>IF(I151&gt;=1,999,I151/(Inputs!$D$32*(1-I151))*60)</f>
        <v>999</v>
      </c>
      <c r="K151" s="37">
        <f>MIN(1,MAX(0,(J151-Inputs!$D$36)/(Inputs!$D$37-Inputs!$D$36)))</f>
        <v>1</v>
      </c>
      <c r="L151" s="35">
        <f>Inputs!$D$6*Inputs!$D$14*G151*(1-Inputs!$D$38*K151)</f>
        <v>6357.5358000000024</v>
      </c>
      <c r="M151" s="39">
        <f>L151*Inputs!$D$11</f>
        <v>136687.01970000006</v>
      </c>
      <c r="N151" s="39">
        <f>M151*(1-Inputs!$D$17)</f>
        <v>47840.456895000018</v>
      </c>
      <c r="O151" s="35">
        <f>Inputs!$D$6*E151*Inputs!$D$27*Inputs!$D$30</f>
        <v>570.66240000000005</v>
      </c>
      <c r="P151" s="36">
        <f>O151/(C151*Inputs!$D$33)</f>
        <v>0.21948553846153848</v>
      </c>
      <c r="Q151" s="38">
        <f>IF(P151&gt;=1,999,P151/(Inputs!$D$33*(1-P151))*60)</f>
        <v>0.42180936281868536</v>
      </c>
      <c r="R151" s="37">
        <f>MIN(1,MAX(0,(Q151-Inputs!$D$36)/(Inputs!$D$37-Inputs!$D$36)))</f>
        <v>0</v>
      </c>
      <c r="S151" s="35">
        <f>Inputs!$D$6*E151*Inputs!$D$27*(1-Inputs!$D$38*R151)</f>
        <v>4755.5200000000004</v>
      </c>
      <c r="T151" s="39">
        <f>S151*Inputs!$D$12</f>
        <v>76088.320000000007</v>
      </c>
      <c r="U151" s="39">
        <f>T151*(1-Inputs!$D$18)</f>
        <v>34239.743999999999</v>
      </c>
      <c r="V151" s="35">
        <f>Inputs!$D$6*F151*Inputs!$D$28*Inputs!$D$31</f>
        <v>578.5958319897461</v>
      </c>
      <c r="W151" s="36">
        <f>V151/(B151*Inputs!$D$34)</f>
        <v>1.3776091237851098</v>
      </c>
      <c r="X151" s="38">
        <f>IF(W151&gt;=1,999,W151/(Inputs!$D$34*(1-W151))*60)</f>
        <v>999</v>
      </c>
      <c r="Y151" s="37">
        <f>MIN(1,MAX(0,(X151-Inputs!$D$36)/(Inputs!$D$37-Inputs!$D$36)))</f>
        <v>1</v>
      </c>
      <c r="Z151" s="35">
        <f>Inputs!$D$6*F151*Inputs!$D$28*(1-Inputs!$D$38*Y151)</f>
        <v>2447.9054430335414</v>
      </c>
      <c r="AA151" s="39">
        <f>Z151*Inputs!$D$13</f>
        <v>20807.1962657851</v>
      </c>
      <c r="AB151" s="39">
        <f>AA151*(1-Inputs!$D$19)</f>
        <v>12484.31775947106</v>
      </c>
      <c r="AC151" s="39">
        <f t="shared" si="8"/>
        <v>233582.53596578518</v>
      </c>
      <c r="AD151" s="39">
        <f t="shared" si="9"/>
        <v>94564.518654471074</v>
      </c>
      <c r="AE151" s="36">
        <f t="shared" si="10"/>
        <v>1.3776091237851098</v>
      </c>
      <c r="AF151" s="35">
        <f>IF(AND(AE151&lt;=Inputs!$D$35,C151&gt;=Inputs!$D$48*(A151+B151+C151),B151*Inputs!$D$22&lt;=Inputs!$D$50*Inputs!$D$8,B151*Inputs!$D$22&gt;=Inputs!$D$49*Inputs!$D$8,A151*Inputs!$D$20&lt;=Inputs!$D$47*Inputs!$D$8,C151&gt;=1),1,0)</f>
        <v>0</v>
      </c>
      <c r="AG151" s="39">
        <f t="shared" si="11"/>
        <v>-1</v>
      </c>
    </row>
    <row r="152" spans="1:33" x14ac:dyDescent="0.25">
      <c r="A152" s="35">
        <v>31</v>
      </c>
      <c r="B152" s="35">
        <v>13</v>
      </c>
      <c r="C152" s="35">
        <f>Inputs!$D$8-A152-Inputs!$D$22*B152</f>
        <v>63</v>
      </c>
      <c r="D152" s="35">
        <f>A152*Inputs!$D$20+C152*Inputs!$D$21+B152*Inputs!$D$22</f>
        <v>120</v>
      </c>
      <c r="E152" s="36">
        <f>MIN(Inputs!$E$15,Inputs!$D$15*(C152/Inputs!$D$43)^Inputs!$D$44)</f>
        <v>0.4</v>
      </c>
      <c r="F152" s="36">
        <f>MIN(Inputs!$E$16,Inputs!$D$16*(B152/Inputs!$D$42)^Inputs!$D$44)</f>
        <v>0.35150701637190523</v>
      </c>
      <c r="G152" s="37">
        <f>Inputs!$D$26*(1+Inputs!$D$41*(B152-Inputs!$D$42))</f>
        <v>1.395</v>
      </c>
      <c r="H152" s="35">
        <f>Inputs!$D$6*Inputs!$D$14*G152*Inputs!$D$29</f>
        <v>1752.7198500000002</v>
      </c>
      <c r="I152" s="36">
        <f>H152/(A152*Inputs!$D$32)</f>
        <v>1.027988181818182</v>
      </c>
      <c r="J152" s="38">
        <f>IF(I152&gt;=1,999,I152/(Inputs!$D$32*(1-I152))*60)</f>
        <v>999</v>
      </c>
      <c r="K152" s="37">
        <f>MIN(1,MAX(0,(J152-Inputs!$D$36)/(Inputs!$D$37-Inputs!$D$36)))</f>
        <v>1</v>
      </c>
      <c r="L152" s="35">
        <f>Inputs!$D$6*Inputs!$D$14*G152*(1-Inputs!$D$38*K152)</f>
        <v>6426.6394500000006</v>
      </c>
      <c r="M152" s="39">
        <f>L152*Inputs!$D$11</f>
        <v>138172.74817500002</v>
      </c>
      <c r="N152" s="39">
        <f>M152*(1-Inputs!$D$17)</f>
        <v>48360.461861250005</v>
      </c>
      <c r="O152" s="35">
        <f>Inputs!$D$6*E152*Inputs!$D$27*Inputs!$D$30</f>
        <v>570.66240000000005</v>
      </c>
      <c r="P152" s="36">
        <f>O152/(C152*Inputs!$D$33)</f>
        <v>0.22645333333333334</v>
      </c>
      <c r="Q152" s="38">
        <f>IF(P152&gt;=1,999,P152/(Inputs!$D$33*(1-P152))*60)</f>
        <v>0.43912024269167138</v>
      </c>
      <c r="R152" s="37">
        <f>MIN(1,MAX(0,(Q152-Inputs!$D$36)/(Inputs!$D$37-Inputs!$D$36)))</f>
        <v>0</v>
      </c>
      <c r="S152" s="35">
        <f>Inputs!$D$6*E152*Inputs!$D$27*(1-Inputs!$D$38*R152)</f>
        <v>4755.5200000000004</v>
      </c>
      <c r="T152" s="39">
        <f>S152*Inputs!$D$12</f>
        <v>76088.320000000007</v>
      </c>
      <c r="U152" s="39">
        <f>T152*(1-Inputs!$D$18)</f>
        <v>34239.743999999999</v>
      </c>
      <c r="V152" s="35">
        <f>Inputs!$D$6*F152*Inputs!$D$28*Inputs!$D$31</f>
        <v>592.65770193981814</v>
      </c>
      <c r="W152" s="36">
        <f>V152/(B152*Inputs!$D$34)</f>
        <v>1.3025443998677322</v>
      </c>
      <c r="X152" s="38">
        <f>IF(W152&gt;=1,999,W152/(Inputs!$D$34*(1-W152))*60)</f>
        <v>999</v>
      </c>
      <c r="Y152" s="37">
        <f>MIN(1,MAX(0,(X152-Inputs!$D$36)/(Inputs!$D$37-Inputs!$D$36)))</f>
        <v>1</v>
      </c>
      <c r="Z152" s="35">
        <f>Inputs!$D$6*F152*Inputs!$D$28*(1-Inputs!$D$38*Y152)</f>
        <v>2507.3979697453847</v>
      </c>
      <c r="AA152" s="39">
        <f>Z152*Inputs!$D$13</f>
        <v>21312.882742835769</v>
      </c>
      <c r="AB152" s="39">
        <f>AA152*(1-Inputs!$D$19)</f>
        <v>12787.729645701462</v>
      </c>
      <c r="AC152" s="39">
        <f t="shared" si="8"/>
        <v>235573.95091783578</v>
      </c>
      <c r="AD152" s="39">
        <f t="shared" si="9"/>
        <v>95387.935506951457</v>
      </c>
      <c r="AE152" s="36">
        <f t="shared" si="10"/>
        <v>1.3025443998677322</v>
      </c>
      <c r="AF152" s="35">
        <f>IF(AND(AE152&lt;=Inputs!$D$35,C152&gt;=Inputs!$D$48*(A152+B152+C152),B152*Inputs!$D$22&lt;=Inputs!$D$50*Inputs!$D$8,B152*Inputs!$D$22&gt;=Inputs!$D$49*Inputs!$D$8,A152*Inputs!$D$20&lt;=Inputs!$D$47*Inputs!$D$8,C152&gt;=1),1,0)</f>
        <v>0</v>
      </c>
      <c r="AG152" s="39">
        <f t="shared" si="11"/>
        <v>-1</v>
      </c>
    </row>
    <row r="153" spans="1:33" x14ac:dyDescent="0.25">
      <c r="A153" s="35">
        <v>31</v>
      </c>
      <c r="B153" s="35">
        <v>14</v>
      </c>
      <c r="C153" s="35">
        <f>Inputs!$D$8-A153-Inputs!$D$22*B153</f>
        <v>61</v>
      </c>
      <c r="D153" s="35">
        <f>A153*Inputs!$D$20+C153*Inputs!$D$21+B153*Inputs!$D$22</f>
        <v>120</v>
      </c>
      <c r="E153" s="36">
        <f>MIN(Inputs!$E$15,Inputs!$D$15*(C153/Inputs!$D$43)^Inputs!$D$44)</f>
        <v>0.4</v>
      </c>
      <c r="F153" s="36">
        <f>MIN(Inputs!$E$16,Inputs!$D$16*(B153/Inputs!$D$42)^Inputs!$D$44)</f>
        <v>0.35940937671625589</v>
      </c>
      <c r="G153" s="37">
        <f>Inputs!$D$26*(1+Inputs!$D$41*(B153-Inputs!$D$42))</f>
        <v>1.41</v>
      </c>
      <c r="H153" s="35">
        <f>Inputs!$D$6*Inputs!$D$14*G153*Inputs!$D$29</f>
        <v>1771.5663000000002</v>
      </c>
      <c r="I153" s="36">
        <f>H153/(A153*Inputs!$D$32)</f>
        <v>1.0390418181818184</v>
      </c>
      <c r="J153" s="38">
        <f>IF(I153&gt;=1,999,I153/(Inputs!$D$32*(1-I153))*60)</f>
        <v>999</v>
      </c>
      <c r="K153" s="37">
        <f>MIN(1,MAX(0,(J153-Inputs!$D$36)/(Inputs!$D$37-Inputs!$D$36)))</f>
        <v>1</v>
      </c>
      <c r="L153" s="35">
        <f>Inputs!$D$6*Inputs!$D$14*G153*(1-Inputs!$D$38*K153)</f>
        <v>6495.7431000000006</v>
      </c>
      <c r="M153" s="39">
        <f>L153*Inputs!$D$11</f>
        <v>139658.47665000003</v>
      </c>
      <c r="N153" s="39">
        <f>M153*(1-Inputs!$D$17)</f>
        <v>48880.466827500008</v>
      </c>
      <c r="O153" s="35">
        <f>Inputs!$D$6*E153*Inputs!$D$27*Inputs!$D$30</f>
        <v>570.66240000000005</v>
      </c>
      <c r="P153" s="36">
        <f>O153/(C153*Inputs!$D$33)</f>
        <v>0.23387803278688526</v>
      </c>
      <c r="Q153" s="38">
        <f>IF(P153&gt;=1,999,P153/(Inputs!$D$33*(1-P153))*60)</f>
        <v>0.45791279221046005</v>
      </c>
      <c r="R153" s="37">
        <f>MIN(1,MAX(0,(Q153-Inputs!$D$36)/(Inputs!$D$37-Inputs!$D$36)))</f>
        <v>0</v>
      </c>
      <c r="S153" s="35">
        <f>Inputs!$D$6*E153*Inputs!$D$27*(1-Inputs!$D$38*R153)</f>
        <v>4755.5200000000004</v>
      </c>
      <c r="T153" s="39">
        <f>S153*Inputs!$D$12</f>
        <v>76088.320000000007</v>
      </c>
      <c r="U153" s="39">
        <f>T153*(1-Inputs!$D$18)</f>
        <v>34239.743999999999</v>
      </c>
      <c r="V153" s="35">
        <f>Inputs!$D$6*F153*Inputs!$D$28*Inputs!$D$31</f>
        <v>605.98146079368973</v>
      </c>
      <c r="W153" s="36">
        <f>V153/(B153*Inputs!$D$34)</f>
        <v>1.2366968587626321</v>
      </c>
      <c r="X153" s="38">
        <f>IF(W153&gt;=1,999,W153/(Inputs!$D$34*(1-W153))*60)</f>
        <v>999</v>
      </c>
      <c r="Y153" s="37">
        <f>MIN(1,MAX(0,(X153-Inputs!$D$36)/(Inputs!$D$37-Inputs!$D$36)))</f>
        <v>1</v>
      </c>
      <c r="Z153" s="35">
        <f>Inputs!$D$6*F153*Inputs!$D$28*(1-Inputs!$D$38*Y153)</f>
        <v>2563.7677187425338</v>
      </c>
      <c r="AA153" s="39">
        <f>Z153*Inputs!$D$13</f>
        <v>21792.025609311539</v>
      </c>
      <c r="AB153" s="39">
        <f>AA153*(1-Inputs!$D$19)</f>
        <v>13075.215365586922</v>
      </c>
      <c r="AC153" s="39">
        <f t="shared" si="8"/>
        <v>237538.82225931156</v>
      </c>
      <c r="AD153" s="39">
        <f t="shared" si="9"/>
        <v>96195.426193086925</v>
      </c>
      <c r="AE153" s="36">
        <f t="shared" si="10"/>
        <v>1.2366968587626321</v>
      </c>
      <c r="AF153" s="35">
        <f>IF(AND(AE153&lt;=Inputs!$D$35,C153&gt;=Inputs!$D$48*(A153+B153+C153),B153*Inputs!$D$22&lt;=Inputs!$D$50*Inputs!$D$8,B153*Inputs!$D$22&gt;=Inputs!$D$49*Inputs!$D$8,A153*Inputs!$D$20&lt;=Inputs!$D$47*Inputs!$D$8,C153&gt;=1),1,0)</f>
        <v>0</v>
      </c>
      <c r="AG153" s="39">
        <f t="shared" si="11"/>
        <v>-1</v>
      </c>
    </row>
    <row r="154" spans="1:33" x14ac:dyDescent="0.25">
      <c r="A154" s="35">
        <v>31</v>
      </c>
      <c r="B154" s="35">
        <v>15</v>
      </c>
      <c r="C154" s="35">
        <f>Inputs!$D$8-A154-Inputs!$D$22*B154</f>
        <v>59</v>
      </c>
      <c r="D154" s="35">
        <f>A154*Inputs!$D$20+C154*Inputs!$D$21+B154*Inputs!$D$22</f>
        <v>120</v>
      </c>
      <c r="E154" s="36">
        <f>MIN(Inputs!$E$15,Inputs!$D$15*(C154/Inputs!$D$43)^Inputs!$D$44)</f>
        <v>0.4</v>
      </c>
      <c r="F154" s="36">
        <f>MIN(Inputs!$E$16,Inputs!$D$16*(B154/Inputs!$D$42)^Inputs!$D$44)</f>
        <v>0.36692590185696072</v>
      </c>
      <c r="G154" s="37">
        <f>Inputs!$D$26*(1+Inputs!$D$41*(B154-Inputs!$D$42))</f>
        <v>1.4249999999999998</v>
      </c>
      <c r="H154" s="35">
        <f>Inputs!$D$6*Inputs!$D$14*G154*Inputs!$D$29</f>
        <v>1790.4127499999997</v>
      </c>
      <c r="I154" s="36">
        <f>H154/(A154*Inputs!$D$32)</f>
        <v>1.0500954545454544</v>
      </c>
      <c r="J154" s="38">
        <f>IF(I154&gt;=1,999,I154/(Inputs!$D$32*(1-I154))*60)</f>
        <v>999</v>
      </c>
      <c r="K154" s="37">
        <f>MIN(1,MAX(0,(J154-Inputs!$D$36)/(Inputs!$D$37-Inputs!$D$36)))</f>
        <v>1</v>
      </c>
      <c r="L154" s="35">
        <f>Inputs!$D$6*Inputs!$D$14*G154*(1-Inputs!$D$38*K154)</f>
        <v>6564.8467499999997</v>
      </c>
      <c r="M154" s="39">
        <f>L154*Inputs!$D$11</f>
        <v>141144.20512500001</v>
      </c>
      <c r="N154" s="39">
        <f>M154*(1-Inputs!$D$17)</f>
        <v>49400.471793750003</v>
      </c>
      <c r="O154" s="35">
        <f>Inputs!$D$6*E154*Inputs!$D$27*Inputs!$D$30</f>
        <v>570.66240000000005</v>
      </c>
      <c r="P154" s="36">
        <f>O154/(C154*Inputs!$D$33)</f>
        <v>0.24180610169491529</v>
      </c>
      <c r="Q154" s="38">
        <f>IF(P154&gt;=1,999,P154/(Inputs!$D$33*(1-P154))*60)</f>
        <v>0.47838574453473742</v>
      </c>
      <c r="R154" s="37">
        <f>MIN(1,MAX(0,(Q154-Inputs!$D$36)/(Inputs!$D$37-Inputs!$D$36)))</f>
        <v>0</v>
      </c>
      <c r="S154" s="35">
        <f>Inputs!$D$6*E154*Inputs!$D$27*(1-Inputs!$D$38*R154)</f>
        <v>4755.5200000000004</v>
      </c>
      <c r="T154" s="39">
        <f>S154*Inputs!$D$12</f>
        <v>76088.320000000007</v>
      </c>
      <c r="U154" s="39">
        <f>T154*(1-Inputs!$D$18)</f>
        <v>34239.743999999999</v>
      </c>
      <c r="V154" s="35">
        <f>Inputs!$D$6*F154*Inputs!$D$28*Inputs!$D$31</f>
        <v>618.65468297412497</v>
      </c>
      <c r="W154" s="36">
        <f>V154/(B154*Inputs!$D$34)</f>
        <v>1.1783898723316666</v>
      </c>
      <c r="X154" s="38">
        <f>IF(W154&gt;=1,999,W154/(Inputs!$D$34*(1-W154))*60)</f>
        <v>999</v>
      </c>
      <c r="Y154" s="37">
        <f>MIN(1,MAX(0,(X154-Inputs!$D$36)/(Inputs!$D$37-Inputs!$D$36)))</f>
        <v>1</v>
      </c>
      <c r="Z154" s="35">
        <f>Inputs!$D$6*F154*Inputs!$D$28*(1-Inputs!$D$38*Y154)</f>
        <v>2617.3851971982212</v>
      </c>
      <c r="AA154" s="39">
        <f>Z154*Inputs!$D$13</f>
        <v>22247.774176184881</v>
      </c>
      <c r="AB154" s="39">
        <f>AA154*(1-Inputs!$D$19)</f>
        <v>13348.664505710929</v>
      </c>
      <c r="AC154" s="39">
        <f t="shared" si="8"/>
        <v>239480.29930118489</v>
      </c>
      <c r="AD154" s="39">
        <f t="shared" si="9"/>
        <v>96988.880299460929</v>
      </c>
      <c r="AE154" s="36">
        <f t="shared" si="10"/>
        <v>1.1783898723316666</v>
      </c>
      <c r="AF154" s="35">
        <f>IF(AND(AE154&lt;=Inputs!$D$35,C154&gt;=Inputs!$D$48*(A154+B154+C154),B154*Inputs!$D$22&lt;=Inputs!$D$50*Inputs!$D$8,B154*Inputs!$D$22&gt;=Inputs!$D$49*Inputs!$D$8,A154*Inputs!$D$20&lt;=Inputs!$D$47*Inputs!$D$8,C154&gt;=1),1,0)</f>
        <v>0</v>
      </c>
      <c r="AG154" s="39">
        <f t="shared" si="11"/>
        <v>-1</v>
      </c>
    </row>
    <row r="155" spans="1:33" x14ac:dyDescent="0.25">
      <c r="A155" s="35">
        <v>31</v>
      </c>
      <c r="B155" s="35">
        <v>16</v>
      </c>
      <c r="C155" s="35">
        <f>Inputs!$D$8-A155-Inputs!$D$22*B155</f>
        <v>57</v>
      </c>
      <c r="D155" s="35">
        <f>A155*Inputs!$D$20+C155*Inputs!$D$21+B155*Inputs!$D$22</f>
        <v>120</v>
      </c>
      <c r="E155" s="36">
        <f>MIN(Inputs!$E$15,Inputs!$D$15*(C155/Inputs!$D$43)^Inputs!$D$44)</f>
        <v>0.4</v>
      </c>
      <c r="F155" s="36">
        <f>MIN(Inputs!$E$16,Inputs!$D$16*(B155/Inputs!$D$42)^Inputs!$D$44)</f>
        <v>0.37409937912904856</v>
      </c>
      <c r="G155" s="37">
        <f>Inputs!$D$26*(1+Inputs!$D$41*(B155-Inputs!$D$42))</f>
        <v>1.44</v>
      </c>
      <c r="H155" s="35">
        <f>Inputs!$D$6*Inputs!$D$14*G155*Inputs!$D$29</f>
        <v>1809.2592000000002</v>
      </c>
      <c r="I155" s="36">
        <f>H155/(A155*Inputs!$D$32)</f>
        <v>1.061149090909091</v>
      </c>
      <c r="J155" s="38">
        <f>IF(I155&gt;=1,999,I155/(Inputs!$D$32*(1-I155))*60)</f>
        <v>999</v>
      </c>
      <c r="K155" s="37">
        <f>MIN(1,MAX(0,(J155-Inputs!$D$36)/(Inputs!$D$37-Inputs!$D$36)))</f>
        <v>1</v>
      </c>
      <c r="L155" s="35">
        <f>Inputs!$D$6*Inputs!$D$14*G155*(1-Inputs!$D$38*K155)</f>
        <v>6633.9504000000006</v>
      </c>
      <c r="M155" s="39">
        <f>L155*Inputs!$D$11</f>
        <v>142629.93360000002</v>
      </c>
      <c r="N155" s="39">
        <f>M155*(1-Inputs!$D$17)</f>
        <v>49920.476760000005</v>
      </c>
      <c r="O155" s="35">
        <f>Inputs!$D$6*E155*Inputs!$D$27*Inputs!$D$30</f>
        <v>570.66240000000005</v>
      </c>
      <c r="P155" s="36">
        <f>O155/(C155*Inputs!$D$33)</f>
        <v>0.25029052631578952</v>
      </c>
      <c r="Q155" s="38">
        <f>IF(P155&gt;=1,999,P155/(Inputs!$D$33*(1-P155))*60)</f>
        <v>0.50077503706699034</v>
      </c>
      <c r="R155" s="37">
        <f>MIN(1,MAX(0,(Q155-Inputs!$D$36)/(Inputs!$D$37-Inputs!$D$36)))</f>
        <v>0</v>
      </c>
      <c r="S155" s="35">
        <f>Inputs!$D$6*E155*Inputs!$D$27*(1-Inputs!$D$38*R155)</f>
        <v>4755.5200000000004</v>
      </c>
      <c r="T155" s="39">
        <f>S155*Inputs!$D$12</f>
        <v>76088.320000000007</v>
      </c>
      <c r="U155" s="39">
        <f>T155*(1-Inputs!$D$18)</f>
        <v>34239.743999999999</v>
      </c>
      <c r="V155" s="35">
        <f>Inputs!$D$6*F155*Inputs!$D$28*Inputs!$D$31</f>
        <v>630.74950998177405</v>
      </c>
      <c r="W155" s="36">
        <f>V155/(B155*Inputs!$D$34)</f>
        <v>1.1263384106817393</v>
      </c>
      <c r="X155" s="38">
        <f>IF(W155&gt;=1,999,W155/(Inputs!$D$34*(1-W155))*60)</f>
        <v>999</v>
      </c>
      <c r="Y155" s="37">
        <f>MIN(1,MAX(0,(X155-Inputs!$D$36)/(Inputs!$D$37-Inputs!$D$36)))</f>
        <v>1</v>
      </c>
      <c r="Z155" s="35">
        <f>Inputs!$D$6*F155*Inputs!$D$28*(1-Inputs!$D$38*Y155)</f>
        <v>2668.5556191536598</v>
      </c>
      <c r="AA155" s="39">
        <f>Z155*Inputs!$D$13</f>
        <v>22682.722762806108</v>
      </c>
      <c r="AB155" s="39">
        <f>AA155*(1-Inputs!$D$19)</f>
        <v>13609.633657683664</v>
      </c>
      <c r="AC155" s="39">
        <f t="shared" si="8"/>
        <v>241400.97636280613</v>
      </c>
      <c r="AD155" s="39">
        <f t="shared" si="9"/>
        <v>97769.854417683659</v>
      </c>
      <c r="AE155" s="36">
        <f t="shared" si="10"/>
        <v>1.1263384106817393</v>
      </c>
      <c r="AF155" s="35">
        <f>IF(AND(AE155&lt;=Inputs!$D$35,C155&gt;=Inputs!$D$48*(A155+B155+C155),B155*Inputs!$D$22&lt;=Inputs!$D$50*Inputs!$D$8,B155*Inputs!$D$22&gt;=Inputs!$D$49*Inputs!$D$8,A155*Inputs!$D$20&lt;=Inputs!$D$47*Inputs!$D$8,C155&gt;=1),1,0)</f>
        <v>0</v>
      </c>
      <c r="AG155" s="39">
        <f t="shared" si="11"/>
        <v>-1</v>
      </c>
    </row>
    <row r="156" spans="1:33" x14ac:dyDescent="0.25">
      <c r="A156" s="35">
        <v>31</v>
      </c>
      <c r="B156" s="35">
        <v>17</v>
      </c>
      <c r="C156" s="35">
        <f>Inputs!$D$8-A156-Inputs!$D$22*B156</f>
        <v>55</v>
      </c>
      <c r="D156" s="35">
        <f>A156*Inputs!$D$20+C156*Inputs!$D$21+B156*Inputs!$D$22</f>
        <v>120</v>
      </c>
      <c r="E156" s="36">
        <f>MIN(Inputs!$E$15,Inputs!$D$15*(C156/Inputs!$D$43)^Inputs!$D$44)</f>
        <v>0.4</v>
      </c>
      <c r="F156" s="36">
        <f>MIN(Inputs!$E$16,Inputs!$D$16*(B156/Inputs!$D$42)^Inputs!$D$44)</f>
        <v>0.3809655184437048</v>
      </c>
      <c r="G156" s="37">
        <f>Inputs!$D$26*(1+Inputs!$D$41*(B156-Inputs!$D$42))</f>
        <v>1.4550000000000001</v>
      </c>
      <c r="H156" s="35">
        <f>Inputs!$D$6*Inputs!$D$14*G156*Inputs!$D$29</f>
        <v>1828.1056500000002</v>
      </c>
      <c r="I156" s="36">
        <f>H156/(A156*Inputs!$D$32)</f>
        <v>1.0722027272727275</v>
      </c>
      <c r="J156" s="38">
        <f>IF(I156&gt;=1,999,I156/(Inputs!$D$32*(1-I156))*60)</f>
        <v>999</v>
      </c>
      <c r="K156" s="37">
        <f>MIN(1,MAX(0,(J156-Inputs!$D$36)/(Inputs!$D$37-Inputs!$D$36)))</f>
        <v>1</v>
      </c>
      <c r="L156" s="35">
        <f>Inputs!$D$6*Inputs!$D$14*G156*(1-Inputs!$D$38*K156)</f>
        <v>6703.0540500000006</v>
      </c>
      <c r="M156" s="39">
        <f>L156*Inputs!$D$11</f>
        <v>144115.662075</v>
      </c>
      <c r="N156" s="39">
        <f>M156*(1-Inputs!$D$17)</f>
        <v>50440.48172625</v>
      </c>
      <c r="O156" s="35">
        <f>Inputs!$D$6*E156*Inputs!$D$27*Inputs!$D$30</f>
        <v>570.66240000000005</v>
      </c>
      <c r="P156" s="36">
        <f>O156/(C156*Inputs!$D$33)</f>
        <v>0.25939200000000001</v>
      </c>
      <c r="Q156" s="38">
        <f>IF(P156&gt;=1,999,P156/(Inputs!$D$33*(1-P156))*60)</f>
        <v>0.52536294503975123</v>
      </c>
      <c r="R156" s="37">
        <f>MIN(1,MAX(0,(Q156-Inputs!$D$36)/(Inputs!$D$37-Inputs!$D$36)))</f>
        <v>0</v>
      </c>
      <c r="S156" s="35">
        <f>Inputs!$D$6*E156*Inputs!$D$27*(1-Inputs!$D$38*R156)</f>
        <v>4755.5200000000004</v>
      </c>
      <c r="T156" s="39">
        <f>S156*Inputs!$D$12</f>
        <v>76088.320000000007</v>
      </c>
      <c r="U156" s="39">
        <f>T156*(1-Inputs!$D$18)</f>
        <v>34239.743999999999</v>
      </c>
      <c r="V156" s="35">
        <f>Inputs!$D$6*F156*Inputs!$D$28*Inputs!$D$31</f>
        <v>642.32615044097156</v>
      </c>
      <c r="W156" s="36">
        <f>V156/(B156*Inputs!$D$34)</f>
        <v>1.0795397486402882</v>
      </c>
      <c r="X156" s="38">
        <f>IF(W156&gt;=1,999,W156/(Inputs!$D$34*(1-W156))*60)</f>
        <v>999</v>
      </c>
      <c r="Y156" s="37">
        <f>MIN(1,MAX(0,(X156-Inputs!$D$36)/(Inputs!$D$37-Inputs!$D$36)))</f>
        <v>1</v>
      </c>
      <c r="Z156" s="35">
        <f>Inputs!$D$6*F156*Inputs!$D$28*(1-Inputs!$D$38*Y156)</f>
        <v>2717.5337134041106</v>
      </c>
      <c r="AA156" s="39">
        <f>Z156*Inputs!$D$13</f>
        <v>23099.03656393494</v>
      </c>
      <c r="AB156" s="39">
        <f>AA156*(1-Inputs!$D$19)</f>
        <v>13859.421938360963</v>
      </c>
      <c r="AC156" s="39">
        <f t="shared" si="8"/>
        <v>243303.01863893494</v>
      </c>
      <c r="AD156" s="39">
        <f t="shared" si="9"/>
        <v>98539.647664610966</v>
      </c>
      <c r="AE156" s="36">
        <f t="shared" si="10"/>
        <v>1.0795397486402882</v>
      </c>
      <c r="AF156" s="35">
        <f>IF(AND(AE156&lt;=Inputs!$D$35,C156&gt;=Inputs!$D$48*(A156+B156+C156),B156*Inputs!$D$22&lt;=Inputs!$D$50*Inputs!$D$8,B156*Inputs!$D$22&gt;=Inputs!$D$49*Inputs!$D$8,A156*Inputs!$D$20&lt;=Inputs!$D$47*Inputs!$D$8,C156&gt;=1),1,0)</f>
        <v>0</v>
      </c>
      <c r="AG156" s="39">
        <f t="shared" si="11"/>
        <v>-1</v>
      </c>
    </row>
    <row r="157" spans="1:33" x14ac:dyDescent="0.25">
      <c r="A157" s="35">
        <v>31</v>
      </c>
      <c r="B157" s="35">
        <v>18</v>
      </c>
      <c r="C157" s="35">
        <f>Inputs!$D$8-A157-Inputs!$D$22*B157</f>
        <v>53</v>
      </c>
      <c r="D157" s="35">
        <f>A157*Inputs!$D$20+C157*Inputs!$D$21+B157*Inputs!$D$22</f>
        <v>120</v>
      </c>
      <c r="E157" s="36">
        <f>MIN(Inputs!$E$15,Inputs!$D$15*(C157/Inputs!$D$43)^Inputs!$D$44)</f>
        <v>0.4</v>
      </c>
      <c r="F157" s="36">
        <f>MIN(Inputs!$E$16,Inputs!$D$16*(B157/Inputs!$D$42)^Inputs!$D$44)</f>
        <v>0.38755446447890535</v>
      </c>
      <c r="G157" s="37">
        <f>Inputs!$D$26*(1+Inputs!$D$41*(B157-Inputs!$D$42))</f>
        <v>1.47</v>
      </c>
      <c r="H157" s="35">
        <f>Inputs!$D$6*Inputs!$D$14*G157*Inputs!$D$29</f>
        <v>1846.9521</v>
      </c>
      <c r="I157" s="36">
        <f>H157/(A157*Inputs!$D$32)</f>
        <v>1.0832563636363637</v>
      </c>
      <c r="J157" s="38">
        <f>IF(I157&gt;=1,999,I157/(Inputs!$D$32*(1-I157))*60)</f>
        <v>999</v>
      </c>
      <c r="K157" s="37">
        <f>MIN(1,MAX(0,(J157-Inputs!$D$36)/(Inputs!$D$37-Inputs!$D$36)))</f>
        <v>1</v>
      </c>
      <c r="L157" s="35">
        <f>Inputs!$D$6*Inputs!$D$14*G157*(1-Inputs!$D$38*K157)</f>
        <v>6772.1577000000016</v>
      </c>
      <c r="M157" s="39">
        <f>L157*Inputs!$D$11</f>
        <v>145601.39055000004</v>
      </c>
      <c r="N157" s="39">
        <f>M157*(1-Inputs!$D$17)</f>
        <v>50960.48669250001</v>
      </c>
      <c r="O157" s="35">
        <f>Inputs!$D$6*E157*Inputs!$D$27*Inputs!$D$30</f>
        <v>570.66240000000005</v>
      </c>
      <c r="P157" s="36">
        <f>O157/(C157*Inputs!$D$33)</f>
        <v>0.2691803773584906</v>
      </c>
      <c r="Q157" s="38">
        <f>IF(P157&gt;=1,999,P157/(Inputs!$D$33*(1-P157))*60)</f>
        <v>0.5524900447778458</v>
      </c>
      <c r="R157" s="37">
        <f>MIN(1,MAX(0,(Q157-Inputs!$D$36)/(Inputs!$D$37-Inputs!$D$36)))</f>
        <v>0</v>
      </c>
      <c r="S157" s="35">
        <f>Inputs!$D$6*E157*Inputs!$D$27*(1-Inputs!$D$38*R157)</f>
        <v>4755.5200000000004</v>
      </c>
      <c r="T157" s="39">
        <f>S157*Inputs!$D$12</f>
        <v>76088.320000000007</v>
      </c>
      <c r="U157" s="39">
        <f>T157*(1-Inputs!$D$18)</f>
        <v>34239.743999999999</v>
      </c>
      <c r="V157" s="35">
        <f>Inputs!$D$6*F157*Inputs!$D$28*Inputs!$D$31</f>
        <v>653.43542972572936</v>
      </c>
      <c r="W157" s="36">
        <f>V157/(B157*Inputs!$D$34)</f>
        <v>1.037199094802745</v>
      </c>
      <c r="X157" s="38">
        <f>IF(W157&gt;=1,999,W157/(Inputs!$D$34*(1-W157))*60)</f>
        <v>999</v>
      </c>
      <c r="Y157" s="37">
        <f>MIN(1,MAX(0,(X157-Inputs!$D$36)/(Inputs!$D$37-Inputs!$D$36)))</f>
        <v>1</v>
      </c>
      <c r="Z157" s="35">
        <f>Inputs!$D$6*F157*Inputs!$D$28*(1-Inputs!$D$38*Y157)</f>
        <v>2764.534510378086</v>
      </c>
      <c r="AA157" s="39">
        <f>Z157*Inputs!$D$13</f>
        <v>23498.543338213731</v>
      </c>
      <c r="AB157" s="39">
        <f>AA157*(1-Inputs!$D$19)</f>
        <v>14099.126002928238</v>
      </c>
      <c r="AC157" s="39">
        <f t="shared" si="8"/>
        <v>245188.25388821377</v>
      </c>
      <c r="AD157" s="39">
        <f t="shared" si="9"/>
        <v>99299.356695428258</v>
      </c>
      <c r="AE157" s="36">
        <f t="shared" si="10"/>
        <v>1.0832563636363637</v>
      </c>
      <c r="AF157" s="35">
        <f>IF(AND(AE157&lt;=Inputs!$D$35,C157&gt;=Inputs!$D$48*(A157+B157+C157),B157*Inputs!$D$22&lt;=Inputs!$D$50*Inputs!$D$8,B157*Inputs!$D$22&gt;=Inputs!$D$49*Inputs!$D$8,A157*Inputs!$D$20&lt;=Inputs!$D$47*Inputs!$D$8,C157&gt;=1),1,0)</f>
        <v>0</v>
      </c>
      <c r="AG157" s="39">
        <f t="shared" si="11"/>
        <v>-1</v>
      </c>
    </row>
    <row r="158" spans="1:33" x14ac:dyDescent="0.25">
      <c r="A158" s="35">
        <v>31</v>
      </c>
      <c r="B158" s="35">
        <v>19</v>
      </c>
      <c r="C158" s="35">
        <f>Inputs!$D$8-A158-Inputs!$D$22*B158</f>
        <v>51</v>
      </c>
      <c r="D158" s="35">
        <f>A158*Inputs!$D$20+C158*Inputs!$D$21+B158*Inputs!$D$22</f>
        <v>120</v>
      </c>
      <c r="E158" s="36">
        <f>MIN(Inputs!$E$15,Inputs!$D$15*(C158/Inputs!$D$43)^Inputs!$D$44)</f>
        <v>0.4</v>
      </c>
      <c r="F158" s="36">
        <f>MIN(Inputs!$E$16,Inputs!$D$16*(B158/Inputs!$D$42)^Inputs!$D$44)</f>
        <v>0.39389192072703005</v>
      </c>
      <c r="G158" s="37">
        <f>Inputs!$D$26*(1+Inputs!$D$41*(B158-Inputs!$D$42))</f>
        <v>1.4849999999999999</v>
      </c>
      <c r="H158" s="35">
        <f>Inputs!$D$6*Inputs!$D$14*G158*Inputs!$D$29</f>
        <v>1865.7985499999998</v>
      </c>
      <c r="I158" s="36">
        <f>H158/(A158*Inputs!$D$32)</f>
        <v>1.0943099999999999</v>
      </c>
      <c r="J158" s="38">
        <f>IF(I158&gt;=1,999,I158/(Inputs!$D$32*(1-I158))*60)</f>
        <v>999</v>
      </c>
      <c r="K158" s="37">
        <f>MIN(1,MAX(0,(J158-Inputs!$D$36)/(Inputs!$D$37-Inputs!$D$36)))</f>
        <v>1</v>
      </c>
      <c r="L158" s="35">
        <f>Inputs!$D$6*Inputs!$D$14*G158*(1-Inputs!$D$38*K158)</f>
        <v>6841.2613499999998</v>
      </c>
      <c r="M158" s="39">
        <f>L158*Inputs!$D$11</f>
        <v>147087.11902499999</v>
      </c>
      <c r="N158" s="39">
        <f>M158*(1-Inputs!$D$17)</f>
        <v>51480.491658749997</v>
      </c>
      <c r="O158" s="35">
        <f>Inputs!$D$6*E158*Inputs!$D$27*Inputs!$D$30</f>
        <v>570.66240000000005</v>
      </c>
      <c r="P158" s="36">
        <f>O158/(C158*Inputs!$D$33)</f>
        <v>0.27973647058823531</v>
      </c>
      <c r="Q158" s="38">
        <f>IF(P158&gt;=1,999,P158/(Inputs!$D$33*(1-P158))*60)</f>
        <v>0.5825710850930379</v>
      </c>
      <c r="R158" s="37">
        <f>MIN(1,MAX(0,(Q158-Inputs!$D$36)/(Inputs!$D$37-Inputs!$D$36)))</f>
        <v>0</v>
      </c>
      <c r="S158" s="35">
        <f>Inputs!$D$6*E158*Inputs!$D$27*(1-Inputs!$D$38*R158)</f>
        <v>4755.5200000000004</v>
      </c>
      <c r="T158" s="39">
        <f>S158*Inputs!$D$12</f>
        <v>76088.320000000007</v>
      </c>
      <c r="U158" s="39">
        <f>T158*(1-Inputs!$D$18)</f>
        <v>34239.743999999999</v>
      </c>
      <c r="V158" s="35">
        <f>Inputs!$D$6*F158*Inputs!$D$28*Inputs!$D$31</f>
        <v>664.12068515796761</v>
      </c>
      <c r="W158" s="36">
        <f>V158/(B158*Inputs!$D$34)</f>
        <v>0.99867772204205651</v>
      </c>
      <c r="X158" s="38">
        <f>IF(W158&gt;=1,999,W158/(Inputs!$D$34*(1-W158))*60)</f>
        <v>1294.749671797274</v>
      </c>
      <c r="Y158" s="37">
        <f>MIN(1,MAX(0,(X158-Inputs!$D$36)/(Inputs!$D$37-Inputs!$D$36)))</f>
        <v>1</v>
      </c>
      <c r="Z158" s="35">
        <f>Inputs!$D$6*F158*Inputs!$D$28*(1-Inputs!$D$38*Y158)</f>
        <v>2809.7413602837091</v>
      </c>
      <c r="AA158" s="39">
        <f>Z158*Inputs!$D$13</f>
        <v>23882.801562411529</v>
      </c>
      <c r="AB158" s="39">
        <f>AA158*(1-Inputs!$D$19)</f>
        <v>14329.680937446918</v>
      </c>
      <c r="AC158" s="39">
        <f t="shared" si="8"/>
        <v>247058.24058741154</v>
      </c>
      <c r="AD158" s="39">
        <f t="shared" si="9"/>
        <v>100049.91659619691</v>
      </c>
      <c r="AE158" s="36">
        <f t="shared" si="10"/>
        <v>1.0943099999999999</v>
      </c>
      <c r="AF158" s="35">
        <f>IF(AND(AE158&lt;=Inputs!$D$35,C158&gt;=Inputs!$D$48*(A158+B158+C158),B158*Inputs!$D$22&lt;=Inputs!$D$50*Inputs!$D$8,B158*Inputs!$D$22&gt;=Inputs!$D$49*Inputs!$D$8,A158*Inputs!$D$20&lt;=Inputs!$D$47*Inputs!$D$8,C158&gt;=1),1,0)</f>
        <v>0</v>
      </c>
      <c r="AG158" s="39">
        <f t="shared" si="11"/>
        <v>-1</v>
      </c>
    </row>
    <row r="159" spans="1:33" x14ac:dyDescent="0.25">
      <c r="A159" s="35">
        <v>31</v>
      </c>
      <c r="B159" s="35">
        <v>20</v>
      </c>
      <c r="C159" s="35">
        <f>Inputs!$D$8-A159-Inputs!$D$22*B159</f>
        <v>49</v>
      </c>
      <c r="D159" s="35">
        <f>A159*Inputs!$D$20+C159*Inputs!$D$21+B159*Inputs!$D$22</f>
        <v>120</v>
      </c>
      <c r="E159" s="36">
        <f>MIN(Inputs!$E$15,Inputs!$D$15*(C159/Inputs!$D$43)^Inputs!$D$44)</f>
        <v>0.39770420454194916</v>
      </c>
      <c r="F159" s="36">
        <f>MIN(Inputs!$E$16,Inputs!$D$16*(B159/Inputs!$D$42)^Inputs!$D$44)</f>
        <v>0.4</v>
      </c>
      <c r="G159" s="37">
        <f>Inputs!$D$26*(1+Inputs!$D$41*(B159-Inputs!$D$42))</f>
        <v>1.5</v>
      </c>
      <c r="H159" s="35">
        <f>Inputs!$D$6*Inputs!$D$14*G159*Inputs!$D$29</f>
        <v>1884.645</v>
      </c>
      <c r="I159" s="36">
        <f>H159/(A159*Inputs!$D$32)</f>
        <v>1.1053636363636363</v>
      </c>
      <c r="J159" s="38">
        <f>IF(I159&gt;=1,999,I159/(Inputs!$D$32*(1-I159))*60)</f>
        <v>999</v>
      </c>
      <c r="K159" s="37">
        <f>MIN(1,MAX(0,(J159-Inputs!$D$36)/(Inputs!$D$37-Inputs!$D$36)))</f>
        <v>1</v>
      </c>
      <c r="L159" s="35">
        <f>Inputs!$D$6*Inputs!$D$14*G159*(1-Inputs!$D$38*K159)</f>
        <v>6910.3650000000016</v>
      </c>
      <c r="M159" s="39">
        <f>L159*Inputs!$D$11</f>
        <v>148572.84750000003</v>
      </c>
      <c r="N159" s="39">
        <f>M159*(1-Inputs!$D$17)</f>
        <v>52000.496625000007</v>
      </c>
      <c r="O159" s="35">
        <f>Inputs!$D$6*E159*Inputs!$D$27*Inputs!$D$30</f>
        <v>567.38708963499903</v>
      </c>
      <c r="P159" s="36">
        <f>O159/(C159*Inputs!$D$33)</f>
        <v>0.2894832089974485</v>
      </c>
      <c r="Q159" s="38">
        <f>IF(P159&gt;=1,999,P159/(Inputs!$D$33*(1-P159))*60)</f>
        <v>0.61113941147467321</v>
      </c>
      <c r="R159" s="37">
        <f>MIN(1,MAX(0,(Q159-Inputs!$D$36)/(Inputs!$D$37-Inputs!$D$36)))</f>
        <v>0</v>
      </c>
      <c r="S159" s="35">
        <f>Inputs!$D$6*E159*Inputs!$D$27*(1-Inputs!$D$38*R159)</f>
        <v>4728.2257469583255</v>
      </c>
      <c r="T159" s="39">
        <f>S159*Inputs!$D$12</f>
        <v>75651.611951333209</v>
      </c>
      <c r="U159" s="39">
        <f>T159*(1-Inputs!$D$18)</f>
        <v>34043.225378099938</v>
      </c>
      <c r="V159" s="35">
        <f>Inputs!$D$6*F159*Inputs!$D$28*Inputs!$D$31</f>
        <v>674.41919999999993</v>
      </c>
      <c r="W159" s="36">
        <f>V159/(B159*Inputs!$D$34)</f>
        <v>0.96345599999999987</v>
      </c>
      <c r="X159" s="38">
        <f>IF(W159&gt;=1,999,W159/(Inputs!$D$34*(1-W159))*60)</f>
        <v>45.195896922691851</v>
      </c>
      <c r="Y159" s="37">
        <f>MIN(1,MAX(0,(X159-Inputs!$D$36)/(Inputs!$D$37-Inputs!$D$36)))</f>
        <v>1</v>
      </c>
      <c r="Z159" s="35">
        <f>Inputs!$D$6*F159*Inputs!$D$28*(1-Inputs!$D$38*Y159)</f>
        <v>2853.3119999999999</v>
      </c>
      <c r="AA159" s="39">
        <f>Z159*Inputs!$D$13</f>
        <v>24253.151999999998</v>
      </c>
      <c r="AB159" s="39">
        <f>AA159*(1-Inputs!$D$19)</f>
        <v>14551.891199999998</v>
      </c>
      <c r="AC159" s="39">
        <f t="shared" si="8"/>
        <v>248477.61145133324</v>
      </c>
      <c r="AD159" s="39">
        <f t="shared" si="9"/>
        <v>100595.61320309994</v>
      </c>
      <c r="AE159" s="36">
        <f t="shared" si="10"/>
        <v>1.1053636363636363</v>
      </c>
      <c r="AF159" s="35">
        <f>IF(AND(AE159&lt;=Inputs!$D$35,C159&gt;=Inputs!$D$48*(A159+B159+C159),B159*Inputs!$D$22&lt;=Inputs!$D$50*Inputs!$D$8,B159*Inputs!$D$22&gt;=Inputs!$D$49*Inputs!$D$8,A159*Inputs!$D$20&lt;=Inputs!$D$47*Inputs!$D$8,C159&gt;=1),1,0)</f>
        <v>0</v>
      </c>
      <c r="AG159" s="39">
        <f t="shared" si="11"/>
        <v>-1</v>
      </c>
    </row>
    <row r="160" spans="1:33" x14ac:dyDescent="0.25">
      <c r="A160" s="35">
        <v>31</v>
      </c>
      <c r="B160" s="35">
        <v>21</v>
      </c>
      <c r="C160" s="35">
        <f>Inputs!$D$8-A160-Inputs!$D$22*B160</f>
        <v>47</v>
      </c>
      <c r="D160" s="35">
        <f>A160*Inputs!$D$20+C160*Inputs!$D$21+B160*Inputs!$D$22</f>
        <v>120</v>
      </c>
      <c r="E160" s="36">
        <f>MIN(Inputs!$E$15,Inputs!$D$15*(C160/Inputs!$D$43)^Inputs!$D$44)</f>
        <v>0.39276313309091065</v>
      </c>
      <c r="F160" s="36">
        <f>MIN(Inputs!$E$16,Inputs!$D$16*(B160/Inputs!$D$42)^Inputs!$D$44)</f>
        <v>0.40589787816896217</v>
      </c>
      <c r="G160" s="37">
        <f>Inputs!$D$26*(1+Inputs!$D$41*(B160-Inputs!$D$42))</f>
        <v>1.5150000000000001</v>
      </c>
      <c r="H160" s="35">
        <f>Inputs!$D$6*Inputs!$D$14*G160*Inputs!$D$29</f>
        <v>1903.4914500000004</v>
      </c>
      <c r="I160" s="36">
        <f>H160/(A160*Inputs!$D$32)</f>
        <v>1.116417272727273</v>
      </c>
      <c r="J160" s="38">
        <f>IF(I160&gt;=1,999,I160/(Inputs!$D$32*(1-I160))*60)</f>
        <v>999</v>
      </c>
      <c r="K160" s="37">
        <f>MIN(1,MAX(0,(J160-Inputs!$D$36)/(Inputs!$D$37-Inputs!$D$36)))</f>
        <v>1</v>
      </c>
      <c r="L160" s="35">
        <f>Inputs!$D$6*Inputs!$D$14*G160*(1-Inputs!$D$38*K160)</f>
        <v>6979.4686500000025</v>
      </c>
      <c r="M160" s="39">
        <f>L160*Inputs!$D$11</f>
        <v>150058.57597500004</v>
      </c>
      <c r="N160" s="39">
        <f>M160*(1-Inputs!$D$17)</f>
        <v>52520.501591250009</v>
      </c>
      <c r="O160" s="35">
        <f>Inputs!$D$6*E160*Inputs!$D$27*Inputs!$D$30</f>
        <v>560.33788040294633</v>
      </c>
      <c r="P160" s="36">
        <f>O160/(C160*Inputs!$D$33)</f>
        <v>0.29805206404412038</v>
      </c>
      <c r="Q160" s="38">
        <f>IF(P160&gt;=1,999,P160/(Inputs!$D$33*(1-P160))*60)</f>
        <v>0.63691062138016075</v>
      </c>
      <c r="R160" s="37">
        <f>MIN(1,MAX(0,(Q160-Inputs!$D$36)/(Inputs!$D$37-Inputs!$D$36)))</f>
        <v>0</v>
      </c>
      <c r="S160" s="35">
        <f>Inputs!$D$6*E160*Inputs!$D$27*(1-Inputs!$D$38*R160)</f>
        <v>4669.4823366912196</v>
      </c>
      <c r="T160" s="39">
        <f>S160*Inputs!$D$12</f>
        <v>74711.717387059514</v>
      </c>
      <c r="U160" s="39">
        <f>T160*(1-Inputs!$D$18)</f>
        <v>33620.272824176776</v>
      </c>
      <c r="V160" s="35">
        <f>Inputs!$D$6*F160*Inputs!$D$28*Inputs!$D$31</f>
        <v>684.36330569102222</v>
      </c>
      <c r="W160" s="36">
        <f>V160/(B160*Inputs!$D$34)</f>
        <v>0.93110653835513224</v>
      </c>
      <c r="X160" s="38">
        <f>IF(W160&gt;=1,999,W160/(Inputs!$D$34*(1-W160))*60)</f>
        <v>23.16885520150278</v>
      </c>
      <c r="Y160" s="37">
        <f>MIN(1,MAX(0,(X160-Inputs!$D$36)/(Inputs!$D$37-Inputs!$D$36)))</f>
        <v>1</v>
      </c>
      <c r="Z160" s="35">
        <f>Inputs!$D$6*F160*Inputs!$D$28*(1-Inputs!$D$38*Y160)</f>
        <v>2895.3832163850943</v>
      </c>
      <c r="AA160" s="39">
        <f>Z160*Inputs!$D$13</f>
        <v>24610.757339273303</v>
      </c>
      <c r="AB160" s="39">
        <f>AA160*(1-Inputs!$D$19)</f>
        <v>14766.454403563981</v>
      </c>
      <c r="AC160" s="39">
        <f t="shared" si="8"/>
        <v>249381.05070133286</v>
      </c>
      <c r="AD160" s="39">
        <f t="shared" si="9"/>
        <v>100907.22881899077</v>
      </c>
      <c r="AE160" s="36">
        <f t="shared" si="10"/>
        <v>1.116417272727273</v>
      </c>
      <c r="AF160" s="35">
        <f>IF(AND(AE160&lt;=Inputs!$D$35,C160&gt;=Inputs!$D$48*(A160+B160+C160),B160*Inputs!$D$22&lt;=Inputs!$D$50*Inputs!$D$8,B160*Inputs!$D$22&gt;=Inputs!$D$49*Inputs!$D$8,A160*Inputs!$D$20&lt;=Inputs!$D$47*Inputs!$D$8,C160&gt;=1),1,0)</f>
        <v>0</v>
      </c>
      <c r="AG160" s="39">
        <f t="shared" si="11"/>
        <v>-1</v>
      </c>
    </row>
    <row r="161" spans="1:33" x14ac:dyDescent="0.25">
      <c r="A161" s="35">
        <v>31</v>
      </c>
      <c r="B161" s="35">
        <v>22</v>
      </c>
      <c r="C161" s="35">
        <f>Inputs!$D$8-A161-Inputs!$D$22*B161</f>
        <v>45</v>
      </c>
      <c r="D161" s="35">
        <f>A161*Inputs!$D$20+C161*Inputs!$D$21+B161*Inputs!$D$22</f>
        <v>120</v>
      </c>
      <c r="E161" s="36">
        <f>MIN(Inputs!$E$15,Inputs!$D$15*(C161/Inputs!$D$43)^Inputs!$D$44)</f>
        <v>0.38767260497069417</v>
      </c>
      <c r="F161" s="36">
        <f>MIN(Inputs!$E$16,Inputs!$D$16*(B161/Inputs!$D$42)^Inputs!$D$44)</f>
        <v>0.41160230376843804</v>
      </c>
      <c r="G161" s="37">
        <f>Inputs!$D$26*(1+Inputs!$D$41*(B161-Inputs!$D$42))</f>
        <v>1.53</v>
      </c>
      <c r="H161" s="35">
        <f>Inputs!$D$6*Inputs!$D$14*G161*Inputs!$D$29</f>
        <v>1922.3379</v>
      </c>
      <c r="I161" s="36">
        <f>H161/(A161*Inputs!$D$32)</f>
        <v>1.1274709090909092</v>
      </c>
      <c r="J161" s="38">
        <f>IF(I161&gt;=1,999,I161/(Inputs!$D$32*(1-I161))*60)</f>
        <v>999</v>
      </c>
      <c r="K161" s="37">
        <f>MIN(1,MAX(0,(J161-Inputs!$D$36)/(Inputs!$D$37-Inputs!$D$36)))</f>
        <v>1</v>
      </c>
      <c r="L161" s="35">
        <f>Inputs!$D$6*Inputs!$D$14*G161*(1-Inputs!$D$38*K161)</f>
        <v>7048.5723000000016</v>
      </c>
      <c r="M161" s="39">
        <f>L161*Inputs!$D$11</f>
        <v>151544.30445000003</v>
      </c>
      <c r="N161" s="39">
        <f>M161*(1-Inputs!$D$17)</f>
        <v>53040.506557500004</v>
      </c>
      <c r="O161" s="35">
        <f>Inputs!$D$6*E161*Inputs!$D$27*Inputs!$D$30</f>
        <v>553.07544791707073</v>
      </c>
      <c r="P161" s="36">
        <f>O161/(C161*Inputs!$D$33)</f>
        <v>0.30726413773170597</v>
      </c>
      <c r="Q161" s="38">
        <f>IF(P161&gt;=1,999,P161/(Inputs!$D$33*(1-P161))*60)</f>
        <v>0.66532748151423926</v>
      </c>
      <c r="R161" s="37">
        <f>MIN(1,MAX(0,(Q161-Inputs!$D$36)/(Inputs!$D$37-Inputs!$D$36)))</f>
        <v>0</v>
      </c>
      <c r="S161" s="35">
        <f>Inputs!$D$6*E161*Inputs!$D$27*(1-Inputs!$D$38*R161)</f>
        <v>4608.9620659755892</v>
      </c>
      <c r="T161" s="39">
        <f>S161*Inputs!$D$12</f>
        <v>73743.393055609427</v>
      </c>
      <c r="U161" s="39">
        <f>T161*(1-Inputs!$D$18)</f>
        <v>33184.526875024239</v>
      </c>
      <c r="V161" s="35">
        <f>Inputs!$D$6*F161*Inputs!$D$28*Inputs!$D$31</f>
        <v>693.98124106416742</v>
      </c>
      <c r="W161" s="36">
        <f>V161/(B161*Inputs!$D$34)</f>
        <v>0.90127433904437326</v>
      </c>
      <c r="X161" s="38">
        <f>IF(W161&gt;=1,999,W161/(Inputs!$D$34*(1-W161))*60)</f>
        <v>15.649849381818807</v>
      </c>
      <c r="Y161" s="37">
        <f>MIN(1,MAX(0,(X161-Inputs!$D$36)/(Inputs!$D$37-Inputs!$D$36)))</f>
        <v>0.70998995878792048</v>
      </c>
      <c r="Z161" s="35">
        <f>Inputs!$D$6*F161*Inputs!$D$28*(1-Inputs!$D$38*Y161)</f>
        <v>3632.749002537963</v>
      </c>
      <c r="AA161" s="39">
        <f>Z161*Inputs!$D$13</f>
        <v>30878.366521572687</v>
      </c>
      <c r="AB161" s="39">
        <f>AA161*(1-Inputs!$D$19)</f>
        <v>18527.019912943611</v>
      </c>
      <c r="AC161" s="39">
        <f t="shared" si="8"/>
        <v>256166.06402718215</v>
      </c>
      <c r="AD161" s="39">
        <f t="shared" si="9"/>
        <v>104752.05334546785</v>
      </c>
      <c r="AE161" s="36">
        <f t="shared" si="10"/>
        <v>1.1274709090909092</v>
      </c>
      <c r="AF161" s="35">
        <f>IF(AND(AE161&lt;=Inputs!$D$35,C161&gt;=Inputs!$D$48*(A161+B161+C161),B161*Inputs!$D$22&lt;=Inputs!$D$50*Inputs!$D$8,B161*Inputs!$D$22&gt;=Inputs!$D$49*Inputs!$D$8,A161*Inputs!$D$20&lt;=Inputs!$D$47*Inputs!$D$8,C161&gt;=1),1,0)</f>
        <v>0</v>
      </c>
      <c r="AG161" s="39">
        <f t="shared" si="11"/>
        <v>-1</v>
      </c>
    </row>
    <row r="162" spans="1:33" x14ac:dyDescent="0.25">
      <c r="A162" s="35">
        <v>31</v>
      </c>
      <c r="B162" s="35">
        <v>23</v>
      </c>
      <c r="C162" s="35">
        <f>Inputs!$D$8-A162-Inputs!$D$22*B162</f>
        <v>43</v>
      </c>
      <c r="D162" s="35">
        <f>A162*Inputs!$D$20+C162*Inputs!$D$21+B162*Inputs!$D$22</f>
        <v>120</v>
      </c>
      <c r="E162" s="36">
        <f>MIN(Inputs!$E$15,Inputs!$D$15*(C162/Inputs!$D$43)^Inputs!$D$44)</f>
        <v>0.38242114286867052</v>
      </c>
      <c r="F162" s="36">
        <f>MIN(Inputs!$E$16,Inputs!$D$16*(B162/Inputs!$D$42)^Inputs!$D$44)</f>
        <v>0.41712800028621322</v>
      </c>
      <c r="G162" s="37">
        <f>Inputs!$D$26*(1+Inputs!$D$41*(B162-Inputs!$D$42))</f>
        <v>1.5449999999999999</v>
      </c>
      <c r="H162" s="35">
        <f>Inputs!$D$6*Inputs!$D$14*G162*Inputs!$D$29</f>
        <v>1941.18435</v>
      </c>
      <c r="I162" s="36">
        <f>H162/(A162*Inputs!$D$32)</f>
        <v>1.1385245454545454</v>
      </c>
      <c r="J162" s="38">
        <f>IF(I162&gt;=1,999,I162/(Inputs!$D$32*(1-I162))*60)</f>
        <v>999</v>
      </c>
      <c r="K162" s="37">
        <f>MIN(1,MAX(0,(J162-Inputs!$D$36)/(Inputs!$D$37-Inputs!$D$36)))</f>
        <v>1</v>
      </c>
      <c r="L162" s="35">
        <f>Inputs!$D$6*Inputs!$D$14*G162*(1-Inputs!$D$38*K162)</f>
        <v>7117.6759500000016</v>
      </c>
      <c r="M162" s="39">
        <f>L162*Inputs!$D$11</f>
        <v>153030.03292500004</v>
      </c>
      <c r="N162" s="39">
        <f>M162*(1-Inputs!$D$17)</f>
        <v>53560.511523750007</v>
      </c>
      <c r="O162" s="35">
        <f>Inputs!$D$6*E162*Inputs!$D$27*Inputs!$D$30</f>
        <v>545.58341800044604</v>
      </c>
      <c r="P162" s="36">
        <f>O162/(C162*Inputs!$D$33)</f>
        <v>0.31719966162816632</v>
      </c>
      <c r="Q162" s="38">
        <f>IF(P162&gt;=1,999,P162/(Inputs!$D$33*(1-P162))*60)</f>
        <v>0.69683546668534679</v>
      </c>
      <c r="R162" s="37">
        <f>MIN(1,MAX(0,(Q162-Inputs!$D$36)/(Inputs!$D$37-Inputs!$D$36)))</f>
        <v>0</v>
      </c>
      <c r="S162" s="35">
        <f>Inputs!$D$6*E162*Inputs!$D$27*(1-Inputs!$D$38*R162)</f>
        <v>4546.5284833370506</v>
      </c>
      <c r="T162" s="39">
        <f>S162*Inputs!$D$12</f>
        <v>72744.45573339281</v>
      </c>
      <c r="U162" s="39">
        <f>T162*(1-Inputs!$D$18)</f>
        <v>32735.00508002676</v>
      </c>
      <c r="V162" s="35">
        <f>Inputs!$D$6*F162*Inputs!$D$28*Inputs!$D$31</f>
        <v>703.29783062656929</v>
      </c>
      <c r="W162" s="36">
        <f>V162/(B162*Inputs!$D$34)</f>
        <v>0.87366190139946498</v>
      </c>
      <c r="X162" s="38">
        <f>IF(W162&gt;=1,999,W162/(Inputs!$D$34*(1-W162))*60)</f>
        <v>11.854746377182334</v>
      </c>
      <c r="Y162" s="37">
        <f>MIN(1,MAX(0,(X162-Inputs!$D$36)/(Inputs!$D$37-Inputs!$D$36)))</f>
        <v>0.45698309181215557</v>
      </c>
      <c r="Z162" s="35">
        <f>Inputs!$D$6*F162*Inputs!$D$28*(1-Inputs!$D$38*Y162)</f>
        <v>4297.4614071503011</v>
      </c>
      <c r="AA162" s="39">
        <f>Z162*Inputs!$D$13</f>
        <v>36528.421960777559</v>
      </c>
      <c r="AB162" s="39">
        <f>AA162*(1-Inputs!$D$19)</f>
        <v>21917.053176466536</v>
      </c>
      <c r="AC162" s="39">
        <f t="shared" si="8"/>
        <v>262302.9106191704</v>
      </c>
      <c r="AD162" s="39">
        <f t="shared" si="9"/>
        <v>108212.5697802433</v>
      </c>
      <c r="AE162" s="36">
        <f t="shared" si="10"/>
        <v>1.1385245454545454</v>
      </c>
      <c r="AF162" s="35">
        <f>IF(AND(AE162&lt;=Inputs!$D$35,C162&gt;=Inputs!$D$48*(A162+B162+C162),B162*Inputs!$D$22&lt;=Inputs!$D$50*Inputs!$D$8,B162*Inputs!$D$22&gt;=Inputs!$D$49*Inputs!$D$8,A162*Inputs!$D$20&lt;=Inputs!$D$47*Inputs!$D$8,C162&gt;=1),1,0)</f>
        <v>0</v>
      </c>
      <c r="AG162" s="39">
        <f t="shared" si="11"/>
        <v>-1</v>
      </c>
    </row>
    <row r="163" spans="1:33" x14ac:dyDescent="0.25">
      <c r="A163" s="35">
        <v>31</v>
      </c>
      <c r="B163" s="35">
        <v>24</v>
      </c>
      <c r="C163" s="35">
        <f>Inputs!$D$8-A163-Inputs!$D$22*B163</f>
        <v>41</v>
      </c>
      <c r="D163" s="35">
        <f>A163*Inputs!$D$20+C163*Inputs!$D$21+B163*Inputs!$D$22</f>
        <v>120</v>
      </c>
      <c r="E163" s="36">
        <f>MIN(Inputs!$E$15,Inputs!$D$15*(C163/Inputs!$D$43)^Inputs!$D$44)</f>
        <v>0.37699580304543617</v>
      </c>
      <c r="F163" s="36">
        <f>MIN(Inputs!$E$16,Inputs!$D$16*(B163/Inputs!$D$42)^Inputs!$D$44)</f>
        <v>0.42248798737570326</v>
      </c>
      <c r="G163" s="37">
        <f>Inputs!$D$26*(1+Inputs!$D$41*(B163-Inputs!$D$42))</f>
        <v>1.56</v>
      </c>
      <c r="H163" s="35">
        <f>Inputs!$D$6*Inputs!$D$14*G163*Inputs!$D$29</f>
        <v>1960.0308</v>
      </c>
      <c r="I163" s="36">
        <f>H163/(A163*Inputs!$D$32)</f>
        <v>1.1495781818181818</v>
      </c>
      <c r="J163" s="38">
        <f>IF(I163&gt;=1,999,I163/(Inputs!$D$32*(1-I163))*60)</f>
        <v>999</v>
      </c>
      <c r="K163" s="37">
        <f>MIN(1,MAX(0,(J163-Inputs!$D$36)/(Inputs!$D$37-Inputs!$D$36)))</f>
        <v>1</v>
      </c>
      <c r="L163" s="35">
        <f>Inputs!$D$6*Inputs!$D$14*G163*(1-Inputs!$D$38*K163)</f>
        <v>7186.7796000000017</v>
      </c>
      <c r="M163" s="39">
        <f>L163*Inputs!$D$11</f>
        <v>154515.76140000005</v>
      </c>
      <c r="N163" s="39">
        <f>M163*(1-Inputs!$D$17)</f>
        <v>54080.516490000016</v>
      </c>
      <c r="O163" s="35">
        <f>Inputs!$D$6*E163*Inputs!$D$27*Inputs!$D$30</f>
        <v>537.84332438958984</v>
      </c>
      <c r="P163" s="36">
        <f>O163/(C163*Inputs!$D$33)</f>
        <v>0.3279532465790182</v>
      </c>
      <c r="Q163" s="38">
        <f>IF(P163&gt;=1,999,P163/(Inputs!$D$33*(1-P163))*60)</f>
        <v>0.73198756985940516</v>
      </c>
      <c r="R163" s="37">
        <f>MIN(1,MAX(0,(Q163-Inputs!$D$36)/(Inputs!$D$37-Inputs!$D$36)))</f>
        <v>0</v>
      </c>
      <c r="S163" s="35">
        <f>Inputs!$D$6*E163*Inputs!$D$27*(1-Inputs!$D$38*R163)</f>
        <v>4482.027703246582</v>
      </c>
      <c r="T163" s="39">
        <f>S163*Inputs!$D$12</f>
        <v>71712.443251945311</v>
      </c>
      <c r="U163" s="39">
        <f>T163*(1-Inputs!$D$18)</f>
        <v>32270.599463375387</v>
      </c>
      <c r="V163" s="35">
        <f>Inputs!$D$6*F163*Inputs!$D$28*Inputs!$D$31</f>
        <v>712.33502613882979</v>
      </c>
      <c r="W163" s="36">
        <f>V163/(B163*Inputs!$D$34)</f>
        <v>0.84801788826051161</v>
      </c>
      <c r="X163" s="38">
        <f>IF(W163&gt;=1,999,W163/(Inputs!$D$34*(1-W163))*60)</f>
        <v>9.5652372155190832</v>
      </c>
      <c r="Y163" s="37">
        <f>MIN(1,MAX(0,(X163-Inputs!$D$36)/(Inputs!$D$37-Inputs!$D$36)))</f>
        <v>0.30434914770127219</v>
      </c>
      <c r="Z163" s="35">
        <f>Inputs!$D$6*F163*Inputs!$D$28*(1-Inputs!$D$38*Y163)</f>
        <v>4729.0436538571339</v>
      </c>
      <c r="AA163" s="39">
        <f>Z163*Inputs!$D$13</f>
        <v>40196.87105778564</v>
      </c>
      <c r="AB163" s="39">
        <f>AA163*(1-Inputs!$D$19)</f>
        <v>24118.122634671385</v>
      </c>
      <c r="AC163" s="39">
        <f t="shared" si="8"/>
        <v>266425.07570973097</v>
      </c>
      <c r="AD163" s="39">
        <f t="shared" si="9"/>
        <v>110469.23858804679</v>
      </c>
      <c r="AE163" s="36">
        <f t="shared" si="10"/>
        <v>1.1495781818181818</v>
      </c>
      <c r="AF163" s="35">
        <f>IF(AND(AE163&lt;=Inputs!$D$35,C163&gt;=Inputs!$D$48*(A163+B163+C163),B163*Inputs!$D$22&lt;=Inputs!$D$50*Inputs!$D$8,B163*Inputs!$D$22&gt;=Inputs!$D$49*Inputs!$D$8,A163*Inputs!$D$20&lt;=Inputs!$D$47*Inputs!$D$8,C163&gt;=1),1,0)</f>
        <v>0</v>
      </c>
      <c r="AG163" s="39">
        <f t="shared" si="11"/>
        <v>-1</v>
      </c>
    </row>
    <row r="164" spans="1:33" x14ac:dyDescent="0.25">
      <c r="A164" s="35">
        <v>31</v>
      </c>
      <c r="B164" s="35">
        <v>25</v>
      </c>
      <c r="C164" s="35">
        <f>Inputs!$D$8-A164-Inputs!$D$22*B164</f>
        <v>39</v>
      </c>
      <c r="D164" s="35">
        <f>A164*Inputs!$D$20+C164*Inputs!$D$21+B164*Inputs!$D$22</f>
        <v>120</v>
      </c>
      <c r="E164" s="36">
        <f>MIN(Inputs!$E$15,Inputs!$D$15*(C164/Inputs!$D$43)^Inputs!$D$44)</f>
        <v>0.37138190575462604</v>
      </c>
      <c r="F164" s="36">
        <f>MIN(Inputs!$E$16,Inputs!$D$16*(B164/Inputs!$D$42)^Inputs!$D$44)</f>
        <v>0.42769383999647526</v>
      </c>
      <c r="G164" s="37">
        <f>Inputs!$D$26*(1+Inputs!$D$41*(B164-Inputs!$D$42))</f>
        <v>1.5750000000000002</v>
      </c>
      <c r="H164" s="35">
        <f>Inputs!$D$6*Inputs!$D$14*G164*Inputs!$D$29</f>
        <v>1978.8772500000005</v>
      </c>
      <c r="I164" s="36">
        <f>H164/(A164*Inputs!$D$32)</f>
        <v>1.1606318181818185</v>
      </c>
      <c r="J164" s="38">
        <f>IF(I164&gt;=1,999,I164/(Inputs!$D$32*(1-I164))*60)</f>
        <v>999</v>
      </c>
      <c r="K164" s="37">
        <f>MIN(1,MAX(0,(J164-Inputs!$D$36)/(Inputs!$D$37-Inputs!$D$36)))</f>
        <v>1</v>
      </c>
      <c r="L164" s="35">
        <f>Inputs!$D$6*Inputs!$D$14*G164*(1-Inputs!$D$38*K164)</f>
        <v>7255.8832500000026</v>
      </c>
      <c r="M164" s="39">
        <f>L164*Inputs!$D$11</f>
        <v>156001.48987500006</v>
      </c>
      <c r="N164" s="39">
        <f>M164*(1-Inputs!$D$17)</f>
        <v>54600.521456250019</v>
      </c>
      <c r="O164" s="35">
        <f>Inputs!$D$6*E164*Inputs!$D$27*Inputs!$D$30</f>
        <v>529.8342241362717</v>
      </c>
      <c r="P164" s="36">
        <f>O164/(C164*Inputs!$D$33)</f>
        <v>0.33963732316427675</v>
      </c>
      <c r="Q164" s="38">
        <f>IF(P164&gt;=1,999,P164/(Inputs!$D$33*(1-P164))*60)</f>
        <v>0.77147907145144612</v>
      </c>
      <c r="R164" s="37">
        <f>MIN(1,MAX(0,(Q164-Inputs!$D$36)/(Inputs!$D$37-Inputs!$D$36)))</f>
        <v>0</v>
      </c>
      <c r="S164" s="35">
        <f>Inputs!$D$6*E164*Inputs!$D$27*(1-Inputs!$D$38*R164)</f>
        <v>4415.2852011355981</v>
      </c>
      <c r="T164" s="39">
        <f>S164*Inputs!$D$12</f>
        <v>70644.563218169569</v>
      </c>
      <c r="U164" s="39">
        <f>T164*(1-Inputs!$D$18)</f>
        <v>31790.053448176302</v>
      </c>
      <c r="V164" s="35">
        <f>Inputs!$D$6*F164*Inputs!$D$28*Inputs!$D$31</f>
        <v>721.1123435383771</v>
      </c>
      <c r="W164" s="36">
        <f>V164/(B164*Inputs!$D$34)</f>
        <v>0.82412839261528814</v>
      </c>
      <c r="X164" s="38">
        <f>IF(W164&gt;=1,999,W164/(Inputs!$D$34*(1-W164))*60)</f>
        <v>8.0330847668163621</v>
      </c>
      <c r="Y164" s="37">
        <f>MIN(1,MAX(0,(X164-Inputs!$D$36)/(Inputs!$D$37-Inputs!$D$36)))</f>
        <v>0.20220565112109082</v>
      </c>
      <c r="Z164" s="35">
        <f>Inputs!$D$6*F164*Inputs!$D$28*(1-Inputs!$D$38*Y164)</f>
        <v>5042.2807508299393</v>
      </c>
      <c r="AA164" s="39">
        <f>Z164*Inputs!$D$13</f>
        <v>42859.386382054487</v>
      </c>
      <c r="AB164" s="39">
        <f>AA164*(1-Inputs!$D$19)</f>
        <v>25715.631829232691</v>
      </c>
      <c r="AC164" s="39">
        <f t="shared" si="8"/>
        <v>269505.43947522412</v>
      </c>
      <c r="AD164" s="39">
        <f t="shared" si="9"/>
        <v>112106.20673365901</v>
      </c>
      <c r="AE164" s="36">
        <f t="shared" si="10"/>
        <v>1.1606318181818185</v>
      </c>
      <c r="AF164" s="35">
        <f>IF(AND(AE164&lt;=Inputs!$D$35,C164&gt;=Inputs!$D$48*(A164+B164+C164),B164*Inputs!$D$22&lt;=Inputs!$D$50*Inputs!$D$8,B164*Inputs!$D$22&gt;=Inputs!$D$49*Inputs!$D$8,A164*Inputs!$D$20&lt;=Inputs!$D$47*Inputs!$D$8,C164&gt;=1),1,0)</f>
        <v>0</v>
      </c>
      <c r="AG164" s="39">
        <f t="shared" si="11"/>
        <v>-1</v>
      </c>
    </row>
    <row r="165" spans="1:33" x14ac:dyDescent="0.25">
      <c r="A165" s="35">
        <v>31</v>
      </c>
      <c r="B165" s="35">
        <v>26</v>
      </c>
      <c r="C165" s="35">
        <f>Inputs!$D$8-A165-Inputs!$D$22*B165</f>
        <v>37</v>
      </c>
      <c r="D165" s="35">
        <f>A165*Inputs!$D$20+C165*Inputs!$D$21+B165*Inputs!$D$22</f>
        <v>120</v>
      </c>
      <c r="E165" s="36">
        <f>MIN(Inputs!$E$15,Inputs!$D$15*(C165/Inputs!$D$43)^Inputs!$D$44)</f>
        <v>0.36556269939951974</v>
      </c>
      <c r="F165" s="36">
        <f>MIN(Inputs!$E$16,Inputs!$D$16*(B165/Inputs!$D$42)^Inputs!$D$44)</f>
        <v>0.43275589945781112</v>
      </c>
      <c r="G165" s="37">
        <f>Inputs!$D$26*(1+Inputs!$D$41*(B165-Inputs!$D$42))</f>
        <v>1.59</v>
      </c>
      <c r="H165" s="35">
        <f>Inputs!$D$6*Inputs!$D$14*G165*Inputs!$D$29</f>
        <v>1997.7237</v>
      </c>
      <c r="I165" s="36">
        <f>H165/(A165*Inputs!$D$32)</f>
        <v>1.1716854545454545</v>
      </c>
      <c r="J165" s="38">
        <f>IF(I165&gt;=1,999,I165/(Inputs!$D$32*(1-I165))*60)</f>
        <v>999</v>
      </c>
      <c r="K165" s="37">
        <f>MIN(1,MAX(0,(J165-Inputs!$D$36)/(Inputs!$D$37-Inputs!$D$36)))</f>
        <v>1</v>
      </c>
      <c r="L165" s="35">
        <f>Inputs!$D$6*Inputs!$D$14*G165*(1-Inputs!$D$38*K165)</f>
        <v>7324.9869000000017</v>
      </c>
      <c r="M165" s="39">
        <f>L165*Inputs!$D$11</f>
        <v>157487.21835000004</v>
      </c>
      <c r="N165" s="39">
        <f>M165*(1-Inputs!$D$17)</f>
        <v>55120.526422500014</v>
      </c>
      <c r="O165" s="35">
        <f>Inputs!$D$6*E165*Inputs!$D$27*Inputs!$D$30</f>
        <v>521.5322184745213</v>
      </c>
      <c r="P165" s="36">
        <f>O165/(C165*Inputs!$D$33)</f>
        <v>0.35238663410440629</v>
      </c>
      <c r="Q165" s="38">
        <f>IF(P165&gt;=1,999,P165/(Inputs!$D$33*(1-P165))*60)</f>
        <v>0.81619679116046151</v>
      </c>
      <c r="R165" s="37">
        <f>MIN(1,MAX(0,(Q165-Inputs!$D$36)/(Inputs!$D$37-Inputs!$D$36)))</f>
        <v>0</v>
      </c>
      <c r="S165" s="35">
        <f>Inputs!$D$6*E165*Inputs!$D$27*(1-Inputs!$D$38*R165)</f>
        <v>4346.101820621011</v>
      </c>
      <c r="T165" s="39">
        <f>S165*Inputs!$D$12</f>
        <v>69537.629129936176</v>
      </c>
      <c r="U165" s="39">
        <f>T165*(1-Inputs!$D$18)</f>
        <v>31291.933108471276</v>
      </c>
      <c r="V165" s="35">
        <f>Inputs!$D$6*F165*Inputs!$D$28*Inputs!$D$31</f>
        <v>729.64721876904355</v>
      </c>
      <c r="W165" s="36">
        <f>V165/(B165*Inputs!$D$34)</f>
        <v>0.80181013051543248</v>
      </c>
      <c r="X165" s="38">
        <f>IF(W165&gt;=1,999,W165/(Inputs!$D$34*(1-W165))*60)</f>
        <v>6.9354284146153136</v>
      </c>
      <c r="Y165" s="37">
        <f>MIN(1,MAX(0,(X165-Inputs!$D$36)/(Inputs!$D$37-Inputs!$D$36)))</f>
        <v>0.12902856097435425</v>
      </c>
      <c r="Z165" s="35">
        <f>Inputs!$D$6*F165*Inputs!$D$28*(1-Inputs!$D$38*Y165)</f>
        <v>5286.7832305655711</v>
      </c>
      <c r="AA165" s="39">
        <f>Z165*Inputs!$D$13</f>
        <v>44937.657459807357</v>
      </c>
      <c r="AB165" s="39">
        <f>AA165*(1-Inputs!$D$19)</f>
        <v>26962.594475884413</v>
      </c>
      <c r="AC165" s="39">
        <f t="shared" si="8"/>
        <v>271962.50493974355</v>
      </c>
      <c r="AD165" s="39">
        <f t="shared" si="9"/>
        <v>113375.0540068557</v>
      </c>
      <c r="AE165" s="36">
        <f t="shared" si="10"/>
        <v>1.1716854545454545</v>
      </c>
      <c r="AF165" s="35">
        <f>IF(AND(AE165&lt;=Inputs!$D$35,C165&gt;=Inputs!$D$48*(A165+B165+C165),B165*Inputs!$D$22&lt;=Inputs!$D$50*Inputs!$D$8,B165*Inputs!$D$22&gt;=Inputs!$D$49*Inputs!$D$8,A165*Inputs!$D$20&lt;=Inputs!$D$47*Inputs!$D$8,C165&gt;=1),1,0)</f>
        <v>0</v>
      </c>
      <c r="AG165" s="39">
        <f t="shared" si="11"/>
        <v>-1</v>
      </c>
    </row>
    <row r="166" spans="1:33" x14ac:dyDescent="0.25">
      <c r="A166" s="35">
        <v>31</v>
      </c>
      <c r="B166" s="35">
        <v>27</v>
      </c>
      <c r="C166" s="35">
        <f>Inputs!$D$8-A166-Inputs!$D$22*B166</f>
        <v>35</v>
      </c>
      <c r="D166" s="35">
        <f>A166*Inputs!$D$20+C166*Inputs!$D$21+B166*Inputs!$D$22</f>
        <v>120</v>
      </c>
      <c r="E166" s="36">
        <f>MIN(Inputs!$E$15,Inputs!$D$15*(C166/Inputs!$D$43)^Inputs!$D$44)</f>
        <v>0.3595189375764975</v>
      </c>
      <c r="F166" s="36">
        <f>MIN(Inputs!$E$16,Inputs!$D$16*(B166/Inputs!$D$42)^Inputs!$D$44)</f>
        <v>0.43768344678187454</v>
      </c>
      <c r="G166" s="37">
        <f>Inputs!$D$26*(1+Inputs!$D$41*(B166-Inputs!$D$42))</f>
        <v>1.605</v>
      </c>
      <c r="H166" s="35">
        <f>Inputs!$D$6*Inputs!$D$14*G166*Inputs!$D$29</f>
        <v>2016.57015</v>
      </c>
      <c r="I166" s="36">
        <f>H166/(A166*Inputs!$D$32)</f>
        <v>1.1827390909090909</v>
      </c>
      <c r="J166" s="38">
        <f>IF(I166&gt;=1,999,I166/(Inputs!$D$32*(1-I166))*60)</f>
        <v>999</v>
      </c>
      <c r="K166" s="37">
        <f>MIN(1,MAX(0,(J166-Inputs!$D$36)/(Inputs!$D$37-Inputs!$D$36)))</f>
        <v>1</v>
      </c>
      <c r="L166" s="35">
        <f>Inputs!$D$6*Inputs!$D$14*G166*(1-Inputs!$D$38*K166)</f>
        <v>7394.0905500000017</v>
      </c>
      <c r="M166" s="39">
        <f>L166*Inputs!$D$11</f>
        <v>158972.94682500005</v>
      </c>
      <c r="N166" s="39">
        <f>M166*(1-Inputs!$D$17)</f>
        <v>55640.531388750016</v>
      </c>
      <c r="O166" s="35">
        <f>Inputs!$D$6*E166*Inputs!$D$27*Inputs!$D$30</f>
        <v>512.90984940713565</v>
      </c>
      <c r="P166" s="36">
        <f>O166/(C166*Inputs!$D$33)</f>
        <v>0.36636417814795402</v>
      </c>
      <c r="Q166" s="38">
        <f>IF(P166&gt;=1,999,P166/(Inputs!$D$33*(1-P166))*60)</f>
        <v>0.86729040289368331</v>
      </c>
      <c r="R166" s="37">
        <f>MIN(1,MAX(0,(Q166-Inputs!$D$36)/(Inputs!$D$37-Inputs!$D$36)))</f>
        <v>0</v>
      </c>
      <c r="S166" s="35">
        <f>Inputs!$D$6*E166*Inputs!$D$27*(1-Inputs!$D$38*R166)</f>
        <v>4274.2487450594635</v>
      </c>
      <c r="T166" s="39">
        <f>S166*Inputs!$D$12</f>
        <v>68387.979920951417</v>
      </c>
      <c r="U166" s="39">
        <f>T166*(1-Inputs!$D$18)</f>
        <v>30774.590964428135</v>
      </c>
      <c r="V166" s="35">
        <f>Inputs!$D$6*F166*Inputs!$D$28*Inputs!$D$31</f>
        <v>737.95530007968603</v>
      </c>
      <c r="W166" s="36">
        <f>V166/(B166*Inputs!$D$34)</f>
        <v>0.78090507944940324</v>
      </c>
      <c r="X166" s="38">
        <f>IF(W166&gt;=1,999,W166/(Inputs!$D$34*(1-W166))*60)</f>
        <v>6.1101116290101798</v>
      </c>
      <c r="Y166" s="37">
        <f>MIN(1,MAX(0,(X166-Inputs!$D$36)/(Inputs!$D$37-Inputs!$D$36)))</f>
        <v>7.4007441934011986E-2</v>
      </c>
      <c r="Z166" s="35">
        <f>Inputs!$D$6*F166*Inputs!$D$28*(1-Inputs!$D$38*Y166)</f>
        <v>5487.5301328495489</v>
      </c>
      <c r="AA166" s="39">
        <f>Z166*Inputs!$D$13</f>
        <v>46644.006129221169</v>
      </c>
      <c r="AB166" s="39">
        <f>AA166*(1-Inputs!$D$19)</f>
        <v>27986.4036775327</v>
      </c>
      <c r="AC166" s="39">
        <f t="shared" si="8"/>
        <v>274004.93287517264</v>
      </c>
      <c r="AD166" s="39">
        <f t="shared" si="9"/>
        <v>114401.52603071085</v>
      </c>
      <c r="AE166" s="36">
        <f t="shared" si="10"/>
        <v>1.1827390909090909</v>
      </c>
      <c r="AF166" s="35">
        <f>IF(AND(AE166&lt;=Inputs!$D$35,C166&gt;=Inputs!$D$48*(A166+B166+C166),B166*Inputs!$D$22&lt;=Inputs!$D$50*Inputs!$D$8,B166*Inputs!$D$22&gt;=Inputs!$D$49*Inputs!$D$8,A166*Inputs!$D$20&lt;=Inputs!$D$47*Inputs!$D$8,C166&gt;=1),1,0)</f>
        <v>0</v>
      </c>
      <c r="AG166" s="39">
        <f t="shared" si="11"/>
        <v>-1</v>
      </c>
    </row>
    <row r="167" spans="1:33" x14ac:dyDescent="0.25">
      <c r="A167" s="35">
        <v>31</v>
      </c>
      <c r="B167" s="35">
        <v>28</v>
      </c>
      <c r="C167" s="35">
        <f>Inputs!$D$8-A167-Inputs!$D$22*B167</f>
        <v>33</v>
      </c>
      <c r="D167" s="35">
        <f>A167*Inputs!$D$20+C167*Inputs!$D$21+B167*Inputs!$D$22</f>
        <v>120</v>
      </c>
      <c r="E167" s="36">
        <f>MIN(Inputs!$E$15,Inputs!$D$15*(C167/Inputs!$D$43)^Inputs!$D$44)</f>
        <v>0.35322833999035824</v>
      </c>
      <c r="F167" s="36">
        <f>MIN(Inputs!$E$16,Inputs!$D$16*(B167/Inputs!$D$42)^Inputs!$D$44)</f>
        <v>0.44248484624799689</v>
      </c>
      <c r="G167" s="37">
        <f>Inputs!$D$26*(1+Inputs!$D$41*(B167-Inputs!$D$42))</f>
        <v>1.62</v>
      </c>
      <c r="H167" s="35">
        <f>Inputs!$D$6*Inputs!$D$14*G167*Inputs!$D$29</f>
        <v>2035.4166</v>
      </c>
      <c r="I167" s="36">
        <f>H167/(A167*Inputs!$D$32)</f>
        <v>1.1937927272727273</v>
      </c>
      <c r="J167" s="38">
        <f>IF(I167&gt;=1,999,I167/(Inputs!$D$32*(1-I167))*60)</f>
        <v>999</v>
      </c>
      <c r="K167" s="37">
        <f>MIN(1,MAX(0,(J167-Inputs!$D$36)/(Inputs!$D$37-Inputs!$D$36)))</f>
        <v>1</v>
      </c>
      <c r="L167" s="35">
        <f>Inputs!$D$6*Inputs!$D$14*G167*(1-Inputs!$D$38*K167)</f>
        <v>7463.1942000000017</v>
      </c>
      <c r="M167" s="39">
        <f>L167*Inputs!$D$11</f>
        <v>160458.67530000003</v>
      </c>
      <c r="N167" s="39">
        <f>M167*(1-Inputs!$D$17)</f>
        <v>56160.536355000011</v>
      </c>
      <c r="O167" s="35">
        <f>Inputs!$D$6*E167*Inputs!$D$27*Inputs!$D$30</f>
        <v>503.93533061728459</v>
      </c>
      <c r="P167" s="36">
        <f>O167/(C167*Inputs!$D$33)</f>
        <v>0.38176918986157926</v>
      </c>
      <c r="Q167" s="38">
        <f>IF(P167&gt;=1,999,P167/(Inputs!$D$33*(1-P167))*60)</f>
        <v>0.92627830156855617</v>
      </c>
      <c r="R167" s="37">
        <f>MIN(1,MAX(0,(Q167-Inputs!$D$36)/(Inputs!$D$37-Inputs!$D$36)))</f>
        <v>0</v>
      </c>
      <c r="S167" s="35">
        <f>Inputs!$D$6*E167*Inputs!$D$27*(1-Inputs!$D$38*R167)</f>
        <v>4199.461088477372</v>
      </c>
      <c r="T167" s="39">
        <f>S167*Inputs!$D$12</f>
        <v>67191.377415637951</v>
      </c>
      <c r="U167" s="39">
        <f>T167*(1-Inputs!$D$18)</f>
        <v>30236.119837037077</v>
      </c>
      <c r="V167" s="35">
        <f>Inputs!$D$6*F167*Inputs!$D$28*Inputs!$D$31</f>
        <v>746.05069004674272</v>
      </c>
      <c r="W167" s="36">
        <f>V167/(B167*Inputs!$D$34)</f>
        <v>0.76127621433341097</v>
      </c>
      <c r="X167" s="38">
        <f>IF(W167&gt;=1,999,W167/(Inputs!$D$34*(1-W167))*60)</f>
        <v>5.4667570523531852</v>
      </c>
      <c r="Y167" s="37">
        <f>MIN(1,MAX(0,(X167-Inputs!$D$36)/(Inputs!$D$37-Inputs!$D$36)))</f>
        <v>3.111713682354568E-2</v>
      </c>
      <c r="Z167" s="35">
        <f>Inputs!$D$6*F167*Inputs!$D$28*(1-Inputs!$D$38*Y167)</f>
        <v>5658.4919801305723</v>
      </c>
      <c r="AA167" s="39">
        <f>Z167*Inputs!$D$13</f>
        <v>48097.181831109861</v>
      </c>
      <c r="AB167" s="39">
        <f>AA167*(1-Inputs!$D$19)</f>
        <v>28858.309098665915</v>
      </c>
      <c r="AC167" s="39">
        <f t="shared" si="8"/>
        <v>275747.23454674787</v>
      </c>
      <c r="AD167" s="39">
        <f t="shared" si="9"/>
        <v>115254.965290703</v>
      </c>
      <c r="AE167" s="36">
        <f t="shared" si="10"/>
        <v>1.1937927272727273</v>
      </c>
      <c r="AF167" s="35">
        <f>IF(AND(AE167&lt;=Inputs!$D$35,C167&gt;=Inputs!$D$48*(A167+B167+C167),B167*Inputs!$D$22&lt;=Inputs!$D$50*Inputs!$D$8,B167*Inputs!$D$22&gt;=Inputs!$D$49*Inputs!$D$8,A167*Inputs!$D$20&lt;=Inputs!$D$47*Inputs!$D$8,C167&gt;=1),1,0)</f>
        <v>0</v>
      </c>
      <c r="AG167" s="39">
        <f t="shared" si="11"/>
        <v>-1</v>
      </c>
    </row>
    <row r="168" spans="1:33" x14ac:dyDescent="0.25">
      <c r="A168" s="35">
        <v>31</v>
      </c>
      <c r="B168" s="35">
        <v>29</v>
      </c>
      <c r="C168" s="35">
        <f>Inputs!$D$8-A168-Inputs!$D$22*B168</f>
        <v>31</v>
      </c>
      <c r="D168" s="35">
        <f>A168*Inputs!$D$20+C168*Inputs!$D$21+B168*Inputs!$D$22</f>
        <v>120</v>
      </c>
      <c r="E168" s="36">
        <f>MIN(Inputs!$E$15,Inputs!$D$15*(C168/Inputs!$D$43)^Inputs!$D$44)</f>
        <v>0.34666489615699225</v>
      </c>
      <c r="F168" s="36">
        <f>MIN(Inputs!$E$16,Inputs!$D$16*(B168/Inputs!$D$42)^Inputs!$D$44)</f>
        <v>0.44716766511947192</v>
      </c>
      <c r="G168" s="37">
        <f>Inputs!$D$26*(1+Inputs!$D$41*(B168-Inputs!$D$42))</f>
        <v>1.6350000000000002</v>
      </c>
      <c r="H168" s="35">
        <f>Inputs!$D$6*Inputs!$D$14*G168*Inputs!$D$29</f>
        <v>2054.2630500000005</v>
      </c>
      <c r="I168" s="36">
        <f>H168/(A168*Inputs!$D$32)</f>
        <v>1.204846363636364</v>
      </c>
      <c r="J168" s="38">
        <f>IF(I168&gt;=1,999,I168/(Inputs!$D$32*(1-I168))*60)</f>
        <v>999</v>
      </c>
      <c r="K168" s="37">
        <f>MIN(1,MAX(0,(J168-Inputs!$D$36)/(Inputs!$D$37-Inputs!$D$36)))</f>
        <v>1</v>
      </c>
      <c r="L168" s="35">
        <f>Inputs!$D$6*Inputs!$D$14*G168*(1-Inputs!$D$38*K168)</f>
        <v>7532.2978500000027</v>
      </c>
      <c r="M168" s="39">
        <f>L168*Inputs!$D$11</f>
        <v>161944.40377500007</v>
      </c>
      <c r="N168" s="39">
        <f>M168*(1-Inputs!$D$17)</f>
        <v>56680.541321250021</v>
      </c>
      <c r="O168" s="35">
        <f>Inputs!$D$6*E168*Inputs!$D$27*Inputs!$D$30</f>
        <v>494.57155409174993</v>
      </c>
      <c r="P168" s="36">
        <f>O168/(C168*Inputs!$D$33)</f>
        <v>0.39884802749334675</v>
      </c>
      <c r="Q168" s="38">
        <f>IF(P168&gt;=1,999,P168/(Inputs!$D$33*(1-P168))*60)</f>
        <v>0.9952093124561755</v>
      </c>
      <c r="R168" s="37">
        <f>MIN(1,MAX(0,(Q168-Inputs!$D$36)/(Inputs!$D$37-Inputs!$D$36)))</f>
        <v>0</v>
      </c>
      <c r="S168" s="35">
        <f>Inputs!$D$6*E168*Inputs!$D$27*(1-Inputs!$D$38*R168)</f>
        <v>4121.4296174312494</v>
      </c>
      <c r="T168" s="39">
        <f>S168*Inputs!$D$12</f>
        <v>65942.873878899991</v>
      </c>
      <c r="U168" s="39">
        <f>T168*(1-Inputs!$D$18)</f>
        <v>29674.293245504992</v>
      </c>
      <c r="V168" s="35">
        <f>Inputs!$D$6*F168*Inputs!$D$28*Inputs!$D$31</f>
        <v>753.9461474393554</v>
      </c>
      <c r="W168" s="36">
        <f>V168/(B168*Inputs!$D$34)</f>
        <v>0.74280408614714821</v>
      </c>
      <c r="X168" s="38">
        <f>IF(W168&gt;=1,999,W168/(Inputs!$D$34*(1-W168))*60)</f>
        <v>4.9510056918075414</v>
      </c>
      <c r="Y168" s="37">
        <f>MIN(1,MAX(0,(X168-Inputs!$D$36)/(Inputs!$D$37-Inputs!$D$36)))</f>
        <v>0</v>
      </c>
      <c r="Z168" s="35">
        <f>Inputs!$D$6*F168*Inputs!$D$28*(1-Inputs!$D$38*Y168)</f>
        <v>5799.5857495335031</v>
      </c>
      <c r="AA168" s="39">
        <f>Z168*Inputs!$D$13</f>
        <v>49296.478871034778</v>
      </c>
      <c r="AB168" s="39">
        <f>AA168*(1-Inputs!$D$19)</f>
        <v>29577.887322620867</v>
      </c>
      <c r="AC168" s="39">
        <f t="shared" si="8"/>
        <v>277183.75652493484</v>
      </c>
      <c r="AD168" s="39">
        <f t="shared" si="9"/>
        <v>115932.72188937588</v>
      </c>
      <c r="AE168" s="36">
        <f t="shared" si="10"/>
        <v>1.204846363636364</v>
      </c>
      <c r="AF168" s="35">
        <f>IF(AND(AE168&lt;=Inputs!$D$35,C168&gt;=Inputs!$D$48*(A168+B168+C168),B168*Inputs!$D$22&lt;=Inputs!$D$50*Inputs!$D$8,B168*Inputs!$D$22&gt;=Inputs!$D$49*Inputs!$D$8,A168*Inputs!$D$20&lt;=Inputs!$D$47*Inputs!$D$8,C168&gt;=1),1,0)</f>
        <v>0</v>
      </c>
      <c r="AG168" s="39">
        <f t="shared" si="11"/>
        <v>-1</v>
      </c>
    </row>
    <row r="169" spans="1:33" x14ac:dyDescent="0.25">
      <c r="A169" s="35">
        <v>31</v>
      </c>
      <c r="B169" s="35">
        <v>30</v>
      </c>
      <c r="C169" s="35">
        <f>Inputs!$D$8-A169-Inputs!$D$22*B169</f>
        <v>29</v>
      </c>
      <c r="D169" s="35">
        <f>A169*Inputs!$D$20+C169*Inputs!$D$21+B169*Inputs!$D$22</f>
        <v>120</v>
      </c>
      <c r="E169" s="36">
        <f>MIN(Inputs!$E$15,Inputs!$D$15*(C169/Inputs!$D$43)^Inputs!$D$44)</f>
        <v>0.33979795258455459</v>
      </c>
      <c r="F169" s="36">
        <f>MIN(Inputs!$E$16,Inputs!$D$16*(B169/Inputs!$D$42)^Inputs!$D$44)</f>
        <v>0.45173877418274222</v>
      </c>
      <c r="G169" s="37">
        <f>Inputs!$D$26*(1+Inputs!$D$41*(B169-Inputs!$D$42))</f>
        <v>1.6500000000000001</v>
      </c>
      <c r="H169" s="35">
        <f>Inputs!$D$6*Inputs!$D$14*G169*Inputs!$D$29</f>
        <v>2073.1095000000005</v>
      </c>
      <c r="I169" s="36">
        <f>H169/(A169*Inputs!$D$32)</f>
        <v>1.2159000000000002</v>
      </c>
      <c r="J169" s="38">
        <f>IF(I169&gt;=1,999,I169/(Inputs!$D$32*(1-I169))*60)</f>
        <v>999</v>
      </c>
      <c r="K169" s="37">
        <f>MIN(1,MAX(0,(J169-Inputs!$D$36)/(Inputs!$D$37-Inputs!$D$36)))</f>
        <v>1</v>
      </c>
      <c r="L169" s="35">
        <f>Inputs!$D$6*Inputs!$D$14*G169*(1-Inputs!$D$38*K169)</f>
        <v>7601.4015000000027</v>
      </c>
      <c r="M169" s="39">
        <f>L169*Inputs!$D$11</f>
        <v>163430.13225000005</v>
      </c>
      <c r="N169" s="39">
        <f>M169*(1-Inputs!$D$17)</f>
        <v>57200.546287500016</v>
      </c>
      <c r="O169" s="35">
        <f>Inputs!$D$6*E169*Inputs!$D$27*Inputs!$D$30</f>
        <v>484.77478784247035</v>
      </c>
      <c r="P169" s="36">
        <f>O169/(C169*Inputs!$D$33)</f>
        <v>0.41790929986419856</v>
      </c>
      <c r="Q169" s="38">
        <f>IF(P169&gt;=1,999,P169/(Inputs!$D$33*(1-P169))*60)</f>
        <v>1.0769179951681944</v>
      </c>
      <c r="R169" s="37">
        <f>MIN(1,MAX(0,(Q169-Inputs!$D$36)/(Inputs!$D$37-Inputs!$D$36)))</f>
        <v>0</v>
      </c>
      <c r="S169" s="35">
        <f>Inputs!$D$6*E169*Inputs!$D$27*(1-Inputs!$D$38*R169)</f>
        <v>4039.7898986872528</v>
      </c>
      <c r="T169" s="39">
        <f>S169*Inputs!$D$12</f>
        <v>64636.638378996046</v>
      </c>
      <c r="U169" s="39">
        <f>T169*(1-Inputs!$D$18)</f>
        <v>29086.487270548219</v>
      </c>
      <c r="V169" s="35">
        <f>Inputs!$D$6*F169*Inputs!$D$28*Inputs!$D$31</f>
        <v>761.65325673326424</v>
      </c>
      <c r="W169" s="36">
        <f>V169/(B169*Inputs!$D$34)</f>
        <v>0.72538405403168027</v>
      </c>
      <c r="X169" s="38">
        <f>IF(W169&gt;=1,999,W169/(Inputs!$D$34*(1-W169))*60)</f>
        <v>4.5281985239874629</v>
      </c>
      <c r="Y169" s="37">
        <f>MIN(1,MAX(0,(X169-Inputs!$D$36)/(Inputs!$D$37-Inputs!$D$36)))</f>
        <v>0</v>
      </c>
      <c r="Z169" s="35">
        <f>Inputs!$D$6*F169*Inputs!$D$28*(1-Inputs!$D$38*Y169)</f>
        <v>5858.8712056404938</v>
      </c>
      <c r="AA169" s="39">
        <f>Z169*Inputs!$D$13</f>
        <v>49800.405247944196</v>
      </c>
      <c r="AB169" s="39">
        <f>AA169*(1-Inputs!$D$19)</f>
        <v>29880.243148766516</v>
      </c>
      <c r="AC169" s="39">
        <f t="shared" si="8"/>
        <v>277867.17587694031</v>
      </c>
      <c r="AD169" s="39">
        <f t="shared" si="9"/>
        <v>116167.27670681475</v>
      </c>
      <c r="AE169" s="36">
        <f t="shared" si="10"/>
        <v>1.2159000000000002</v>
      </c>
      <c r="AF169" s="35">
        <f>IF(AND(AE169&lt;=Inputs!$D$35,C169&gt;=Inputs!$D$48*(A169+B169+C169),B169*Inputs!$D$22&lt;=Inputs!$D$50*Inputs!$D$8,B169*Inputs!$D$22&gt;=Inputs!$D$49*Inputs!$D$8,A169*Inputs!$D$20&lt;=Inputs!$D$47*Inputs!$D$8,C169&gt;=1),1,0)</f>
        <v>0</v>
      </c>
      <c r="AG169" s="39">
        <f t="shared" si="11"/>
        <v>-1</v>
      </c>
    </row>
    <row r="170" spans="1:33" x14ac:dyDescent="0.25">
      <c r="A170" s="35">
        <v>31</v>
      </c>
      <c r="B170" s="35">
        <v>31</v>
      </c>
      <c r="C170" s="35">
        <f>Inputs!$D$8-A170-Inputs!$D$22*B170</f>
        <v>27</v>
      </c>
      <c r="D170" s="35">
        <f>A170*Inputs!$D$20+C170*Inputs!$D$21+B170*Inputs!$D$22</f>
        <v>120</v>
      </c>
      <c r="E170" s="36">
        <f>MIN(Inputs!$E$15,Inputs!$D$15*(C170/Inputs!$D$43)^Inputs!$D$44)</f>
        <v>0.33259099594532748</v>
      </c>
      <c r="F170" s="36">
        <f>MIN(Inputs!$E$16,Inputs!$D$16*(B170/Inputs!$D$42)^Inputs!$D$44)</f>
        <v>0.45620443270573335</v>
      </c>
      <c r="G170" s="37">
        <f>Inputs!$D$26*(1+Inputs!$D$41*(B170-Inputs!$D$42))</f>
        <v>1.665</v>
      </c>
      <c r="H170" s="35">
        <f>Inputs!$D$6*Inputs!$D$14*G170*Inputs!$D$29</f>
        <v>2091.95595</v>
      </c>
      <c r="I170" s="36">
        <f>H170/(A170*Inputs!$D$32)</f>
        <v>1.2269536363636364</v>
      </c>
      <c r="J170" s="38">
        <f>IF(I170&gt;=1,999,I170/(Inputs!$D$32*(1-I170))*60)</f>
        <v>999</v>
      </c>
      <c r="K170" s="37">
        <f>MIN(1,MAX(0,(J170-Inputs!$D$36)/(Inputs!$D$37-Inputs!$D$36)))</f>
        <v>1</v>
      </c>
      <c r="L170" s="35">
        <f>Inputs!$D$6*Inputs!$D$14*G170*(1-Inputs!$D$38*K170)</f>
        <v>7670.5051500000018</v>
      </c>
      <c r="M170" s="39">
        <f>L170*Inputs!$D$11</f>
        <v>164915.86072500004</v>
      </c>
      <c r="N170" s="39">
        <f>M170*(1-Inputs!$D$17)</f>
        <v>57720.551253750011</v>
      </c>
      <c r="O170" s="35">
        <f>Inputs!$D$6*E170*Inputs!$D$27*Inputs!$D$30</f>
        <v>474.49293991137716</v>
      </c>
      <c r="P170" s="36">
        <f>O170/(C170*Inputs!$D$33)</f>
        <v>0.43934531473275662</v>
      </c>
      <c r="Q170" s="38">
        <f>IF(P170&gt;=1,999,P170/(Inputs!$D$33*(1-P170))*60)</f>
        <v>1.1754436187133714</v>
      </c>
      <c r="R170" s="37">
        <f>MIN(1,MAX(0,(Q170-Inputs!$D$36)/(Inputs!$D$37-Inputs!$D$36)))</f>
        <v>0</v>
      </c>
      <c r="S170" s="35">
        <f>Inputs!$D$6*E170*Inputs!$D$27*(1-Inputs!$D$38*R170)</f>
        <v>3954.1078325948097</v>
      </c>
      <c r="T170" s="39">
        <f>S170*Inputs!$D$12</f>
        <v>63265.725321516955</v>
      </c>
      <c r="U170" s="39">
        <f>T170*(1-Inputs!$D$18)</f>
        <v>28469.576394682626</v>
      </c>
      <c r="V170" s="35">
        <f>Inputs!$D$6*F170*Inputs!$D$28*Inputs!$D$31</f>
        <v>769.18257135463637</v>
      </c>
      <c r="W170" s="36">
        <f>V170/(B170*Inputs!$D$34)</f>
        <v>0.70892402889828232</v>
      </c>
      <c r="X170" s="38">
        <f>IF(W170&gt;=1,999,W170/(Inputs!$D$34*(1-W170))*60)</f>
        <v>4.1751929252501148</v>
      </c>
      <c r="Y170" s="37">
        <f>MIN(1,MAX(0,(X170-Inputs!$D$36)/(Inputs!$D$37-Inputs!$D$36)))</f>
        <v>0</v>
      </c>
      <c r="Z170" s="35">
        <f>Inputs!$D$6*F170*Inputs!$D$28*(1-Inputs!$D$38*Y170)</f>
        <v>5916.7890104202797</v>
      </c>
      <c r="AA170" s="39">
        <f>Z170*Inputs!$D$13</f>
        <v>50292.706588572379</v>
      </c>
      <c r="AB170" s="39">
        <f>AA170*(1-Inputs!$D$19)</f>
        <v>30175.623953143426</v>
      </c>
      <c r="AC170" s="39">
        <f t="shared" si="8"/>
        <v>278474.29263508937</v>
      </c>
      <c r="AD170" s="39">
        <f t="shared" si="9"/>
        <v>116365.75160157606</v>
      </c>
      <c r="AE170" s="36">
        <f t="shared" si="10"/>
        <v>1.2269536363636364</v>
      </c>
      <c r="AF170" s="35">
        <f>IF(AND(AE170&lt;=Inputs!$D$35,C170&gt;=Inputs!$D$48*(A170+B170+C170),B170*Inputs!$D$22&lt;=Inputs!$D$50*Inputs!$D$8,B170*Inputs!$D$22&gt;=Inputs!$D$49*Inputs!$D$8,A170*Inputs!$D$20&lt;=Inputs!$D$47*Inputs!$D$8,C170&gt;=1),1,0)</f>
        <v>0</v>
      </c>
      <c r="AG170" s="39">
        <f t="shared" si="11"/>
        <v>-1</v>
      </c>
    </row>
    <row r="171" spans="1:33" x14ac:dyDescent="0.25">
      <c r="A171" s="35">
        <v>31</v>
      </c>
      <c r="B171" s="35">
        <v>32</v>
      </c>
      <c r="C171" s="35">
        <f>Inputs!$D$8-A171-Inputs!$D$22*B171</f>
        <v>25</v>
      </c>
      <c r="D171" s="35">
        <f>A171*Inputs!$D$20+C171*Inputs!$D$21+B171*Inputs!$D$22</f>
        <v>120</v>
      </c>
      <c r="E171" s="36">
        <f>MIN(Inputs!$E$15,Inputs!$D$15*(C171/Inputs!$D$43)^Inputs!$D$44)</f>
        <v>0.32500000000000001</v>
      </c>
      <c r="F171" s="36">
        <f>MIN(Inputs!$E$16,Inputs!$D$16*(B171/Inputs!$D$42)^Inputs!$D$44)</f>
        <v>0.46057036065052986</v>
      </c>
      <c r="G171" s="37">
        <f>Inputs!$D$26*(1+Inputs!$D$41*(B171-Inputs!$D$42))</f>
        <v>1.6800000000000002</v>
      </c>
      <c r="H171" s="35">
        <f>Inputs!$D$6*Inputs!$D$14*G171*Inputs!$D$29</f>
        <v>2110.8024000000005</v>
      </c>
      <c r="I171" s="36">
        <f>H171/(A171*Inputs!$D$32)</f>
        <v>1.2380072727272731</v>
      </c>
      <c r="J171" s="38">
        <f>IF(I171&gt;=1,999,I171/(Inputs!$D$32*(1-I171))*60)</f>
        <v>999</v>
      </c>
      <c r="K171" s="37">
        <f>MIN(1,MAX(0,(J171-Inputs!$D$36)/(Inputs!$D$37-Inputs!$D$36)))</f>
        <v>1</v>
      </c>
      <c r="L171" s="35">
        <f>Inputs!$D$6*Inputs!$D$14*G171*(1-Inputs!$D$38*K171)</f>
        <v>7739.6088000000027</v>
      </c>
      <c r="M171" s="39">
        <f>L171*Inputs!$D$11</f>
        <v>166401.58920000005</v>
      </c>
      <c r="N171" s="39">
        <f>M171*(1-Inputs!$D$17)</f>
        <v>58240.556220000013</v>
      </c>
      <c r="O171" s="35">
        <f>Inputs!$D$6*E171*Inputs!$D$27*Inputs!$D$30</f>
        <v>463.66320000000002</v>
      </c>
      <c r="P171" s="36">
        <f>O171/(C171*Inputs!$D$33)</f>
        <v>0.4636632</v>
      </c>
      <c r="Q171" s="38">
        <f>IF(P171&gt;=1,999,P171/(Inputs!$D$33*(1-P171))*60)</f>
        <v>1.296750101801704</v>
      </c>
      <c r="R171" s="37">
        <f>MIN(1,MAX(0,(Q171-Inputs!$D$36)/(Inputs!$D$37-Inputs!$D$36)))</f>
        <v>0</v>
      </c>
      <c r="S171" s="35">
        <f>Inputs!$D$6*E171*Inputs!$D$27*(1-Inputs!$D$38*R171)</f>
        <v>3863.86</v>
      </c>
      <c r="T171" s="39">
        <f>S171*Inputs!$D$12</f>
        <v>61821.760000000002</v>
      </c>
      <c r="U171" s="39">
        <f>T171*(1-Inputs!$D$18)</f>
        <v>27819.791999999998</v>
      </c>
      <c r="V171" s="35">
        <f>Inputs!$D$6*F171*Inputs!$D$28*Inputs!$D$31</f>
        <v>776.54373543410452</v>
      </c>
      <c r="W171" s="36">
        <f>V171/(B171*Inputs!$D$34)</f>
        <v>0.69334262092330756</v>
      </c>
      <c r="X171" s="38">
        <f>IF(W171&gt;=1,999,W171/(Inputs!$D$34*(1-W171))*60)</f>
        <v>3.8759457011369869</v>
      </c>
      <c r="Y171" s="37">
        <f>MIN(1,MAX(0,(X171-Inputs!$D$36)/(Inputs!$D$37-Inputs!$D$36)))</f>
        <v>0</v>
      </c>
      <c r="Z171" s="35">
        <f>Inputs!$D$6*F171*Inputs!$D$28*(1-Inputs!$D$38*Y171)</f>
        <v>5973.4133494931111</v>
      </c>
      <c r="AA171" s="39">
        <f>Z171*Inputs!$D$13</f>
        <v>50774.013470691447</v>
      </c>
      <c r="AB171" s="39">
        <f>AA171*(1-Inputs!$D$19)</f>
        <v>30464.408082414866</v>
      </c>
      <c r="AC171" s="39">
        <f t="shared" si="8"/>
        <v>278997.36267069151</v>
      </c>
      <c r="AD171" s="39">
        <f t="shared" si="9"/>
        <v>116524.75630241488</v>
      </c>
      <c r="AE171" s="36">
        <f t="shared" si="10"/>
        <v>1.2380072727272731</v>
      </c>
      <c r="AF171" s="35">
        <f>IF(AND(AE171&lt;=Inputs!$D$35,C171&gt;=Inputs!$D$48*(A171+B171+C171),B171*Inputs!$D$22&lt;=Inputs!$D$50*Inputs!$D$8,B171*Inputs!$D$22&gt;=Inputs!$D$49*Inputs!$D$8,A171*Inputs!$D$20&lt;=Inputs!$D$47*Inputs!$D$8,C171&gt;=1),1,0)</f>
        <v>0</v>
      </c>
      <c r="AG171" s="39">
        <f t="shared" si="11"/>
        <v>-1</v>
      </c>
    </row>
    <row r="172" spans="1:33" x14ac:dyDescent="0.25">
      <c r="A172" s="35">
        <v>31</v>
      </c>
      <c r="B172" s="35">
        <v>33</v>
      </c>
      <c r="C172" s="35">
        <f>Inputs!$D$8-A172-Inputs!$D$22*B172</f>
        <v>23</v>
      </c>
      <c r="D172" s="35">
        <f>A172*Inputs!$D$20+C172*Inputs!$D$21+B172*Inputs!$D$22</f>
        <v>120</v>
      </c>
      <c r="E172" s="36">
        <f>MIN(Inputs!$E$15,Inputs!$D$15*(C172/Inputs!$D$43)^Inputs!$D$44)</f>
        <v>0.31697113078396583</v>
      </c>
      <c r="F172" s="36">
        <f>MIN(Inputs!$E$16,Inputs!$D$16*(B172/Inputs!$D$42)^Inputs!$D$44)</f>
        <v>0.46484180038786721</v>
      </c>
      <c r="G172" s="37">
        <f>Inputs!$D$26*(1+Inputs!$D$41*(B172-Inputs!$D$42))</f>
        <v>1.6949999999999998</v>
      </c>
      <c r="H172" s="35">
        <f>Inputs!$D$6*Inputs!$D$14*G172*Inputs!$D$29</f>
        <v>2129.64885</v>
      </c>
      <c r="I172" s="36">
        <f>H172/(A172*Inputs!$D$32)</f>
        <v>1.2490609090909091</v>
      </c>
      <c r="J172" s="38">
        <f>IF(I172&gt;=1,999,I172/(Inputs!$D$32*(1-I172))*60)</f>
        <v>999</v>
      </c>
      <c r="K172" s="37">
        <f>MIN(1,MAX(0,(J172-Inputs!$D$36)/(Inputs!$D$37-Inputs!$D$36)))</f>
        <v>1</v>
      </c>
      <c r="L172" s="35">
        <f>Inputs!$D$6*Inputs!$D$14*G172*(1-Inputs!$D$38*K172)</f>
        <v>7808.71245</v>
      </c>
      <c r="M172" s="39">
        <f>L172*Inputs!$D$11</f>
        <v>167887.317675</v>
      </c>
      <c r="N172" s="39">
        <f>M172*(1-Inputs!$D$17)</f>
        <v>58760.561186249994</v>
      </c>
      <c r="O172" s="35">
        <f>Inputs!$D$6*E172*Inputs!$D$27*Inputs!$D$30</f>
        <v>452.20876555972956</v>
      </c>
      <c r="P172" s="36">
        <f>O172/(C172*Inputs!$D$33)</f>
        <v>0.49153126691274951</v>
      </c>
      <c r="Q172" s="38">
        <f>IF(P172&gt;=1,999,P172/(Inputs!$D$33*(1-P172))*60)</f>
        <v>1.4500339005950402</v>
      </c>
      <c r="R172" s="37">
        <f>MIN(1,MAX(0,(Q172-Inputs!$D$36)/(Inputs!$D$37-Inputs!$D$36)))</f>
        <v>0</v>
      </c>
      <c r="S172" s="35">
        <f>Inputs!$D$6*E172*Inputs!$D$27*(1-Inputs!$D$38*R172)</f>
        <v>3768.4063796644132</v>
      </c>
      <c r="T172" s="39">
        <f>S172*Inputs!$D$12</f>
        <v>60294.502074630611</v>
      </c>
      <c r="U172" s="39">
        <f>T172*(1-Inputs!$D$18)</f>
        <v>27132.525933583773</v>
      </c>
      <c r="V172" s="35">
        <f>Inputs!$D$6*F172*Inputs!$D$28*Inputs!$D$31</f>
        <v>783.74558786036266</v>
      </c>
      <c r="W172" s="36">
        <f>V172/(B172*Inputs!$D$34)</f>
        <v>0.67856760853711051</v>
      </c>
      <c r="X172" s="38">
        <f>IF(W172&gt;=1,999,W172/(Inputs!$D$34*(1-W172))*60)</f>
        <v>3.6189842355277744</v>
      </c>
      <c r="Y172" s="37">
        <f>MIN(1,MAX(0,(X172-Inputs!$D$36)/(Inputs!$D$37-Inputs!$D$36)))</f>
        <v>0</v>
      </c>
      <c r="Z172" s="35">
        <f>Inputs!$D$6*F172*Inputs!$D$28*(1-Inputs!$D$38*Y172)</f>
        <v>6028.812214310482</v>
      </c>
      <c r="AA172" s="39">
        <f>Z172*Inputs!$D$13</f>
        <v>51244.903821639098</v>
      </c>
      <c r="AB172" s="39">
        <f>AA172*(1-Inputs!$D$19)</f>
        <v>30746.942292983458</v>
      </c>
      <c r="AC172" s="39">
        <f t="shared" si="8"/>
        <v>279426.72357126971</v>
      </c>
      <c r="AD172" s="39">
        <f t="shared" si="9"/>
        <v>116640.02941281722</v>
      </c>
      <c r="AE172" s="36">
        <f t="shared" si="10"/>
        <v>1.2490609090909091</v>
      </c>
      <c r="AF172" s="35">
        <f>IF(AND(AE172&lt;=Inputs!$D$35,C172&gt;=Inputs!$D$48*(A172+B172+C172),B172*Inputs!$D$22&lt;=Inputs!$D$50*Inputs!$D$8,B172*Inputs!$D$22&gt;=Inputs!$D$49*Inputs!$D$8,A172*Inputs!$D$20&lt;=Inputs!$D$47*Inputs!$D$8,C172&gt;=1),1,0)</f>
        <v>0</v>
      </c>
      <c r="AG172" s="39">
        <f t="shared" si="11"/>
        <v>-1</v>
      </c>
    </row>
    <row r="173" spans="1:33" x14ac:dyDescent="0.25">
      <c r="A173" s="35">
        <v>32</v>
      </c>
      <c r="B173" s="35">
        <v>10</v>
      </c>
      <c r="C173" s="35">
        <f>Inputs!$D$8-A173-Inputs!$D$22*B173</f>
        <v>68</v>
      </c>
      <c r="D173" s="35">
        <f>A173*Inputs!$D$20+C173*Inputs!$D$21+B173*Inputs!$D$22</f>
        <v>120</v>
      </c>
      <c r="E173" s="36">
        <f>MIN(Inputs!$E$15,Inputs!$D$15*(C173/Inputs!$D$43)^Inputs!$D$44)</f>
        <v>0.4</v>
      </c>
      <c r="F173" s="36">
        <f>MIN(Inputs!$E$16,Inputs!$D$16*(B173/Inputs!$D$42)^Inputs!$D$44)</f>
        <v>0.32490095854249423</v>
      </c>
      <c r="G173" s="37">
        <f>Inputs!$D$26*(1+Inputs!$D$41*(B173-Inputs!$D$42))</f>
        <v>1.35</v>
      </c>
      <c r="H173" s="35">
        <f>Inputs!$D$6*Inputs!$D$14*G173*Inputs!$D$29</f>
        <v>1696.1805000000004</v>
      </c>
      <c r="I173" s="36">
        <f>H173/(A173*Inputs!$D$32)</f>
        <v>0.96373892045454568</v>
      </c>
      <c r="J173" s="38">
        <f>IF(I173&gt;=1,999,I173/(Inputs!$D$32*(1-I173))*60)</f>
        <v>28.993939583869178</v>
      </c>
      <c r="K173" s="37">
        <f>MIN(1,MAX(0,(J173-Inputs!$D$36)/(Inputs!$D$37-Inputs!$D$36)))</f>
        <v>1</v>
      </c>
      <c r="L173" s="35">
        <f>Inputs!$D$6*Inputs!$D$14*G173*(1-Inputs!$D$38*K173)</f>
        <v>6219.3285000000024</v>
      </c>
      <c r="M173" s="39">
        <f>L173*Inputs!$D$11</f>
        <v>133715.56275000004</v>
      </c>
      <c r="N173" s="39">
        <f>M173*(1-Inputs!$D$17)</f>
        <v>46800.446962500013</v>
      </c>
      <c r="O173" s="35">
        <f>Inputs!$D$6*E173*Inputs!$D$27*Inputs!$D$30</f>
        <v>570.66240000000005</v>
      </c>
      <c r="P173" s="36">
        <f>O173/(C173*Inputs!$D$33)</f>
        <v>0.2098023529411765</v>
      </c>
      <c r="Q173" s="38">
        <f>IF(P173&gt;=1,999,P173/(Inputs!$D$33*(1-P173))*60)</f>
        <v>0.3982592590386918</v>
      </c>
      <c r="R173" s="37">
        <f>MIN(1,MAX(0,(Q173-Inputs!$D$36)/(Inputs!$D$37-Inputs!$D$36)))</f>
        <v>0</v>
      </c>
      <c r="S173" s="35">
        <f>Inputs!$D$6*E173*Inputs!$D$27*(1-Inputs!$D$38*R173)</f>
        <v>4755.5200000000004</v>
      </c>
      <c r="T173" s="39">
        <f>S173*Inputs!$D$12</f>
        <v>76088.320000000007</v>
      </c>
      <c r="U173" s="39">
        <f>T173*(1-Inputs!$D$18)</f>
        <v>34239.743999999999</v>
      </c>
      <c r="V173" s="35">
        <f>Inputs!$D$6*F173*Inputs!$D$28*Inputs!$D$31</f>
        <v>547.7986113486553</v>
      </c>
      <c r="W173" s="36">
        <f>V173/(B173*Inputs!$D$34)</f>
        <v>1.5651388895675866</v>
      </c>
      <c r="X173" s="38">
        <f>IF(W173&gt;=1,999,W173/(Inputs!$D$34*(1-W173))*60)</f>
        <v>999</v>
      </c>
      <c r="Y173" s="37">
        <f>MIN(1,MAX(0,(X173-Inputs!$D$36)/(Inputs!$D$37-Inputs!$D$36)))</f>
        <v>1</v>
      </c>
      <c r="Z173" s="35">
        <f>Inputs!$D$6*F173*Inputs!$D$28*(1-Inputs!$D$38*Y173)</f>
        <v>2317.6095095520031</v>
      </c>
      <c r="AA173" s="39">
        <f>Z173*Inputs!$D$13</f>
        <v>19699.680831192025</v>
      </c>
      <c r="AB173" s="39">
        <f>AA173*(1-Inputs!$D$19)</f>
        <v>11819.808498715214</v>
      </c>
      <c r="AC173" s="39">
        <f t="shared" si="8"/>
        <v>229503.56358119208</v>
      </c>
      <c r="AD173" s="39">
        <f t="shared" si="9"/>
        <v>92859.999461215222</v>
      </c>
      <c r="AE173" s="36">
        <f t="shared" si="10"/>
        <v>1.5651388895675866</v>
      </c>
      <c r="AF173" s="35">
        <f>IF(AND(AE173&lt;=Inputs!$D$35,C173&gt;=Inputs!$D$48*(A173+B173+C173),B173*Inputs!$D$22&lt;=Inputs!$D$50*Inputs!$D$8,B173*Inputs!$D$22&gt;=Inputs!$D$49*Inputs!$D$8,A173*Inputs!$D$20&lt;=Inputs!$D$47*Inputs!$D$8,C173&gt;=1),1,0)</f>
        <v>0</v>
      </c>
      <c r="AG173" s="39">
        <f t="shared" si="11"/>
        <v>-1</v>
      </c>
    </row>
    <row r="174" spans="1:33" x14ac:dyDescent="0.25">
      <c r="A174" s="35">
        <v>32</v>
      </c>
      <c r="B174" s="35">
        <v>11</v>
      </c>
      <c r="C174" s="35">
        <f>Inputs!$D$8-A174-Inputs!$D$22*B174</f>
        <v>66</v>
      </c>
      <c r="D174" s="35">
        <f>A174*Inputs!$D$20+C174*Inputs!$D$21+B174*Inputs!$D$22</f>
        <v>120</v>
      </c>
      <c r="E174" s="36">
        <f>MIN(Inputs!$E$15,Inputs!$D$15*(C174/Inputs!$D$43)^Inputs!$D$44)</f>
        <v>0.4</v>
      </c>
      <c r="F174" s="36">
        <f>MIN(Inputs!$E$16,Inputs!$D$16*(B174/Inputs!$D$42)^Inputs!$D$44)</f>
        <v>0.33432495758166098</v>
      </c>
      <c r="G174" s="37">
        <f>Inputs!$D$26*(1+Inputs!$D$41*(B174-Inputs!$D$42))</f>
        <v>1.365</v>
      </c>
      <c r="H174" s="35">
        <f>Inputs!$D$6*Inputs!$D$14*G174*Inputs!$D$29</f>
        <v>1715.0269500000002</v>
      </c>
      <c r="I174" s="36">
        <f>H174/(A174*Inputs!$D$32)</f>
        <v>0.97444713068181832</v>
      </c>
      <c r="J174" s="38">
        <f>IF(I174&gt;=1,999,I174/(Inputs!$D$32*(1-I174))*60)</f>
        <v>41.601325480684572</v>
      </c>
      <c r="K174" s="37">
        <f>MIN(1,MAX(0,(J174-Inputs!$D$36)/(Inputs!$D$37-Inputs!$D$36)))</f>
        <v>1</v>
      </c>
      <c r="L174" s="35">
        <f>Inputs!$D$6*Inputs!$D$14*G174*(1-Inputs!$D$38*K174)</f>
        <v>6288.4321500000005</v>
      </c>
      <c r="M174" s="39">
        <f>L174*Inputs!$D$11</f>
        <v>135201.29122500002</v>
      </c>
      <c r="N174" s="39">
        <f>M174*(1-Inputs!$D$17)</f>
        <v>47320.451928750008</v>
      </c>
      <c r="O174" s="35">
        <f>Inputs!$D$6*E174*Inputs!$D$27*Inputs!$D$30</f>
        <v>570.66240000000005</v>
      </c>
      <c r="P174" s="36">
        <f>O174/(C174*Inputs!$D$33)</f>
        <v>0.21616000000000002</v>
      </c>
      <c r="Q174" s="38">
        <f>IF(P174&gt;=1,999,P174/(Inputs!$D$33*(1-P174))*60)</f>
        <v>0.41365584813227191</v>
      </c>
      <c r="R174" s="37">
        <f>MIN(1,MAX(0,(Q174-Inputs!$D$36)/(Inputs!$D$37-Inputs!$D$36)))</f>
        <v>0</v>
      </c>
      <c r="S174" s="35">
        <f>Inputs!$D$6*E174*Inputs!$D$27*(1-Inputs!$D$38*R174)</f>
        <v>4755.5200000000004</v>
      </c>
      <c r="T174" s="39">
        <f>S174*Inputs!$D$12</f>
        <v>76088.320000000007</v>
      </c>
      <c r="U174" s="39">
        <f>T174*(1-Inputs!$D$18)</f>
        <v>34239.743999999999</v>
      </c>
      <c r="V174" s="35">
        <f>Inputs!$D$6*F174*Inputs!$D$28*Inputs!$D$31</f>
        <v>563.68792608064427</v>
      </c>
      <c r="W174" s="36">
        <f>V174/(B174*Inputs!$D$34)</f>
        <v>1.4641244833263487</v>
      </c>
      <c r="X174" s="38">
        <f>IF(W174&gt;=1,999,W174/(Inputs!$D$34*(1-W174))*60)</f>
        <v>999</v>
      </c>
      <c r="Y174" s="37">
        <f>MIN(1,MAX(0,(X174-Inputs!$D$36)/(Inputs!$D$37-Inputs!$D$36)))</f>
        <v>1</v>
      </c>
      <c r="Z174" s="35">
        <f>Inputs!$D$6*F174*Inputs!$D$28*(1-Inputs!$D$38*Y174)</f>
        <v>2384.8335334181106</v>
      </c>
      <c r="AA174" s="39">
        <f>Z174*Inputs!$D$13</f>
        <v>20271.08503405394</v>
      </c>
      <c r="AB174" s="39">
        <f>AA174*(1-Inputs!$D$19)</f>
        <v>12162.651020432364</v>
      </c>
      <c r="AC174" s="39">
        <f t="shared" si="8"/>
        <v>231560.69625905398</v>
      </c>
      <c r="AD174" s="39">
        <f t="shared" si="9"/>
        <v>93722.846949182363</v>
      </c>
      <c r="AE174" s="36">
        <f t="shared" si="10"/>
        <v>1.4641244833263487</v>
      </c>
      <c r="AF174" s="35">
        <f>IF(AND(AE174&lt;=Inputs!$D$35,C174&gt;=Inputs!$D$48*(A174+B174+C174),B174*Inputs!$D$22&lt;=Inputs!$D$50*Inputs!$D$8,B174*Inputs!$D$22&gt;=Inputs!$D$49*Inputs!$D$8,A174*Inputs!$D$20&lt;=Inputs!$D$47*Inputs!$D$8,C174&gt;=1),1,0)</f>
        <v>0</v>
      </c>
      <c r="AG174" s="39">
        <f t="shared" si="11"/>
        <v>-1</v>
      </c>
    </row>
    <row r="175" spans="1:33" x14ac:dyDescent="0.25">
      <c r="A175" s="35">
        <v>32</v>
      </c>
      <c r="B175" s="35">
        <v>12</v>
      </c>
      <c r="C175" s="35">
        <f>Inputs!$D$8-A175-Inputs!$D$22*B175</f>
        <v>64</v>
      </c>
      <c r="D175" s="35">
        <f>A175*Inputs!$D$20+C175*Inputs!$D$21+B175*Inputs!$D$22</f>
        <v>120</v>
      </c>
      <c r="E175" s="36">
        <f>MIN(Inputs!$E$15,Inputs!$D$15*(C175/Inputs!$D$43)^Inputs!$D$44)</f>
        <v>0.4</v>
      </c>
      <c r="F175" s="36">
        <f>MIN(Inputs!$E$16,Inputs!$D$16*(B175/Inputs!$D$42)^Inputs!$D$44)</f>
        <v>0.34316688017763797</v>
      </c>
      <c r="G175" s="37">
        <f>Inputs!$D$26*(1+Inputs!$D$41*(B175-Inputs!$D$42))</f>
        <v>1.3800000000000001</v>
      </c>
      <c r="H175" s="35">
        <f>Inputs!$D$6*Inputs!$D$14*G175*Inputs!$D$29</f>
        <v>1733.8734000000004</v>
      </c>
      <c r="I175" s="36">
        <f>H175/(A175*Inputs!$D$32)</f>
        <v>0.98515534090909118</v>
      </c>
      <c r="J175" s="38">
        <f>IF(I175&gt;=1,999,I175/(Inputs!$D$32*(1-I175))*60)</f>
        <v>72.397413155385308</v>
      </c>
      <c r="K175" s="37">
        <f>MIN(1,MAX(0,(J175-Inputs!$D$36)/(Inputs!$D$37-Inputs!$D$36)))</f>
        <v>1</v>
      </c>
      <c r="L175" s="35">
        <f>Inputs!$D$6*Inputs!$D$14*G175*(1-Inputs!$D$38*K175)</f>
        <v>6357.5358000000024</v>
      </c>
      <c r="M175" s="39">
        <f>L175*Inputs!$D$11</f>
        <v>136687.01970000006</v>
      </c>
      <c r="N175" s="39">
        <f>M175*(1-Inputs!$D$17)</f>
        <v>47840.456895000018</v>
      </c>
      <c r="O175" s="35">
        <f>Inputs!$D$6*E175*Inputs!$D$27*Inputs!$D$30</f>
        <v>570.66240000000005</v>
      </c>
      <c r="P175" s="36">
        <f>O175/(C175*Inputs!$D$33)</f>
        <v>0.22291500000000003</v>
      </c>
      <c r="Q175" s="38">
        <f>IF(P175&gt;=1,999,P175/(Inputs!$D$33*(1-P175))*60)</f>
        <v>0.43029076613240513</v>
      </c>
      <c r="R175" s="37">
        <f>MIN(1,MAX(0,(Q175-Inputs!$D$36)/(Inputs!$D$37-Inputs!$D$36)))</f>
        <v>0</v>
      </c>
      <c r="S175" s="35">
        <f>Inputs!$D$6*E175*Inputs!$D$27*(1-Inputs!$D$38*R175)</f>
        <v>4755.5200000000004</v>
      </c>
      <c r="T175" s="39">
        <f>S175*Inputs!$D$12</f>
        <v>76088.320000000007</v>
      </c>
      <c r="U175" s="39">
        <f>T175*(1-Inputs!$D$18)</f>
        <v>34239.743999999999</v>
      </c>
      <c r="V175" s="35">
        <f>Inputs!$D$6*F175*Inputs!$D$28*Inputs!$D$31</f>
        <v>578.5958319897461</v>
      </c>
      <c r="W175" s="36">
        <f>V175/(B175*Inputs!$D$34)</f>
        <v>1.3776091237851098</v>
      </c>
      <c r="X175" s="38">
        <f>IF(W175&gt;=1,999,W175/(Inputs!$D$34*(1-W175))*60)</f>
        <v>999</v>
      </c>
      <c r="Y175" s="37">
        <f>MIN(1,MAX(0,(X175-Inputs!$D$36)/(Inputs!$D$37-Inputs!$D$36)))</f>
        <v>1</v>
      </c>
      <c r="Z175" s="35">
        <f>Inputs!$D$6*F175*Inputs!$D$28*(1-Inputs!$D$38*Y175)</f>
        <v>2447.9054430335414</v>
      </c>
      <c r="AA175" s="39">
        <f>Z175*Inputs!$D$13</f>
        <v>20807.1962657851</v>
      </c>
      <c r="AB175" s="39">
        <f>AA175*(1-Inputs!$D$19)</f>
        <v>12484.31775947106</v>
      </c>
      <c r="AC175" s="39">
        <f t="shared" si="8"/>
        <v>233582.53596578518</v>
      </c>
      <c r="AD175" s="39">
        <f t="shared" si="9"/>
        <v>94564.518654471074</v>
      </c>
      <c r="AE175" s="36">
        <f t="shared" si="10"/>
        <v>1.3776091237851098</v>
      </c>
      <c r="AF175" s="35">
        <f>IF(AND(AE175&lt;=Inputs!$D$35,C175&gt;=Inputs!$D$48*(A175+B175+C175),B175*Inputs!$D$22&lt;=Inputs!$D$50*Inputs!$D$8,B175*Inputs!$D$22&gt;=Inputs!$D$49*Inputs!$D$8,A175*Inputs!$D$20&lt;=Inputs!$D$47*Inputs!$D$8,C175&gt;=1),1,0)</f>
        <v>0</v>
      </c>
      <c r="AG175" s="39">
        <f t="shared" si="11"/>
        <v>-1</v>
      </c>
    </row>
    <row r="176" spans="1:33" x14ac:dyDescent="0.25">
      <c r="A176" s="35">
        <v>32</v>
      </c>
      <c r="B176" s="35">
        <v>13</v>
      </c>
      <c r="C176" s="35">
        <f>Inputs!$D$8-A176-Inputs!$D$22*B176</f>
        <v>62</v>
      </c>
      <c r="D176" s="35">
        <f>A176*Inputs!$D$20+C176*Inputs!$D$21+B176*Inputs!$D$22</f>
        <v>120</v>
      </c>
      <c r="E176" s="36">
        <f>MIN(Inputs!$E$15,Inputs!$D$15*(C176/Inputs!$D$43)^Inputs!$D$44)</f>
        <v>0.4</v>
      </c>
      <c r="F176" s="36">
        <f>MIN(Inputs!$E$16,Inputs!$D$16*(B176/Inputs!$D$42)^Inputs!$D$44)</f>
        <v>0.35150701637190523</v>
      </c>
      <c r="G176" s="37">
        <f>Inputs!$D$26*(1+Inputs!$D$41*(B176-Inputs!$D$42))</f>
        <v>1.395</v>
      </c>
      <c r="H176" s="35">
        <f>Inputs!$D$6*Inputs!$D$14*G176*Inputs!$D$29</f>
        <v>1752.7198500000002</v>
      </c>
      <c r="I176" s="36">
        <f>H176/(A176*Inputs!$D$32)</f>
        <v>0.99586355113636371</v>
      </c>
      <c r="J176" s="38">
        <f>IF(I176&gt;=1,999,I176/(Inputs!$D$32*(1-I176))*60)</f>
        <v>262.63992063101074</v>
      </c>
      <c r="K176" s="37">
        <f>MIN(1,MAX(0,(J176-Inputs!$D$36)/(Inputs!$D$37-Inputs!$D$36)))</f>
        <v>1</v>
      </c>
      <c r="L176" s="35">
        <f>Inputs!$D$6*Inputs!$D$14*G176*(1-Inputs!$D$38*K176)</f>
        <v>6426.6394500000006</v>
      </c>
      <c r="M176" s="39">
        <f>L176*Inputs!$D$11</f>
        <v>138172.74817500002</v>
      </c>
      <c r="N176" s="39">
        <f>M176*(1-Inputs!$D$17)</f>
        <v>48360.461861250005</v>
      </c>
      <c r="O176" s="35">
        <f>Inputs!$D$6*E176*Inputs!$D$27*Inputs!$D$30</f>
        <v>570.66240000000005</v>
      </c>
      <c r="P176" s="36">
        <f>O176/(C176*Inputs!$D$33)</f>
        <v>0.23010580645161291</v>
      </c>
      <c r="Q176" s="38">
        <f>IF(P176&gt;=1,999,P176/(Inputs!$D$33*(1-P176))*60)</f>
        <v>0.44831966855939992</v>
      </c>
      <c r="R176" s="37">
        <f>MIN(1,MAX(0,(Q176-Inputs!$D$36)/(Inputs!$D$37-Inputs!$D$36)))</f>
        <v>0</v>
      </c>
      <c r="S176" s="35">
        <f>Inputs!$D$6*E176*Inputs!$D$27*(1-Inputs!$D$38*R176)</f>
        <v>4755.5200000000004</v>
      </c>
      <c r="T176" s="39">
        <f>S176*Inputs!$D$12</f>
        <v>76088.320000000007</v>
      </c>
      <c r="U176" s="39">
        <f>T176*(1-Inputs!$D$18)</f>
        <v>34239.743999999999</v>
      </c>
      <c r="V176" s="35">
        <f>Inputs!$D$6*F176*Inputs!$D$28*Inputs!$D$31</f>
        <v>592.65770193981814</v>
      </c>
      <c r="W176" s="36">
        <f>V176/(B176*Inputs!$D$34)</f>
        <v>1.3025443998677322</v>
      </c>
      <c r="X176" s="38">
        <f>IF(W176&gt;=1,999,W176/(Inputs!$D$34*(1-W176))*60)</f>
        <v>999</v>
      </c>
      <c r="Y176" s="37">
        <f>MIN(1,MAX(0,(X176-Inputs!$D$36)/(Inputs!$D$37-Inputs!$D$36)))</f>
        <v>1</v>
      </c>
      <c r="Z176" s="35">
        <f>Inputs!$D$6*F176*Inputs!$D$28*(1-Inputs!$D$38*Y176)</f>
        <v>2507.3979697453847</v>
      </c>
      <c r="AA176" s="39">
        <f>Z176*Inputs!$D$13</f>
        <v>21312.882742835769</v>
      </c>
      <c r="AB176" s="39">
        <f>AA176*(1-Inputs!$D$19)</f>
        <v>12787.729645701462</v>
      </c>
      <c r="AC176" s="39">
        <f t="shared" si="8"/>
        <v>235573.95091783578</v>
      </c>
      <c r="AD176" s="39">
        <f t="shared" si="9"/>
        <v>95387.935506951457</v>
      </c>
      <c r="AE176" s="36">
        <f t="shared" si="10"/>
        <v>1.3025443998677322</v>
      </c>
      <c r="AF176" s="35">
        <f>IF(AND(AE176&lt;=Inputs!$D$35,C176&gt;=Inputs!$D$48*(A176+B176+C176),B176*Inputs!$D$22&lt;=Inputs!$D$50*Inputs!$D$8,B176*Inputs!$D$22&gt;=Inputs!$D$49*Inputs!$D$8,A176*Inputs!$D$20&lt;=Inputs!$D$47*Inputs!$D$8,C176&gt;=1),1,0)</f>
        <v>0</v>
      </c>
      <c r="AG176" s="39">
        <f t="shared" si="11"/>
        <v>-1</v>
      </c>
    </row>
    <row r="177" spans="1:33" x14ac:dyDescent="0.25">
      <c r="A177" s="35">
        <v>32</v>
      </c>
      <c r="B177" s="35">
        <v>14</v>
      </c>
      <c r="C177" s="35">
        <f>Inputs!$D$8-A177-Inputs!$D$22*B177</f>
        <v>60</v>
      </c>
      <c r="D177" s="35">
        <f>A177*Inputs!$D$20+C177*Inputs!$D$21+B177*Inputs!$D$22</f>
        <v>120</v>
      </c>
      <c r="E177" s="36">
        <f>MIN(Inputs!$E$15,Inputs!$D$15*(C177/Inputs!$D$43)^Inputs!$D$44)</f>
        <v>0.4</v>
      </c>
      <c r="F177" s="36">
        <f>MIN(Inputs!$E$16,Inputs!$D$16*(B177/Inputs!$D$42)^Inputs!$D$44)</f>
        <v>0.35940937671625589</v>
      </c>
      <c r="G177" s="37">
        <f>Inputs!$D$26*(1+Inputs!$D$41*(B177-Inputs!$D$42))</f>
        <v>1.41</v>
      </c>
      <c r="H177" s="35">
        <f>Inputs!$D$6*Inputs!$D$14*G177*Inputs!$D$29</f>
        <v>1771.5663000000002</v>
      </c>
      <c r="I177" s="36">
        <f>H177/(A177*Inputs!$D$32)</f>
        <v>1.0065717613636365</v>
      </c>
      <c r="J177" s="38">
        <f>IF(I177&gt;=1,999,I177/(Inputs!$D$32*(1-I177))*60)</f>
        <v>999</v>
      </c>
      <c r="K177" s="37">
        <f>MIN(1,MAX(0,(J177-Inputs!$D$36)/(Inputs!$D$37-Inputs!$D$36)))</f>
        <v>1</v>
      </c>
      <c r="L177" s="35">
        <f>Inputs!$D$6*Inputs!$D$14*G177*(1-Inputs!$D$38*K177)</f>
        <v>6495.7431000000006</v>
      </c>
      <c r="M177" s="39">
        <f>L177*Inputs!$D$11</f>
        <v>139658.47665000003</v>
      </c>
      <c r="N177" s="39">
        <f>M177*(1-Inputs!$D$17)</f>
        <v>48880.466827500008</v>
      </c>
      <c r="O177" s="35">
        <f>Inputs!$D$6*E177*Inputs!$D$27*Inputs!$D$30</f>
        <v>570.66240000000005</v>
      </c>
      <c r="P177" s="36">
        <f>O177/(C177*Inputs!$D$33)</f>
        <v>0.23777600000000002</v>
      </c>
      <c r="Q177" s="38">
        <f>IF(P177&gt;=1,999,P177/(Inputs!$D$33*(1-P177))*60)</f>
        <v>0.46792543924095809</v>
      </c>
      <c r="R177" s="37">
        <f>MIN(1,MAX(0,(Q177-Inputs!$D$36)/(Inputs!$D$37-Inputs!$D$36)))</f>
        <v>0</v>
      </c>
      <c r="S177" s="35">
        <f>Inputs!$D$6*E177*Inputs!$D$27*(1-Inputs!$D$38*R177)</f>
        <v>4755.5200000000004</v>
      </c>
      <c r="T177" s="39">
        <f>S177*Inputs!$D$12</f>
        <v>76088.320000000007</v>
      </c>
      <c r="U177" s="39">
        <f>T177*(1-Inputs!$D$18)</f>
        <v>34239.743999999999</v>
      </c>
      <c r="V177" s="35">
        <f>Inputs!$D$6*F177*Inputs!$D$28*Inputs!$D$31</f>
        <v>605.98146079368973</v>
      </c>
      <c r="W177" s="36">
        <f>V177/(B177*Inputs!$D$34)</f>
        <v>1.2366968587626321</v>
      </c>
      <c r="X177" s="38">
        <f>IF(W177&gt;=1,999,W177/(Inputs!$D$34*(1-W177))*60)</f>
        <v>999</v>
      </c>
      <c r="Y177" s="37">
        <f>MIN(1,MAX(0,(X177-Inputs!$D$36)/(Inputs!$D$37-Inputs!$D$36)))</f>
        <v>1</v>
      </c>
      <c r="Z177" s="35">
        <f>Inputs!$D$6*F177*Inputs!$D$28*(1-Inputs!$D$38*Y177)</f>
        <v>2563.7677187425338</v>
      </c>
      <c r="AA177" s="39">
        <f>Z177*Inputs!$D$13</f>
        <v>21792.025609311539</v>
      </c>
      <c r="AB177" s="39">
        <f>AA177*(1-Inputs!$D$19)</f>
        <v>13075.215365586922</v>
      </c>
      <c r="AC177" s="39">
        <f t="shared" si="8"/>
        <v>237538.82225931156</v>
      </c>
      <c r="AD177" s="39">
        <f t="shared" si="9"/>
        <v>96195.426193086925</v>
      </c>
      <c r="AE177" s="36">
        <f t="shared" si="10"/>
        <v>1.2366968587626321</v>
      </c>
      <c r="AF177" s="35">
        <f>IF(AND(AE177&lt;=Inputs!$D$35,C177&gt;=Inputs!$D$48*(A177+B177+C177),B177*Inputs!$D$22&lt;=Inputs!$D$50*Inputs!$D$8,B177*Inputs!$D$22&gt;=Inputs!$D$49*Inputs!$D$8,A177*Inputs!$D$20&lt;=Inputs!$D$47*Inputs!$D$8,C177&gt;=1),1,0)</f>
        <v>0</v>
      </c>
      <c r="AG177" s="39">
        <f t="shared" si="11"/>
        <v>-1</v>
      </c>
    </row>
    <row r="178" spans="1:33" x14ac:dyDescent="0.25">
      <c r="A178" s="35">
        <v>32</v>
      </c>
      <c r="B178" s="35">
        <v>15</v>
      </c>
      <c r="C178" s="35">
        <f>Inputs!$D$8-A178-Inputs!$D$22*B178</f>
        <v>58</v>
      </c>
      <c r="D178" s="35">
        <f>A178*Inputs!$D$20+C178*Inputs!$D$21+B178*Inputs!$D$22</f>
        <v>120</v>
      </c>
      <c r="E178" s="36">
        <f>MIN(Inputs!$E$15,Inputs!$D$15*(C178/Inputs!$D$43)^Inputs!$D$44)</f>
        <v>0.4</v>
      </c>
      <c r="F178" s="36">
        <f>MIN(Inputs!$E$16,Inputs!$D$16*(B178/Inputs!$D$42)^Inputs!$D$44)</f>
        <v>0.36692590185696072</v>
      </c>
      <c r="G178" s="37">
        <f>Inputs!$D$26*(1+Inputs!$D$41*(B178-Inputs!$D$42))</f>
        <v>1.4249999999999998</v>
      </c>
      <c r="H178" s="35">
        <f>Inputs!$D$6*Inputs!$D$14*G178*Inputs!$D$29</f>
        <v>1790.4127499999997</v>
      </c>
      <c r="I178" s="36">
        <f>H178/(A178*Inputs!$D$32)</f>
        <v>1.0172799715909089</v>
      </c>
      <c r="J178" s="38">
        <f>IF(I178&gt;=1,999,I178/(Inputs!$D$32*(1-I178))*60)</f>
        <v>999</v>
      </c>
      <c r="K178" s="37">
        <f>MIN(1,MAX(0,(J178-Inputs!$D$36)/(Inputs!$D$37-Inputs!$D$36)))</f>
        <v>1</v>
      </c>
      <c r="L178" s="35">
        <f>Inputs!$D$6*Inputs!$D$14*G178*(1-Inputs!$D$38*K178)</f>
        <v>6564.8467499999997</v>
      </c>
      <c r="M178" s="39">
        <f>L178*Inputs!$D$11</f>
        <v>141144.20512500001</v>
      </c>
      <c r="N178" s="39">
        <f>M178*(1-Inputs!$D$17)</f>
        <v>49400.471793750003</v>
      </c>
      <c r="O178" s="35">
        <f>Inputs!$D$6*E178*Inputs!$D$27*Inputs!$D$30</f>
        <v>570.66240000000005</v>
      </c>
      <c r="P178" s="36">
        <f>O178/(C178*Inputs!$D$33)</f>
        <v>0.24597517241379313</v>
      </c>
      <c r="Q178" s="38">
        <f>IF(P178&gt;=1,999,P178/(Inputs!$D$33*(1-P178))*60)</f>
        <v>0.48932441628191153</v>
      </c>
      <c r="R178" s="37">
        <f>MIN(1,MAX(0,(Q178-Inputs!$D$36)/(Inputs!$D$37-Inputs!$D$36)))</f>
        <v>0</v>
      </c>
      <c r="S178" s="35">
        <f>Inputs!$D$6*E178*Inputs!$D$27*(1-Inputs!$D$38*R178)</f>
        <v>4755.5200000000004</v>
      </c>
      <c r="T178" s="39">
        <f>S178*Inputs!$D$12</f>
        <v>76088.320000000007</v>
      </c>
      <c r="U178" s="39">
        <f>T178*(1-Inputs!$D$18)</f>
        <v>34239.743999999999</v>
      </c>
      <c r="V178" s="35">
        <f>Inputs!$D$6*F178*Inputs!$D$28*Inputs!$D$31</f>
        <v>618.65468297412497</v>
      </c>
      <c r="W178" s="36">
        <f>V178/(B178*Inputs!$D$34)</f>
        <v>1.1783898723316666</v>
      </c>
      <c r="X178" s="38">
        <f>IF(W178&gt;=1,999,W178/(Inputs!$D$34*(1-W178))*60)</f>
        <v>999</v>
      </c>
      <c r="Y178" s="37">
        <f>MIN(1,MAX(0,(X178-Inputs!$D$36)/(Inputs!$D$37-Inputs!$D$36)))</f>
        <v>1</v>
      </c>
      <c r="Z178" s="35">
        <f>Inputs!$D$6*F178*Inputs!$D$28*(1-Inputs!$D$38*Y178)</f>
        <v>2617.3851971982212</v>
      </c>
      <c r="AA178" s="39">
        <f>Z178*Inputs!$D$13</f>
        <v>22247.774176184881</v>
      </c>
      <c r="AB178" s="39">
        <f>AA178*(1-Inputs!$D$19)</f>
        <v>13348.664505710929</v>
      </c>
      <c r="AC178" s="39">
        <f t="shared" si="8"/>
        <v>239480.29930118489</v>
      </c>
      <c r="AD178" s="39">
        <f t="shared" si="9"/>
        <v>96988.880299460929</v>
      </c>
      <c r="AE178" s="36">
        <f t="shared" si="10"/>
        <v>1.1783898723316666</v>
      </c>
      <c r="AF178" s="35">
        <f>IF(AND(AE178&lt;=Inputs!$D$35,C178&gt;=Inputs!$D$48*(A178+B178+C178),B178*Inputs!$D$22&lt;=Inputs!$D$50*Inputs!$D$8,B178*Inputs!$D$22&gt;=Inputs!$D$49*Inputs!$D$8,A178*Inputs!$D$20&lt;=Inputs!$D$47*Inputs!$D$8,C178&gt;=1),1,0)</f>
        <v>0</v>
      </c>
      <c r="AG178" s="39">
        <f t="shared" si="11"/>
        <v>-1</v>
      </c>
    </row>
    <row r="179" spans="1:33" x14ac:dyDescent="0.25">
      <c r="A179" s="35">
        <v>32</v>
      </c>
      <c r="B179" s="35">
        <v>16</v>
      </c>
      <c r="C179" s="35">
        <f>Inputs!$D$8-A179-Inputs!$D$22*B179</f>
        <v>56</v>
      </c>
      <c r="D179" s="35">
        <f>A179*Inputs!$D$20+C179*Inputs!$D$21+B179*Inputs!$D$22</f>
        <v>120</v>
      </c>
      <c r="E179" s="36">
        <f>MIN(Inputs!$E$15,Inputs!$D$15*(C179/Inputs!$D$43)^Inputs!$D$44)</f>
        <v>0.4</v>
      </c>
      <c r="F179" s="36">
        <f>MIN(Inputs!$E$16,Inputs!$D$16*(B179/Inputs!$D$42)^Inputs!$D$44)</f>
        <v>0.37409937912904856</v>
      </c>
      <c r="G179" s="37">
        <f>Inputs!$D$26*(1+Inputs!$D$41*(B179-Inputs!$D$42))</f>
        <v>1.44</v>
      </c>
      <c r="H179" s="35">
        <f>Inputs!$D$6*Inputs!$D$14*G179*Inputs!$D$29</f>
        <v>1809.2592000000002</v>
      </c>
      <c r="I179" s="36">
        <f>H179/(A179*Inputs!$D$32)</f>
        <v>1.027988181818182</v>
      </c>
      <c r="J179" s="38">
        <f>IF(I179&gt;=1,999,I179/(Inputs!$D$32*(1-I179))*60)</f>
        <v>999</v>
      </c>
      <c r="K179" s="37">
        <f>MIN(1,MAX(0,(J179-Inputs!$D$36)/(Inputs!$D$37-Inputs!$D$36)))</f>
        <v>1</v>
      </c>
      <c r="L179" s="35">
        <f>Inputs!$D$6*Inputs!$D$14*G179*(1-Inputs!$D$38*K179)</f>
        <v>6633.9504000000006</v>
      </c>
      <c r="M179" s="39">
        <f>L179*Inputs!$D$11</f>
        <v>142629.93360000002</v>
      </c>
      <c r="N179" s="39">
        <f>M179*(1-Inputs!$D$17)</f>
        <v>49920.476760000005</v>
      </c>
      <c r="O179" s="35">
        <f>Inputs!$D$6*E179*Inputs!$D$27*Inputs!$D$30</f>
        <v>570.66240000000005</v>
      </c>
      <c r="P179" s="36">
        <f>O179/(C179*Inputs!$D$33)</f>
        <v>0.25476000000000004</v>
      </c>
      <c r="Q179" s="38">
        <f>IF(P179&gt;=1,999,P179/(Inputs!$D$33*(1-P179))*60)</f>
        <v>0.51277440824432408</v>
      </c>
      <c r="R179" s="37">
        <f>MIN(1,MAX(0,(Q179-Inputs!$D$36)/(Inputs!$D$37-Inputs!$D$36)))</f>
        <v>0</v>
      </c>
      <c r="S179" s="35">
        <f>Inputs!$D$6*E179*Inputs!$D$27*(1-Inputs!$D$38*R179)</f>
        <v>4755.5200000000004</v>
      </c>
      <c r="T179" s="39">
        <f>S179*Inputs!$D$12</f>
        <v>76088.320000000007</v>
      </c>
      <c r="U179" s="39">
        <f>T179*(1-Inputs!$D$18)</f>
        <v>34239.743999999999</v>
      </c>
      <c r="V179" s="35">
        <f>Inputs!$D$6*F179*Inputs!$D$28*Inputs!$D$31</f>
        <v>630.74950998177405</v>
      </c>
      <c r="W179" s="36">
        <f>V179/(B179*Inputs!$D$34)</f>
        <v>1.1263384106817393</v>
      </c>
      <c r="X179" s="38">
        <f>IF(W179&gt;=1,999,W179/(Inputs!$D$34*(1-W179))*60)</f>
        <v>999</v>
      </c>
      <c r="Y179" s="37">
        <f>MIN(1,MAX(0,(X179-Inputs!$D$36)/(Inputs!$D$37-Inputs!$D$36)))</f>
        <v>1</v>
      </c>
      <c r="Z179" s="35">
        <f>Inputs!$D$6*F179*Inputs!$D$28*(1-Inputs!$D$38*Y179)</f>
        <v>2668.5556191536598</v>
      </c>
      <c r="AA179" s="39">
        <f>Z179*Inputs!$D$13</f>
        <v>22682.722762806108</v>
      </c>
      <c r="AB179" s="39">
        <f>AA179*(1-Inputs!$D$19)</f>
        <v>13609.633657683664</v>
      </c>
      <c r="AC179" s="39">
        <f t="shared" si="8"/>
        <v>241400.97636280613</v>
      </c>
      <c r="AD179" s="39">
        <f t="shared" si="9"/>
        <v>97769.854417683659</v>
      </c>
      <c r="AE179" s="36">
        <f t="shared" si="10"/>
        <v>1.1263384106817393</v>
      </c>
      <c r="AF179" s="35">
        <f>IF(AND(AE179&lt;=Inputs!$D$35,C179&gt;=Inputs!$D$48*(A179+B179+C179),B179*Inputs!$D$22&lt;=Inputs!$D$50*Inputs!$D$8,B179*Inputs!$D$22&gt;=Inputs!$D$49*Inputs!$D$8,A179*Inputs!$D$20&lt;=Inputs!$D$47*Inputs!$D$8,C179&gt;=1),1,0)</f>
        <v>0</v>
      </c>
      <c r="AG179" s="39">
        <f t="shared" si="11"/>
        <v>-1</v>
      </c>
    </row>
    <row r="180" spans="1:33" x14ac:dyDescent="0.25">
      <c r="A180" s="35">
        <v>32</v>
      </c>
      <c r="B180" s="35">
        <v>17</v>
      </c>
      <c r="C180" s="35">
        <f>Inputs!$D$8-A180-Inputs!$D$22*B180</f>
        <v>54</v>
      </c>
      <c r="D180" s="35">
        <f>A180*Inputs!$D$20+C180*Inputs!$D$21+B180*Inputs!$D$22</f>
        <v>120</v>
      </c>
      <c r="E180" s="36">
        <f>MIN(Inputs!$E$15,Inputs!$D$15*(C180/Inputs!$D$43)^Inputs!$D$44)</f>
        <v>0.4</v>
      </c>
      <c r="F180" s="36">
        <f>MIN(Inputs!$E$16,Inputs!$D$16*(B180/Inputs!$D$42)^Inputs!$D$44)</f>
        <v>0.3809655184437048</v>
      </c>
      <c r="G180" s="37">
        <f>Inputs!$D$26*(1+Inputs!$D$41*(B180-Inputs!$D$42))</f>
        <v>1.4550000000000001</v>
      </c>
      <c r="H180" s="35">
        <f>Inputs!$D$6*Inputs!$D$14*G180*Inputs!$D$29</f>
        <v>1828.1056500000002</v>
      </c>
      <c r="I180" s="36">
        <f>H180/(A180*Inputs!$D$32)</f>
        <v>1.0386963920454546</v>
      </c>
      <c r="J180" s="38">
        <f>IF(I180&gt;=1,999,I180/(Inputs!$D$32*(1-I180))*60)</f>
        <v>999</v>
      </c>
      <c r="K180" s="37">
        <f>MIN(1,MAX(0,(J180-Inputs!$D$36)/(Inputs!$D$37-Inputs!$D$36)))</f>
        <v>1</v>
      </c>
      <c r="L180" s="35">
        <f>Inputs!$D$6*Inputs!$D$14*G180*(1-Inputs!$D$38*K180)</f>
        <v>6703.0540500000006</v>
      </c>
      <c r="M180" s="39">
        <f>L180*Inputs!$D$11</f>
        <v>144115.662075</v>
      </c>
      <c r="N180" s="39">
        <f>M180*(1-Inputs!$D$17)</f>
        <v>50440.48172625</v>
      </c>
      <c r="O180" s="35">
        <f>Inputs!$D$6*E180*Inputs!$D$27*Inputs!$D$30</f>
        <v>570.66240000000005</v>
      </c>
      <c r="P180" s="36">
        <f>O180/(C180*Inputs!$D$33)</f>
        <v>0.26419555555555557</v>
      </c>
      <c r="Q180" s="38">
        <f>IF(P180&gt;=1,999,P180/(Inputs!$D$33*(1-P180))*60)</f>
        <v>0.53858513131508379</v>
      </c>
      <c r="R180" s="37">
        <f>MIN(1,MAX(0,(Q180-Inputs!$D$36)/(Inputs!$D$37-Inputs!$D$36)))</f>
        <v>0</v>
      </c>
      <c r="S180" s="35">
        <f>Inputs!$D$6*E180*Inputs!$D$27*(1-Inputs!$D$38*R180)</f>
        <v>4755.5200000000004</v>
      </c>
      <c r="T180" s="39">
        <f>S180*Inputs!$D$12</f>
        <v>76088.320000000007</v>
      </c>
      <c r="U180" s="39">
        <f>T180*(1-Inputs!$D$18)</f>
        <v>34239.743999999999</v>
      </c>
      <c r="V180" s="35">
        <f>Inputs!$D$6*F180*Inputs!$D$28*Inputs!$D$31</f>
        <v>642.32615044097156</v>
      </c>
      <c r="W180" s="36">
        <f>V180/(B180*Inputs!$D$34)</f>
        <v>1.0795397486402882</v>
      </c>
      <c r="X180" s="38">
        <f>IF(W180&gt;=1,999,W180/(Inputs!$D$34*(1-W180))*60)</f>
        <v>999</v>
      </c>
      <c r="Y180" s="37">
        <f>MIN(1,MAX(0,(X180-Inputs!$D$36)/(Inputs!$D$37-Inputs!$D$36)))</f>
        <v>1</v>
      </c>
      <c r="Z180" s="35">
        <f>Inputs!$D$6*F180*Inputs!$D$28*(1-Inputs!$D$38*Y180)</f>
        <v>2717.5337134041106</v>
      </c>
      <c r="AA180" s="39">
        <f>Z180*Inputs!$D$13</f>
        <v>23099.03656393494</v>
      </c>
      <c r="AB180" s="39">
        <f>AA180*(1-Inputs!$D$19)</f>
        <v>13859.421938360963</v>
      </c>
      <c r="AC180" s="39">
        <f t="shared" si="8"/>
        <v>243303.01863893494</v>
      </c>
      <c r="AD180" s="39">
        <f t="shared" si="9"/>
        <v>98539.647664610966</v>
      </c>
      <c r="AE180" s="36">
        <f t="shared" si="10"/>
        <v>1.0795397486402882</v>
      </c>
      <c r="AF180" s="35">
        <f>IF(AND(AE180&lt;=Inputs!$D$35,C180&gt;=Inputs!$D$48*(A180+B180+C180),B180*Inputs!$D$22&lt;=Inputs!$D$50*Inputs!$D$8,B180*Inputs!$D$22&gt;=Inputs!$D$49*Inputs!$D$8,A180*Inputs!$D$20&lt;=Inputs!$D$47*Inputs!$D$8,C180&gt;=1),1,0)</f>
        <v>0</v>
      </c>
      <c r="AG180" s="39">
        <f t="shared" si="11"/>
        <v>-1</v>
      </c>
    </row>
    <row r="181" spans="1:33" x14ac:dyDescent="0.25">
      <c r="A181" s="35">
        <v>32</v>
      </c>
      <c r="B181" s="35">
        <v>18</v>
      </c>
      <c r="C181" s="35">
        <f>Inputs!$D$8-A181-Inputs!$D$22*B181</f>
        <v>52</v>
      </c>
      <c r="D181" s="35">
        <f>A181*Inputs!$D$20+C181*Inputs!$D$21+B181*Inputs!$D$22</f>
        <v>120</v>
      </c>
      <c r="E181" s="36">
        <f>MIN(Inputs!$E$15,Inputs!$D$15*(C181/Inputs!$D$43)^Inputs!$D$44)</f>
        <v>0.4</v>
      </c>
      <c r="F181" s="36">
        <f>MIN(Inputs!$E$16,Inputs!$D$16*(B181/Inputs!$D$42)^Inputs!$D$44)</f>
        <v>0.38755446447890535</v>
      </c>
      <c r="G181" s="37">
        <f>Inputs!$D$26*(1+Inputs!$D$41*(B181-Inputs!$D$42))</f>
        <v>1.47</v>
      </c>
      <c r="H181" s="35">
        <f>Inputs!$D$6*Inputs!$D$14*G181*Inputs!$D$29</f>
        <v>1846.9521</v>
      </c>
      <c r="I181" s="36">
        <f>H181/(A181*Inputs!$D$32)</f>
        <v>1.0494046022727272</v>
      </c>
      <c r="J181" s="38">
        <f>IF(I181&gt;=1,999,I181/(Inputs!$D$32*(1-I181))*60)</f>
        <v>999</v>
      </c>
      <c r="K181" s="37">
        <f>MIN(1,MAX(0,(J181-Inputs!$D$36)/(Inputs!$D$37-Inputs!$D$36)))</f>
        <v>1</v>
      </c>
      <c r="L181" s="35">
        <f>Inputs!$D$6*Inputs!$D$14*G181*(1-Inputs!$D$38*K181)</f>
        <v>6772.1577000000016</v>
      </c>
      <c r="M181" s="39">
        <f>L181*Inputs!$D$11</f>
        <v>145601.39055000004</v>
      </c>
      <c r="N181" s="39">
        <f>M181*(1-Inputs!$D$17)</f>
        <v>50960.48669250001</v>
      </c>
      <c r="O181" s="35">
        <f>Inputs!$D$6*E181*Inputs!$D$27*Inputs!$D$30</f>
        <v>570.66240000000005</v>
      </c>
      <c r="P181" s="36">
        <f>O181/(C181*Inputs!$D$33)</f>
        <v>0.27435692307692311</v>
      </c>
      <c r="Q181" s="38">
        <f>IF(P181&gt;=1,999,P181/(Inputs!$D$33*(1-P181))*60)</f>
        <v>0.56713196570469071</v>
      </c>
      <c r="R181" s="37">
        <f>MIN(1,MAX(0,(Q181-Inputs!$D$36)/(Inputs!$D$37-Inputs!$D$36)))</f>
        <v>0</v>
      </c>
      <c r="S181" s="35">
        <f>Inputs!$D$6*E181*Inputs!$D$27*(1-Inputs!$D$38*R181)</f>
        <v>4755.5200000000004</v>
      </c>
      <c r="T181" s="39">
        <f>S181*Inputs!$D$12</f>
        <v>76088.320000000007</v>
      </c>
      <c r="U181" s="39">
        <f>T181*(1-Inputs!$D$18)</f>
        <v>34239.743999999999</v>
      </c>
      <c r="V181" s="35">
        <f>Inputs!$D$6*F181*Inputs!$D$28*Inputs!$D$31</f>
        <v>653.43542972572936</v>
      </c>
      <c r="W181" s="36">
        <f>V181/(B181*Inputs!$D$34)</f>
        <v>1.037199094802745</v>
      </c>
      <c r="X181" s="38">
        <f>IF(W181&gt;=1,999,W181/(Inputs!$D$34*(1-W181))*60)</f>
        <v>999</v>
      </c>
      <c r="Y181" s="37">
        <f>MIN(1,MAX(0,(X181-Inputs!$D$36)/(Inputs!$D$37-Inputs!$D$36)))</f>
        <v>1</v>
      </c>
      <c r="Z181" s="35">
        <f>Inputs!$D$6*F181*Inputs!$D$28*(1-Inputs!$D$38*Y181)</f>
        <v>2764.534510378086</v>
      </c>
      <c r="AA181" s="39">
        <f>Z181*Inputs!$D$13</f>
        <v>23498.543338213731</v>
      </c>
      <c r="AB181" s="39">
        <f>AA181*(1-Inputs!$D$19)</f>
        <v>14099.126002928238</v>
      </c>
      <c r="AC181" s="39">
        <f t="shared" si="8"/>
        <v>245188.25388821377</v>
      </c>
      <c r="AD181" s="39">
        <f t="shared" si="9"/>
        <v>99299.356695428258</v>
      </c>
      <c r="AE181" s="36">
        <f t="shared" si="10"/>
        <v>1.0494046022727272</v>
      </c>
      <c r="AF181" s="35">
        <f>IF(AND(AE181&lt;=Inputs!$D$35,C181&gt;=Inputs!$D$48*(A181+B181+C181),B181*Inputs!$D$22&lt;=Inputs!$D$50*Inputs!$D$8,B181*Inputs!$D$22&gt;=Inputs!$D$49*Inputs!$D$8,A181*Inputs!$D$20&lt;=Inputs!$D$47*Inputs!$D$8,C181&gt;=1),1,0)</f>
        <v>0</v>
      </c>
      <c r="AG181" s="39">
        <f t="shared" si="11"/>
        <v>-1</v>
      </c>
    </row>
    <row r="182" spans="1:33" x14ac:dyDescent="0.25">
      <c r="A182" s="35">
        <v>32</v>
      </c>
      <c r="B182" s="35">
        <v>19</v>
      </c>
      <c r="C182" s="35">
        <f>Inputs!$D$8-A182-Inputs!$D$22*B182</f>
        <v>50</v>
      </c>
      <c r="D182" s="35">
        <f>A182*Inputs!$D$20+C182*Inputs!$D$21+B182*Inputs!$D$22</f>
        <v>120</v>
      </c>
      <c r="E182" s="36">
        <f>MIN(Inputs!$E$15,Inputs!$D$15*(C182/Inputs!$D$43)^Inputs!$D$44)</f>
        <v>0.4</v>
      </c>
      <c r="F182" s="36">
        <f>MIN(Inputs!$E$16,Inputs!$D$16*(B182/Inputs!$D$42)^Inputs!$D$44)</f>
        <v>0.39389192072703005</v>
      </c>
      <c r="G182" s="37">
        <f>Inputs!$D$26*(1+Inputs!$D$41*(B182-Inputs!$D$42))</f>
        <v>1.4849999999999999</v>
      </c>
      <c r="H182" s="35">
        <f>Inputs!$D$6*Inputs!$D$14*G182*Inputs!$D$29</f>
        <v>1865.7985499999998</v>
      </c>
      <c r="I182" s="36">
        <f>H182/(A182*Inputs!$D$32)</f>
        <v>1.0601128124999999</v>
      </c>
      <c r="J182" s="38">
        <f>IF(I182&gt;=1,999,I182/(Inputs!$D$32*(1-I182))*60)</f>
        <v>999</v>
      </c>
      <c r="K182" s="37">
        <f>MIN(1,MAX(0,(J182-Inputs!$D$36)/(Inputs!$D$37-Inputs!$D$36)))</f>
        <v>1</v>
      </c>
      <c r="L182" s="35">
        <f>Inputs!$D$6*Inputs!$D$14*G182*(1-Inputs!$D$38*K182)</f>
        <v>6841.2613499999998</v>
      </c>
      <c r="M182" s="39">
        <f>L182*Inputs!$D$11</f>
        <v>147087.11902499999</v>
      </c>
      <c r="N182" s="39">
        <f>M182*(1-Inputs!$D$17)</f>
        <v>51480.491658749997</v>
      </c>
      <c r="O182" s="35">
        <f>Inputs!$D$6*E182*Inputs!$D$27*Inputs!$D$30</f>
        <v>570.66240000000005</v>
      </c>
      <c r="P182" s="36">
        <f>O182/(C182*Inputs!$D$33)</f>
        <v>0.28533120000000001</v>
      </c>
      <c r="Q182" s="38">
        <f>IF(P182&gt;=1,999,P182/(Inputs!$D$33*(1-P182))*60)</f>
        <v>0.59887433171841276</v>
      </c>
      <c r="R182" s="37">
        <f>MIN(1,MAX(0,(Q182-Inputs!$D$36)/(Inputs!$D$37-Inputs!$D$36)))</f>
        <v>0</v>
      </c>
      <c r="S182" s="35">
        <f>Inputs!$D$6*E182*Inputs!$D$27*(1-Inputs!$D$38*R182)</f>
        <v>4755.5200000000004</v>
      </c>
      <c r="T182" s="39">
        <f>S182*Inputs!$D$12</f>
        <v>76088.320000000007</v>
      </c>
      <c r="U182" s="39">
        <f>T182*(1-Inputs!$D$18)</f>
        <v>34239.743999999999</v>
      </c>
      <c r="V182" s="35">
        <f>Inputs!$D$6*F182*Inputs!$D$28*Inputs!$D$31</f>
        <v>664.12068515796761</v>
      </c>
      <c r="W182" s="36">
        <f>V182/(B182*Inputs!$D$34)</f>
        <v>0.99867772204205651</v>
      </c>
      <c r="X182" s="38">
        <f>IF(W182&gt;=1,999,W182/(Inputs!$D$34*(1-W182))*60)</f>
        <v>1294.749671797274</v>
      </c>
      <c r="Y182" s="37">
        <f>MIN(1,MAX(0,(X182-Inputs!$D$36)/(Inputs!$D$37-Inputs!$D$36)))</f>
        <v>1</v>
      </c>
      <c r="Z182" s="35">
        <f>Inputs!$D$6*F182*Inputs!$D$28*(1-Inputs!$D$38*Y182)</f>
        <v>2809.7413602837091</v>
      </c>
      <c r="AA182" s="39">
        <f>Z182*Inputs!$D$13</f>
        <v>23882.801562411529</v>
      </c>
      <c r="AB182" s="39">
        <f>AA182*(1-Inputs!$D$19)</f>
        <v>14329.680937446918</v>
      </c>
      <c r="AC182" s="39">
        <f t="shared" si="8"/>
        <v>247058.24058741154</v>
      </c>
      <c r="AD182" s="39">
        <f t="shared" si="9"/>
        <v>100049.91659619691</v>
      </c>
      <c r="AE182" s="36">
        <f t="shared" si="10"/>
        <v>1.0601128124999999</v>
      </c>
      <c r="AF182" s="35">
        <f>IF(AND(AE182&lt;=Inputs!$D$35,C182&gt;=Inputs!$D$48*(A182+B182+C182),B182*Inputs!$D$22&lt;=Inputs!$D$50*Inputs!$D$8,B182*Inputs!$D$22&gt;=Inputs!$D$49*Inputs!$D$8,A182*Inputs!$D$20&lt;=Inputs!$D$47*Inputs!$D$8,C182&gt;=1),1,0)</f>
        <v>0</v>
      </c>
      <c r="AG182" s="39">
        <f t="shared" si="11"/>
        <v>-1</v>
      </c>
    </row>
    <row r="183" spans="1:33" x14ac:dyDescent="0.25">
      <c r="A183" s="35">
        <v>32</v>
      </c>
      <c r="B183" s="35">
        <v>20</v>
      </c>
      <c r="C183" s="35">
        <f>Inputs!$D$8-A183-Inputs!$D$22*B183</f>
        <v>48</v>
      </c>
      <c r="D183" s="35">
        <f>A183*Inputs!$D$20+C183*Inputs!$D$21+B183*Inputs!$D$22</f>
        <v>120</v>
      </c>
      <c r="E183" s="36">
        <f>MIN(Inputs!$E$15,Inputs!$D$15*(C183/Inputs!$D$43)^Inputs!$D$44)</f>
        <v>0.39525168457966786</v>
      </c>
      <c r="F183" s="36">
        <f>MIN(Inputs!$E$16,Inputs!$D$16*(B183/Inputs!$D$42)^Inputs!$D$44)</f>
        <v>0.4</v>
      </c>
      <c r="G183" s="37">
        <f>Inputs!$D$26*(1+Inputs!$D$41*(B183-Inputs!$D$42))</f>
        <v>1.5</v>
      </c>
      <c r="H183" s="35">
        <f>Inputs!$D$6*Inputs!$D$14*G183*Inputs!$D$29</f>
        <v>1884.645</v>
      </c>
      <c r="I183" s="36">
        <f>H183/(A183*Inputs!$D$32)</f>
        <v>1.0708210227272728</v>
      </c>
      <c r="J183" s="38">
        <f>IF(I183&gt;=1,999,I183/(Inputs!$D$32*(1-I183))*60)</f>
        <v>999</v>
      </c>
      <c r="K183" s="37">
        <f>MIN(1,MAX(0,(J183-Inputs!$D$36)/(Inputs!$D$37-Inputs!$D$36)))</f>
        <v>1</v>
      </c>
      <c r="L183" s="35">
        <f>Inputs!$D$6*Inputs!$D$14*G183*(1-Inputs!$D$38*K183)</f>
        <v>6910.3650000000016</v>
      </c>
      <c r="M183" s="39">
        <f>L183*Inputs!$D$11</f>
        <v>148572.84750000003</v>
      </c>
      <c r="N183" s="39">
        <f>M183*(1-Inputs!$D$17)</f>
        <v>52000.496625000007</v>
      </c>
      <c r="O183" s="35">
        <f>Inputs!$D$6*E183*Inputs!$D$27*Inputs!$D$30</f>
        <v>563.88818731569074</v>
      </c>
      <c r="P183" s="36">
        <f>O183/(C183*Inputs!$D$33)</f>
        <v>0.29369176422692228</v>
      </c>
      <c r="Q183" s="38">
        <f>IF(P183&gt;=1,999,P183/(Inputs!$D$33*(1-P183))*60)</f>
        <v>0.62371868828373556</v>
      </c>
      <c r="R183" s="37">
        <f>MIN(1,MAX(0,(Q183-Inputs!$D$36)/(Inputs!$D$37-Inputs!$D$36)))</f>
        <v>0</v>
      </c>
      <c r="S183" s="35">
        <f>Inputs!$D$6*E183*Inputs!$D$27*(1-Inputs!$D$38*R183)</f>
        <v>4699.0682276307562</v>
      </c>
      <c r="T183" s="39">
        <f>S183*Inputs!$D$12</f>
        <v>75185.091642092098</v>
      </c>
      <c r="U183" s="39">
        <f>T183*(1-Inputs!$D$18)</f>
        <v>33833.291238941441</v>
      </c>
      <c r="V183" s="35">
        <f>Inputs!$D$6*F183*Inputs!$D$28*Inputs!$D$31</f>
        <v>674.41919999999993</v>
      </c>
      <c r="W183" s="36">
        <f>V183/(B183*Inputs!$D$34)</f>
        <v>0.96345599999999987</v>
      </c>
      <c r="X183" s="38">
        <f>IF(W183&gt;=1,999,W183/(Inputs!$D$34*(1-W183))*60)</f>
        <v>45.195896922691851</v>
      </c>
      <c r="Y183" s="37">
        <f>MIN(1,MAX(0,(X183-Inputs!$D$36)/(Inputs!$D$37-Inputs!$D$36)))</f>
        <v>1</v>
      </c>
      <c r="Z183" s="35">
        <f>Inputs!$D$6*F183*Inputs!$D$28*(1-Inputs!$D$38*Y183)</f>
        <v>2853.3119999999999</v>
      </c>
      <c r="AA183" s="39">
        <f>Z183*Inputs!$D$13</f>
        <v>24253.151999999998</v>
      </c>
      <c r="AB183" s="39">
        <f>AA183*(1-Inputs!$D$19)</f>
        <v>14551.891199999998</v>
      </c>
      <c r="AC183" s="39">
        <f t="shared" si="8"/>
        <v>248011.09114209213</v>
      </c>
      <c r="AD183" s="39">
        <f t="shared" si="9"/>
        <v>100385.67906394145</v>
      </c>
      <c r="AE183" s="36">
        <f t="shared" si="10"/>
        <v>1.0708210227272728</v>
      </c>
      <c r="AF183" s="35">
        <f>IF(AND(AE183&lt;=Inputs!$D$35,C183&gt;=Inputs!$D$48*(A183+B183+C183),B183*Inputs!$D$22&lt;=Inputs!$D$50*Inputs!$D$8,B183*Inputs!$D$22&gt;=Inputs!$D$49*Inputs!$D$8,A183*Inputs!$D$20&lt;=Inputs!$D$47*Inputs!$D$8,C183&gt;=1),1,0)</f>
        <v>0</v>
      </c>
      <c r="AG183" s="39">
        <f t="shared" si="11"/>
        <v>-1</v>
      </c>
    </row>
    <row r="184" spans="1:33" x14ac:dyDescent="0.25">
      <c r="A184" s="35">
        <v>32</v>
      </c>
      <c r="B184" s="35">
        <v>21</v>
      </c>
      <c r="C184" s="35">
        <f>Inputs!$D$8-A184-Inputs!$D$22*B184</f>
        <v>46</v>
      </c>
      <c r="D184" s="35">
        <f>A184*Inputs!$D$20+C184*Inputs!$D$21+B184*Inputs!$D$22</f>
        <v>120</v>
      </c>
      <c r="E184" s="36">
        <f>MIN(Inputs!$E$15,Inputs!$D$15*(C184/Inputs!$D$43)^Inputs!$D$44)</f>
        <v>0.39023723685630041</v>
      </c>
      <c r="F184" s="36">
        <f>MIN(Inputs!$E$16,Inputs!$D$16*(B184/Inputs!$D$42)^Inputs!$D$44)</f>
        <v>0.40589787816896217</v>
      </c>
      <c r="G184" s="37">
        <f>Inputs!$D$26*(1+Inputs!$D$41*(B184-Inputs!$D$42))</f>
        <v>1.5150000000000001</v>
      </c>
      <c r="H184" s="35">
        <f>Inputs!$D$6*Inputs!$D$14*G184*Inputs!$D$29</f>
        <v>1903.4914500000004</v>
      </c>
      <c r="I184" s="36">
        <f>H184/(A184*Inputs!$D$32)</f>
        <v>1.0815292329545456</v>
      </c>
      <c r="J184" s="38">
        <f>IF(I184&gt;=1,999,I184/(Inputs!$D$32*(1-I184))*60)</f>
        <v>999</v>
      </c>
      <c r="K184" s="37">
        <f>MIN(1,MAX(0,(J184-Inputs!$D$36)/(Inputs!$D$37-Inputs!$D$36)))</f>
        <v>1</v>
      </c>
      <c r="L184" s="35">
        <f>Inputs!$D$6*Inputs!$D$14*G184*(1-Inputs!$D$38*K184)</f>
        <v>6979.4686500000025</v>
      </c>
      <c r="M184" s="39">
        <f>L184*Inputs!$D$11</f>
        <v>150058.57597500004</v>
      </c>
      <c r="N184" s="39">
        <f>M184*(1-Inputs!$D$17)</f>
        <v>52520.501591250009</v>
      </c>
      <c r="O184" s="35">
        <f>Inputs!$D$6*E184*Inputs!$D$27*Inputs!$D$30</f>
        <v>556.73429538446214</v>
      </c>
      <c r="P184" s="36">
        <f>O184/(C184*Inputs!$D$33)</f>
        <v>0.30257298662199028</v>
      </c>
      <c r="Q184" s="38">
        <f>IF(P184&gt;=1,999,P184/(Inputs!$D$33*(1-P184))*60)</f>
        <v>0.65076269090109196</v>
      </c>
      <c r="R184" s="37">
        <f>MIN(1,MAX(0,(Q184-Inputs!$D$36)/(Inputs!$D$37-Inputs!$D$36)))</f>
        <v>0</v>
      </c>
      <c r="S184" s="35">
        <f>Inputs!$D$6*E184*Inputs!$D$27*(1-Inputs!$D$38*R184)</f>
        <v>4639.4524615371847</v>
      </c>
      <c r="T184" s="39">
        <f>S184*Inputs!$D$12</f>
        <v>74231.239384594955</v>
      </c>
      <c r="U184" s="39">
        <f>T184*(1-Inputs!$D$18)</f>
        <v>33404.05772306773</v>
      </c>
      <c r="V184" s="35">
        <f>Inputs!$D$6*F184*Inputs!$D$28*Inputs!$D$31</f>
        <v>684.36330569102222</v>
      </c>
      <c r="W184" s="36">
        <f>V184/(B184*Inputs!$D$34)</f>
        <v>0.93110653835513224</v>
      </c>
      <c r="X184" s="38">
        <f>IF(W184&gt;=1,999,W184/(Inputs!$D$34*(1-W184))*60)</f>
        <v>23.16885520150278</v>
      </c>
      <c r="Y184" s="37">
        <f>MIN(1,MAX(0,(X184-Inputs!$D$36)/(Inputs!$D$37-Inputs!$D$36)))</f>
        <v>1</v>
      </c>
      <c r="Z184" s="35">
        <f>Inputs!$D$6*F184*Inputs!$D$28*(1-Inputs!$D$38*Y184)</f>
        <v>2895.3832163850943</v>
      </c>
      <c r="AA184" s="39">
        <f>Z184*Inputs!$D$13</f>
        <v>24610.757339273303</v>
      </c>
      <c r="AB184" s="39">
        <f>AA184*(1-Inputs!$D$19)</f>
        <v>14766.454403563981</v>
      </c>
      <c r="AC184" s="39">
        <f t="shared" si="8"/>
        <v>248900.57269886829</v>
      </c>
      <c r="AD184" s="39">
        <f t="shared" si="9"/>
        <v>100691.01371788172</v>
      </c>
      <c r="AE184" s="36">
        <f t="shared" si="10"/>
        <v>1.0815292329545456</v>
      </c>
      <c r="AF184" s="35">
        <f>IF(AND(AE184&lt;=Inputs!$D$35,C184&gt;=Inputs!$D$48*(A184+B184+C184),B184*Inputs!$D$22&lt;=Inputs!$D$50*Inputs!$D$8,B184*Inputs!$D$22&gt;=Inputs!$D$49*Inputs!$D$8,A184*Inputs!$D$20&lt;=Inputs!$D$47*Inputs!$D$8,C184&gt;=1),1,0)</f>
        <v>0</v>
      </c>
      <c r="AG184" s="39">
        <f t="shared" si="11"/>
        <v>-1</v>
      </c>
    </row>
    <row r="185" spans="1:33" x14ac:dyDescent="0.25">
      <c r="A185" s="35">
        <v>32</v>
      </c>
      <c r="B185" s="35">
        <v>22</v>
      </c>
      <c r="C185" s="35">
        <f>Inputs!$D$8-A185-Inputs!$D$22*B185</f>
        <v>44</v>
      </c>
      <c r="D185" s="35">
        <f>A185*Inputs!$D$20+C185*Inputs!$D$21+B185*Inputs!$D$22</f>
        <v>120</v>
      </c>
      <c r="E185" s="36">
        <f>MIN(Inputs!$E$15,Inputs!$D$15*(C185/Inputs!$D$43)^Inputs!$D$44)</f>
        <v>0.38506776240403751</v>
      </c>
      <c r="F185" s="36">
        <f>MIN(Inputs!$E$16,Inputs!$D$16*(B185/Inputs!$D$42)^Inputs!$D$44)</f>
        <v>0.41160230376843804</v>
      </c>
      <c r="G185" s="37">
        <f>Inputs!$D$26*(1+Inputs!$D$41*(B185-Inputs!$D$42))</f>
        <v>1.53</v>
      </c>
      <c r="H185" s="35">
        <f>Inputs!$D$6*Inputs!$D$14*G185*Inputs!$D$29</f>
        <v>1922.3379</v>
      </c>
      <c r="I185" s="36">
        <f>H185/(A185*Inputs!$D$32)</f>
        <v>1.0922374431818183</v>
      </c>
      <c r="J185" s="38">
        <f>IF(I185&gt;=1,999,I185/(Inputs!$D$32*(1-I185))*60)</f>
        <v>999</v>
      </c>
      <c r="K185" s="37">
        <f>MIN(1,MAX(0,(J185-Inputs!$D$36)/(Inputs!$D$37-Inputs!$D$36)))</f>
        <v>1</v>
      </c>
      <c r="L185" s="35">
        <f>Inputs!$D$6*Inputs!$D$14*G185*(1-Inputs!$D$38*K185)</f>
        <v>7048.5723000000016</v>
      </c>
      <c r="M185" s="39">
        <f>L185*Inputs!$D$11</f>
        <v>151544.30445000003</v>
      </c>
      <c r="N185" s="39">
        <f>M185*(1-Inputs!$D$17)</f>
        <v>53040.506557500004</v>
      </c>
      <c r="O185" s="35">
        <f>Inputs!$D$6*E185*Inputs!$D$27*Inputs!$D$30</f>
        <v>549.35923364029463</v>
      </c>
      <c r="P185" s="36">
        <f>O185/(C185*Inputs!$D$33)</f>
        <v>0.31213592820471286</v>
      </c>
      <c r="Q185" s="38">
        <f>IF(P185&gt;=1,999,P185/(Inputs!$D$33*(1-P185))*60)</f>
        <v>0.6806633919476025</v>
      </c>
      <c r="R185" s="37">
        <f>MIN(1,MAX(0,(Q185-Inputs!$D$36)/(Inputs!$D$37-Inputs!$D$36)))</f>
        <v>0</v>
      </c>
      <c r="S185" s="35">
        <f>Inputs!$D$6*E185*Inputs!$D$27*(1-Inputs!$D$38*R185)</f>
        <v>4577.9936136691222</v>
      </c>
      <c r="T185" s="39">
        <f>S185*Inputs!$D$12</f>
        <v>73247.897818705955</v>
      </c>
      <c r="U185" s="39">
        <f>T185*(1-Inputs!$D$18)</f>
        <v>32961.554018417679</v>
      </c>
      <c r="V185" s="35">
        <f>Inputs!$D$6*F185*Inputs!$D$28*Inputs!$D$31</f>
        <v>693.98124106416742</v>
      </c>
      <c r="W185" s="36">
        <f>V185/(B185*Inputs!$D$34)</f>
        <v>0.90127433904437326</v>
      </c>
      <c r="X185" s="38">
        <f>IF(W185&gt;=1,999,W185/(Inputs!$D$34*(1-W185))*60)</f>
        <v>15.649849381818807</v>
      </c>
      <c r="Y185" s="37">
        <f>MIN(1,MAX(0,(X185-Inputs!$D$36)/(Inputs!$D$37-Inputs!$D$36)))</f>
        <v>0.70998995878792048</v>
      </c>
      <c r="Z185" s="35">
        <f>Inputs!$D$6*F185*Inputs!$D$28*(1-Inputs!$D$38*Y185)</f>
        <v>3632.749002537963</v>
      </c>
      <c r="AA185" s="39">
        <f>Z185*Inputs!$D$13</f>
        <v>30878.366521572687</v>
      </c>
      <c r="AB185" s="39">
        <f>AA185*(1-Inputs!$D$19)</f>
        <v>18527.019912943611</v>
      </c>
      <c r="AC185" s="39">
        <f t="shared" si="8"/>
        <v>255670.56879027869</v>
      </c>
      <c r="AD185" s="39">
        <f t="shared" si="9"/>
        <v>104529.08048886129</v>
      </c>
      <c r="AE185" s="36">
        <f t="shared" si="10"/>
        <v>1.0922374431818183</v>
      </c>
      <c r="AF185" s="35">
        <f>IF(AND(AE185&lt;=Inputs!$D$35,C185&gt;=Inputs!$D$48*(A185+B185+C185),B185*Inputs!$D$22&lt;=Inputs!$D$50*Inputs!$D$8,B185*Inputs!$D$22&gt;=Inputs!$D$49*Inputs!$D$8,A185*Inputs!$D$20&lt;=Inputs!$D$47*Inputs!$D$8,C185&gt;=1),1,0)</f>
        <v>0</v>
      </c>
      <c r="AG185" s="39">
        <f t="shared" si="11"/>
        <v>-1</v>
      </c>
    </row>
    <row r="186" spans="1:33" x14ac:dyDescent="0.25">
      <c r="A186" s="35">
        <v>32</v>
      </c>
      <c r="B186" s="35">
        <v>23</v>
      </c>
      <c r="C186" s="35">
        <f>Inputs!$D$8-A186-Inputs!$D$22*B186</f>
        <v>42</v>
      </c>
      <c r="D186" s="35">
        <f>A186*Inputs!$D$20+C186*Inputs!$D$21+B186*Inputs!$D$22</f>
        <v>120</v>
      </c>
      <c r="E186" s="36">
        <f>MIN(Inputs!$E$15,Inputs!$D$15*(C186/Inputs!$D$43)^Inputs!$D$44)</f>
        <v>0.37973108090036384</v>
      </c>
      <c r="F186" s="36">
        <f>MIN(Inputs!$E$16,Inputs!$D$16*(B186/Inputs!$D$42)^Inputs!$D$44)</f>
        <v>0.41712800028621322</v>
      </c>
      <c r="G186" s="37">
        <f>Inputs!$D$26*(1+Inputs!$D$41*(B186-Inputs!$D$42))</f>
        <v>1.5449999999999999</v>
      </c>
      <c r="H186" s="35">
        <f>Inputs!$D$6*Inputs!$D$14*G186*Inputs!$D$29</f>
        <v>1941.18435</v>
      </c>
      <c r="I186" s="36">
        <f>H186/(A186*Inputs!$D$32)</f>
        <v>1.1029456534090909</v>
      </c>
      <c r="J186" s="38">
        <f>IF(I186&gt;=1,999,I186/(Inputs!$D$32*(1-I186))*60)</f>
        <v>999</v>
      </c>
      <c r="K186" s="37">
        <f>MIN(1,MAX(0,(J186-Inputs!$D$36)/(Inputs!$D$37-Inputs!$D$36)))</f>
        <v>1</v>
      </c>
      <c r="L186" s="35">
        <f>Inputs!$D$6*Inputs!$D$14*G186*(1-Inputs!$D$38*K186)</f>
        <v>7117.6759500000016</v>
      </c>
      <c r="M186" s="39">
        <f>L186*Inputs!$D$11</f>
        <v>153030.03292500004</v>
      </c>
      <c r="N186" s="39">
        <f>M186*(1-Inputs!$D$17)</f>
        <v>53560.511523750007</v>
      </c>
      <c r="O186" s="35">
        <f>Inputs!$D$6*E186*Inputs!$D$27*Inputs!$D$30</f>
        <v>541.74562495298949</v>
      </c>
      <c r="P186" s="36">
        <f>O186/(C186*Inputs!$D$33)</f>
        <v>0.32246763390058897</v>
      </c>
      <c r="Q186" s="38">
        <f>IF(P186&gt;=1,999,P186/(Inputs!$D$33*(1-P186))*60)</f>
        <v>0.71391637514762252</v>
      </c>
      <c r="R186" s="37">
        <f>MIN(1,MAX(0,(Q186-Inputs!$D$36)/(Inputs!$D$37-Inputs!$D$36)))</f>
        <v>0</v>
      </c>
      <c r="S186" s="35">
        <f>Inputs!$D$6*E186*Inputs!$D$27*(1-Inputs!$D$38*R186)</f>
        <v>4514.5468746082461</v>
      </c>
      <c r="T186" s="39">
        <f>S186*Inputs!$D$12</f>
        <v>72232.749993731937</v>
      </c>
      <c r="U186" s="39">
        <f>T186*(1-Inputs!$D$18)</f>
        <v>32504.737497179369</v>
      </c>
      <c r="V186" s="35">
        <f>Inputs!$D$6*F186*Inputs!$D$28*Inputs!$D$31</f>
        <v>703.29783062656929</v>
      </c>
      <c r="W186" s="36">
        <f>V186/(B186*Inputs!$D$34)</f>
        <v>0.87366190139946498</v>
      </c>
      <c r="X186" s="38">
        <f>IF(W186&gt;=1,999,W186/(Inputs!$D$34*(1-W186))*60)</f>
        <v>11.854746377182334</v>
      </c>
      <c r="Y186" s="37">
        <f>MIN(1,MAX(0,(X186-Inputs!$D$36)/(Inputs!$D$37-Inputs!$D$36)))</f>
        <v>0.45698309181215557</v>
      </c>
      <c r="Z186" s="35">
        <f>Inputs!$D$6*F186*Inputs!$D$28*(1-Inputs!$D$38*Y186)</f>
        <v>4297.4614071503011</v>
      </c>
      <c r="AA186" s="39">
        <f>Z186*Inputs!$D$13</f>
        <v>36528.421960777559</v>
      </c>
      <c r="AB186" s="39">
        <f>AA186*(1-Inputs!$D$19)</f>
        <v>21917.053176466536</v>
      </c>
      <c r="AC186" s="39">
        <f t="shared" si="8"/>
        <v>261791.20487950952</v>
      </c>
      <c r="AD186" s="39">
        <f t="shared" si="9"/>
        <v>107982.30219739591</v>
      </c>
      <c r="AE186" s="36">
        <f t="shared" si="10"/>
        <v>1.1029456534090909</v>
      </c>
      <c r="AF186" s="35">
        <f>IF(AND(AE186&lt;=Inputs!$D$35,C186&gt;=Inputs!$D$48*(A186+B186+C186),B186*Inputs!$D$22&lt;=Inputs!$D$50*Inputs!$D$8,B186*Inputs!$D$22&gt;=Inputs!$D$49*Inputs!$D$8,A186*Inputs!$D$20&lt;=Inputs!$D$47*Inputs!$D$8,C186&gt;=1),1,0)</f>
        <v>0</v>
      </c>
      <c r="AG186" s="39">
        <f t="shared" si="11"/>
        <v>-1</v>
      </c>
    </row>
    <row r="187" spans="1:33" x14ac:dyDescent="0.25">
      <c r="A187" s="35">
        <v>32</v>
      </c>
      <c r="B187" s="35">
        <v>24</v>
      </c>
      <c r="C187" s="35">
        <f>Inputs!$D$8-A187-Inputs!$D$22*B187</f>
        <v>40</v>
      </c>
      <c r="D187" s="35">
        <f>A187*Inputs!$D$20+C187*Inputs!$D$21+B187*Inputs!$D$22</f>
        <v>120</v>
      </c>
      <c r="E187" s="36">
        <f>MIN(Inputs!$E$15,Inputs!$D$15*(C187/Inputs!$D$43)^Inputs!$D$44)</f>
        <v>0.37421341802855551</v>
      </c>
      <c r="F187" s="36">
        <f>MIN(Inputs!$E$16,Inputs!$D$16*(B187/Inputs!$D$42)^Inputs!$D$44)</f>
        <v>0.42248798737570326</v>
      </c>
      <c r="G187" s="37">
        <f>Inputs!$D$26*(1+Inputs!$D$41*(B187-Inputs!$D$42))</f>
        <v>1.56</v>
      </c>
      <c r="H187" s="35">
        <f>Inputs!$D$6*Inputs!$D$14*G187*Inputs!$D$29</f>
        <v>1960.0308</v>
      </c>
      <c r="I187" s="36">
        <f>H187/(A187*Inputs!$D$32)</f>
        <v>1.1136538636363635</v>
      </c>
      <c r="J187" s="38">
        <f>IF(I187&gt;=1,999,I187/(Inputs!$D$32*(1-I187))*60)</f>
        <v>999</v>
      </c>
      <c r="K187" s="37">
        <f>MIN(1,MAX(0,(J187-Inputs!$D$36)/(Inputs!$D$37-Inputs!$D$36)))</f>
        <v>1</v>
      </c>
      <c r="L187" s="35">
        <f>Inputs!$D$6*Inputs!$D$14*G187*(1-Inputs!$D$38*K187)</f>
        <v>7186.7796000000017</v>
      </c>
      <c r="M187" s="39">
        <f>L187*Inputs!$D$11</f>
        <v>154515.76140000005</v>
      </c>
      <c r="N187" s="39">
        <f>M187*(1-Inputs!$D$17)</f>
        <v>54080.516490000016</v>
      </c>
      <c r="O187" s="35">
        <f>Inputs!$D$6*E187*Inputs!$D$27*Inputs!$D$30</f>
        <v>533.8738181109469</v>
      </c>
      <c r="P187" s="36">
        <f>O187/(C187*Inputs!$D$33)</f>
        <v>0.33367113631934181</v>
      </c>
      <c r="Q187" s="38">
        <f>IF(P187&gt;=1,999,P187/(Inputs!$D$33*(1-P187))*60)</f>
        <v>0.75114066305685867</v>
      </c>
      <c r="R187" s="37">
        <f>MIN(1,MAX(0,(Q187-Inputs!$D$36)/(Inputs!$D$37-Inputs!$D$36)))</f>
        <v>0</v>
      </c>
      <c r="S187" s="35">
        <f>Inputs!$D$6*E187*Inputs!$D$27*(1-Inputs!$D$38*R187)</f>
        <v>4448.9484842578913</v>
      </c>
      <c r="T187" s="39">
        <f>S187*Inputs!$D$12</f>
        <v>71183.175748126261</v>
      </c>
      <c r="U187" s="39">
        <f>T187*(1-Inputs!$D$18)</f>
        <v>32032.429086656815</v>
      </c>
      <c r="V187" s="35">
        <f>Inputs!$D$6*F187*Inputs!$D$28*Inputs!$D$31</f>
        <v>712.33502613882979</v>
      </c>
      <c r="W187" s="36">
        <f>V187/(B187*Inputs!$D$34)</f>
        <v>0.84801788826051161</v>
      </c>
      <c r="X187" s="38">
        <f>IF(W187&gt;=1,999,W187/(Inputs!$D$34*(1-W187))*60)</f>
        <v>9.5652372155190832</v>
      </c>
      <c r="Y187" s="37">
        <f>MIN(1,MAX(0,(X187-Inputs!$D$36)/(Inputs!$D$37-Inputs!$D$36)))</f>
        <v>0.30434914770127219</v>
      </c>
      <c r="Z187" s="35">
        <f>Inputs!$D$6*F187*Inputs!$D$28*(1-Inputs!$D$38*Y187)</f>
        <v>4729.0436538571339</v>
      </c>
      <c r="AA187" s="39">
        <f>Z187*Inputs!$D$13</f>
        <v>40196.87105778564</v>
      </c>
      <c r="AB187" s="39">
        <f>AA187*(1-Inputs!$D$19)</f>
        <v>24118.122634671385</v>
      </c>
      <c r="AC187" s="39">
        <f t="shared" si="8"/>
        <v>265895.80820591195</v>
      </c>
      <c r="AD187" s="39">
        <f t="shared" si="9"/>
        <v>110231.06821132821</v>
      </c>
      <c r="AE187" s="36">
        <f t="shared" si="10"/>
        <v>1.1136538636363635</v>
      </c>
      <c r="AF187" s="35">
        <f>IF(AND(AE187&lt;=Inputs!$D$35,C187&gt;=Inputs!$D$48*(A187+B187+C187),B187*Inputs!$D$22&lt;=Inputs!$D$50*Inputs!$D$8,B187*Inputs!$D$22&gt;=Inputs!$D$49*Inputs!$D$8,A187*Inputs!$D$20&lt;=Inputs!$D$47*Inputs!$D$8,C187&gt;=1),1,0)</f>
        <v>0</v>
      </c>
      <c r="AG187" s="39">
        <f t="shared" si="11"/>
        <v>-1</v>
      </c>
    </row>
    <row r="188" spans="1:33" x14ac:dyDescent="0.25">
      <c r="A188" s="35">
        <v>32</v>
      </c>
      <c r="B188" s="35">
        <v>25</v>
      </c>
      <c r="C188" s="35">
        <f>Inputs!$D$8-A188-Inputs!$D$22*B188</f>
        <v>38</v>
      </c>
      <c r="D188" s="35">
        <f>A188*Inputs!$D$20+C188*Inputs!$D$21+B188*Inputs!$D$22</f>
        <v>120</v>
      </c>
      <c r="E188" s="36">
        <f>MIN(Inputs!$E$15,Inputs!$D$15*(C188/Inputs!$D$43)^Inputs!$D$44)</f>
        <v>0.36849910497273691</v>
      </c>
      <c r="F188" s="36">
        <f>MIN(Inputs!$E$16,Inputs!$D$16*(B188/Inputs!$D$42)^Inputs!$D$44)</f>
        <v>0.42769383999647526</v>
      </c>
      <c r="G188" s="37">
        <f>Inputs!$D$26*(1+Inputs!$D$41*(B188-Inputs!$D$42))</f>
        <v>1.5750000000000002</v>
      </c>
      <c r="H188" s="35">
        <f>Inputs!$D$6*Inputs!$D$14*G188*Inputs!$D$29</f>
        <v>1978.8772500000005</v>
      </c>
      <c r="I188" s="36">
        <f>H188/(A188*Inputs!$D$32)</f>
        <v>1.1243620738636366</v>
      </c>
      <c r="J188" s="38">
        <f>IF(I188&gt;=1,999,I188/(Inputs!$D$32*(1-I188))*60)</f>
        <v>999</v>
      </c>
      <c r="K188" s="37">
        <f>MIN(1,MAX(0,(J188-Inputs!$D$36)/(Inputs!$D$37-Inputs!$D$36)))</f>
        <v>1</v>
      </c>
      <c r="L188" s="35">
        <f>Inputs!$D$6*Inputs!$D$14*G188*(1-Inputs!$D$38*K188)</f>
        <v>7255.8832500000026</v>
      </c>
      <c r="M188" s="39">
        <f>L188*Inputs!$D$11</f>
        <v>156001.48987500006</v>
      </c>
      <c r="N188" s="39">
        <f>M188*(1-Inputs!$D$17)</f>
        <v>54600.521456250019</v>
      </c>
      <c r="O188" s="35">
        <f>Inputs!$D$6*E188*Inputs!$D$27*Inputs!$D$30</f>
        <v>525.72145910398501</v>
      </c>
      <c r="P188" s="36">
        <f>O188/(C188*Inputs!$D$33)</f>
        <v>0.34586938098946385</v>
      </c>
      <c r="Q188" s="38">
        <f>IF(P188&gt;=1,999,P188/(Inputs!$D$33*(1-P188))*60)</f>
        <v>0.79311999225622454</v>
      </c>
      <c r="R188" s="37">
        <f>MIN(1,MAX(0,(Q188-Inputs!$D$36)/(Inputs!$D$37-Inputs!$D$36)))</f>
        <v>0</v>
      </c>
      <c r="S188" s="35">
        <f>Inputs!$D$6*E188*Inputs!$D$27*(1-Inputs!$D$38*R188)</f>
        <v>4381.012159199875</v>
      </c>
      <c r="T188" s="39">
        <f>S188*Inputs!$D$12</f>
        <v>70096.194547198</v>
      </c>
      <c r="U188" s="39">
        <f>T188*(1-Inputs!$D$18)</f>
        <v>31543.287546239098</v>
      </c>
      <c r="V188" s="35">
        <f>Inputs!$D$6*F188*Inputs!$D$28*Inputs!$D$31</f>
        <v>721.1123435383771</v>
      </c>
      <c r="W188" s="36">
        <f>V188/(B188*Inputs!$D$34)</f>
        <v>0.82412839261528814</v>
      </c>
      <c r="X188" s="38">
        <f>IF(W188&gt;=1,999,W188/(Inputs!$D$34*(1-W188))*60)</f>
        <v>8.0330847668163621</v>
      </c>
      <c r="Y188" s="37">
        <f>MIN(1,MAX(0,(X188-Inputs!$D$36)/(Inputs!$D$37-Inputs!$D$36)))</f>
        <v>0.20220565112109082</v>
      </c>
      <c r="Z188" s="35">
        <f>Inputs!$D$6*F188*Inputs!$D$28*(1-Inputs!$D$38*Y188)</f>
        <v>5042.2807508299393</v>
      </c>
      <c r="AA188" s="39">
        <f>Z188*Inputs!$D$13</f>
        <v>42859.386382054487</v>
      </c>
      <c r="AB188" s="39">
        <f>AA188*(1-Inputs!$D$19)</f>
        <v>25715.631829232691</v>
      </c>
      <c r="AC188" s="39">
        <f t="shared" si="8"/>
        <v>268957.07080425252</v>
      </c>
      <c r="AD188" s="39">
        <f t="shared" si="9"/>
        <v>111859.4408317218</v>
      </c>
      <c r="AE188" s="36">
        <f t="shared" si="10"/>
        <v>1.1243620738636366</v>
      </c>
      <c r="AF188" s="35">
        <f>IF(AND(AE188&lt;=Inputs!$D$35,C188&gt;=Inputs!$D$48*(A188+B188+C188),B188*Inputs!$D$22&lt;=Inputs!$D$50*Inputs!$D$8,B188*Inputs!$D$22&gt;=Inputs!$D$49*Inputs!$D$8,A188*Inputs!$D$20&lt;=Inputs!$D$47*Inputs!$D$8,C188&gt;=1),1,0)</f>
        <v>0</v>
      </c>
      <c r="AG188" s="39">
        <f t="shared" si="11"/>
        <v>-1</v>
      </c>
    </row>
    <row r="189" spans="1:33" x14ac:dyDescent="0.25">
      <c r="A189" s="35">
        <v>32</v>
      </c>
      <c r="B189" s="35">
        <v>26</v>
      </c>
      <c r="C189" s="35">
        <f>Inputs!$D$8-A189-Inputs!$D$22*B189</f>
        <v>36</v>
      </c>
      <c r="D189" s="35">
        <f>A189*Inputs!$D$20+C189*Inputs!$D$21+B189*Inputs!$D$22</f>
        <v>120</v>
      </c>
      <c r="E189" s="36">
        <f>MIN(Inputs!$E$15,Inputs!$D$15*(C189/Inputs!$D$43)^Inputs!$D$44)</f>
        <v>0.36257020206219398</v>
      </c>
      <c r="F189" s="36">
        <f>MIN(Inputs!$E$16,Inputs!$D$16*(B189/Inputs!$D$42)^Inputs!$D$44)</f>
        <v>0.43275589945781112</v>
      </c>
      <c r="G189" s="37">
        <f>Inputs!$D$26*(1+Inputs!$D$41*(B189-Inputs!$D$42))</f>
        <v>1.59</v>
      </c>
      <c r="H189" s="35">
        <f>Inputs!$D$6*Inputs!$D$14*G189*Inputs!$D$29</f>
        <v>1997.7237</v>
      </c>
      <c r="I189" s="36">
        <f>H189/(A189*Inputs!$D$32)</f>
        <v>1.135070284090909</v>
      </c>
      <c r="J189" s="38">
        <f>IF(I189&gt;=1,999,I189/(Inputs!$D$32*(1-I189))*60)</f>
        <v>999</v>
      </c>
      <c r="K189" s="37">
        <f>MIN(1,MAX(0,(J189-Inputs!$D$36)/(Inputs!$D$37-Inputs!$D$36)))</f>
        <v>1</v>
      </c>
      <c r="L189" s="35">
        <f>Inputs!$D$6*Inputs!$D$14*G189*(1-Inputs!$D$38*K189)</f>
        <v>7324.9869000000017</v>
      </c>
      <c r="M189" s="39">
        <f>L189*Inputs!$D$11</f>
        <v>157487.21835000004</v>
      </c>
      <c r="N189" s="39">
        <f>M189*(1-Inputs!$D$17)</f>
        <v>55120.526422500014</v>
      </c>
      <c r="O189" s="35">
        <f>Inputs!$D$6*E189*Inputs!$D$27*Inputs!$D$30</f>
        <v>517.26295419324151</v>
      </c>
      <c r="P189" s="36">
        <f>O189/(C189*Inputs!$D$33)</f>
        <v>0.35921038485641771</v>
      </c>
      <c r="Q189" s="38">
        <f>IF(P189&gt;=1,999,P189/(Inputs!$D$33*(1-P189))*60)</f>
        <v>0.84086190623406665</v>
      </c>
      <c r="R189" s="37">
        <f>MIN(1,MAX(0,(Q189-Inputs!$D$36)/(Inputs!$D$37-Inputs!$D$36)))</f>
        <v>0</v>
      </c>
      <c r="S189" s="35">
        <f>Inputs!$D$6*E189*Inputs!$D$27*(1-Inputs!$D$38*R189)</f>
        <v>4310.5246182770125</v>
      </c>
      <c r="T189" s="39">
        <f>S189*Inputs!$D$12</f>
        <v>68968.393892432199</v>
      </c>
      <c r="U189" s="39">
        <f>T189*(1-Inputs!$D$18)</f>
        <v>31035.777251594485</v>
      </c>
      <c r="V189" s="35">
        <f>Inputs!$D$6*F189*Inputs!$D$28*Inputs!$D$31</f>
        <v>729.64721876904355</v>
      </c>
      <c r="W189" s="36">
        <f>V189/(B189*Inputs!$D$34)</f>
        <v>0.80181013051543248</v>
      </c>
      <c r="X189" s="38">
        <f>IF(W189&gt;=1,999,W189/(Inputs!$D$34*(1-W189))*60)</f>
        <v>6.9354284146153136</v>
      </c>
      <c r="Y189" s="37">
        <f>MIN(1,MAX(0,(X189-Inputs!$D$36)/(Inputs!$D$37-Inputs!$D$36)))</f>
        <v>0.12902856097435425</v>
      </c>
      <c r="Z189" s="35">
        <f>Inputs!$D$6*F189*Inputs!$D$28*(1-Inputs!$D$38*Y189)</f>
        <v>5286.7832305655711</v>
      </c>
      <c r="AA189" s="39">
        <f>Z189*Inputs!$D$13</f>
        <v>44937.657459807357</v>
      </c>
      <c r="AB189" s="39">
        <f>AA189*(1-Inputs!$D$19)</f>
        <v>26962.594475884413</v>
      </c>
      <c r="AC189" s="39">
        <f t="shared" si="8"/>
        <v>271393.2697022396</v>
      </c>
      <c r="AD189" s="39">
        <f t="shared" si="9"/>
        <v>113118.89814997891</v>
      </c>
      <c r="AE189" s="36">
        <f t="shared" si="10"/>
        <v>1.135070284090909</v>
      </c>
      <c r="AF189" s="35">
        <f>IF(AND(AE189&lt;=Inputs!$D$35,C189&gt;=Inputs!$D$48*(A189+B189+C189),B189*Inputs!$D$22&lt;=Inputs!$D$50*Inputs!$D$8,B189*Inputs!$D$22&gt;=Inputs!$D$49*Inputs!$D$8,A189*Inputs!$D$20&lt;=Inputs!$D$47*Inputs!$D$8,C189&gt;=1),1,0)</f>
        <v>0</v>
      </c>
      <c r="AG189" s="39">
        <f t="shared" si="11"/>
        <v>-1</v>
      </c>
    </row>
    <row r="190" spans="1:33" x14ac:dyDescent="0.25">
      <c r="A190" s="35">
        <v>32</v>
      </c>
      <c r="B190" s="35">
        <v>27</v>
      </c>
      <c r="C190" s="35">
        <f>Inputs!$D$8-A190-Inputs!$D$22*B190</f>
        <v>34</v>
      </c>
      <c r="D190" s="35">
        <f>A190*Inputs!$D$20+C190*Inputs!$D$21+B190*Inputs!$D$22</f>
        <v>120</v>
      </c>
      <c r="E190" s="36">
        <f>MIN(Inputs!$E$15,Inputs!$D$15*(C190/Inputs!$D$43)^Inputs!$D$44)</f>
        <v>0.35640602201959876</v>
      </c>
      <c r="F190" s="36">
        <f>MIN(Inputs!$E$16,Inputs!$D$16*(B190/Inputs!$D$42)^Inputs!$D$44)</f>
        <v>0.43768344678187454</v>
      </c>
      <c r="G190" s="37">
        <f>Inputs!$D$26*(1+Inputs!$D$41*(B190-Inputs!$D$42))</f>
        <v>1.605</v>
      </c>
      <c r="H190" s="35">
        <f>Inputs!$D$6*Inputs!$D$14*G190*Inputs!$D$29</f>
        <v>2016.57015</v>
      </c>
      <c r="I190" s="36">
        <f>H190/(A190*Inputs!$D$32)</f>
        <v>1.1457784943181819</v>
      </c>
      <c r="J190" s="38">
        <f>IF(I190&gt;=1,999,I190/(Inputs!$D$32*(1-I190))*60)</f>
        <v>999</v>
      </c>
      <c r="K190" s="37">
        <f>MIN(1,MAX(0,(J190-Inputs!$D$36)/(Inputs!$D$37-Inputs!$D$36)))</f>
        <v>1</v>
      </c>
      <c r="L190" s="35">
        <f>Inputs!$D$6*Inputs!$D$14*G190*(1-Inputs!$D$38*K190)</f>
        <v>7394.0905500000017</v>
      </c>
      <c r="M190" s="39">
        <f>L190*Inputs!$D$11</f>
        <v>158972.94682500005</v>
      </c>
      <c r="N190" s="39">
        <f>M190*(1-Inputs!$D$17)</f>
        <v>55640.531388750016</v>
      </c>
      <c r="O190" s="35">
        <f>Inputs!$D$6*E190*Inputs!$D$27*Inputs!$D$30</f>
        <v>508.46878975039266</v>
      </c>
      <c r="P190" s="36">
        <f>O190/(C190*Inputs!$D$33)</f>
        <v>0.37387411011058286</v>
      </c>
      <c r="Q190" s="38">
        <f>IF(P190&gt;=1,999,P190/(Inputs!$D$33*(1-P190))*60)</f>
        <v>0.89568435712652228</v>
      </c>
      <c r="R190" s="37">
        <f>MIN(1,MAX(0,(Q190-Inputs!$D$36)/(Inputs!$D$37-Inputs!$D$36)))</f>
        <v>0</v>
      </c>
      <c r="S190" s="35">
        <f>Inputs!$D$6*E190*Inputs!$D$27*(1-Inputs!$D$38*R190)</f>
        <v>4237.2399145866057</v>
      </c>
      <c r="T190" s="39">
        <f>S190*Inputs!$D$12</f>
        <v>67795.838633385691</v>
      </c>
      <c r="U190" s="39">
        <f>T190*(1-Inputs!$D$18)</f>
        <v>30508.127385023559</v>
      </c>
      <c r="V190" s="35">
        <f>Inputs!$D$6*F190*Inputs!$D$28*Inputs!$D$31</f>
        <v>737.95530007968603</v>
      </c>
      <c r="W190" s="36">
        <f>V190/(B190*Inputs!$D$34)</f>
        <v>0.78090507944940324</v>
      </c>
      <c r="X190" s="38">
        <f>IF(W190&gt;=1,999,W190/(Inputs!$D$34*(1-W190))*60)</f>
        <v>6.1101116290101798</v>
      </c>
      <c r="Y190" s="37">
        <f>MIN(1,MAX(0,(X190-Inputs!$D$36)/(Inputs!$D$37-Inputs!$D$36)))</f>
        <v>7.4007441934011986E-2</v>
      </c>
      <c r="Z190" s="35">
        <f>Inputs!$D$6*F190*Inputs!$D$28*(1-Inputs!$D$38*Y190)</f>
        <v>5487.5301328495489</v>
      </c>
      <c r="AA190" s="39">
        <f>Z190*Inputs!$D$13</f>
        <v>46644.006129221169</v>
      </c>
      <c r="AB190" s="39">
        <f>AA190*(1-Inputs!$D$19)</f>
        <v>27986.4036775327</v>
      </c>
      <c r="AC190" s="39">
        <f t="shared" si="8"/>
        <v>273412.79158760689</v>
      </c>
      <c r="AD190" s="39">
        <f t="shared" si="9"/>
        <v>114135.06245130628</v>
      </c>
      <c r="AE190" s="36">
        <f t="shared" si="10"/>
        <v>1.1457784943181819</v>
      </c>
      <c r="AF190" s="35">
        <f>IF(AND(AE190&lt;=Inputs!$D$35,C190&gt;=Inputs!$D$48*(A190+B190+C190),B190*Inputs!$D$22&lt;=Inputs!$D$50*Inputs!$D$8,B190*Inputs!$D$22&gt;=Inputs!$D$49*Inputs!$D$8,A190*Inputs!$D$20&lt;=Inputs!$D$47*Inputs!$D$8,C190&gt;=1),1,0)</f>
        <v>0</v>
      </c>
      <c r="AG190" s="39">
        <f t="shared" si="11"/>
        <v>-1</v>
      </c>
    </row>
    <row r="191" spans="1:33" x14ac:dyDescent="0.25">
      <c r="A191" s="35">
        <v>32</v>
      </c>
      <c r="B191" s="35">
        <v>28</v>
      </c>
      <c r="C191" s="35">
        <f>Inputs!$D$8-A191-Inputs!$D$22*B191</f>
        <v>32</v>
      </c>
      <c r="D191" s="35">
        <f>A191*Inputs!$D$20+C191*Inputs!$D$21+B191*Inputs!$D$22</f>
        <v>120</v>
      </c>
      <c r="E191" s="36">
        <f>MIN(Inputs!$E$15,Inputs!$D$15*(C191/Inputs!$D$43)^Inputs!$D$44)</f>
        <v>0.34998251836560429</v>
      </c>
      <c r="F191" s="36">
        <f>MIN(Inputs!$E$16,Inputs!$D$16*(B191/Inputs!$D$42)^Inputs!$D$44)</f>
        <v>0.44248484624799689</v>
      </c>
      <c r="G191" s="37">
        <f>Inputs!$D$26*(1+Inputs!$D$41*(B191-Inputs!$D$42))</f>
        <v>1.62</v>
      </c>
      <c r="H191" s="35">
        <f>Inputs!$D$6*Inputs!$D$14*G191*Inputs!$D$29</f>
        <v>2035.4166</v>
      </c>
      <c r="I191" s="36">
        <f>H191/(A191*Inputs!$D$32)</f>
        <v>1.1564867045454545</v>
      </c>
      <c r="J191" s="38">
        <f>IF(I191&gt;=1,999,I191/(Inputs!$D$32*(1-I191))*60)</f>
        <v>999</v>
      </c>
      <c r="K191" s="37">
        <f>MIN(1,MAX(0,(J191-Inputs!$D$36)/(Inputs!$D$37-Inputs!$D$36)))</f>
        <v>1</v>
      </c>
      <c r="L191" s="35">
        <f>Inputs!$D$6*Inputs!$D$14*G191*(1-Inputs!$D$38*K191)</f>
        <v>7463.1942000000017</v>
      </c>
      <c r="M191" s="39">
        <f>L191*Inputs!$D$11</f>
        <v>160458.67530000003</v>
      </c>
      <c r="N191" s="39">
        <f>M191*(1-Inputs!$D$17)</f>
        <v>56160.536355000011</v>
      </c>
      <c r="O191" s="35">
        <f>Inputs!$D$6*E191*Inputs!$D$27*Inputs!$D$30</f>
        <v>499.30465972139962</v>
      </c>
      <c r="P191" s="36">
        <f>O191/(C191*Inputs!$D$33)</f>
        <v>0.39008176540734346</v>
      </c>
      <c r="Q191" s="38">
        <f>IF(P191&gt;=1,999,P191/(Inputs!$D$33*(1-P191))*60)</f>
        <v>0.95934604824825165</v>
      </c>
      <c r="R191" s="37">
        <f>MIN(1,MAX(0,(Q191-Inputs!$D$36)/(Inputs!$D$37-Inputs!$D$36)))</f>
        <v>0</v>
      </c>
      <c r="S191" s="35">
        <f>Inputs!$D$6*E191*Inputs!$D$27*(1-Inputs!$D$38*R191)</f>
        <v>4160.8721643449971</v>
      </c>
      <c r="T191" s="39">
        <f>S191*Inputs!$D$12</f>
        <v>66573.954629519954</v>
      </c>
      <c r="U191" s="39">
        <f>T191*(1-Inputs!$D$18)</f>
        <v>29958.279583283977</v>
      </c>
      <c r="V191" s="35">
        <f>Inputs!$D$6*F191*Inputs!$D$28*Inputs!$D$31</f>
        <v>746.05069004674272</v>
      </c>
      <c r="W191" s="36">
        <f>V191/(B191*Inputs!$D$34)</f>
        <v>0.76127621433341097</v>
      </c>
      <c r="X191" s="38">
        <f>IF(W191&gt;=1,999,W191/(Inputs!$D$34*(1-W191))*60)</f>
        <v>5.4667570523531852</v>
      </c>
      <c r="Y191" s="37">
        <f>MIN(1,MAX(0,(X191-Inputs!$D$36)/(Inputs!$D$37-Inputs!$D$36)))</f>
        <v>3.111713682354568E-2</v>
      </c>
      <c r="Z191" s="35">
        <f>Inputs!$D$6*F191*Inputs!$D$28*(1-Inputs!$D$38*Y191)</f>
        <v>5658.4919801305723</v>
      </c>
      <c r="AA191" s="39">
        <f>Z191*Inputs!$D$13</f>
        <v>48097.181831109861</v>
      </c>
      <c r="AB191" s="39">
        <f>AA191*(1-Inputs!$D$19)</f>
        <v>28858.309098665915</v>
      </c>
      <c r="AC191" s="39">
        <f t="shared" si="8"/>
        <v>275129.81176062988</v>
      </c>
      <c r="AD191" s="39">
        <f t="shared" si="9"/>
        <v>114977.1250369499</v>
      </c>
      <c r="AE191" s="36">
        <f t="shared" si="10"/>
        <v>1.1564867045454545</v>
      </c>
      <c r="AF191" s="35">
        <f>IF(AND(AE191&lt;=Inputs!$D$35,C191&gt;=Inputs!$D$48*(A191+B191+C191),B191*Inputs!$D$22&lt;=Inputs!$D$50*Inputs!$D$8,B191*Inputs!$D$22&gt;=Inputs!$D$49*Inputs!$D$8,A191*Inputs!$D$20&lt;=Inputs!$D$47*Inputs!$D$8,C191&gt;=1),1,0)</f>
        <v>0</v>
      </c>
      <c r="AG191" s="39">
        <f t="shared" si="11"/>
        <v>-1</v>
      </c>
    </row>
    <row r="192" spans="1:33" x14ac:dyDescent="0.25">
      <c r="A192" s="35">
        <v>32</v>
      </c>
      <c r="B192" s="35">
        <v>29</v>
      </c>
      <c r="C192" s="35">
        <f>Inputs!$D$8-A192-Inputs!$D$22*B192</f>
        <v>30</v>
      </c>
      <c r="D192" s="35">
        <f>A192*Inputs!$D$20+C192*Inputs!$D$21+B192*Inputs!$D$22</f>
        <v>120</v>
      </c>
      <c r="E192" s="36">
        <f>MIN(Inputs!$E$15,Inputs!$D$15*(C192/Inputs!$D$43)^Inputs!$D$44)</f>
        <v>0.3432714897427589</v>
      </c>
      <c r="F192" s="36">
        <f>MIN(Inputs!$E$16,Inputs!$D$16*(B192/Inputs!$D$42)^Inputs!$D$44)</f>
        <v>0.44716766511947192</v>
      </c>
      <c r="G192" s="37">
        <f>Inputs!$D$26*(1+Inputs!$D$41*(B192-Inputs!$D$42))</f>
        <v>1.6350000000000002</v>
      </c>
      <c r="H192" s="35">
        <f>Inputs!$D$6*Inputs!$D$14*G192*Inputs!$D$29</f>
        <v>2054.2630500000005</v>
      </c>
      <c r="I192" s="36">
        <f>H192/(A192*Inputs!$D$32)</f>
        <v>1.1671949147727276</v>
      </c>
      <c r="J192" s="38">
        <f>IF(I192&gt;=1,999,I192/(Inputs!$D$32*(1-I192))*60)</f>
        <v>999</v>
      </c>
      <c r="K192" s="37">
        <f>MIN(1,MAX(0,(J192-Inputs!$D$36)/(Inputs!$D$37-Inputs!$D$36)))</f>
        <v>1</v>
      </c>
      <c r="L192" s="35">
        <f>Inputs!$D$6*Inputs!$D$14*G192*(1-Inputs!$D$38*K192)</f>
        <v>7532.2978500000027</v>
      </c>
      <c r="M192" s="39">
        <f>L192*Inputs!$D$11</f>
        <v>161944.40377500007</v>
      </c>
      <c r="N192" s="39">
        <f>M192*(1-Inputs!$D$17)</f>
        <v>56680.541321250021</v>
      </c>
      <c r="O192" s="35">
        <f>Inputs!$D$6*E192*Inputs!$D$27*Inputs!$D$30</f>
        <v>489.73033047044544</v>
      </c>
      <c r="P192" s="36">
        <f>O192/(C192*Inputs!$D$33)</f>
        <v>0.40810860872537119</v>
      </c>
      <c r="Q192" s="38">
        <f>IF(P192&gt;=1,999,P192/(Inputs!$D$33*(1-P192))*60)</f>
        <v>1.0342487187890559</v>
      </c>
      <c r="R192" s="37">
        <f>MIN(1,MAX(0,(Q192-Inputs!$D$36)/(Inputs!$D$37-Inputs!$D$36)))</f>
        <v>0</v>
      </c>
      <c r="S192" s="35">
        <f>Inputs!$D$6*E192*Inputs!$D$27*(1-Inputs!$D$38*R192)</f>
        <v>4081.0860872537123</v>
      </c>
      <c r="T192" s="39">
        <f>S192*Inputs!$D$12</f>
        <v>65297.377396059397</v>
      </c>
      <c r="U192" s="39">
        <f>T192*(1-Inputs!$D$18)</f>
        <v>29383.819828226726</v>
      </c>
      <c r="V192" s="35">
        <f>Inputs!$D$6*F192*Inputs!$D$28*Inputs!$D$31</f>
        <v>753.9461474393554</v>
      </c>
      <c r="W192" s="36">
        <f>V192/(B192*Inputs!$D$34)</f>
        <v>0.74280408614714821</v>
      </c>
      <c r="X192" s="38">
        <f>IF(W192&gt;=1,999,W192/(Inputs!$D$34*(1-W192))*60)</f>
        <v>4.9510056918075414</v>
      </c>
      <c r="Y192" s="37">
        <f>MIN(1,MAX(0,(X192-Inputs!$D$36)/(Inputs!$D$37-Inputs!$D$36)))</f>
        <v>0</v>
      </c>
      <c r="Z192" s="35">
        <f>Inputs!$D$6*F192*Inputs!$D$28*(1-Inputs!$D$38*Y192)</f>
        <v>5799.5857495335031</v>
      </c>
      <c r="AA192" s="39">
        <f>Z192*Inputs!$D$13</f>
        <v>49296.478871034778</v>
      </c>
      <c r="AB192" s="39">
        <f>AA192*(1-Inputs!$D$19)</f>
        <v>29577.887322620867</v>
      </c>
      <c r="AC192" s="39">
        <f t="shared" si="8"/>
        <v>276538.26004209428</v>
      </c>
      <c r="AD192" s="39">
        <f t="shared" si="9"/>
        <v>115642.24847209762</v>
      </c>
      <c r="AE192" s="36">
        <f t="shared" si="10"/>
        <v>1.1671949147727276</v>
      </c>
      <c r="AF192" s="35">
        <f>IF(AND(AE192&lt;=Inputs!$D$35,C192&gt;=Inputs!$D$48*(A192+B192+C192),B192*Inputs!$D$22&lt;=Inputs!$D$50*Inputs!$D$8,B192*Inputs!$D$22&gt;=Inputs!$D$49*Inputs!$D$8,A192*Inputs!$D$20&lt;=Inputs!$D$47*Inputs!$D$8,C192&gt;=1),1,0)</f>
        <v>0</v>
      </c>
      <c r="AG192" s="39">
        <f t="shared" si="11"/>
        <v>-1</v>
      </c>
    </row>
    <row r="193" spans="1:33" x14ac:dyDescent="0.25">
      <c r="A193" s="35">
        <v>32</v>
      </c>
      <c r="B193" s="35">
        <v>30</v>
      </c>
      <c r="C193" s="35">
        <f>Inputs!$D$8-A193-Inputs!$D$22*B193</f>
        <v>28</v>
      </c>
      <c r="D193" s="35">
        <f>A193*Inputs!$D$20+C193*Inputs!$D$21+B193*Inputs!$D$22</f>
        <v>120</v>
      </c>
      <c r="E193" s="36">
        <f>MIN(Inputs!$E$15,Inputs!$D$15*(C193/Inputs!$D$43)^Inputs!$D$44)</f>
        <v>0.33623952833125714</v>
      </c>
      <c r="F193" s="36">
        <f>MIN(Inputs!$E$16,Inputs!$D$16*(B193/Inputs!$D$42)^Inputs!$D$44)</f>
        <v>0.45173877418274222</v>
      </c>
      <c r="G193" s="37">
        <f>Inputs!$D$26*(1+Inputs!$D$41*(B193-Inputs!$D$42))</f>
        <v>1.6500000000000001</v>
      </c>
      <c r="H193" s="35">
        <f>Inputs!$D$6*Inputs!$D$14*G193*Inputs!$D$29</f>
        <v>2073.1095000000005</v>
      </c>
      <c r="I193" s="36">
        <f>H193/(A193*Inputs!$D$32)</f>
        <v>1.1779031250000003</v>
      </c>
      <c r="J193" s="38">
        <f>IF(I193&gt;=1,999,I193/(Inputs!$D$32*(1-I193))*60)</f>
        <v>999</v>
      </c>
      <c r="K193" s="37">
        <f>MIN(1,MAX(0,(J193-Inputs!$D$36)/(Inputs!$D$37-Inputs!$D$36)))</f>
        <v>1</v>
      </c>
      <c r="L193" s="35">
        <f>Inputs!$D$6*Inputs!$D$14*G193*(1-Inputs!$D$38*K193)</f>
        <v>7601.4015000000027</v>
      </c>
      <c r="M193" s="39">
        <f>L193*Inputs!$D$11</f>
        <v>163430.13225000005</v>
      </c>
      <c r="N193" s="39">
        <f>M193*(1-Inputs!$D$17)</f>
        <v>57200.546287500016</v>
      </c>
      <c r="O193" s="35">
        <f>Inputs!$D$6*E193*Inputs!$D$27*Inputs!$D$30</f>
        <v>479.69814053095797</v>
      </c>
      <c r="P193" s="36">
        <f>O193/(C193*Inputs!$D$33)</f>
        <v>0.42830191118835531</v>
      </c>
      <c r="Q193" s="38">
        <f>IF(P193&gt;=1,999,P193/(Inputs!$D$33*(1-P193))*60)</f>
        <v>1.1237624882006552</v>
      </c>
      <c r="R193" s="37">
        <f>MIN(1,MAX(0,(Q193-Inputs!$D$36)/(Inputs!$D$37-Inputs!$D$36)))</f>
        <v>0</v>
      </c>
      <c r="S193" s="35">
        <f>Inputs!$D$6*E193*Inputs!$D$27*(1-Inputs!$D$38*R193)</f>
        <v>3997.4845044246499</v>
      </c>
      <c r="T193" s="39">
        <f>S193*Inputs!$D$12</f>
        <v>63959.752070794399</v>
      </c>
      <c r="U193" s="39">
        <f>T193*(1-Inputs!$D$18)</f>
        <v>28781.888431857478</v>
      </c>
      <c r="V193" s="35">
        <f>Inputs!$D$6*F193*Inputs!$D$28*Inputs!$D$31</f>
        <v>761.65325673326424</v>
      </c>
      <c r="W193" s="36">
        <f>V193/(B193*Inputs!$D$34)</f>
        <v>0.72538405403168027</v>
      </c>
      <c r="X193" s="38">
        <f>IF(W193&gt;=1,999,W193/(Inputs!$D$34*(1-W193))*60)</f>
        <v>4.5281985239874629</v>
      </c>
      <c r="Y193" s="37">
        <f>MIN(1,MAX(0,(X193-Inputs!$D$36)/(Inputs!$D$37-Inputs!$D$36)))</f>
        <v>0</v>
      </c>
      <c r="Z193" s="35">
        <f>Inputs!$D$6*F193*Inputs!$D$28*(1-Inputs!$D$38*Y193)</f>
        <v>5858.8712056404938</v>
      </c>
      <c r="AA193" s="39">
        <f>Z193*Inputs!$D$13</f>
        <v>49800.405247944196</v>
      </c>
      <c r="AB193" s="39">
        <f>AA193*(1-Inputs!$D$19)</f>
        <v>29880.243148766516</v>
      </c>
      <c r="AC193" s="39">
        <f t="shared" si="8"/>
        <v>277190.28956873866</v>
      </c>
      <c r="AD193" s="39">
        <f t="shared" si="9"/>
        <v>115862.67786812401</v>
      </c>
      <c r="AE193" s="36">
        <f t="shared" si="10"/>
        <v>1.1779031250000003</v>
      </c>
      <c r="AF193" s="35">
        <f>IF(AND(AE193&lt;=Inputs!$D$35,C193&gt;=Inputs!$D$48*(A193+B193+C193),B193*Inputs!$D$22&lt;=Inputs!$D$50*Inputs!$D$8,B193*Inputs!$D$22&gt;=Inputs!$D$49*Inputs!$D$8,A193*Inputs!$D$20&lt;=Inputs!$D$47*Inputs!$D$8,C193&gt;=1),1,0)</f>
        <v>0</v>
      </c>
      <c r="AG193" s="39">
        <f t="shared" si="11"/>
        <v>-1</v>
      </c>
    </row>
    <row r="194" spans="1:33" x14ac:dyDescent="0.25">
      <c r="A194" s="35">
        <v>32</v>
      </c>
      <c r="B194" s="35">
        <v>31</v>
      </c>
      <c r="C194" s="35">
        <f>Inputs!$D$8-A194-Inputs!$D$22*B194</f>
        <v>26</v>
      </c>
      <c r="D194" s="35">
        <f>A194*Inputs!$D$20+C194*Inputs!$D$21+B194*Inputs!$D$22</f>
        <v>120</v>
      </c>
      <c r="E194" s="36">
        <f>MIN(Inputs!$E$15,Inputs!$D$15*(C194/Inputs!$D$43)^Inputs!$D$44)</f>
        <v>0.32884660514387515</v>
      </c>
      <c r="F194" s="36">
        <f>MIN(Inputs!$E$16,Inputs!$D$16*(B194/Inputs!$D$42)^Inputs!$D$44)</f>
        <v>0.45620443270573335</v>
      </c>
      <c r="G194" s="37">
        <f>Inputs!$D$26*(1+Inputs!$D$41*(B194-Inputs!$D$42))</f>
        <v>1.665</v>
      </c>
      <c r="H194" s="35">
        <f>Inputs!$D$6*Inputs!$D$14*G194*Inputs!$D$29</f>
        <v>2091.95595</v>
      </c>
      <c r="I194" s="36">
        <f>H194/(A194*Inputs!$D$32)</f>
        <v>1.1886113352272727</v>
      </c>
      <c r="J194" s="38">
        <f>IF(I194&gt;=1,999,I194/(Inputs!$D$32*(1-I194))*60)</f>
        <v>999</v>
      </c>
      <c r="K194" s="37">
        <f>MIN(1,MAX(0,(J194-Inputs!$D$36)/(Inputs!$D$37-Inputs!$D$36)))</f>
        <v>1</v>
      </c>
      <c r="L194" s="35">
        <f>Inputs!$D$6*Inputs!$D$14*G194*(1-Inputs!$D$38*K194)</f>
        <v>7670.5051500000018</v>
      </c>
      <c r="M194" s="39">
        <f>L194*Inputs!$D$11</f>
        <v>164915.86072500004</v>
      </c>
      <c r="N194" s="39">
        <f>M194*(1-Inputs!$D$17)</f>
        <v>57720.551253750011</v>
      </c>
      <c r="O194" s="35">
        <f>Inputs!$D$6*E194*Inputs!$D$27*Inputs!$D$30</f>
        <v>469.15098230814039</v>
      </c>
      <c r="P194" s="36">
        <f>O194/(C194*Inputs!$D$33)</f>
        <v>0.45110671375782729</v>
      </c>
      <c r="Q194" s="38">
        <f>IF(P194&gt;=1,999,P194/(Inputs!$D$33*(1-P194))*60)</f>
        <v>1.2327716290160586</v>
      </c>
      <c r="R194" s="37">
        <f>MIN(1,MAX(0,(Q194-Inputs!$D$36)/(Inputs!$D$37-Inputs!$D$36)))</f>
        <v>0</v>
      </c>
      <c r="S194" s="35">
        <f>Inputs!$D$6*E194*Inputs!$D$27*(1-Inputs!$D$38*R194)</f>
        <v>3909.5915192345033</v>
      </c>
      <c r="T194" s="39">
        <f>S194*Inputs!$D$12</f>
        <v>62553.464307752052</v>
      </c>
      <c r="U194" s="39">
        <f>T194*(1-Inputs!$D$18)</f>
        <v>28149.058938488422</v>
      </c>
      <c r="V194" s="35">
        <f>Inputs!$D$6*F194*Inputs!$D$28*Inputs!$D$31</f>
        <v>769.18257135463637</v>
      </c>
      <c r="W194" s="36">
        <f>V194/(B194*Inputs!$D$34)</f>
        <v>0.70892402889828232</v>
      </c>
      <c r="X194" s="38">
        <f>IF(W194&gt;=1,999,W194/(Inputs!$D$34*(1-W194))*60)</f>
        <v>4.1751929252501148</v>
      </c>
      <c r="Y194" s="37">
        <f>MIN(1,MAX(0,(X194-Inputs!$D$36)/(Inputs!$D$37-Inputs!$D$36)))</f>
        <v>0</v>
      </c>
      <c r="Z194" s="35">
        <f>Inputs!$D$6*F194*Inputs!$D$28*(1-Inputs!$D$38*Y194)</f>
        <v>5916.7890104202797</v>
      </c>
      <c r="AA194" s="39">
        <f>Z194*Inputs!$D$13</f>
        <v>50292.706588572379</v>
      </c>
      <c r="AB194" s="39">
        <f>AA194*(1-Inputs!$D$19)</f>
        <v>30175.623953143426</v>
      </c>
      <c r="AC194" s="39">
        <f t="shared" si="8"/>
        <v>277762.03162132448</v>
      </c>
      <c r="AD194" s="39">
        <f t="shared" si="9"/>
        <v>116045.23414538187</v>
      </c>
      <c r="AE194" s="36">
        <f t="shared" si="10"/>
        <v>1.1886113352272727</v>
      </c>
      <c r="AF194" s="35">
        <f>IF(AND(AE194&lt;=Inputs!$D$35,C194&gt;=Inputs!$D$48*(A194+B194+C194),B194*Inputs!$D$22&lt;=Inputs!$D$50*Inputs!$D$8,B194*Inputs!$D$22&gt;=Inputs!$D$49*Inputs!$D$8,A194*Inputs!$D$20&lt;=Inputs!$D$47*Inputs!$D$8,C194&gt;=1),1,0)</f>
        <v>0</v>
      </c>
      <c r="AG194" s="39">
        <f t="shared" si="11"/>
        <v>-1</v>
      </c>
    </row>
    <row r="195" spans="1:33" x14ac:dyDescent="0.25">
      <c r="A195" s="35">
        <v>32</v>
      </c>
      <c r="B195" s="35">
        <v>32</v>
      </c>
      <c r="C195" s="35">
        <f>Inputs!$D$8-A195-Inputs!$D$22*B195</f>
        <v>24</v>
      </c>
      <c r="D195" s="35">
        <f>A195*Inputs!$D$20+C195*Inputs!$D$21+B195*Inputs!$D$22</f>
        <v>120</v>
      </c>
      <c r="E195" s="36">
        <f>MIN(Inputs!$E$15,Inputs!$D$15*(C195/Inputs!$D$43)^Inputs!$D$44)</f>
        <v>0.32104412796367415</v>
      </c>
      <c r="F195" s="36">
        <f>MIN(Inputs!$E$16,Inputs!$D$16*(B195/Inputs!$D$42)^Inputs!$D$44)</f>
        <v>0.46057036065052986</v>
      </c>
      <c r="G195" s="37">
        <f>Inputs!$D$26*(1+Inputs!$D$41*(B195-Inputs!$D$42))</f>
        <v>1.6800000000000002</v>
      </c>
      <c r="H195" s="35">
        <f>Inputs!$D$6*Inputs!$D$14*G195*Inputs!$D$29</f>
        <v>2110.8024000000005</v>
      </c>
      <c r="I195" s="36">
        <f>H195/(A195*Inputs!$D$32)</f>
        <v>1.1993195454545458</v>
      </c>
      <c r="J195" s="38">
        <f>IF(I195&gt;=1,999,I195/(Inputs!$D$32*(1-I195))*60)</f>
        <v>999</v>
      </c>
      <c r="K195" s="37">
        <f>MIN(1,MAX(0,(J195-Inputs!$D$36)/(Inputs!$D$37-Inputs!$D$36)))</f>
        <v>1</v>
      </c>
      <c r="L195" s="35">
        <f>Inputs!$D$6*Inputs!$D$14*G195*(1-Inputs!$D$38*K195)</f>
        <v>7739.6088000000027</v>
      </c>
      <c r="M195" s="39">
        <f>L195*Inputs!$D$11</f>
        <v>166401.58920000005</v>
      </c>
      <c r="N195" s="39">
        <f>M195*(1-Inputs!$D$17)</f>
        <v>58240.556220000013</v>
      </c>
      <c r="O195" s="35">
        <f>Inputs!$D$6*E195*Inputs!$D$27*Inputs!$D$30</f>
        <v>458.01953142414351</v>
      </c>
      <c r="P195" s="36">
        <f>O195/(C195*Inputs!$D$33)</f>
        <v>0.47710367856681618</v>
      </c>
      <c r="Q195" s="38">
        <f>IF(P195&gt;=1,999,P195/(Inputs!$D$33*(1-P195))*60)</f>
        <v>1.3686375071232384</v>
      </c>
      <c r="R195" s="37">
        <f>MIN(1,MAX(0,(Q195-Inputs!$D$36)/(Inputs!$D$37-Inputs!$D$36)))</f>
        <v>0</v>
      </c>
      <c r="S195" s="35">
        <f>Inputs!$D$6*E195*Inputs!$D$27*(1-Inputs!$D$38*R195)</f>
        <v>3816.8294285345296</v>
      </c>
      <c r="T195" s="39">
        <f>S195*Inputs!$D$12</f>
        <v>61069.270856552474</v>
      </c>
      <c r="U195" s="39">
        <f>T195*(1-Inputs!$D$18)</f>
        <v>27481.17188544861</v>
      </c>
      <c r="V195" s="35">
        <f>Inputs!$D$6*F195*Inputs!$D$28*Inputs!$D$31</f>
        <v>776.54373543410452</v>
      </c>
      <c r="W195" s="36">
        <f>V195/(B195*Inputs!$D$34)</f>
        <v>0.69334262092330756</v>
      </c>
      <c r="X195" s="38">
        <f>IF(W195&gt;=1,999,W195/(Inputs!$D$34*(1-W195))*60)</f>
        <v>3.8759457011369869</v>
      </c>
      <c r="Y195" s="37">
        <f>MIN(1,MAX(0,(X195-Inputs!$D$36)/(Inputs!$D$37-Inputs!$D$36)))</f>
        <v>0</v>
      </c>
      <c r="Z195" s="35">
        <f>Inputs!$D$6*F195*Inputs!$D$28*(1-Inputs!$D$38*Y195)</f>
        <v>5973.4133494931111</v>
      </c>
      <c r="AA195" s="39">
        <f>Z195*Inputs!$D$13</f>
        <v>50774.013470691447</v>
      </c>
      <c r="AB195" s="39">
        <f>AA195*(1-Inputs!$D$19)</f>
        <v>30464.408082414866</v>
      </c>
      <c r="AC195" s="39">
        <f t="shared" si="8"/>
        <v>278244.87352724397</v>
      </c>
      <c r="AD195" s="39">
        <f t="shared" si="9"/>
        <v>116186.13618786349</v>
      </c>
      <c r="AE195" s="36">
        <f t="shared" si="10"/>
        <v>1.1993195454545458</v>
      </c>
      <c r="AF195" s="35">
        <f>IF(AND(AE195&lt;=Inputs!$D$35,C195&gt;=Inputs!$D$48*(A195+B195+C195),B195*Inputs!$D$22&lt;=Inputs!$D$50*Inputs!$D$8,B195*Inputs!$D$22&gt;=Inputs!$D$49*Inputs!$D$8,A195*Inputs!$D$20&lt;=Inputs!$D$47*Inputs!$D$8,C195&gt;=1),1,0)</f>
        <v>0</v>
      </c>
      <c r="AG195" s="39">
        <f t="shared" si="11"/>
        <v>-1</v>
      </c>
    </row>
    <row r="196" spans="1:33" x14ac:dyDescent="0.25">
      <c r="A196" s="35">
        <v>32</v>
      </c>
      <c r="B196" s="35">
        <v>33</v>
      </c>
      <c r="C196" s="35">
        <f>Inputs!$D$8-A196-Inputs!$D$22*B196</f>
        <v>22</v>
      </c>
      <c r="D196" s="35">
        <f>A196*Inputs!$D$20+C196*Inputs!$D$21+B196*Inputs!$D$22</f>
        <v>120</v>
      </c>
      <c r="E196" s="36">
        <f>MIN(Inputs!$E$15,Inputs!$D$15*(C196/Inputs!$D$43)^Inputs!$D$44)</f>
        <v>0.31277221277221301</v>
      </c>
      <c r="F196" s="36">
        <f>MIN(Inputs!$E$16,Inputs!$D$16*(B196/Inputs!$D$42)^Inputs!$D$44)</f>
        <v>0.46484180038786721</v>
      </c>
      <c r="G196" s="37">
        <f>Inputs!$D$26*(1+Inputs!$D$41*(B196-Inputs!$D$42))</f>
        <v>1.6949999999999998</v>
      </c>
      <c r="H196" s="35">
        <f>Inputs!$D$6*Inputs!$D$14*G196*Inputs!$D$29</f>
        <v>2129.64885</v>
      </c>
      <c r="I196" s="36">
        <f>H196/(A196*Inputs!$D$32)</f>
        <v>1.2100277556818182</v>
      </c>
      <c r="J196" s="38">
        <f>IF(I196&gt;=1,999,I196/(Inputs!$D$32*(1-I196))*60)</f>
        <v>999</v>
      </c>
      <c r="K196" s="37">
        <f>MIN(1,MAX(0,(J196-Inputs!$D$36)/(Inputs!$D$37-Inputs!$D$36)))</f>
        <v>1</v>
      </c>
      <c r="L196" s="35">
        <f>Inputs!$D$6*Inputs!$D$14*G196*(1-Inputs!$D$38*K196)</f>
        <v>7808.71245</v>
      </c>
      <c r="M196" s="39">
        <f>L196*Inputs!$D$11</f>
        <v>167887.317675</v>
      </c>
      <c r="N196" s="39">
        <f>M196*(1-Inputs!$D$17)</f>
        <v>58760.561186249994</v>
      </c>
      <c r="O196" s="35">
        <f>Inputs!$D$6*E196*Inputs!$D$27*Inputs!$D$30</f>
        <v>446.21835398475434</v>
      </c>
      <c r="P196" s="36">
        <f>O196/(C196*Inputs!$D$33)</f>
        <v>0.50706631134631175</v>
      </c>
      <c r="Q196" s="38">
        <f>IF(P196&gt;=1,999,P196/(Inputs!$D$33*(1-P196))*60)</f>
        <v>1.543005650713049</v>
      </c>
      <c r="R196" s="37">
        <f>MIN(1,MAX(0,(Q196-Inputs!$D$36)/(Inputs!$D$37-Inputs!$D$36)))</f>
        <v>0</v>
      </c>
      <c r="S196" s="35">
        <f>Inputs!$D$6*E196*Inputs!$D$27*(1-Inputs!$D$38*R196)</f>
        <v>3718.4862832062863</v>
      </c>
      <c r="T196" s="39">
        <f>S196*Inputs!$D$12</f>
        <v>59495.780531300581</v>
      </c>
      <c r="U196" s="39">
        <f>T196*(1-Inputs!$D$18)</f>
        <v>26773.101239085259</v>
      </c>
      <c r="V196" s="35">
        <f>Inputs!$D$6*F196*Inputs!$D$28*Inputs!$D$31</f>
        <v>783.74558786036266</v>
      </c>
      <c r="W196" s="36">
        <f>V196/(B196*Inputs!$D$34)</f>
        <v>0.67856760853711051</v>
      </c>
      <c r="X196" s="38">
        <f>IF(W196&gt;=1,999,W196/(Inputs!$D$34*(1-W196))*60)</f>
        <v>3.6189842355277744</v>
      </c>
      <c r="Y196" s="37">
        <f>MIN(1,MAX(0,(X196-Inputs!$D$36)/(Inputs!$D$37-Inputs!$D$36)))</f>
        <v>0</v>
      </c>
      <c r="Z196" s="35">
        <f>Inputs!$D$6*F196*Inputs!$D$28*(1-Inputs!$D$38*Y196)</f>
        <v>6028.812214310482</v>
      </c>
      <c r="AA196" s="39">
        <f>Z196*Inputs!$D$13</f>
        <v>51244.903821639098</v>
      </c>
      <c r="AB196" s="39">
        <f>AA196*(1-Inputs!$D$19)</f>
        <v>30746.942292983458</v>
      </c>
      <c r="AC196" s="39">
        <f t="shared" si="8"/>
        <v>278628.00202793966</v>
      </c>
      <c r="AD196" s="39">
        <f t="shared" si="9"/>
        <v>116280.6047183187</v>
      </c>
      <c r="AE196" s="36">
        <f t="shared" si="10"/>
        <v>1.2100277556818182</v>
      </c>
      <c r="AF196" s="35">
        <f>IF(AND(AE196&lt;=Inputs!$D$35,C196&gt;=Inputs!$D$48*(A196+B196+C196),B196*Inputs!$D$22&lt;=Inputs!$D$50*Inputs!$D$8,B196*Inputs!$D$22&gt;=Inputs!$D$49*Inputs!$D$8,A196*Inputs!$D$20&lt;=Inputs!$D$47*Inputs!$D$8,C196&gt;=1),1,0)</f>
        <v>0</v>
      </c>
      <c r="AG196" s="39">
        <f t="shared" si="11"/>
        <v>-1</v>
      </c>
    </row>
    <row r="197" spans="1:33" x14ac:dyDescent="0.25">
      <c r="A197" s="35">
        <v>33</v>
      </c>
      <c r="B197" s="35">
        <v>10</v>
      </c>
      <c r="C197" s="35">
        <f>Inputs!$D$8-A197-Inputs!$D$22*B197</f>
        <v>67</v>
      </c>
      <c r="D197" s="35">
        <f>A197*Inputs!$D$20+C197*Inputs!$D$21+B197*Inputs!$D$22</f>
        <v>120</v>
      </c>
      <c r="E197" s="36">
        <f>MIN(Inputs!$E$15,Inputs!$D$15*(C197/Inputs!$D$43)^Inputs!$D$44)</f>
        <v>0.4</v>
      </c>
      <c r="F197" s="36">
        <f>MIN(Inputs!$E$16,Inputs!$D$16*(B197/Inputs!$D$42)^Inputs!$D$44)</f>
        <v>0.32490095854249423</v>
      </c>
      <c r="G197" s="37">
        <f>Inputs!$D$26*(1+Inputs!$D$41*(B197-Inputs!$D$42))</f>
        <v>1.35</v>
      </c>
      <c r="H197" s="35">
        <f>Inputs!$D$6*Inputs!$D$14*G197*Inputs!$D$29</f>
        <v>1696.1805000000004</v>
      </c>
      <c r="I197" s="36">
        <f>H197/(A197*Inputs!$D$32)</f>
        <v>0.9345347107438019</v>
      </c>
      <c r="J197" s="38">
        <f>IF(I197&gt;=1,999,I197/(Inputs!$D$32*(1-I197))*60)</f>
        <v>15.57302233448832</v>
      </c>
      <c r="K197" s="37">
        <f>MIN(1,MAX(0,(J197-Inputs!$D$36)/(Inputs!$D$37-Inputs!$D$36)))</f>
        <v>0.70486815563255467</v>
      </c>
      <c r="L197" s="35">
        <f>Inputs!$D$6*Inputs!$D$14*G197*(1-Inputs!$D$38*K197)</f>
        <v>7721.1191380352884</v>
      </c>
      <c r="M197" s="39">
        <f>L197*Inputs!$D$11</f>
        <v>166004.0614677587</v>
      </c>
      <c r="N197" s="39">
        <f>M197*(1-Inputs!$D$17)</f>
        <v>58101.421513715541</v>
      </c>
      <c r="O197" s="35">
        <f>Inputs!$D$6*E197*Inputs!$D$27*Inputs!$D$30</f>
        <v>570.66240000000005</v>
      </c>
      <c r="P197" s="36">
        <f>O197/(C197*Inputs!$D$33)</f>
        <v>0.21293373134328361</v>
      </c>
      <c r="Q197" s="38">
        <f>IF(P197&gt;=1,999,P197/(Inputs!$D$33*(1-P197))*60)</f>
        <v>0.40581156852274392</v>
      </c>
      <c r="R197" s="37">
        <f>MIN(1,MAX(0,(Q197-Inputs!$D$36)/(Inputs!$D$37-Inputs!$D$36)))</f>
        <v>0</v>
      </c>
      <c r="S197" s="35">
        <f>Inputs!$D$6*E197*Inputs!$D$27*(1-Inputs!$D$38*R197)</f>
        <v>4755.5200000000004</v>
      </c>
      <c r="T197" s="39">
        <f>S197*Inputs!$D$12</f>
        <v>76088.320000000007</v>
      </c>
      <c r="U197" s="39">
        <f>T197*(1-Inputs!$D$18)</f>
        <v>34239.743999999999</v>
      </c>
      <c r="V197" s="35">
        <f>Inputs!$D$6*F197*Inputs!$D$28*Inputs!$D$31</f>
        <v>547.7986113486553</v>
      </c>
      <c r="W197" s="36">
        <f>V197/(B197*Inputs!$D$34)</f>
        <v>1.5651388895675866</v>
      </c>
      <c r="X197" s="38">
        <f>IF(W197&gt;=1,999,W197/(Inputs!$D$34*(1-W197))*60)</f>
        <v>999</v>
      </c>
      <c r="Y197" s="37">
        <f>MIN(1,MAX(0,(X197-Inputs!$D$36)/(Inputs!$D$37-Inputs!$D$36)))</f>
        <v>1</v>
      </c>
      <c r="Z197" s="35">
        <f>Inputs!$D$6*F197*Inputs!$D$28*(1-Inputs!$D$38*Y197)</f>
        <v>2317.6095095520031</v>
      </c>
      <c r="AA197" s="39">
        <f>Z197*Inputs!$D$13</f>
        <v>19699.680831192025</v>
      </c>
      <c r="AB197" s="39">
        <f>AA197*(1-Inputs!$D$19)</f>
        <v>11819.808498715214</v>
      </c>
      <c r="AC197" s="39">
        <f t="shared" ref="AC197:AC260" si="12">M197+T197+AA197</f>
        <v>261792.06229895074</v>
      </c>
      <c r="AD197" s="39">
        <f t="shared" ref="AD197:AD260" si="13">N197+U197+AB197</f>
        <v>104160.97401243074</v>
      </c>
      <c r="AE197" s="36">
        <f t="shared" ref="AE197:AE260" si="14">MAX(I197,P197,W197)</f>
        <v>1.5651388895675866</v>
      </c>
      <c r="AF197" s="35">
        <f>IF(AND(AE197&lt;=Inputs!$D$35,C197&gt;=Inputs!$D$48*(A197+B197+C197),B197*Inputs!$D$22&lt;=Inputs!$D$50*Inputs!$D$8,B197*Inputs!$D$22&gt;=Inputs!$D$49*Inputs!$D$8,A197*Inputs!$D$20&lt;=Inputs!$D$47*Inputs!$D$8,C197&gt;=1),1,0)</f>
        <v>0</v>
      </c>
      <c r="AG197" s="39">
        <f t="shared" ref="AG197:AG260" si="15">IF(AF197=1,AD197,-1)</f>
        <v>-1</v>
      </c>
    </row>
    <row r="198" spans="1:33" x14ac:dyDescent="0.25">
      <c r="A198" s="35">
        <v>33</v>
      </c>
      <c r="B198" s="35">
        <v>11</v>
      </c>
      <c r="C198" s="35">
        <f>Inputs!$D$8-A198-Inputs!$D$22*B198</f>
        <v>65</v>
      </c>
      <c r="D198" s="35">
        <f>A198*Inputs!$D$20+C198*Inputs!$D$21+B198*Inputs!$D$22</f>
        <v>120</v>
      </c>
      <c r="E198" s="36">
        <f>MIN(Inputs!$E$15,Inputs!$D$15*(C198/Inputs!$D$43)^Inputs!$D$44)</f>
        <v>0.4</v>
      </c>
      <c r="F198" s="36">
        <f>MIN(Inputs!$E$16,Inputs!$D$16*(B198/Inputs!$D$42)^Inputs!$D$44)</f>
        <v>0.33432495758166098</v>
      </c>
      <c r="G198" s="37">
        <f>Inputs!$D$26*(1+Inputs!$D$41*(B198-Inputs!$D$42))</f>
        <v>1.365</v>
      </c>
      <c r="H198" s="35">
        <f>Inputs!$D$6*Inputs!$D$14*G198*Inputs!$D$29</f>
        <v>1715.0269500000002</v>
      </c>
      <c r="I198" s="36">
        <f>H198/(A198*Inputs!$D$32)</f>
        <v>0.94491842975206619</v>
      </c>
      <c r="J198" s="38">
        <f>IF(I198&gt;=1,999,I198/(Inputs!$D$32*(1-I198))*60)</f>
        <v>18.714428447557552</v>
      </c>
      <c r="K198" s="37">
        <f>MIN(1,MAX(0,(J198-Inputs!$D$36)/(Inputs!$D$37-Inputs!$D$36)))</f>
        <v>0.91429522983717015</v>
      </c>
      <c r="L198" s="35">
        <f>Inputs!$D$6*Inputs!$D$14*G198*(1-Inputs!$D$38*K198)</f>
        <v>6729.3901217184266</v>
      </c>
      <c r="M198" s="39">
        <f>L198*Inputs!$D$11</f>
        <v>144681.88761694616</v>
      </c>
      <c r="N198" s="39">
        <f>M198*(1-Inputs!$D$17)</f>
        <v>50638.660665931151</v>
      </c>
      <c r="O198" s="35">
        <f>Inputs!$D$6*E198*Inputs!$D$27*Inputs!$D$30</f>
        <v>570.66240000000005</v>
      </c>
      <c r="P198" s="36">
        <f>O198/(C198*Inputs!$D$33)</f>
        <v>0.21948553846153848</v>
      </c>
      <c r="Q198" s="38">
        <f>IF(P198&gt;=1,999,P198/(Inputs!$D$33*(1-P198))*60)</f>
        <v>0.42180936281868536</v>
      </c>
      <c r="R198" s="37">
        <f>MIN(1,MAX(0,(Q198-Inputs!$D$36)/(Inputs!$D$37-Inputs!$D$36)))</f>
        <v>0</v>
      </c>
      <c r="S198" s="35">
        <f>Inputs!$D$6*E198*Inputs!$D$27*(1-Inputs!$D$38*R198)</f>
        <v>4755.5200000000004</v>
      </c>
      <c r="T198" s="39">
        <f>S198*Inputs!$D$12</f>
        <v>76088.320000000007</v>
      </c>
      <c r="U198" s="39">
        <f>T198*(1-Inputs!$D$18)</f>
        <v>34239.743999999999</v>
      </c>
      <c r="V198" s="35">
        <f>Inputs!$D$6*F198*Inputs!$D$28*Inputs!$D$31</f>
        <v>563.68792608064427</v>
      </c>
      <c r="W198" s="36">
        <f>V198/(B198*Inputs!$D$34)</f>
        <v>1.4641244833263487</v>
      </c>
      <c r="X198" s="38">
        <f>IF(W198&gt;=1,999,W198/(Inputs!$D$34*(1-W198))*60)</f>
        <v>999</v>
      </c>
      <c r="Y198" s="37">
        <f>MIN(1,MAX(0,(X198-Inputs!$D$36)/(Inputs!$D$37-Inputs!$D$36)))</f>
        <v>1</v>
      </c>
      <c r="Z198" s="35">
        <f>Inputs!$D$6*F198*Inputs!$D$28*(1-Inputs!$D$38*Y198)</f>
        <v>2384.8335334181106</v>
      </c>
      <c r="AA198" s="39">
        <f>Z198*Inputs!$D$13</f>
        <v>20271.08503405394</v>
      </c>
      <c r="AB198" s="39">
        <f>AA198*(1-Inputs!$D$19)</f>
        <v>12162.651020432364</v>
      </c>
      <c r="AC198" s="39">
        <f t="shared" si="12"/>
        <v>241041.29265100011</v>
      </c>
      <c r="AD198" s="39">
        <f t="shared" si="13"/>
        <v>97041.055686363514</v>
      </c>
      <c r="AE198" s="36">
        <f t="shared" si="14"/>
        <v>1.4641244833263487</v>
      </c>
      <c r="AF198" s="35">
        <f>IF(AND(AE198&lt;=Inputs!$D$35,C198&gt;=Inputs!$D$48*(A198+B198+C198),B198*Inputs!$D$22&lt;=Inputs!$D$50*Inputs!$D$8,B198*Inputs!$D$22&gt;=Inputs!$D$49*Inputs!$D$8,A198*Inputs!$D$20&lt;=Inputs!$D$47*Inputs!$D$8,C198&gt;=1),1,0)</f>
        <v>0</v>
      </c>
      <c r="AG198" s="39">
        <f t="shared" si="15"/>
        <v>-1</v>
      </c>
    </row>
    <row r="199" spans="1:33" x14ac:dyDescent="0.25">
      <c r="A199" s="35">
        <v>33</v>
      </c>
      <c r="B199" s="35">
        <v>12</v>
      </c>
      <c r="C199" s="35">
        <f>Inputs!$D$8-A199-Inputs!$D$22*B199</f>
        <v>63</v>
      </c>
      <c r="D199" s="35">
        <f>A199*Inputs!$D$20+C199*Inputs!$D$21+B199*Inputs!$D$22</f>
        <v>120</v>
      </c>
      <c r="E199" s="36">
        <f>MIN(Inputs!$E$15,Inputs!$D$15*(C199/Inputs!$D$43)^Inputs!$D$44)</f>
        <v>0.4</v>
      </c>
      <c r="F199" s="36">
        <f>MIN(Inputs!$E$16,Inputs!$D$16*(B199/Inputs!$D$42)^Inputs!$D$44)</f>
        <v>0.34316688017763797</v>
      </c>
      <c r="G199" s="37">
        <f>Inputs!$D$26*(1+Inputs!$D$41*(B199-Inputs!$D$42))</f>
        <v>1.3800000000000001</v>
      </c>
      <c r="H199" s="35">
        <f>Inputs!$D$6*Inputs!$D$14*G199*Inputs!$D$29</f>
        <v>1733.8734000000004</v>
      </c>
      <c r="I199" s="36">
        <f>H199/(A199*Inputs!$D$32)</f>
        <v>0.95530214876033082</v>
      </c>
      <c r="J199" s="38">
        <f>IF(I199&gt;=1,999,I199/(Inputs!$D$32*(1-I199))*60)</f>
        <v>23.315389213223099</v>
      </c>
      <c r="K199" s="37">
        <f>MIN(1,MAX(0,(J199-Inputs!$D$36)/(Inputs!$D$37-Inputs!$D$36)))</f>
        <v>1</v>
      </c>
      <c r="L199" s="35">
        <f>Inputs!$D$6*Inputs!$D$14*G199*(1-Inputs!$D$38*K199)</f>
        <v>6357.5358000000024</v>
      </c>
      <c r="M199" s="39">
        <f>L199*Inputs!$D$11</f>
        <v>136687.01970000006</v>
      </c>
      <c r="N199" s="39">
        <f>M199*(1-Inputs!$D$17)</f>
        <v>47840.456895000018</v>
      </c>
      <c r="O199" s="35">
        <f>Inputs!$D$6*E199*Inputs!$D$27*Inputs!$D$30</f>
        <v>570.66240000000005</v>
      </c>
      <c r="P199" s="36">
        <f>O199/(C199*Inputs!$D$33)</f>
        <v>0.22645333333333334</v>
      </c>
      <c r="Q199" s="38">
        <f>IF(P199&gt;=1,999,P199/(Inputs!$D$33*(1-P199))*60)</f>
        <v>0.43912024269167138</v>
      </c>
      <c r="R199" s="37">
        <f>MIN(1,MAX(0,(Q199-Inputs!$D$36)/(Inputs!$D$37-Inputs!$D$36)))</f>
        <v>0</v>
      </c>
      <c r="S199" s="35">
        <f>Inputs!$D$6*E199*Inputs!$D$27*(1-Inputs!$D$38*R199)</f>
        <v>4755.5200000000004</v>
      </c>
      <c r="T199" s="39">
        <f>S199*Inputs!$D$12</f>
        <v>76088.320000000007</v>
      </c>
      <c r="U199" s="39">
        <f>T199*(1-Inputs!$D$18)</f>
        <v>34239.743999999999</v>
      </c>
      <c r="V199" s="35">
        <f>Inputs!$D$6*F199*Inputs!$D$28*Inputs!$D$31</f>
        <v>578.5958319897461</v>
      </c>
      <c r="W199" s="36">
        <f>V199/(B199*Inputs!$D$34)</f>
        <v>1.3776091237851098</v>
      </c>
      <c r="X199" s="38">
        <f>IF(W199&gt;=1,999,W199/(Inputs!$D$34*(1-W199))*60)</f>
        <v>999</v>
      </c>
      <c r="Y199" s="37">
        <f>MIN(1,MAX(0,(X199-Inputs!$D$36)/(Inputs!$D$37-Inputs!$D$36)))</f>
        <v>1</v>
      </c>
      <c r="Z199" s="35">
        <f>Inputs!$D$6*F199*Inputs!$D$28*(1-Inputs!$D$38*Y199)</f>
        <v>2447.9054430335414</v>
      </c>
      <c r="AA199" s="39">
        <f>Z199*Inputs!$D$13</f>
        <v>20807.1962657851</v>
      </c>
      <c r="AB199" s="39">
        <f>AA199*(1-Inputs!$D$19)</f>
        <v>12484.31775947106</v>
      </c>
      <c r="AC199" s="39">
        <f t="shared" si="12"/>
        <v>233582.53596578518</v>
      </c>
      <c r="AD199" s="39">
        <f t="shared" si="13"/>
        <v>94564.518654471074</v>
      </c>
      <c r="AE199" s="36">
        <f t="shared" si="14"/>
        <v>1.3776091237851098</v>
      </c>
      <c r="AF199" s="35">
        <f>IF(AND(AE199&lt;=Inputs!$D$35,C199&gt;=Inputs!$D$48*(A199+B199+C199),B199*Inputs!$D$22&lt;=Inputs!$D$50*Inputs!$D$8,B199*Inputs!$D$22&gt;=Inputs!$D$49*Inputs!$D$8,A199*Inputs!$D$20&lt;=Inputs!$D$47*Inputs!$D$8,C199&gt;=1),1,0)</f>
        <v>0</v>
      </c>
      <c r="AG199" s="39">
        <f t="shared" si="15"/>
        <v>-1</v>
      </c>
    </row>
    <row r="200" spans="1:33" x14ac:dyDescent="0.25">
      <c r="A200" s="35">
        <v>33</v>
      </c>
      <c r="B200" s="35">
        <v>13</v>
      </c>
      <c r="C200" s="35">
        <f>Inputs!$D$8-A200-Inputs!$D$22*B200</f>
        <v>61</v>
      </c>
      <c r="D200" s="35">
        <f>A200*Inputs!$D$20+C200*Inputs!$D$21+B200*Inputs!$D$22</f>
        <v>120</v>
      </c>
      <c r="E200" s="36">
        <f>MIN(Inputs!$E$15,Inputs!$D$15*(C200/Inputs!$D$43)^Inputs!$D$44)</f>
        <v>0.4</v>
      </c>
      <c r="F200" s="36">
        <f>MIN(Inputs!$E$16,Inputs!$D$16*(B200/Inputs!$D$42)^Inputs!$D$44)</f>
        <v>0.35150701637190523</v>
      </c>
      <c r="G200" s="37">
        <f>Inputs!$D$26*(1+Inputs!$D$41*(B200-Inputs!$D$42))</f>
        <v>1.395</v>
      </c>
      <c r="H200" s="35">
        <f>Inputs!$D$6*Inputs!$D$14*G200*Inputs!$D$29</f>
        <v>1752.7198500000002</v>
      </c>
      <c r="I200" s="36">
        <f>H200/(A200*Inputs!$D$32)</f>
        <v>0.96568586776859511</v>
      </c>
      <c r="J200" s="38">
        <f>IF(I200&gt;=1,999,I200/(Inputs!$D$32*(1-I200))*60)</f>
        <v>30.700921853621448</v>
      </c>
      <c r="K200" s="37">
        <f>MIN(1,MAX(0,(J200-Inputs!$D$36)/(Inputs!$D$37-Inputs!$D$36)))</f>
        <v>1</v>
      </c>
      <c r="L200" s="35">
        <f>Inputs!$D$6*Inputs!$D$14*G200*(1-Inputs!$D$38*K200)</f>
        <v>6426.6394500000006</v>
      </c>
      <c r="M200" s="39">
        <f>L200*Inputs!$D$11</f>
        <v>138172.74817500002</v>
      </c>
      <c r="N200" s="39">
        <f>M200*(1-Inputs!$D$17)</f>
        <v>48360.461861250005</v>
      </c>
      <c r="O200" s="35">
        <f>Inputs!$D$6*E200*Inputs!$D$27*Inputs!$D$30</f>
        <v>570.66240000000005</v>
      </c>
      <c r="P200" s="36">
        <f>O200/(C200*Inputs!$D$33)</f>
        <v>0.23387803278688526</v>
      </c>
      <c r="Q200" s="38">
        <f>IF(P200&gt;=1,999,P200/(Inputs!$D$33*(1-P200))*60)</f>
        <v>0.45791279221046005</v>
      </c>
      <c r="R200" s="37">
        <f>MIN(1,MAX(0,(Q200-Inputs!$D$36)/(Inputs!$D$37-Inputs!$D$36)))</f>
        <v>0</v>
      </c>
      <c r="S200" s="35">
        <f>Inputs!$D$6*E200*Inputs!$D$27*(1-Inputs!$D$38*R200)</f>
        <v>4755.5200000000004</v>
      </c>
      <c r="T200" s="39">
        <f>S200*Inputs!$D$12</f>
        <v>76088.320000000007</v>
      </c>
      <c r="U200" s="39">
        <f>T200*(1-Inputs!$D$18)</f>
        <v>34239.743999999999</v>
      </c>
      <c r="V200" s="35">
        <f>Inputs!$D$6*F200*Inputs!$D$28*Inputs!$D$31</f>
        <v>592.65770193981814</v>
      </c>
      <c r="W200" s="36">
        <f>V200/(B200*Inputs!$D$34)</f>
        <v>1.3025443998677322</v>
      </c>
      <c r="X200" s="38">
        <f>IF(W200&gt;=1,999,W200/(Inputs!$D$34*(1-W200))*60)</f>
        <v>999</v>
      </c>
      <c r="Y200" s="37">
        <f>MIN(1,MAX(0,(X200-Inputs!$D$36)/(Inputs!$D$37-Inputs!$D$36)))</f>
        <v>1</v>
      </c>
      <c r="Z200" s="35">
        <f>Inputs!$D$6*F200*Inputs!$D$28*(1-Inputs!$D$38*Y200)</f>
        <v>2507.3979697453847</v>
      </c>
      <c r="AA200" s="39">
        <f>Z200*Inputs!$D$13</f>
        <v>21312.882742835769</v>
      </c>
      <c r="AB200" s="39">
        <f>AA200*(1-Inputs!$D$19)</f>
        <v>12787.729645701462</v>
      </c>
      <c r="AC200" s="39">
        <f t="shared" si="12"/>
        <v>235573.95091783578</v>
      </c>
      <c r="AD200" s="39">
        <f t="shared" si="13"/>
        <v>95387.935506951457</v>
      </c>
      <c r="AE200" s="36">
        <f t="shared" si="14"/>
        <v>1.3025443998677322</v>
      </c>
      <c r="AF200" s="35">
        <f>IF(AND(AE200&lt;=Inputs!$D$35,C200&gt;=Inputs!$D$48*(A200+B200+C200),B200*Inputs!$D$22&lt;=Inputs!$D$50*Inputs!$D$8,B200*Inputs!$D$22&gt;=Inputs!$D$49*Inputs!$D$8,A200*Inputs!$D$20&lt;=Inputs!$D$47*Inputs!$D$8,C200&gt;=1),1,0)</f>
        <v>0</v>
      </c>
      <c r="AG200" s="39">
        <f t="shared" si="15"/>
        <v>-1</v>
      </c>
    </row>
    <row r="201" spans="1:33" x14ac:dyDescent="0.25">
      <c r="A201" s="35">
        <v>33</v>
      </c>
      <c r="B201" s="35">
        <v>14</v>
      </c>
      <c r="C201" s="35">
        <f>Inputs!$D$8-A201-Inputs!$D$22*B201</f>
        <v>59</v>
      </c>
      <c r="D201" s="35">
        <f>A201*Inputs!$D$20+C201*Inputs!$D$21+B201*Inputs!$D$22</f>
        <v>120</v>
      </c>
      <c r="E201" s="36">
        <f>MIN(Inputs!$E$15,Inputs!$D$15*(C201/Inputs!$D$43)^Inputs!$D$44)</f>
        <v>0.4</v>
      </c>
      <c r="F201" s="36">
        <f>MIN(Inputs!$E$16,Inputs!$D$16*(B201/Inputs!$D$42)^Inputs!$D$44)</f>
        <v>0.35940937671625589</v>
      </c>
      <c r="G201" s="37">
        <f>Inputs!$D$26*(1+Inputs!$D$41*(B201-Inputs!$D$42))</f>
        <v>1.41</v>
      </c>
      <c r="H201" s="35">
        <f>Inputs!$D$6*Inputs!$D$14*G201*Inputs!$D$29</f>
        <v>1771.5663000000002</v>
      </c>
      <c r="I201" s="36">
        <f>H201/(A201*Inputs!$D$32)</f>
        <v>0.97606958677685962</v>
      </c>
      <c r="J201" s="38">
        <f>IF(I201&gt;=1,999,I201/(Inputs!$D$32*(1-I201))*60)</f>
        <v>44.495812740295932</v>
      </c>
      <c r="K201" s="37">
        <f>MIN(1,MAX(0,(J201-Inputs!$D$36)/(Inputs!$D$37-Inputs!$D$36)))</f>
        <v>1</v>
      </c>
      <c r="L201" s="35">
        <f>Inputs!$D$6*Inputs!$D$14*G201*(1-Inputs!$D$38*K201)</f>
        <v>6495.7431000000006</v>
      </c>
      <c r="M201" s="39">
        <f>L201*Inputs!$D$11</f>
        <v>139658.47665000003</v>
      </c>
      <c r="N201" s="39">
        <f>M201*(1-Inputs!$D$17)</f>
        <v>48880.466827500008</v>
      </c>
      <c r="O201" s="35">
        <f>Inputs!$D$6*E201*Inputs!$D$27*Inputs!$D$30</f>
        <v>570.66240000000005</v>
      </c>
      <c r="P201" s="36">
        <f>O201/(C201*Inputs!$D$33)</f>
        <v>0.24180610169491529</v>
      </c>
      <c r="Q201" s="38">
        <f>IF(P201&gt;=1,999,P201/(Inputs!$D$33*(1-P201))*60)</f>
        <v>0.47838574453473742</v>
      </c>
      <c r="R201" s="37">
        <f>MIN(1,MAX(0,(Q201-Inputs!$D$36)/(Inputs!$D$37-Inputs!$D$36)))</f>
        <v>0</v>
      </c>
      <c r="S201" s="35">
        <f>Inputs!$D$6*E201*Inputs!$D$27*(1-Inputs!$D$38*R201)</f>
        <v>4755.5200000000004</v>
      </c>
      <c r="T201" s="39">
        <f>S201*Inputs!$D$12</f>
        <v>76088.320000000007</v>
      </c>
      <c r="U201" s="39">
        <f>T201*(1-Inputs!$D$18)</f>
        <v>34239.743999999999</v>
      </c>
      <c r="V201" s="35">
        <f>Inputs!$D$6*F201*Inputs!$D$28*Inputs!$D$31</f>
        <v>605.98146079368973</v>
      </c>
      <c r="W201" s="36">
        <f>V201/(B201*Inputs!$D$34)</f>
        <v>1.2366968587626321</v>
      </c>
      <c r="X201" s="38">
        <f>IF(W201&gt;=1,999,W201/(Inputs!$D$34*(1-W201))*60)</f>
        <v>999</v>
      </c>
      <c r="Y201" s="37">
        <f>MIN(1,MAX(0,(X201-Inputs!$D$36)/(Inputs!$D$37-Inputs!$D$36)))</f>
        <v>1</v>
      </c>
      <c r="Z201" s="35">
        <f>Inputs!$D$6*F201*Inputs!$D$28*(1-Inputs!$D$38*Y201)</f>
        <v>2563.7677187425338</v>
      </c>
      <c r="AA201" s="39">
        <f>Z201*Inputs!$D$13</f>
        <v>21792.025609311539</v>
      </c>
      <c r="AB201" s="39">
        <f>AA201*(1-Inputs!$D$19)</f>
        <v>13075.215365586922</v>
      </c>
      <c r="AC201" s="39">
        <f t="shared" si="12"/>
        <v>237538.82225931156</v>
      </c>
      <c r="AD201" s="39">
        <f t="shared" si="13"/>
        <v>96195.426193086925</v>
      </c>
      <c r="AE201" s="36">
        <f t="shared" si="14"/>
        <v>1.2366968587626321</v>
      </c>
      <c r="AF201" s="35">
        <f>IF(AND(AE201&lt;=Inputs!$D$35,C201&gt;=Inputs!$D$48*(A201+B201+C201),B201*Inputs!$D$22&lt;=Inputs!$D$50*Inputs!$D$8,B201*Inputs!$D$22&gt;=Inputs!$D$49*Inputs!$D$8,A201*Inputs!$D$20&lt;=Inputs!$D$47*Inputs!$D$8,C201&gt;=1),1,0)</f>
        <v>0</v>
      </c>
      <c r="AG201" s="39">
        <f t="shared" si="15"/>
        <v>-1</v>
      </c>
    </row>
    <row r="202" spans="1:33" x14ac:dyDescent="0.25">
      <c r="A202" s="35">
        <v>33</v>
      </c>
      <c r="B202" s="35">
        <v>15</v>
      </c>
      <c r="C202" s="35">
        <f>Inputs!$D$8-A202-Inputs!$D$22*B202</f>
        <v>57</v>
      </c>
      <c r="D202" s="35">
        <f>A202*Inputs!$D$20+C202*Inputs!$D$21+B202*Inputs!$D$22</f>
        <v>120</v>
      </c>
      <c r="E202" s="36">
        <f>MIN(Inputs!$E$15,Inputs!$D$15*(C202/Inputs!$D$43)^Inputs!$D$44)</f>
        <v>0.4</v>
      </c>
      <c r="F202" s="36">
        <f>MIN(Inputs!$E$16,Inputs!$D$16*(B202/Inputs!$D$42)^Inputs!$D$44)</f>
        <v>0.36692590185696072</v>
      </c>
      <c r="G202" s="37">
        <f>Inputs!$D$26*(1+Inputs!$D$41*(B202-Inputs!$D$42))</f>
        <v>1.4249999999999998</v>
      </c>
      <c r="H202" s="35">
        <f>Inputs!$D$6*Inputs!$D$14*G202*Inputs!$D$29</f>
        <v>1790.4127499999997</v>
      </c>
      <c r="I202" s="36">
        <f>H202/(A202*Inputs!$D$32)</f>
        <v>0.9864533057851238</v>
      </c>
      <c r="J202" s="38">
        <f>IF(I202&gt;=1,999,I202/(Inputs!$D$32*(1-I202))*60)</f>
        <v>79.438633659905904</v>
      </c>
      <c r="K202" s="37">
        <f>MIN(1,MAX(0,(J202-Inputs!$D$36)/(Inputs!$D$37-Inputs!$D$36)))</f>
        <v>1</v>
      </c>
      <c r="L202" s="35">
        <f>Inputs!$D$6*Inputs!$D$14*G202*(1-Inputs!$D$38*K202)</f>
        <v>6564.8467499999997</v>
      </c>
      <c r="M202" s="39">
        <f>L202*Inputs!$D$11</f>
        <v>141144.20512500001</v>
      </c>
      <c r="N202" s="39">
        <f>M202*(1-Inputs!$D$17)</f>
        <v>49400.471793750003</v>
      </c>
      <c r="O202" s="35">
        <f>Inputs!$D$6*E202*Inputs!$D$27*Inputs!$D$30</f>
        <v>570.66240000000005</v>
      </c>
      <c r="P202" s="36">
        <f>O202/(C202*Inputs!$D$33)</f>
        <v>0.25029052631578952</v>
      </c>
      <c r="Q202" s="38">
        <f>IF(P202&gt;=1,999,P202/(Inputs!$D$33*(1-P202))*60)</f>
        <v>0.50077503706699034</v>
      </c>
      <c r="R202" s="37">
        <f>MIN(1,MAX(0,(Q202-Inputs!$D$36)/(Inputs!$D$37-Inputs!$D$36)))</f>
        <v>0</v>
      </c>
      <c r="S202" s="35">
        <f>Inputs!$D$6*E202*Inputs!$D$27*(1-Inputs!$D$38*R202)</f>
        <v>4755.5200000000004</v>
      </c>
      <c r="T202" s="39">
        <f>S202*Inputs!$D$12</f>
        <v>76088.320000000007</v>
      </c>
      <c r="U202" s="39">
        <f>T202*(1-Inputs!$D$18)</f>
        <v>34239.743999999999</v>
      </c>
      <c r="V202" s="35">
        <f>Inputs!$D$6*F202*Inputs!$D$28*Inputs!$D$31</f>
        <v>618.65468297412497</v>
      </c>
      <c r="W202" s="36">
        <f>V202/(B202*Inputs!$D$34)</f>
        <v>1.1783898723316666</v>
      </c>
      <c r="X202" s="38">
        <f>IF(W202&gt;=1,999,W202/(Inputs!$D$34*(1-W202))*60)</f>
        <v>999</v>
      </c>
      <c r="Y202" s="37">
        <f>MIN(1,MAX(0,(X202-Inputs!$D$36)/(Inputs!$D$37-Inputs!$D$36)))</f>
        <v>1</v>
      </c>
      <c r="Z202" s="35">
        <f>Inputs!$D$6*F202*Inputs!$D$28*(1-Inputs!$D$38*Y202)</f>
        <v>2617.3851971982212</v>
      </c>
      <c r="AA202" s="39">
        <f>Z202*Inputs!$D$13</f>
        <v>22247.774176184881</v>
      </c>
      <c r="AB202" s="39">
        <f>AA202*(1-Inputs!$D$19)</f>
        <v>13348.664505710929</v>
      </c>
      <c r="AC202" s="39">
        <f t="shared" si="12"/>
        <v>239480.29930118489</v>
      </c>
      <c r="AD202" s="39">
        <f t="shared" si="13"/>
        <v>96988.880299460929</v>
      </c>
      <c r="AE202" s="36">
        <f t="shared" si="14"/>
        <v>1.1783898723316666</v>
      </c>
      <c r="AF202" s="35">
        <f>IF(AND(AE202&lt;=Inputs!$D$35,C202&gt;=Inputs!$D$48*(A202+B202+C202),B202*Inputs!$D$22&lt;=Inputs!$D$50*Inputs!$D$8,B202*Inputs!$D$22&gt;=Inputs!$D$49*Inputs!$D$8,A202*Inputs!$D$20&lt;=Inputs!$D$47*Inputs!$D$8,C202&gt;=1),1,0)</f>
        <v>0</v>
      </c>
      <c r="AG202" s="39">
        <f t="shared" si="15"/>
        <v>-1</v>
      </c>
    </row>
    <row r="203" spans="1:33" x14ac:dyDescent="0.25">
      <c r="A203" s="35">
        <v>33</v>
      </c>
      <c r="B203" s="35">
        <v>16</v>
      </c>
      <c r="C203" s="35">
        <f>Inputs!$D$8-A203-Inputs!$D$22*B203</f>
        <v>55</v>
      </c>
      <c r="D203" s="35">
        <f>A203*Inputs!$D$20+C203*Inputs!$D$21+B203*Inputs!$D$22</f>
        <v>120</v>
      </c>
      <c r="E203" s="36">
        <f>MIN(Inputs!$E$15,Inputs!$D$15*(C203/Inputs!$D$43)^Inputs!$D$44)</f>
        <v>0.4</v>
      </c>
      <c r="F203" s="36">
        <f>MIN(Inputs!$E$16,Inputs!$D$16*(B203/Inputs!$D$42)^Inputs!$D$44)</f>
        <v>0.37409937912904856</v>
      </c>
      <c r="G203" s="37">
        <f>Inputs!$D$26*(1+Inputs!$D$41*(B203-Inputs!$D$42))</f>
        <v>1.44</v>
      </c>
      <c r="H203" s="35">
        <f>Inputs!$D$6*Inputs!$D$14*G203*Inputs!$D$29</f>
        <v>1809.2592000000002</v>
      </c>
      <c r="I203" s="36">
        <f>H203/(A203*Inputs!$D$32)</f>
        <v>0.99683702479338854</v>
      </c>
      <c r="J203" s="38">
        <f>IF(I203&gt;=1,999,I203/(Inputs!$D$32*(1-I203))*60)</f>
        <v>343.80875646094211</v>
      </c>
      <c r="K203" s="37">
        <f>MIN(1,MAX(0,(J203-Inputs!$D$36)/(Inputs!$D$37-Inputs!$D$36)))</f>
        <v>1</v>
      </c>
      <c r="L203" s="35">
        <f>Inputs!$D$6*Inputs!$D$14*G203*(1-Inputs!$D$38*K203)</f>
        <v>6633.9504000000006</v>
      </c>
      <c r="M203" s="39">
        <f>L203*Inputs!$D$11</f>
        <v>142629.93360000002</v>
      </c>
      <c r="N203" s="39">
        <f>M203*(1-Inputs!$D$17)</f>
        <v>49920.476760000005</v>
      </c>
      <c r="O203" s="35">
        <f>Inputs!$D$6*E203*Inputs!$D$27*Inputs!$D$30</f>
        <v>570.66240000000005</v>
      </c>
      <c r="P203" s="36">
        <f>O203/(C203*Inputs!$D$33)</f>
        <v>0.25939200000000001</v>
      </c>
      <c r="Q203" s="38">
        <f>IF(P203&gt;=1,999,P203/(Inputs!$D$33*(1-P203))*60)</f>
        <v>0.52536294503975123</v>
      </c>
      <c r="R203" s="37">
        <f>MIN(1,MAX(0,(Q203-Inputs!$D$36)/(Inputs!$D$37-Inputs!$D$36)))</f>
        <v>0</v>
      </c>
      <c r="S203" s="35">
        <f>Inputs!$D$6*E203*Inputs!$D$27*(1-Inputs!$D$38*R203)</f>
        <v>4755.5200000000004</v>
      </c>
      <c r="T203" s="39">
        <f>S203*Inputs!$D$12</f>
        <v>76088.320000000007</v>
      </c>
      <c r="U203" s="39">
        <f>T203*(1-Inputs!$D$18)</f>
        <v>34239.743999999999</v>
      </c>
      <c r="V203" s="35">
        <f>Inputs!$D$6*F203*Inputs!$D$28*Inputs!$D$31</f>
        <v>630.74950998177405</v>
      </c>
      <c r="W203" s="36">
        <f>V203/(B203*Inputs!$D$34)</f>
        <v>1.1263384106817393</v>
      </c>
      <c r="X203" s="38">
        <f>IF(W203&gt;=1,999,W203/(Inputs!$D$34*(1-W203))*60)</f>
        <v>999</v>
      </c>
      <c r="Y203" s="37">
        <f>MIN(1,MAX(0,(X203-Inputs!$D$36)/(Inputs!$D$37-Inputs!$D$36)))</f>
        <v>1</v>
      </c>
      <c r="Z203" s="35">
        <f>Inputs!$D$6*F203*Inputs!$D$28*(1-Inputs!$D$38*Y203)</f>
        <v>2668.5556191536598</v>
      </c>
      <c r="AA203" s="39">
        <f>Z203*Inputs!$D$13</f>
        <v>22682.722762806108</v>
      </c>
      <c r="AB203" s="39">
        <f>AA203*(1-Inputs!$D$19)</f>
        <v>13609.633657683664</v>
      </c>
      <c r="AC203" s="39">
        <f t="shared" si="12"/>
        <v>241400.97636280613</v>
      </c>
      <c r="AD203" s="39">
        <f t="shared" si="13"/>
        <v>97769.854417683659</v>
      </c>
      <c r="AE203" s="36">
        <f t="shared" si="14"/>
        <v>1.1263384106817393</v>
      </c>
      <c r="AF203" s="35">
        <f>IF(AND(AE203&lt;=Inputs!$D$35,C203&gt;=Inputs!$D$48*(A203+B203+C203),B203*Inputs!$D$22&lt;=Inputs!$D$50*Inputs!$D$8,B203*Inputs!$D$22&gt;=Inputs!$D$49*Inputs!$D$8,A203*Inputs!$D$20&lt;=Inputs!$D$47*Inputs!$D$8,C203&gt;=1),1,0)</f>
        <v>0</v>
      </c>
      <c r="AG203" s="39">
        <f t="shared" si="15"/>
        <v>-1</v>
      </c>
    </row>
    <row r="204" spans="1:33" x14ac:dyDescent="0.25">
      <c r="A204" s="35">
        <v>33</v>
      </c>
      <c r="B204" s="35">
        <v>17</v>
      </c>
      <c r="C204" s="35">
        <f>Inputs!$D$8-A204-Inputs!$D$22*B204</f>
        <v>53</v>
      </c>
      <c r="D204" s="35">
        <f>A204*Inputs!$D$20+C204*Inputs!$D$21+B204*Inputs!$D$22</f>
        <v>120</v>
      </c>
      <c r="E204" s="36">
        <f>MIN(Inputs!$E$15,Inputs!$D$15*(C204/Inputs!$D$43)^Inputs!$D$44)</f>
        <v>0.4</v>
      </c>
      <c r="F204" s="36">
        <f>MIN(Inputs!$E$16,Inputs!$D$16*(B204/Inputs!$D$42)^Inputs!$D$44)</f>
        <v>0.3809655184437048</v>
      </c>
      <c r="G204" s="37">
        <f>Inputs!$D$26*(1+Inputs!$D$41*(B204-Inputs!$D$42))</f>
        <v>1.4550000000000001</v>
      </c>
      <c r="H204" s="35">
        <f>Inputs!$D$6*Inputs!$D$14*G204*Inputs!$D$29</f>
        <v>1828.1056500000002</v>
      </c>
      <c r="I204" s="36">
        <f>H204/(A204*Inputs!$D$32)</f>
        <v>1.0072207438016529</v>
      </c>
      <c r="J204" s="38">
        <f>IF(I204&gt;=1,999,I204/(Inputs!$D$32*(1-I204))*60)</f>
        <v>999</v>
      </c>
      <c r="K204" s="37">
        <f>MIN(1,MAX(0,(J204-Inputs!$D$36)/(Inputs!$D$37-Inputs!$D$36)))</f>
        <v>1</v>
      </c>
      <c r="L204" s="35">
        <f>Inputs!$D$6*Inputs!$D$14*G204*(1-Inputs!$D$38*K204)</f>
        <v>6703.0540500000006</v>
      </c>
      <c r="M204" s="39">
        <f>L204*Inputs!$D$11</f>
        <v>144115.662075</v>
      </c>
      <c r="N204" s="39">
        <f>M204*(1-Inputs!$D$17)</f>
        <v>50440.48172625</v>
      </c>
      <c r="O204" s="35">
        <f>Inputs!$D$6*E204*Inputs!$D$27*Inputs!$D$30</f>
        <v>570.66240000000005</v>
      </c>
      <c r="P204" s="36">
        <f>O204/(C204*Inputs!$D$33)</f>
        <v>0.2691803773584906</v>
      </c>
      <c r="Q204" s="38">
        <f>IF(P204&gt;=1,999,P204/(Inputs!$D$33*(1-P204))*60)</f>
        <v>0.5524900447778458</v>
      </c>
      <c r="R204" s="37">
        <f>MIN(1,MAX(0,(Q204-Inputs!$D$36)/(Inputs!$D$37-Inputs!$D$36)))</f>
        <v>0</v>
      </c>
      <c r="S204" s="35">
        <f>Inputs!$D$6*E204*Inputs!$D$27*(1-Inputs!$D$38*R204)</f>
        <v>4755.5200000000004</v>
      </c>
      <c r="T204" s="39">
        <f>S204*Inputs!$D$12</f>
        <v>76088.320000000007</v>
      </c>
      <c r="U204" s="39">
        <f>T204*(1-Inputs!$D$18)</f>
        <v>34239.743999999999</v>
      </c>
      <c r="V204" s="35">
        <f>Inputs!$D$6*F204*Inputs!$D$28*Inputs!$D$31</f>
        <v>642.32615044097156</v>
      </c>
      <c r="W204" s="36">
        <f>V204/(B204*Inputs!$D$34)</f>
        <v>1.0795397486402882</v>
      </c>
      <c r="X204" s="38">
        <f>IF(W204&gt;=1,999,W204/(Inputs!$D$34*(1-W204))*60)</f>
        <v>999</v>
      </c>
      <c r="Y204" s="37">
        <f>MIN(1,MAX(0,(X204-Inputs!$D$36)/(Inputs!$D$37-Inputs!$D$36)))</f>
        <v>1</v>
      </c>
      <c r="Z204" s="35">
        <f>Inputs!$D$6*F204*Inputs!$D$28*(1-Inputs!$D$38*Y204)</f>
        <v>2717.5337134041106</v>
      </c>
      <c r="AA204" s="39">
        <f>Z204*Inputs!$D$13</f>
        <v>23099.03656393494</v>
      </c>
      <c r="AB204" s="39">
        <f>AA204*(1-Inputs!$D$19)</f>
        <v>13859.421938360963</v>
      </c>
      <c r="AC204" s="39">
        <f t="shared" si="12"/>
        <v>243303.01863893494</v>
      </c>
      <c r="AD204" s="39">
        <f t="shared" si="13"/>
        <v>98539.647664610966</v>
      </c>
      <c r="AE204" s="36">
        <f t="shared" si="14"/>
        <v>1.0795397486402882</v>
      </c>
      <c r="AF204" s="35">
        <f>IF(AND(AE204&lt;=Inputs!$D$35,C204&gt;=Inputs!$D$48*(A204+B204+C204),B204*Inputs!$D$22&lt;=Inputs!$D$50*Inputs!$D$8,B204*Inputs!$D$22&gt;=Inputs!$D$49*Inputs!$D$8,A204*Inputs!$D$20&lt;=Inputs!$D$47*Inputs!$D$8,C204&gt;=1),1,0)</f>
        <v>0</v>
      </c>
      <c r="AG204" s="39">
        <f t="shared" si="15"/>
        <v>-1</v>
      </c>
    </row>
    <row r="205" spans="1:33" x14ac:dyDescent="0.25">
      <c r="A205" s="35">
        <v>33</v>
      </c>
      <c r="B205" s="35">
        <v>18</v>
      </c>
      <c r="C205" s="35">
        <f>Inputs!$D$8-A205-Inputs!$D$22*B205</f>
        <v>51</v>
      </c>
      <c r="D205" s="35">
        <f>A205*Inputs!$D$20+C205*Inputs!$D$21+B205*Inputs!$D$22</f>
        <v>120</v>
      </c>
      <c r="E205" s="36">
        <f>MIN(Inputs!$E$15,Inputs!$D$15*(C205/Inputs!$D$43)^Inputs!$D$44)</f>
        <v>0.4</v>
      </c>
      <c r="F205" s="36">
        <f>MIN(Inputs!$E$16,Inputs!$D$16*(B205/Inputs!$D$42)^Inputs!$D$44)</f>
        <v>0.38755446447890535</v>
      </c>
      <c r="G205" s="37">
        <f>Inputs!$D$26*(1+Inputs!$D$41*(B205-Inputs!$D$42))</f>
        <v>1.47</v>
      </c>
      <c r="H205" s="35">
        <f>Inputs!$D$6*Inputs!$D$14*G205*Inputs!$D$29</f>
        <v>1846.9521</v>
      </c>
      <c r="I205" s="36">
        <f>H205/(A205*Inputs!$D$32)</f>
        <v>1.0176044628099172</v>
      </c>
      <c r="J205" s="38">
        <f>IF(I205&gt;=1,999,I205/(Inputs!$D$32*(1-I205))*60)</f>
        <v>999</v>
      </c>
      <c r="K205" s="37">
        <f>MIN(1,MAX(0,(J205-Inputs!$D$36)/(Inputs!$D$37-Inputs!$D$36)))</f>
        <v>1</v>
      </c>
      <c r="L205" s="35">
        <f>Inputs!$D$6*Inputs!$D$14*G205*(1-Inputs!$D$38*K205)</f>
        <v>6772.1577000000016</v>
      </c>
      <c r="M205" s="39">
        <f>L205*Inputs!$D$11</f>
        <v>145601.39055000004</v>
      </c>
      <c r="N205" s="39">
        <f>M205*(1-Inputs!$D$17)</f>
        <v>50960.48669250001</v>
      </c>
      <c r="O205" s="35">
        <f>Inputs!$D$6*E205*Inputs!$D$27*Inputs!$D$30</f>
        <v>570.66240000000005</v>
      </c>
      <c r="P205" s="36">
        <f>O205/(C205*Inputs!$D$33)</f>
        <v>0.27973647058823531</v>
      </c>
      <c r="Q205" s="38">
        <f>IF(P205&gt;=1,999,P205/(Inputs!$D$33*(1-P205))*60)</f>
        <v>0.5825710850930379</v>
      </c>
      <c r="R205" s="37">
        <f>MIN(1,MAX(0,(Q205-Inputs!$D$36)/(Inputs!$D$37-Inputs!$D$36)))</f>
        <v>0</v>
      </c>
      <c r="S205" s="35">
        <f>Inputs!$D$6*E205*Inputs!$D$27*(1-Inputs!$D$38*R205)</f>
        <v>4755.5200000000004</v>
      </c>
      <c r="T205" s="39">
        <f>S205*Inputs!$D$12</f>
        <v>76088.320000000007</v>
      </c>
      <c r="U205" s="39">
        <f>T205*(1-Inputs!$D$18)</f>
        <v>34239.743999999999</v>
      </c>
      <c r="V205" s="35">
        <f>Inputs!$D$6*F205*Inputs!$D$28*Inputs!$D$31</f>
        <v>653.43542972572936</v>
      </c>
      <c r="W205" s="36">
        <f>V205/(B205*Inputs!$D$34)</f>
        <v>1.037199094802745</v>
      </c>
      <c r="X205" s="38">
        <f>IF(W205&gt;=1,999,W205/(Inputs!$D$34*(1-W205))*60)</f>
        <v>999</v>
      </c>
      <c r="Y205" s="37">
        <f>MIN(1,MAX(0,(X205-Inputs!$D$36)/(Inputs!$D$37-Inputs!$D$36)))</f>
        <v>1</v>
      </c>
      <c r="Z205" s="35">
        <f>Inputs!$D$6*F205*Inputs!$D$28*(1-Inputs!$D$38*Y205)</f>
        <v>2764.534510378086</v>
      </c>
      <c r="AA205" s="39">
        <f>Z205*Inputs!$D$13</f>
        <v>23498.543338213731</v>
      </c>
      <c r="AB205" s="39">
        <f>AA205*(1-Inputs!$D$19)</f>
        <v>14099.126002928238</v>
      </c>
      <c r="AC205" s="39">
        <f t="shared" si="12"/>
        <v>245188.25388821377</v>
      </c>
      <c r="AD205" s="39">
        <f t="shared" si="13"/>
        <v>99299.356695428258</v>
      </c>
      <c r="AE205" s="36">
        <f t="shared" si="14"/>
        <v>1.037199094802745</v>
      </c>
      <c r="AF205" s="35">
        <f>IF(AND(AE205&lt;=Inputs!$D$35,C205&gt;=Inputs!$D$48*(A205+B205+C205),B205*Inputs!$D$22&lt;=Inputs!$D$50*Inputs!$D$8,B205*Inputs!$D$22&gt;=Inputs!$D$49*Inputs!$D$8,A205*Inputs!$D$20&lt;=Inputs!$D$47*Inputs!$D$8,C205&gt;=1),1,0)</f>
        <v>0</v>
      </c>
      <c r="AG205" s="39">
        <f t="shared" si="15"/>
        <v>-1</v>
      </c>
    </row>
    <row r="206" spans="1:33" x14ac:dyDescent="0.25">
      <c r="A206" s="35">
        <v>33</v>
      </c>
      <c r="B206" s="35">
        <v>19</v>
      </c>
      <c r="C206" s="35">
        <f>Inputs!$D$8-A206-Inputs!$D$22*B206</f>
        <v>49</v>
      </c>
      <c r="D206" s="35">
        <f>A206*Inputs!$D$20+C206*Inputs!$D$21+B206*Inputs!$D$22</f>
        <v>120</v>
      </c>
      <c r="E206" s="36">
        <f>MIN(Inputs!$E$15,Inputs!$D$15*(C206/Inputs!$D$43)^Inputs!$D$44)</f>
        <v>0.39770420454194916</v>
      </c>
      <c r="F206" s="36">
        <f>MIN(Inputs!$E$16,Inputs!$D$16*(B206/Inputs!$D$42)^Inputs!$D$44)</f>
        <v>0.39389192072703005</v>
      </c>
      <c r="G206" s="37">
        <f>Inputs!$D$26*(1+Inputs!$D$41*(B206-Inputs!$D$42))</f>
        <v>1.4849999999999999</v>
      </c>
      <c r="H206" s="35">
        <f>Inputs!$D$6*Inputs!$D$14*G206*Inputs!$D$29</f>
        <v>1865.7985499999998</v>
      </c>
      <c r="I206" s="36">
        <f>H206/(A206*Inputs!$D$32)</f>
        <v>1.0279881818181817</v>
      </c>
      <c r="J206" s="38">
        <f>IF(I206&gt;=1,999,I206/(Inputs!$D$32*(1-I206))*60)</f>
        <v>999</v>
      </c>
      <c r="K206" s="37">
        <f>MIN(1,MAX(0,(J206-Inputs!$D$36)/(Inputs!$D$37-Inputs!$D$36)))</f>
        <v>1</v>
      </c>
      <c r="L206" s="35">
        <f>Inputs!$D$6*Inputs!$D$14*G206*(1-Inputs!$D$38*K206)</f>
        <v>6841.2613499999998</v>
      </c>
      <c r="M206" s="39">
        <f>L206*Inputs!$D$11</f>
        <v>147087.11902499999</v>
      </c>
      <c r="N206" s="39">
        <f>M206*(1-Inputs!$D$17)</f>
        <v>51480.491658749997</v>
      </c>
      <c r="O206" s="35">
        <f>Inputs!$D$6*E206*Inputs!$D$27*Inputs!$D$30</f>
        <v>567.38708963499903</v>
      </c>
      <c r="P206" s="36">
        <f>O206/(C206*Inputs!$D$33)</f>
        <v>0.2894832089974485</v>
      </c>
      <c r="Q206" s="38">
        <f>IF(P206&gt;=1,999,P206/(Inputs!$D$33*(1-P206))*60)</f>
        <v>0.61113941147467321</v>
      </c>
      <c r="R206" s="37">
        <f>MIN(1,MAX(0,(Q206-Inputs!$D$36)/(Inputs!$D$37-Inputs!$D$36)))</f>
        <v>0</v>
      </c>
      <c r="S206" s="35">
        <f>Inputs!$D$6*E206*Inputs!$D$27*(1-Inputs!$D$38*R206)</f>
        <v>4728.2257469583255</v>
      </c>
      <c r="T206" s="39">
        <f>S206*Inputs!$D$12</f>
        <v>75651.611951333209</v>
      </c>
      <c r="U206" s="39">
        <f>T206*(1-Inputs!$D$18)</f>
        <v>34043.225378099938</v>
      </c>
      <c r="V206" s="35">
        <f>Inputs!$D$6*F206*Inputs!$D$28*Inputs!$D$31</f>
        <v>664.12068515796761</v>
      </c>
      <c r="W206" s="36">
        <f>V206/(B206*Inputs!$D$34)</f>
        <v>0.99867772204205651</v>
      </c>
      <c r="X206" s="38">
        <f>IF(W206&gt;=1,999,W206/(Inputs!$D$34*(1-W206))*60)</f>
        <v>1294.749671797274</v>
      </c>
      <c r="Y206" s="37">
        <f>MIN(1,MAX(0,(X206-Inputs!$D$36)/(Inputs!$D$37-Inputs!$D$36)))</f>
        <v>1</v>
      </c>
      <c r="Z206" s="35">
        <f>Inputs!$D$6*F206*Inputs!$D$28*(1-Inputs!$D$38*Y206)</f>
        <v>2809.7413602837091</v>
      </c>
      <c r="AA206" s="39">
        <f>Z206*Inputs!$D$13</f>
        <v>23882.801562411529</v>
      </c>
      <c r="AB206" s="39">
        <f>AA206*(1-Inputs!$D$19)</f>
        <v>14329.680937446918</v>
      </c>
      <c r="AC206" s="39">
        <f t="shared" si="12"/>
        <v>246621.53253874474</v>
      </c>
      <c r="AD206" s="39">
        <f t="shared" si="13"/>
        <v>99853.397974296851</v>
      </c>
      <c r="AE206" s="36">
        <f t="shared" si="14"/>
        <v>1.0279881818181817</v>
      </c>
      <c r="AF206" s="35">
        <f>IF(AND(AE206&lt;=Inputs!$D$35,C206&gt;=Inputs!$D$48*(A206+B206+C206),B206*Inputs!$D$22&lt;=Inputs!$D$50*Inputs!$D$8,B206*Inputs!$D$22&gt;=Inputs!$D$49*Inputs!$D$8,A206*Inputs!$D$20&lt;=Inputs!$D$47*Inputs!$D$8,C206&gt;=1),1,0)</f>
        <v>0</v>
      </c>
      <c r="AG206" s="39">
        <f t="shared" si="15"/>
        <v>-1</v>
      </c>
    </row>
    <row r="207" spans="1:33" x14ac:dyDescent="0.25">
      <c r="A207" s="35">
        <v>33</v>
      </c>
      <c r="B207" s="35">
        <v>20</v>
      </c>
      <c r="C207" s="35">
        <f>Inputs!$D$8-A207-Inputs!$D$22*B207</f>
        <v>47</v>
      </c>
      <c r="D207" s="35">
        <f>A207*Inputs!$D$20+C207*Inputs!$D$21+B207*Inputs!$D$22</f>
        <v>120</v>
      </c>
      <c r="E207" s="36">
        <f>MIN(Inputs!$E$15,Inputs!$D$15*(C207/Inputs!$D$43)^Inputs!$D$44)</f>
        <v>0.39276313309091065</v>
      </c>
      <c r="F207" s="36">
        <f>MIN(Inputs!$E$16,Inputs!$D$16*(B207/Inputs!$D$42)^Inputs!$D$44)</f>
        <v>0.4</v>
      </c>
      <c r="G207" s="37">
        <f>Inputs!$D$26*(1+Inputs!$D$41*(B207-Inputs!$D$42))</f>
        <v>1.5</v>
      </c>
      <c r="H207" s="35">
        <f>Inputs!$D$6*Inputs!$D$14*G207*Inputs!$D$29</f>
        <v>1884.645</v>
      </c>
      <c r="I207" s="36">
        <f>H207/(A207*Inputs!$D$32)</f>
        <v>1.0383719008264463</v>
      </c>
      <c r="J207" s="38">
        <f>IF(I207&gt;=1,999,I207/(Inputs!$D$32*(1-I207))*60)</f>
        <v>999</v>
      </c>
      <c r="K207" s="37">
        <f>MIN(1,MAX(0,(J207-Inputs!$D$36)/(Inputs!$D$37-Inputs!$D$36)))</f>
        <v>1</v>
      </c>
      <c r="L207" s="35">
        <f>Inputs!$D$6*Inputs!$D$14*G207*(1-Inputs!$D$38*K207)</f>
        <v>6910.3650000000016</v>
      </c>
      <c r="M207" s="39">
        <f>L207*Inputs!$D$11</f>
        <v>148572.84750000003</v>
      </c>
      <c r="N207" s="39">
        <f>M207*(1-Inputs!$D$17)</f>
        <v>52000.496625000007</v>
      </c>
      <c r="O207" s="35">
        <f>Inputs!$D$6*E207*Inputs!$D$27*Inputs!$D$30</f>
        <v>560.33788040294633</v>
      </c>
      <c r="P207" s="36">
        <f>O207/(C207*Inputs!$D$33)</f>
        <v>0.29805206404412038</v>
      </c>
      <c r="Q207" s="38">
        <f>IF(P207&gt;=1,999,P207/(Inputs!$D$33*(1-P207))*60)</f>
        <v>0.63691062138016075</v>
      </c>
      <c r="R207" s="37">
        <f>MIN(1,MAX(0,(Q207-Inputs!$D$36)/(Inputs!$D$37-Inputs!$D$36)))</f>
        <v>0</v>
      </c>
      <c r="S207" s="35">
        <f>Inputs!$D$6*E207*Inputs!$D$27*(1-Inputs!$D$38*R207)</f>
        <v>4669.4823366912196</v>
      </c>
      <c r="T207" s="39">
        <f>S207*Inputs!$D$12</f>
        <v>74711.717387059514</v>
      </c>
      <c r="U207" s="39">
        <f>T207*(1-Inputs!$D$18)</f>
        <v>33620.272824176776</v>
      </c>
      <c r="V207" s="35">
        <f>Inputs!$D$6*F207*Inputs!$D$28*Inputs!$D$31</f>
        <v>674.41919999999993</v>
      </c>
      <c r="W207" s="36">
        <f>V207/(B207*Inputs!$D$34)</f>
        <v>0.96345599999999987</v>
      </c>
      <c r="X207" s="38">
        <f>IF(W207&gt;=1,999,W207/(Inputs!$D$34*(1-W207))*60)</f>
        <v>45.195896922691851</v>
      </c>
      <c r="Y207" s="37">
        <f>MIN(1,MAX(0,(X207-Inputs!$D$36)/(Inputs!$D$37-Inputs!$D$36)))</f>
        <v>1</v>
      </c>
      <c r="Z207" s="35">
        <f>Inputs!$D$6*F207*Inputs!$D$28*(1-Inputs!$D$38*Y207)</f>
        <v>2853.3119999999999</v>
      </c>
      <c r="AA207" s="39">
        <f>Z207*Inputs!$D$13</f>
        <v>24253.151999999998</v>
      </c>
      <c r="AB207" s="39">
        <f>AA207*(1-Inputs!$D$19)</f>
        <v>14551.891199999998</v>
      </c>
      <c r="AC207" s="39">
        <f t="shared" si="12"/>
        <v>247537.71688705956</v>
      </c>
      <c r="AD207" s="39">
        <f t="shared" si="13"/>
        <v>100172.66064917679</v>
      </c>
      <c r="AE207" s="36">
        <f t="shared" si="14"/>
        <v>1.0383719008264463</v>
      </c>
      <c r="AF207" s="35">
        <f>IF(AND(AE207&lt;=Inputs!$D$35,C207&gt;=Inputs!$D$48*(A207+B207+C207),B207*Inputs!$D$22&lt;=Inputs!$D$50*Inputs!$D$8,B207*Inputs!$D$22&gt;=Inputs!$D$49*Inputs!$D$8,A207*Inputs!$D$20&lt;=Inputs!$D$47*Inputs!$D$8,C207&gt;=1),1,0)</f>
        <v>0</v>
      </c>
      <c r="AG207" s="39">
        <f t="shared" si="15"/>
        <v>-1</v>
      </c>
    </row>
    <row r="208" spans="1:33" x14ac:dyDescent="0.25">
      <c r="A208" s="35">
        <v>33</v>
      </c>
      <c r="B208" s="35">
        <v>21</v>
      </c>
      <c r="C208" s="35">
        <f>Inputs!$D$8-A208-Inputs!$D$22*B208</f>
        <v>45</v>
      </c>
      <c r="D208" s="35">
        <f>A208*Inputs!$D$20+C208*Inputs!$D$21+B208*Inputs!$D$22</f>
        <v>120</v>
      </c>
      <c r="E208" s="36">
        <f>MIN(Inputs!$E$15,Inputs!$D$15*(C208/Inputs!$D$43)^Inputs!$D$44)</f>
        <v>0.38767260497069417</v>
      </c>
      <c r="F208" s="36">
        <f>MIN(Inputs!$E$16,Inputs!$D$16*(B208/Inputs!$D$42)^Inputs!$D$44)</f>
        <v>0.40589787816896217</v>
      </c>
      <c r="G208" s="37">
        <f>Inputs!$D$26*(1+Inputs!$D$41*(B208-Inputs!$D$42))</f>
        <v>1.5150000000000001</v>
      </c>
      <c r="H208" s="35">
        <f>Inputs!$D$6*Inputs!$D$14*G208*Inputs!$D$29</f>
        <v>1903.4914500000004</v>
      </c>
      <c r="I208" s="36">
        <f>H208/(A208*Inputs!$D$32)</f>
        <v>1.048755619834711</v>
      </c>
      <c r="J208" s="38">
        <f>IF(I208&gt;=1,999,I208/(Inputs!$D$32*(1-I208))*60)</f>
        <v>999</v>
      </c>
      <c r="K208" s="37">
        <f>MIN(1,MAX(0,(J208-Inputs!$D$36)/(Inputs!$D$37-Inputs!$D$36)))</f>
        <v>1</v>
      </c>
      <c r="L208" s="35">
        <f>Inputs!$D$6*Inputs!$D$14*G208*(1-Inputs!$D$38*K208)</f>
        <v>6979.4686500000025</v>
      </c>
      <c r="M208" s="39">
        <f>L208*Inputs!$D$11</f>
        <v>150058.57597500004</v>
      </c>
      <c r="N208" s="39">
        <f>M208*(1-Inputs!$D$17)</f>
        <v>52520.501591250009</v>
      </c>
      <c r="O208" s="35">
        <f>Inputs!$D$6*E208*Inputs!$D$27*Inputs!$D$30</f>
        <v>553.07544791707073</v>
      </c>
      <c r="P208" s="36">
        <f>O208/(C208*Inputs!$D$33)</f>
        <v>0.30726413773170597</v>
      </c>
      <c r="Q208" s="38">
        <f>IF(P208&gt;=1,999,P208/(Inputs!$D$33*(1-P208))*60)</f>
        <v>0.66532748151423926</v>
      </c>
      <c r="R208" s="37">
        <f>MIN(1,MAX(0,(Q208-Inputs!$D$36)/(Inputs!$D$37-Inputs!$D$36)))</f>
        <v>0</v>
      </c>
      <c r="S208" s="35">
        <f>Inputs!$D$6*E208*Inputs!$D$27*(1-Inputs!$D$38*R208)</f>
        <v>4608.9620659755892</v>
      </c>
      <c r="T208" s="39">
        <f>S208*Inputs!$D$12</f>
        <v>73743.393055609427</v>
      </c>
      <c r="U208" s="39">
        <f>T208*(1-Inputs!$D$18)</f>
        <v>33184.526875024239</v>
      </c>
      <c r="V208" s="35">
        <f>Inputs!$D$6*F208*Inputs!$D$28*Inputs!$D$31</f>
        <v>684.36330569102222</v>
      </c>
      <c r="W208" s="36">
        <f>V208/(B208*Inputs!$D$34)</f>
        <v>0.93110653835513224</v>
      </c>
      <c r="X208" s="38">
        <f>IF(W208&gt;=1,999,W208/(Inputs!$D$34*(1-W208))*60)</f>
        <v>23.16885520150278</v>
      </c>
      <c r="Y208" s="37">
        <f>MIN(1,MAX(0,(X208-Inputs!$D$36)/(Inputs!$D$37-Inputs!$D$36)))</f>
        <v>1</v>
      </c>
      <c r="Z208" s="35">
        <f>Inputs!$D$6*F208*Inputs!$D$28*(1-Inputs!$D$38*Y208)</f>
        <v>2895.3832163850943</v>
      </c>
      <c r="AA208" s="39">
        <f>Z208*Inputs!$D$13</f>
        <v>24610.757339273303</v>
      </c>
      <c r="AB208" s="39">
        <f>AA208*(1-Inputs!$D$19)</f>
        <v>14766.454403563981</v>
      </c>
      <c r="AC208" s="39">
        <f t="shared" si="12"/>
        <v>248412.72636988276</v>
      </c>
      <c r="AD208" s="39">
        <f t="shared" si="13"/>
        <v>100471.48286983823</v>
      </c>
      <c r="AE208" s="36">
        <f t="shared" si="14"/>
        <v>1.048755619834711</v>
      </c>
      <c r="AF208" s="35">
        <f>IF(AND(AE208&lt;=Inputs!$D$35,C208&gt;=Inputs!$D$48*(A208+B208+C208),B208*Inputs!$D$22&lt;=Inputs!$D$50*Inputs!$D$8,B208*Inputs!$D$22&gt;=Inputs!$D$49*Inputs!$D$8,A208*Inputs!$D$20&lt;=Inputs!$D$47*Inputs!$D$8,C208&gt;=1),1,0)</f>
        <v>0</v>
      </c>
      <c r="AG208" s="39">
        <f t="shared" si="15"/>
        <v>-1</v>
      </c>
    </row>
    <row r="209" spans="1:33" x14ac:dyDescent="0.25">
      <c r="A209" s="35">
        <v>33</v>
      </c>
      <c r="B209" s="35">
        <v>22</v>
      </c>
      <c r="C209" s="35">
        <f>Inputs!$D$8-A209-Inputs!$D$22*B209</f>
        <v>43</v>
      </c>
      <c r="D209" s="35">
        <f>A209*Inputs!$D$20+C209*Inputs!$D$21+B209*Inputs!$D$22</f>
        <v>120</v>
      </c>
      <c r="E209" s="36">
        <f>MIN(Inputs!$E$15,Inputs!$D$15*(C209/Inputs!$D$43)^Inputs!$D$44)</f>
        <v>0.38242114286867052</v>
      </c>
      <c r="F209" s="36">
        <f>MIN(Inputs!$E$16,Inputs!$D$16*(B209/Inputs!$D$42)^Inputs!$D$44)</f>
        <v>0.41160230376843804</v>
      </c>
      <c r="G209" s="37">
        <f>Inputs!$D$26*(1+Inputs!$D$41*(B209-Inputs!$D$42))</f>
        <v>1.53</v>
      </c>
      <c r="H209" s="35">
        <f>Inputs!$D$6*Inputs!$D$14*G209*Inputs!$D$29</f>
        <v>1922.3379</v>
      </c>
      <c r="I209" s="36">
        <f>H209/(A209*Inputs!$D$32)</f>
        <v>1.0591393388429753</v>
      </c>
      <c r="J209" s="38">
        <f>IF(I209&gt;=1,999,I209/(Inputs!$D$32*(1-I209))*60)</f>
        <v>999</v>
      </c>
      <c r="K209" s="37">
        <f>MIN(1,MAX(0,(J209-Inputs!$D$36)/(Inputs!$D$37-Inputs!$D$36)))</f>
        <v>1</v>
      </c>
      <c r="L209" s="35">
        <f>Inputs!$D$6*Inputs!$D$14*G209*(1-Inputs!$D$38*K209)</f>
        <v>7048.5723000000016</v>
      </c>
      <c r="M209" s="39">
        <f>L209*Inputs!$D$11</f>
        <v>151544.30445000003</v>
      </c>
      <c r="N209" s="39">
        <f>M209*(1-Inputs!$D$17)</f>
        <v>53040.506557500004</v>
      </c>
      <c r="O209" s="35">
        <f>Inputs!$D$6*E209*Inputs!$D$27*Inputs!$D$30</f>
        <v>545.58341800044604</v>
      </c>
      <c r="P209" s="36">
        <f>O209/(C209*Inputs!$D$33)</f>
        <v>0.31719966162816632</v>
      </c>
      <c r="Q209" s="38">
        <f>IF(P209&gt;=1,999,P209/(Inputs!$D$33*(1-P209))*60)</f>
        <v>0.69683546668534679</v>
      </c>
      <c r="R209" s="37">
        <f>MIN(1,MAX(0,(Q209-Inputs!$D$36)/(Inputs!$D$37-Inputs!$D$36)))</f>
        <v>0</v>
      </c>
      <c r="S209" s="35">
        <f>Inputs!$D$6*E209*Inputs!$D$27*(1-Inputs!$D$38*R209)</f>
        <v>4546.5284833370506</v>
      </c>
      <c r="T209" s="39">
        <f>S209*Inputs!$D$12</f>
        <v>72744.45573339281</v>
      </c>
      <c r="U209" s="39">
        <f>T209*(1-Inputs!$D$18)</f>
        <v>32735.00508002676</v>
      </c>
      <c r="V209" s="35">
        <f>Inputs!$D$6*F209*Inputs!$D$28*Inputs!$D$31</f>
        <v>693.98124106416742</v>
      </c>
      <c r="W209" s="36">
        <f>V209/(B209*Inputs!$D$34)</f>
        <v>0.90127433904437326</v>
      </c>
      <c r="X209" s="38">
        <f>IF(W209&gt;=1,999,W209/(Inputs!$D$34*(1-W209))*60)</f>
        <v>15.649849381818807</v>
      </c>
      <c r="Y209" s="37">
        <f>MIN(1,MAX(0,(X209-Inputs!$D$36)/(Inputs!$D$37-Inputs!$D$36)))</f>
        <v>0.70998995878792048</v>
      </c>
      <c r="Z209" s="35">
        <f>Inputs!$D$6*F209*Inputs!$D$28*(1-Inputs!$D$38*Y209)</f>
        <v>3632.749002537963</v>
      </c>
      <c r="AA209" s="39">
        <f>Z209*Inputs!$D$13</f>
        <v>30878.366521572687</v>
      </c>
      <c r="AB209" s="39">
        <f>AA209*(1-Inputs!$D$19)</f>
        <v>18527.019912943611</v>
      </c>
      <c r="AC209" s="39">
        <f t="shared" si="12"/>
        <v>255167.12670496554</v>
      </c>
      <c r="AD209" s="39">
        <f t="shared" si="13"/>
        <v>104302.53155047038</v>
      </c>
      <c r="AE209" s="36">
        <f t="shared" si="14"/>
        <v>1.0591393388429753</v>
      </c>
      <c r="AF209" s="35">
        <f>IF(AND(AE209&lt;=Inputs!$D$35,C209&gt;=Inputs!$D$48*(A209+B209+C209),B209*Inputs!$D$22&lt;=Inputs!$D$50*Inputs!$D$8,B209*Inputs!$D$22&gt;=Inputs!$D$49*Inputs!$D$8,A209*Inputs!$D$20&lt;=Inputs!$D$47*Inputs!$D$8,C209&gt;=1),1,0)</f>
        <v>0</v>
      </c>
      <c r="AG209" s="39">
        <f t="shared" si="15"/>
        <v>-1</v>
      </c>
    </row>
    <row r="210" spans="1:33" x14ac:dyDescent="0.25">
      <c r="A210" s="35">
        <v>33</v>
      </c>
      <c r="B210" s="35">
        <v>23</v>
      </c>
      <c r="C210" s="35">
        <f>Inputs!$D$8-A210-Inputs!$D$22*B210</f>
        <v>41</v>
      </c>
      <c r="D210" s="35">
        <f>A210*Inputs!$D$20+C210*Inputs!$D$21+B210*Inputs!$D$22</f>
        <v>120</v>
      </c>
      <c r="E210" s="36">
        <f>MIN(Inputs!$E$15,Inputs!$D$15*(C210/Inputs!$D$43)^Inputs!$D$44)</f>
        <v>0.37699580304543617</v>
      </c>
      <c r="F210" s="36">
        <f>MIN(Inputs!$E$16,Inputs!$D$16*(B210/Inputs!$D$42)^Inputs!$D$44)</f>
        <v>0.41712800028621322</v>
      </c>
      <c r="G210" s="37">
        <f>Inputs!$D$26*(1+Inputs!$D$41*(B210-Inputs!$D$42))</f>
        <v>1.5449999999999999</v>
      </c>
      <c r="H210" s="35">
        <f>Inputs!$D$6*Inputs!$D$14*G210*Inputs!$D$29</f>
        <v>1941.18435</v>
      </c>
      <c r="I210" s="36">
        <f>H210/(A210*Inputs!$D$32)</f>
        <v>1.0695230578512396</v>
      </c>
      <c r="J210" s="38">
        <f>IF(I210&gt;=1,999,I210/(Inputs!$D$32*(1-I210))*60)</f>
        <v>999</v>
      </c>
      <c r="K210" s="37">
        <f>MIN(1,MAX(0,(J210-Inputs!$D$36)/(Inputs!$D$37-Inputs!$D$36)))</f>
        <v>1</v>
      </c>
      <c r="L210" s="35">
        <f>Inputs!$D$6*Inputs!$D$14*G210*(1-Inputs!$D$38*K210)</f>
        <v>7117.6759500000016</v>
      </c>
      <c r="M210" s="39">
        <f>L210*Inputs!$D$11</f>
        <v>153030.03292500004</v>
      </c>
      <c r="N210" s="39">
        <f>M210*(1-Inputs!$D$17)</f>
        <v>53560.511523750007</v>
      </c>
      <c r="O210" s="35">
        <f>Inputs!$D$6*E210*Inputs!$D$27*Inputs!$D$30</f>
        <v>537.84332438958984</v>
      </c>
      <c r="P210" s="36">
        <f>O210/(C210*Inputs!$D$33)</f>
        <v>0.3279532465790182</v>
      </c>
      <c r="Q210" s="38">
        <f>IF(P210&gt;=1,999,P210/(Inputs!$D$33*(1-P210))*60)</f>
        <v>0.73198756985940516</v>
      </c>
      <c r="R210" s="37">
        <f>MIN(1,MAX(0,(Q210-Inputs!$D$36)/(Inputs!$D$37-Inputs!$D$36)))</f>
        <v>0</v>
      </c>
      <c r="S210" s="35">
        <f>Inputs!$D$6*E210*Inputs!$D$27*(1-Inputs!$D$38*R210)</f>
        <v>4482.027703246582</v>
      </c>
      <c r="T210" s="39">
        <f>S210*Inputs!$D$12</f>
        <v>71712.443251945311</v>
      </c>
      <c r="U210" s="39">
        <f>T210*(1-Inputs!$D$18)</f>
        <v>32270.599463375387</v>
      </c>
      <c r="V210" s="35">
        <f>Inputs!$D$6*F210*Inputs!$D$28*Inputs!$D$31</f>
        <v>703.29783062656929</v>
      </c>
      <c r="W210" s="36">
        <f>V210/(B210*Inputs!$D$34)</f>
        <v>0.87366190139946498</v>
      </c>
      <c r="X210" s="38">
        <f>IF(W210&gt;=1,999,W210/(Inputs!$D$34*(1-W210))*60)</f>
        <v>11.854746377182334</v>
      </c>
      <c r="Y210" s="37">
        <f>MIN(1,MAX(0,(X210-Inputs!$D$36)/(Inputs!$D$37-Inputs!$D$36)))</f>
        <v>0.45698309181215557</v>
      </c>
      <c r="Z210" s="35">
        <f>Inputs!$D$6*F210*Inputs!$D$28*(1-Inputs!$D$38*Y210)</f>
        <v>4297.4614071503011</v>
      </c>
      <c r="AA210" s="39">
        <f>Z210*Inputs!$D$13</f>
        <v>36528.421960777559</v>
      </c>
      <c r="AB210" s="39">
        <f>AA210*(1-Inputs!$D$19)</f>
        <v>21917.053176466536</v>
      </c>
      <c r="AC210" s="39">
        <f t="shared" si="12"/>
        <v>261270.89813772292</v>
      </c>
      <c r="AD210" s="39">
        <f t="shared" si="13"/>
        <v>107748.16416359194</v>
      </c>
      <c r="AE210" s="36">
        <f t="shared" si="14"/>
        <v>1.0695230578512396</v>
      </c>
      <c r="AF210" s="35">
        <f>IF(AND(AE210&lt;=Inputs!$D$35,C210&gt;=Inputs!$D$48*(A210+B210+C210),B210*Inputs!$D$22&lt;=Inputs!$D$50*Inputs!$D$8,B210*Inputs!$D$22&gt;=Inputs!$D$49*Inputs!$D$8,A210*Inputs!$D$20&lt;=Inputs!$D$47*Inputs!$D$8,C210&gt;=1),1,0)</f>
        <v>0</v>
      </c>
      <c r="AG210" s="39">
        <f t="shared" si="15"/>
        <v>-1</v>
      </c>
    </row>
    <row r="211" spans="1:33" x14ac:dyDescent="0.25">
      <c r="A211" s="35">
        <v>33</v>
      </c>
      <c r="B211" s="35">
        <v>24</v>
      </c>
      <c r="C211" s="35">
        <f>Inputs!$D$8-A211-Inputs!$D$22*B211</f>
        <v>39</v>
      </c>
      <c r="D211" s="35">
        <f>A211*Inputs!$D$20+C211*Inputs!$D$21+B211*Inputs!$D$22</f>
        <v>120</v>
      </c>
      <c r="E211" s="36">
        <f>MIN(Inputs!$E$15,Inputs!$D$15*(C211/Inputs!$D$43)^Inputs!$D$44)</f>
        <v>0.37138190575462604</v>
      </c>
      <c r="F211" s="36">
        <f>MIN(Inputs!$E$16,Inputs!$D$16*(B211/Inputs!$D$42)^Inputs!$D$44)</f>
        <v>0.42248798737570326</v>
      </c>
      <c r="G211" s="37">
        <f>Inputs!$D$26*(1+Inputs!$D$41*(B211-Inputs!$D$42))</f>
        <v>1.56</v>
      </c>
      <c r="H211" s="35">
        <f>Inputs!$D$6*Inputs!$D$14*G211*Inputs!$D$29</f>
        <v>1960.0308</v>
      </c>
      <c r="I211" s="36">
        <f>H211/(A211*Inputs!$D$32)</f>
        <v>1.0799067768595041</v>
      </c>
      <c r="J211" s="38">
        <f>IF(I211&gt;=1,999,I211/(Inputs!$D$32*(1-I211))*60)</f>
        <v>999</v>
      </c>
      <c r="K211" s="37">
        <f>MIN(1,MAX(0,(J211-Inputs!$D$36)/(Inputs!$D$37-Inputs!$D$36)))</f>
        <v>1</v>
      </c>
      <c r="L211" s="35">
        <f>Inputs!$D$6*Inputs!$D$14*G211*(1-Inputs!$D$38*K211)</f>
        <v>7186.7796000000017</v>
      </c>
      <c r="M211" s="39">
        <f>L211*Inputs!$D$11</f>
        <v>154515.76140000005</v>
      </c>
      <c r="N211" s="39">
        <f>M211*(1-Inputs!$D$17)</f>
        <v>54080.516490000016</v>
      </c>
      <c r="O211" s="35">
        <f>Inputs!$D$6*E211*Inputs!$D$27*Inputs!$D$30</f>
        <v>529.8342241362717</v>
      </c>
      <c r="P211" s="36">
        <f>O211/(C211*Inputs!$D$33)</f>
        <v>0.33963732316427675</v>
      </c>
      <c r="Q211" s="38">
        <f>IF(P211&gt;=1,999,P211/(Inputs!$D$33*(1-P211))*60)</f>
        <v>0.77147907145144612</v>
      </c>
      <c r="R211" s="37">
        <f>MIN(1,MAX(0,(Q211-Inputs!$D$36)/(Inputs!$D$37-Inputs!$D$36)))</f>
        <v>0</v>
      </c>
      <c r="S211" s="35">
        <f>Inputs!$D$6*E211*Inputs!$D$27*(1-Inputs!$D$38*R211)</f>
        <v>4415.2852011355981</v>
      </c>
      <c r="T211" s="39">
        <f>S211*Inputs!$D$12</f>
        <v>70644.563218169569</v>
      </c>
      <c r="U211" s="39">
        <f>T211*(1-Inputs!$D$18)</f>
        <v>31790.053448176302</v>
      </c>
      <c r="V211" s="35">
        <f>Inputs!$D$6*F211*Inputs!$D$28*Inputs!$D$31</f>
        <v>712.33502613882979</v>
      </c>
      <c r="W211" s="36">
        <f>V211/(B211*Inputs!$D$34)</f>
        <v>0.84801788826051161</v>
      </c>
      <c r="X211" s="38">
        <f>IF(W211&gt;=1,999,W211/(Inputs!$D$34*(1-W211))*60)</f>
        <v>9.5652372155190832</v>
      </c>
      <c r="Y211" s="37">
        <f>MIN(1,MAX(0,(X211-Inputs!$D$36)/(Inputs!$D$37-Inputs!$D$36)))</f>
        <v>0.30434914770127219</v>
      </c>
      <c r="Z211" s="35">
        <f>Inputs!$D$6*F211*Inputs!$D$28*(1-Inputs!$D$38*Y211)</f>
        <v>4729.0436538571339</v>
      </c>
      <c r="AA211" s="39">
        <f>Z211*Inputs!$D$13</f>
        <v>40196.87105778564</v>
      </c>
      <c r="AB211" s="39">
        <f>AA211*(1-Inputs!$D$19)</f>
        <v>24118.122634671385</v>
      </c>
      <c r="AC211" s="39">
        <f t="shared" si="12"/>
        <v>265357.19567595527</v>
      </c>
      <c r="AD211" s="39">
        <f t="shared" si="13"/>
        <v>109988.69257284769</v>
      </c>
      <c r="AE211" s="36">
        <f t="shared" si="14"/>
        <v>1.0799067768595041</v>
      </c>
      <c r="AF211" s="35">
        <f>IF(AND(AE211&lt;=Inputs!$D$35,C211&gt;=Inputs!$D$48*(A211+B211+C211),B211*Inputs!$D$22&lt;=Inputs!$D$50*Inputs!$D$8,B211*Inputs!$D$22&gt;=Inputs!$D$49*Inputs!$D$8,A211*Inputs!$D$20&lt;=Inputs!$D$47*Inputs!$D$8,C211&gt;=1),1,0)</f>
        <v>0</v>
      </c>
      <c r="AG211" s="39">
        <f t="shared" si="15"/>
        <v>-1</v>
      </c>
    </row>
    <row r="212" spans="1:33" x14ac:dyDescent="0.25">
      <c r="A212" s="35">
        <v>33</v>
      </c>
      <c r="B212" s="35">
        <v>25</v>
      </c>
      <c r="C212" s="35">
        <f>Inputs!$D$8-A212-Inputs!$D$22*B212</f>
        <v>37</v>
      </c>
      <c r="D212" s="35">
        <f>A212*Inputs!$D$20+C212*Inputs!$D$21+B212*Inputs!$D$22</f>
        <v>120</v>
      </c>
      <c r="E212" s="36">
        <f>MIN(Inputs!$E$15,Inputs!$D$15*(C212/Inputs!$D$43)^Inputs!$D$44)</f>
        <v>0.36556269939951974</v>
      </c>
      <c r="F212" s="36">
        <f>MIN(Inputs!$E$16,Inputs!$D$16*(B212/Inputs!$D$42)^Inputs!$D$44)</f>
        <v>0.42769383999647526</v>
      </c>
      <c r="G212" s="37">
        <f>Inputs!$D$26*(1+Inputs!$D$41*(B212-Inputs!$D$42))</f>
        <v>1.5750000000000002</v>
      </c>
      <c r="H212" s="35">
        <f>Inputs!$D$6*Inputs!$D$14*G212*Inputs!$D$29</f>
        <v>1978.8772500000005</v>
      </c>
      <c r="I212" s="36">
        <f>H212/(A212*Inputs!$D$32)</f>
        <v>1.0902904958677688</v>
      </c>
      <c r="J212" s="38">
        <f>IF(I212&gt;=1,999,I212/(Inputs!$D$32*(1-I212))*60)</f>
        <v>999</v>
      </c>
      <c r="K212" s="37">
        <f>MIN(1,MAX(0,(J212-Inputs!$D$36)/(Inputs!$D$37-Inputs!$D$36)))</f>
        <v>1</v>
      </c>
      <c r="L212" s="35">
        <f>Inputs!$D$6*Inputs!$D$14*G212*(1-Inputs!$D$38*K212)</f>
        <v>7255.8832500000026</v>
      </c>
      <c r="M212" s="39">
        <f>L212*Inputs!$D$11</f>
        <v>156001.48987500006</v>
      </c>
      <c r="N212" s="39">
        <f>M212*(1-Inputs!$D$17)</f>
        <v>54600.521456250019</v>
      </c>
      <c r="O212" s="35">
        <f>Inputs!$D$6*E212*Inputs!$D$27*Inputs!$D$30</f>
        <v>521.5322184745213</v>
      </c>
      <c r="P212" s="36">
        <f>O212/(C212*Inputs!$D$33)</f>
        <v>0.35238663410440629</v>
      </c>
      <c r="Q212" s="38">
        <f>IF(P212&gt;=1,999,P212/(Inputs!$D$33*(1-P212))*60)</f>
        <v>0.81619679116046151</v>
      </c>
      <c r="R212" s="37">
        <f>MIN(1,MAX(0,(Q212-Inputs!$D$36)/(Inputs!$D$37-Inputs!$D$36)))</f>
        <v>0</v>
      </c>
      <c r="S212" s="35">
        <f>Inputs!$D$6*E212*Inputs!$D$27*(1-Inputs!$D$38*R212)</f>
        <v>4346.101820621011</v>
      </c>
      <c r="T212" s="39">
        <f>S212*Inputs!$D$12</f>
        <v>69537.629129936176</v>
      </c>
      <c r="U212" s="39">
        <f>T212*(1-Inputs!$D$18)</f>
        <v>31291.933108471276</v>
      </c>
      <c r="V212" s="35">
        <f>Inputs!$D$6*F212*Inputs!$D$28*Inputs!$D$31</f>
        <v>721.1123435383771</v>
      </c>
      <c r="W212" s="36">
        <f>V212/(B212*Inputs!$D$34)</f>
        <v>0.82412839261528814</v>
      </c>
      <c r="X212" s="38">
        <f>IF(W212&gt;=1,999,W212/(Inputs!$D$34*(1-W212))*60)</f>
        <v>8.0330847668163621</v>
      </c>
      <c r="Y212" s="37">
        <f>MIN(1,MAX(0,(X212-Inputs!$D$36)/(Inputs!$D$37-Inputs!$D$36)))</f>
        <v>0.20220565112109082</v>
      </c>
      <c r="Z212" s="35">
        <f>Inputs!$D$6*F212*Inputs!$D$28*(1-Inputs!$D$38*Y212)</f>
        <v>5042.2807508299393</v>
      </c>
      <c r="AA212" s="39">
        <f>Z212*Inputs!$D$13</f>
        <v>42859.386382054487</v>
      </c>
      <c r="AB212" s="39">
        <f>AA212*(1-Inputs!$D$19)</f>
        <v>25715.631829232691</v>
      </c>
      <c r="AC212" s="39">
        <f t="shared" si="12"/>
        <v>268398.50538699073</v>
      </c>
      <c r="AD212" s="39">
        <f t="shared" si="13"/>
        <v>111608.08639395398</v>
      </c>
      <c r="AE212" s="36">
        <f t="shared" si="14"/>
        <v>1.0902904958677688</v>
      </c>
      <c r="AF212" s="35">
        <f>IF(AND(AE212&lt;=Inputs!$D$35,C212&gt;=Inputs!$D$48*(A212+B212+C212),B212*Inputs!$D$22&lt;=Inputs!$D$50*Inputs!$D$8,B212*Inputs!$D$22&gt;=Inputs!$D$49*Inputs!$D$8,A212*Inputs!$D$20&lt;=Inputs!$D$47*Inputs!$D$8,C212&gt;=1),1,0)</f>
        <v>0</v>
      </c>
      <c r="AG212" s="39">
        <f t="shared" si="15"/>
        <v>-1</v>
      </c>
    </row>
    <row r="213" spans="1:33" x14ac:dyDescent="0.25">
      <c r="A213" s="35">
        <v>33</v>
      </c>
      <c r="B213" s="35">
        <v>26</v>
      </c>
      <c r="C213" s="35">
        <f>Inputs!$D$8-A213-Inputs!$D$22*B213</f>
        <v>35</v>
      </c>
      <c r="D213" s="35">
        <f>A213*Inputs!$D$20+C213*Inputs!$D$21+B213*Inputs!$D$22</f>
        <v>120</v>
      </c>
      <c r="E213" s="36">
        <f>MIN(Inputs!$E$15,Inputs!$D$15*(C213/Inputs!$D$43)^Inputs!$D$44)</f>
        <v>0.3595189375764975</v>
      </c>
      <c r="F213" s="36">
        <f>MIN(Inputs!$E$16,Inputs!$D$16*(B213/Inputs!$D$42)^Inputs!$D$44)</f>
        <v>0.43275589945781112</v>
      </c>
      <c r="G213" s="37">
        <f>Inputs!$D$26*(1+Inputs!$D$41*(B213-Inputs!$D$42))</f>
        <v>1.59</v>
      </c>
      <c r="H213" s="35">
        <f>Inputs!$D$6*Inputs!$D$14*G213*Inputs!$D$29</f>
        <v>1997.7237</v>
      </c>
      <c r="I213" s="36">
        <f>H213/(A213*Inputs!$D$32)</f>
        <v>1.1006742148760331</v>
      </c>
      <c r="J213" s="38">
        <f>IF(I213&gt;=1,999,I213/(Inputs!$D$32*(1-I213))*60)</f>
        <v>999</v>
      </c>
      <c r="K213" s="37">
        <f>MIN(1,MAX(0,(J213-Inputs!$D$36)/(Inputs!$D$37-Inputs!$D$36)))</f>
        <v>1</v>
      </c>
      <c r="L213" s="35">
        <f>Inputs!$D$6*Inputs!$D$14*G213*(1-Inputs!$D$38*K213)</f>
        <v>7324.9869000000017</v>
      </c>
      <c r="M213" s="39">
        <f>L213*Inputs!$D$11</f>
        <v>157487.21835000004</v>
      </c>
      <c r="N213" s="39">
        <f>M213*(1-Inputs!$D$17)</f>
        <v>55120.526422500014</v>
      </c>
      <c r="O213" s="35">
        <f>Inputs!$D$6*E213*Inputs!$D$27*Inputs!$D$30</f>
        <v>512.90984940713565</v>
      </c>
      <c r="P213" s="36">
        <f>O213/(C213*Inputs!$D$33)</f>
        <v>0.36636417814795402</v>
      </c>
      <c r="Q213" s="38">
        <f>IF(P213&gt;=1,999,P213/(Inputs!$D$33*(1-P213))*60)</f>
        <v>0.86729040289368331</v>
      </c>
      <c r="R213" s="37">
        <f>MIN(1,MAX(0,(Q213-Inputs!$D$36)/(Inputs!$D$37-Inputs!$D$36)))</f>
        <v>0</v>
      </c>
      <c r="S213" s="35">
        <f>Inputs!$D$6*E213*Inputs!$D$27*(1-Inputs!$D$38*R213)</f>
        <v>4274.2487450594635</v>
      </c>
      <c r="T213" s="39">
        <f>S213*Inputs!$D$12</f>
        <v>68387.979920951417</v>
      </c>
      <c r="U213" s="39">
        <f>T213*(1-Inputs!$D$18)</f>
        <v>30774.590964428135</v>
      </c>
      <c r="V213" s="35">
        <f>Inputs!$D$6*F213*Inputs!$D$28*Inputs!$D$31</f>
        <v>729.64721876904355</v>
      </c>
      <c r="W213" s="36">
        <f>V213/(B213*Inputs!$D$34)</f>
        <v>0.80181013051543248</v>
      </c>
      <c r="X213" s="38">
        <f>IF(W213&gt;=1,999,W213/(Inputs!$D$34*(1-W213))*60)</f>
        <v>6.9354284146153136</v>
      </c>
      <c r="Y213" s="37">
        <f>MIN(1,MAX(0,(X213-Inputs!$D$36)/(Inputs!$D$37-Inputs!$D$36)))</f>
        <v>0.12902856097435425</v>
      </c>
      <c r="Z213" s="35">
        <f>Inputs!$D$6*F213*Inputs!$D$28*(1-Inputs!$D$38*Y213)</f>
        <v>5286.7832305655711</v>
      </c>
      <c r="AA213" s="39">
        <f>Z213*Inputs!$D$13</f>
        <v>44937.657459807357</v>
      </c>
      <c r="AB213" s="39">
        <f>AA213*(1-Inputs!$D$19)</f>
        <v>26962.594475884413</v>
      </c>
      <c r="AC213" s="39">
        <f t="shared" si="12"/>
        <v>270812.85573075881</v>
      </c>
      <c r="AD213" s="39">
        <f t="shared" si="13"/>
        <v>112857.71186281256</v>
      </c>
      <c r="AE213" s="36">
        <f t="shared" si="14"/>
        <v>1.1006742148760331</v>
      </c>
      <c r="AF213" s="35">
        <f>IF(AND(AE213&lt;=Inputs!$D$35,C213&gt;=Inputs!$D$48*(A213+B213+C213),B213*Inputs!$D$22&lt;=Inputs!$D$50*Inputs!$D$8,B213*Inputs!$D$22&gt;=Inputs!$D$49*Inputs!$D$8,A213*Inputs!$D$20&lt;=Inputs!$D$47*Inputs!$D$8,C213&gt;=1),1,0)</f>
        <v>0</v>
      </c>
      <c r="AG213" s="39">
        <f t="shared" si="15"/>
        <v>-1</v>
      </c>
    </row>
    <row r="214" spans="1:33" x14ac:dyDescent="0.25">
      <c r="A214" s="35">
        <v>33</v>
      </c>
      <c r="B214" s="35">
        <v>27</v>
      </c>
      <c r="C214" s="35">
        <f>Inputs!$D$8-A214-Inputs!$D$22*B214</f>
        <v>33</v>
      </c>
      <c r="D214" s="35">
        <f>A214*Inputs!$D$20+C214*Inputs!$D$21+B214*Inputs!$D$22</f>
        <v>120</v>
      </c>
      <c r="E214" s="36">
        <f>MIN(Inputs!$E$15,Inputs!$D$15*(C214/Inputs!$D$43)^Inputs!$D$44)</f>
        <v>0.35322833999035824</v>
      </c>
      <c r="F214" s="36">
        <f>MIN(Inputs!$E$16,Inputs!$D$16*(B214/Inputs!$D$42)^Inputs!$D$44)</f>
        <v>0.43768344678187454</v>
      </c>
      <c r="G214" s="37">
        <f>Inputs!$D$26*(1+Inputs!$D$41*(B214-Inputs!$D$42))</f>
        <v>1.605</v>
      </c>
      <c r="H214" s="35">
        <f>Inputs!$D$6*Inputs!$D$14*G214*Inputs!$D$29</f>
        <v>2016.57015</v>
      </c>
      <c r="I214" s="36">
        <f>H214/(A214*Inputs!$D$32)</f>
        <v>1.1110579338842976</v>
      </c>
      <c r="J214" s="38">
        <f>IF(I214&gt;=1,999,I214/(Inputs!$D$32*(1-I214))*60)</f>
        <v>999</v>
      </c>
      <c r="K214" s="37">
        <f>MIN(1,MAX(0,(J214-Inputs!$D$36)/(Inputs!$D$37-Inputs!$D$36)))</f>
        <v>1</v>
      </c>
      <c r="L214" s="35">
        <f>Inputs!$D$6*Inputs!$D$14*G214*(1-Inputs!$D$38*K214)</f>
        <v>7394.0905500000017</v>
      </c>
      <c r="M214" s="39">
        <f>L214*Inputs!$D$11</f>
        <v>158972.94682500005</v>
      </c>
      <c r="N214" s="39">
        <f>M214*(1-Inputs!$D$17)</f>
        <v>55640.531388750016</v>
      </c>
      <c r="O214" s="35">
        <f>Inputs!$D$6*E214*Inputs!$D$27*Inputs!$D$30</f>
        <v>503.93533061728459</v>
      </c>
      <c r="P214" s="36">
        <f>O214/(C214*Inputs!$D$33)</f>
        <v>0.38176918986157926</v>
      </c>
      <c r="Q214" s="38">
        <f>IF(P214&gt;=1,999,P214/(Inputs!$D$33*(1-P214))*60)</f>
        <v>0.92627830156855617</v>
      </c>
      <c r="R214" s="37">
        <f>MIN(1,MAX(0,(Q214-Inputs!$D$36)/(Inputs!$D$37-Inputs!$D$36)))</f>
        <v>0</v>
      </c>
      <c r="S214" s="35">
        <f>Inputs!$D$6*E214*Inputs!$D$27*(1-Inputs!$D$38*R214)</f>
        <v>4199.461088477372</v>
      </c>
      <c r="T214" s="39">
        <f>S214*Inputs!$D$12</f>
        <v>67191.377415637951</v>
      </c>
      <c r="U214" s="39">
        <f>T214*(1-Inputs!$D$18)</f>
        <v>30236.119837037077</v>
      </c>
      <c r="V214" s="35">
        <f>Inputs!$D$6*F214*Inputs!$D$28*Inputs!$D$31</f>
        <v>737.95530007968603</v>
      </c>
      <c r="W214" s="36">
        <f>V214/(B214*Inputs!$D$34)</f>
        <v>0.78090507944940324</v>
      </c>
      <c r="X214" s="38">
        <f>IF(W214&gt;=1,999,W214/(Inputs!$D$34*(1-W214))*60)</f>
        <v>6.1101116290101798</v>
      </c>
      <c r="Y214" s="37">
        <f>MIN(1,MAX(0,(X214-Inputs!$D$36)/(Inputs!$D$37-Inputs!$D$36)))</f>
        <v>7.4007441934011986E-2</v>
      </c>
      <c r="Z214" s="35">
        <f>Inputs!$D$6*F214*Inputs!$D$28*(1-Inputs!$D$38*Y214)</f>
        <v>5487.5301328495489</v>
      </c>
      <c r="AA214" s="39">
        <f>Z214*Inputs!$D$13</f>
        <v>46644.006129221169</v>
      </c>
      <c r="AB214" s="39">
        <f>AA214*(1-Inputs!$D$19)</f>
        <v>27986.4036775327</v>
      </c>
      <c r="AC214" s="39">
        <f t="shared" si="12"/>
        <v>272808.33036985918</v>
      </c>
      <c r="AD214" s="39">
        <f t="shared" si="13"/>
        <v>113863.05490331979</v>
      </c>
      <c r="AE214" s="36">
        <f t="shared" si="14"/>
        <v>1.1110579338842976</v>
      </c>
      <c r="AF214" s="35">
        <f>IF(AND(AE214&lt;=Inputs!$D$35,C214&gt;=Inputs!$D$48*(A214+B214+C214),B214*Inputs!$D$22&lt;=Inputs!$D$50*Inputs!$D$8,B214*Inputs!$D$22&gt;=Inputs!$D$49*Inputs!$D$8,A214*Inputs!$D$20&lt;=Inputs!$D$47*Inputs!$D$8,C214&gt;=1),1,0)</f>
        <v>0</v>
      </c>
      <c r="AG214" s="39">
        <f t="shared" si="15"/>
        <v>-1</v>
      </c>
    </row>
    <row r="215" spans="1:33" x14ac:dyDescent="0.25">
      <c r="A215" s="35">
        <v>33</v>
      </c>
      <c r="B215" s="35">
        <v>28</v>
      </c>
      <c r="C215" s="35">
        <f>Inputs!$D$8-A215-Inputs!$D$22*B215</f>
        <v>31</v>
      </c>
      <c r="D215" s="35">
        <f>A215*Inputs!$D$20+C215*Inputs!$D$21+B215*Inputs!$D$22</f>
        <v>120</v>
      </c>
      <c r="E215" s="36">
        <f>MIN(Inputs!$E$15,Inputs!$D$15*(C215/Inputs!$D$43)^Inputs!$D$44)</f>
        <v>0.34666489615699225</v>
      </c>
      <c r="F215" s="36">
        <f>MIN(Inputs!$E$16,Inputs!$D$16*(B215/Inputs!$D$42)^Inputs!$D$44)</f>
        <v>0.44248484624799689</v>
      </c>
      <c r="G215" s="37">
        <f>Inputs!$D$26*(1+Inputs!$D$41*(B215-Inputs!$D$42))</f>
        <v>1.62</v>
      </c>
      <c r="H215" s="35">
        <f>Inputs!$D$6*Inputs!$D$14*G215*Inputs!$D$29</f>
        <v>2035.4166</v>
      </c>
      <c r="I215" s="36">
        <f>H215/(A215*Inputs!$D$32)</f>
        <v>1.1214416528925619</v>
      </c>
      <c r="J215" s="38">
        <f>IF(I215&gt;=1,999,I215/(Inputs!$D$32*(1-I215))*60)</f>
        <v>999</v>
      </c>
      <c r="K215" s="37">
        <f>MIN(1,MAX(0,(J215-Inputs!$D$36)/(Inputs!$D$37-Inputs!$D$36)))</f>
        <v>1</v>
      </c>
      <c r="L215" s="35">
        <f>Inputs!$D$6*Inputs!$D$14*G215*(1-Inputs!$D$38*K215)</f>
        <v>7463.1942000000017</v>
      </c>
      <c r="M215" s="39">
        <f>L215*Inputs!$D$11</f>
        <v>160458.67530000003</v>
      </c>
      <c r="N215" s="39">
        <f>M215*(1-Inputs!$D$17)</f>
        <v>56160.536355000011</v>
      </c>
      <c r="O215" s="35">
        <f>Inputs!$D$6*E215*Inputs!$D$27*Inputs!$D$30</f>
        <v>494.57155409174993</v>
      </c>
      <c r="P215" s="36">
        <f>O215/(C215*Inputs!$D$33)</f>
        <v>0.39884802749334675</v>
      </c>
      <c r="Q215" s="38">
        <f>IF(P215&gt;=1,999,P215/(Inputs!$D$33*(1-P215))*60)</f>
        <v>0.9952093124561755</v>
      </c>
      <c r="R215" s="37">
        <f>MIN(1,MAX(0,(Q215-Inputs!$D$36)/(Inputs!$D$37-Inputs!$D$36)))</f>
        <v>0</v>
      </c>
      <c r="S215" s="35">
        <f>Inputs!$D$6*E215*Inputs!$D$27*(1-Inputs!$D$38*R215)</f>
        <v>4121.4296174312494</v>
      </c>
      <c r="T215" s="39">
        <f>S215*Inputs!$D$12</f>
        <v>65942.873878899991</v>
      </c>
      <c r="U215" s="39">
        <f>T215*(1-Inputs!$D$18)</f>
        <v>29674.293245504992</v>
      </c>
      <c r="V215" s="35">
        <f>Inputs!$D$6*F215*Inputs!$D$28*Inputs!$D$31</f>
        <v>746.05069004674272</v>
      </c>
      <c r="W215" s="36">
        <f>V215/(B215*Inputs!$D$34)</f>
        <v>0.76127621433341097</v>
      </c>
      <c r="X215" s="38">
        <f>IF(W215&gt;=1,999,W215/(Inputs!$D$34*(1-W215))*60)</f>
        <v>5.4667570523531852</v>
      </c>
      <c r="Y215" s="37">
        <f>MIN(1,MAX(0,(X215-Inputs!$D$36)/(Inputs!$D$37-Inputs!$D$36)))</f>
        <v>3.111713682354568E-2</v>
      </c>
      <c r="Z215" s="35">
        <f>Inputs!$D$6*F215*Inputs!$D$28*(1-Inputs!$D$38*Y215)</f>
        <v>5658.4919801305723</v>
      </c>
      <c r="AA215" s="39">
        <f>Z215*Inputs!$D$13</f>
        <v>48097.181831109861</v>
      </c>
      <c r="AB215" s="39">
        <f>AA215*(1-Inputs!$D$19)</f>
        <v>28858.309098665915</v>
      </c>
      <c r="AC215" s="39">
        <f t="shared" si="12"/>
        <v>274498.73101000988</v>
      </c>
      <c r="AD215" s="39">
        <f t="shared" si="13"/>
        <v>114693.13869917093</v>
      </c>
      <c r="AE215" s="36">
        <f t="shared" si="14"/>
        <v>1.1214416528925619</v>
      </c>
      <c r="AF215" s="35">
        <f>IF(AND(AE215&lt;=Inputs!$D$35,C215&gt;=Inputs!$D$48*(A215+B215+C215),B215*Inputs!$D$22&lt;=Inputs!$D$50*Inputs!$D$8,B215*Inputs!$D$22&gt;=Inputs!$D$49*Inputs!$D$8,A215*Inputs!$D$20&lt;=Inputs!$D$47*Inputs!$D$8,C215&gt;=1),1,0)</f>
        <v>0</v>
      </c>
      <c r="AG215" s="39">
        <f t="shared" si="15"/>
        <v>-1</v>
      </c>
    </row>
    <row r="216" spans="1:33" x14ac:dyDescent="0.25">
      <c r="A216" s="35">
        <v>33</v>
      </c>
      <c r="B216" s="35">
        <v>29</v>
      </c>
      <c r="C216" s="35">
        <f>Inputs!$D$8-A216-Inputs!$D$22*B216</f>
        <v>29</v>
      </c>
      <c r="D216" s="35">
        <f>A216*Inputs!$D$20+C216*Inputs!$D$21+B216*Inputs!$D$22</f>
        <v>120</v>
      </c>
      <c r="E216" s="36">
        <f>MIN(Inputs!$E$15,Inputs!$D$15*(C216/Inputs!$D$43)^Inputs!$D$44)</f>
        <v>0.33979795258455459</v>
      </c>
      <c r="F216" s="36">
        <f>MIN(Inputs!$E$16,Inputs!$D$16*(B216/Inputs!$D$42)^Inputs!$D$44)</f>
        <v>0.44716766511947192</v>
      </c>
      <c r="G216" s="37">
        <f>Inputs!$D$26*(1+Inputs!$D$41*(B216-Inputs!$D$42))</f>
        <v>1.6350000000000002</v>
      </c>
      <c r="H216" s="35">
        <f>Inputs!$D$6*Inputs!$D$14*G216*Inputs!$D$29</f>
        <v>2054.2630500000005</v>
      </c>
      <c r="I216" s="36">
        <f>H216/(A216*Inputs!$D$32)</f>
        <v>1.1318253719008267</v>
      </c>
      <c r="J216" s="38">
        <f>IF(I216&gt;=1,999,I216/(Inputs!$D$32*(1-I216))*60)</f>
        <v>999</v>
      </c>
      <c r="K216" s="37">
        <f>MIN(1,MAX(0,(J216-Inputs!$D$36)/(Inputs!$D$37-Inputs!$D$36)))</f>
        <v>1</v>
      </c>
      <c r="L216" s="35">
        <f>Inputs!$D$6*Inputs!$D$14*G216*(1-Inputs!$D$38*K216)</f>
        <v>7532.2978500000027</v>
      </c>
      <c r="M216" s="39">
        <f>L216*Inputs!$D$11</f>
        <v>161944.40377500007</v>
      </c>
      <c r="N216" s="39">
        <f>M216*(1-Inputs!$D$17)</f>
        <v>56680.541321250021</v>
      </c>
      <c r="O216" s="35">
        <f>Inputs!$D$6*E216*Inputs!$D$27*Inputs!$D$30</f>
        <v>484.77478784247035</v>
      </c>
      <c r="P216" s="36">
        <f>O216/(C216*Inputs!$D$33)</f>
        <v>0.41790929986419856</v>
      </c>
      <c r="Q216" s="38">
        <f>IF(P216&gt;=1,999,P216/(Inputs!$D$33*(1-P216))*60)</f>
        <v>1.0769179951681944</v>
      </c>
      <c r="R216" s="37">
        <f>MIN(1,MAX(0,(Q216-Inputs!$D$36)/(Inputs!$D$37-Inputs!$D$36)))</f>
        <v>0</v>
      </c>
      <c r="S216" s="35">
        <f>Inputs!$D$6*E216*Inputs!$D$27*(1-Inputs!$D$38*R216)</f>
        <v>4039.7898986872528</v>
      </c>
      <c r="T216" s="39">
        <f>S216*Inputs!$D$12</f>
        <v>64636.638378996046</v>
      </c>
      <c r="U216" s="39">
        <f>T216*(1-Inputs!$D$18)</f>
        <v>29086.487270548219</v>
      </c>
      <c r="V216" s="35">
        <f>Inputs!$D$6*F216*Inputs!$D$28*Inputs!$D$31</f>
        <v>753.9461474393554</v>
      </c>
      <c r="W216" s="36">
        <f>V216/(B216*Inputs!$D$34)</f>
        <v>0.74280408614714821</v>
      </c>
      <c r="X216" s="38">
        <f>IF(W216&gt;=1,999,W216/(Inputs!$D$34*(1-W216))*60)</f>
        <v>4.9510056918075414</v>
      </c>
      <c r="Y216" s="37">
        <f>MIN(1,MAX(0,(X216-Inputs!$D$36)/(Inputs!$D$37-Inputs!$D$36)))</f>
        <v>0</v>
      </c>
      <c r="Z216" s="35">
        <f>Inputs!$D$6*F216*Inputs!$D$28*(1-Inputs!$D$38*Y216)</f>
        <v>5799.5857495335031</v>
      </c>
      <c r="AA216" s="39">
        <f>Z216*Inputs!$D$13</f>
        <v>49296.478871034778</v>
      </c>
      <c r="AB216" s="39">
        <f>AA216*(1-Inputs!$D$19)</f>
        <v>29577.887322620867</v>
      </c>
      <c r="AC216" s="39">
        <f t="shared" si="12"/>
        <v>275877.52102503087</v>
      </c>
      <c r="AD216" s="39">
        <f t="shared" si="13"/>
        <v>115344.91591441911</v>
      </c>
      <c r="AE216" s="36">
        <f t="shared" si="14"/>
        <v>1.1318253719008267</v>
      </c>
      <c r="AF216" s="35">
        <f>IF(AND(AE216&lt;=Inputs!$D$35,C216&gt;=Inputs!$D$48*(A216+B216+C216),B216*Inputs!$D$22&lt;=Inputs!$D$50*Inputs!$D$8,B216*Inputs!$D$22&gt;=Inputs!$D$49*Inputs!$D$8,A216*Inputs!$D$20&lt;=Inputs!$D$47*Inputs!$D$8,C216&gt;=1),1,0)</f>
        <v>0</v>
      </c>
      <c r="AG216" s="39">
        <f t="shared" si="15"/>
        <v>-1</v>
      </c>
    </row>
    <row r="217" spans="1:33" x14ac:dyDescent="0.25">
      <c r="A217" s="35">
        <v>33</v>
      </c>
      <c r="B217" s="35">
        <v>30</v>
      </c>
      <c r="C217" s="35">
        <f>Inputs!$D$8-A217-Inputs!$D$22*B217</f>
        <v>27</v>
      </c>
      <c r="D217" s="35">
        <f>A217*Inputs!$D$20+C217*Inputs!$D$21+B217*Inputs!$D$22</f>
        <v>120</v>
      </c>
      <c r="E217" s="36">
        <f>MIN(Inputs!$E$15,Inputs!$D$15*(C217/Inputs!$D$43)^Inputs!$D$44)</f>
        <v>0.33259099594532748</v>
      </c>
      <c r="F217" s="36">
        <f>MIN(Inputs!$E$16,Inputs!$D$16*(B217/Inputs!$D$42)^Inputs!$D$44)</f>
        <v>0.45173877418274222</v>
      </c>
      <c r="G217" s="37">
        <f>Inputs!$D$26*(1+Inputs!$D$41*(B217-Inputs!$D$42))</f>
        <v>1.6500000000000001</v>
      </c>
      <c r="H217" s="35">
        <f>Inputs!$D$6*Inputs!$D$14*G217*Inputs!$D$29</f>
        <v>2073.1095000000005</v>
      </c>
      <c r="I217" s="36">
        <f>H217/(A217*Inputs!$D$32)</f>
        <v>1.1422090909090912</v>
      </c>
      <c r="J217" s="38">
        <f>IF(I217&gt;=1,999,I217/(Inputs!$D$32*(1-I217))*60)</f>
        <v>999</v>
      </c>
      <c r="K217" s="37">
        <f>MIN(1,MAX(0,(J217-Inputs!$D$36)/(Inputs!$D$37-Inputs!$D$36)))</f>
        <v>1</v>
      </c>
      <c r="L217" s="35">
        <f>Inputs!$D$6*Inputs!$D$14*G217*(1-Inputs!$D$38*K217)</f>
        <v>7601.4015000000027</v>
      </c>
      <c r="M217" s="39">
        <f>L217*Inputs!$D$11</f>
        <v>163430.13225000005</v>
      </c>
      <c r="N217" s="39">
        <f>M217*(1-Inputs!$D$17)</f>
        <v>57200.546287500016</v>
      </c>
      <c r="O217" s="35">
        <f>Inputs!$D$6*E217*Inputs!$D$27*Inputs!$D$30</f>
        <v>474.49293991137716</v>
      </c>
      <c r="P217" s="36">
        <f>O217/(C217*Inputs!$D$33)</f>
        <v>0.43934531473275662</v>
      </c>
      <c r="Q217" s="38">
        <f>IF(P217&gt;=1,999,P217/(Inputs!$D$33*(1-P217))*60)</f>
        <v>1.1754436187133714</v>
      </c>
      <c r="R217" s="37">
        <f>MIN(1,MAX(0,(Q217-Inputs!$D$36)/(Inputs!$D$37-Inputs!$D$36)))</f>
        <v>0</v>
      </c>
      <c r="S217" s="35">
        <f>Inputs!$D$6*E217*Inputs!$D$27*(1-Inputs!$D$38*R217)</f>
        <v>3954.1078325948097</v>
      </c>
      <c r="T217" s="39">
        <f>S217*Inputs!$D$12</f>
        <v>63265.725321516955</v>
      </c>
      <c r="U217" s="39">
        <f>T217*(1-Inputs!$D$18)</f>
        <v>28469.576394682626</v>
      </c>
      <c r="V217" s="35">
        <f>Inputs!$D$6*F217*Inputs!$D$28*Inputs!$D$31</f>
        <v>761.65325673326424</v>
      </c>
      <c r="W217" s="36">
        <f>V217/(B217*Inputs!$D$34)</f>
        <v>0.72538405403168027</v>
      </c>
      <c r="X217" s="38">
        <f>IF(W217&gt;=1,999,W217/(Inputs!$D$34*(1-W217))*60)</f>
        <v>4.5281985239874629</v>
      </c>
      <c r="Y217" s="37">
        <f>MIN(1,MAX(0,(X217-Inputs!$D$36)/(Inputs!$D$37-Inputs!$D$36)))</f>
        <v>0</v>
      </c>
      <c r="Z217" s="35">
        <f>Inputs!$D$6*F217*Inputs!$D$28*(1-Inputs!$D$38*Y217)</f>
        <v>5858.8712056404938</v>
      </c>
      <c r="AA217" s="39">
        <f>Z217*Inputs!$D$13</f>
        <v>49800.405247944196</v>
      </c>
      <c r="AB217" s="39">
        <f>AA217*(1-Inputs!$D$19)</f>
        <v>29880.243148766516</v>
      </c>
      <c r="AC217" s="39">
        <f t="shared" si="12"/>
        <v>276496.26281946118</v>
      </c>
      <c r="AD217" s="39">
        <f t="shared" si="13"/>
        <v>115550.36583094916</v>
      </c>
      <c r="AE217" s="36">
        <f t="shared" si="14"/>
        <v>1.1422090909090912</v>
      </c>
      <c r="AF217" s="35">
        <f>IF(AND(AE217&lt;=Inputs!$D$35,C217&gt;=Inputs!$D$48*(A217+B217+C217),B217*Inputs!$D$22&lt;=Inputs!$D$50*Inputs!$D$8,B217*Inputs!$D$22&gt;=Inputs!$D$49*Inputs!$D$8,A217*Inputs!$D$20&lt;=Inputs!$D$47*Inputs!$D$8,C217&gt;=1),1,0)</f>
        <v>0</v>
      </c>
      <c r="AG217" s="39">
        <f t="shared" si="15"/>
        <v>-1</v>
      </c>
    </row>
    <row r="218" spans="1:33" x14ac:dyDescent="0.25">
      <c r="A218" s="35">
        <v>33</v>
      </c>
      <c r="B218" s="35">
        <v>31</v>
      </c>
      <c r="C218" s="35">
        <f>Inputs!$D$8-A218-Inputs!$D$22*B218</f>
        <v>25</v>
      </c>
      <c r="D218" s="35">
        <f>A218*Inputs!$D$20+C218*Inputs!$D$21+B218*Inputs!$D$22</f>
        <v>120</v>
      </c>
      <c r="E218" s="36">
        <f>MIN(Inputs!$E$15,Inputs!$D$15*(C218/Inputs!$D$43)^Inputs!$D$44)</f>
        <v>0.32500000000000001</v>
      </c>
      <c r="F218" s="36">
        <f>MIN(Inputs!$E$16,Inputs!$D$16*(B218/Inputs!$D$42)^Inputs!$D$44)</f>
        <v>0.45620443270573335</v>
      </c>
      <c r="G218" s="37">
        <f>Inputs!$D$26*(1+Inputs!$D$41*(B218-Inputs!$D$42))</f>
        <v>1.665</v>
      </c>
      <c r="H218" s="35">
        <f>Inputs!$D$6*Inputs!$D$14*G218*Inputs!$D$29</f>
        <v>2091.95595</v>
      </c>
      <c r="I218" s="36">
        <f>H218/(A218*Inputs!$D$32)</f>
        <v>1.1525928099173555</v>
      </c>
      <c r="J218" s="38">
        <f>IF(I218&gt;=1,999,I218/(Inputs!$D$32*(1-I218))*60)</f>
        <v>999</v>
      </c>
      <c r="K218" s="37">
        <f>MIN(1,MAX(0,(J218-Inputs!$D$36)/(Inputs!$D$37-Inputs!$D$36)))</f>
        <v>1</v>
      </c>
      <c r="L218" s="35">
        <f>Inputs!$D$6*Inputs!$D$14*G218*(1-Inputs!$D$38*K218)</f>
        <v>7670.5051500000018</v>
      </c>
      <c r="M218" s="39">
        <f>L218*Inputs!$D$11</f>
        <v>164915.86072500004</v>
      </c>
      <c r="N218" s="39">
        <f>M218*(1-Inputs!$D$17)</f>
        <v>57720.551253750011</v>
      </c>
      <c r="O218" s="35">
        <f>Inputs!$D$6*E218*Inputs!$D$27*Inputs!$D$30</f>
        <v>463.66320000000002</v>
      </c>
      <c r="P218" s="36">
        <f>O218/(C218*Inputs!$D$33)</f>
        <v>0.4636632</v>
      </c>
      <c r="Q218" s="38">
        <f>IF(P218&gt;=1,999,P218/(Inputs!$D$33*(1-P218))*60)</f>
        <v>1.296750101801704</v>
      </c>
      <c r="R218" s="37">
        <f>MIN(1,MAX(0,(Q218-Inputs!$D$36)/(Inputs!$D$37-Inputs!$D$36)))</f>
        <v>0</v>
      </c>
      <c r="S218" s="35">
        <f>Inputs!$D$6*E218*Inputs!$D$27*(1-Inputs!$D$38*R218)</f>
        <v>3863.86</v>
      </c>
      <c r="T218" s="39">
        <f>S218*Inputs!$D$12</f>
        <v>61821.760000000002</v>
      </c>
      <c r="U218" s="39">
        <f>T218*(1-Inputs!$D$18)</f>
        <v>27819.791999999998</v>
      </c>
      <c r="V218" s="35">
        <f>Inputs!$D$6*F218*Inputs!$D$28*Inputs!$D$31</f>
        <v>769.18257135463637</v>
      </c>
      <c r="W218" s="36">
        <f>V218/(B218*Inputs!$D$34)</f>
        <v>0.70892402889828232</v>
      </c>
      <c r="X218" s="38">
        <f>IF(W218&gt;=1,999,W218/(Inputs!$D$34*(1-W218))*60)</f>
        <v>4.1751929252501148</v>
      </c>
      <c r="Y218" s="37">
        <f>MIN(1,MAX(0,(X218-Inputs!$D$36)/(Inputs!$D$37-Inputs!$D$36)))</f>
        <v>0</v>
      </c>
      <c r="Z218" s="35">
        <f>Inputs!$D$6*F218*Inputs!$D$28*(1-Inputs!$D$38*Y218)</f>
        <v>5916.7890104202797</v>
      </c>
      <c r="AA218" s="39">
        <f>Z218*Inputs!$D$13</f>
        <v>50292.706588572379</v>
      </c>
      <c r="AB218" s="39">
        <f>AA218*(1-Inputs!$D$19)</f>
        <v>30175.623953143426</v>
      </c>
      <c r="AC218" s="39">
        <f t="shared" si="12"/>
        <v>277030.3273135724</v>
      </c>
      <c r="AD218" s="39">
        <f t="shared" si="13"/>
        <v>115715.96720689343</v>
      </c>
      <c r="AE218" s="36">
        <f t="shared" si="14"/>
        <v>1.1525928099173555</v>
      </c>
      <c r="AF218" s="35">
        <f>IF(AND(AE218&lt;=Inputs!$D$35,C218&gt;=Inputs!$D$48*(A218+B218+C218),B218*Inputs!$D$22&lt;=Inputs!$D$50*Inputs!$D$8,B218*Inputs!$D$22&gt;=Inputs!$D$49*Inputs!$D$8,A218*Inputs!$D$20&lt;=Inputs!$D$47*Inputs!$D$8,C218&gt;=1),1,0)</f>
        <v>0</v>
      </c>
      <c r="AG218" s="39">
        <f t="shared" si="15"/>
        <v>-1</v>
      </c>
    </row>
    <row r="219" spans="1:33" x14ac:dyDescent="0.25">
      <c r="A219" s="35">
        <v>33</v>
      </c>
      <c r="B219" s="35">
        <v>32</v>
      </c>
      <c r="C219" s="35">
        <f>Inputs!$D$8-A219-Inputs!$D$22*B219</f>
        <v>23</v>
      </c>
      <c r="D219" s="35">
        <f>A219*Inputs!$D$20+C219*Inputs!$D$21+B219*Inputs!$D$22</f>
        <v>120</v>
      </c>
      <c r="E219" s="36">
        <f>MIN(Inputs!$E$15,Inputs!$D$15*(C219/Inputs!$D$43)^Inputs!$D$44)</f>
        <v>0.31697113078396583</v>
      </c>
      <c r="F219" s="36">
        <f>MIN(Inputs!$E$16,Inputs!$D$16*(B219/Inputs!$D$42)^Inputs!$D$44)</f>
        <v>0.46057036065052986</v>
      </c>
      <c r="G219" s="37">
        <f>Inputs!$D$26*(1+Inputs!$D$41*(B219-Inputs!$D$42))</f>
        <v>1.6800000000000002</v>
      </c>
      <c r="H219" s="35">
        <f>Inputs!$D$6*Inputs!$D$14*G219*Inputs!$D$29</f>
        <v>2110.8024000000005</v>
      </c>
      <c r="I219" s="36">
        <f>H219/(A219*Inputs!$D$32)</f>
        <v>1.1629765289256202</v>
      </c>
      <c r="J219" s="38">
        <f>IF(I219&gt;=1,999,I219/(Inputs!$D$32*(1-I219))*60)</f>
        <v>999</v>
      </c>
      <c r="K219" s="37">
        <f>MIN(1,MAX(0,(J219-Inputs!$D$36)/(Inputs!$D$37-Inputs!$D$36)))</f>
        <v>1</v>
      </c>
      <c r="L219" s="35">
        <f>Inputs!$D$6*Inputs!$D$14*G219*(1-Inputs!$D$38*K219)</f>
        <v>7739.6088000000027</v>
      </c>
      <c r="M219" s="39">
        <f>L219*Inputs!$D$11</f>
        <v>166401.58920000005</v>
      </c>
      <c r="N219" s="39">
        <f>M219*(1-Inputs!$D$17)</f>
        <v>58240.556220000013</v>
      </c>
      <c r="O219" s="35">
        <f>Inputs!$D$6*E219*Inputs!$D$27*Inputs!$D$30</f>
        <v>452.20876555972956</v>
      </c>
      <c r="P219" s="36">
        <f>O219/(C219*Inputs!$D$33)</f>
        <v>0.49153126691274951</v>
      </c>
      <c r="Q219" s="38">
        <f>IF(P219&gt;=1,999,P219/(Inputs!$D$33*(1-P219))*60)</f>
        <v>1.4500339005950402</v>
      </c>
      <c r="R219" s="37">
        <f>MIN(1,MAX(0,(Q219-Inputs!$D$36)/(Inputs!$D$37-Inputs!$D$36)))</f>
        <v>0</v>
      </c>
      <c r="S219" s="35">
        <f>Inputs!$D$6*E219*Inputs!$D$27*(1-Inputs!$D$38*R219)</f>
        <v>3768.4063796644132</v>
      </c>
      <c r="T219" s="39">
        <f>S219*Inputs!$D$12</f>
        <v>60294.502074630611</v>
      </c>
      <c r="U219" s="39">
        <f>T219*(1-Inputs!$D$18)</f>
        <v>27132.525933583773</v>
      </c>
      <c r="V219" s="35">
        <f>Inputs!$D$6*F219*Inputs!$D$28*Inputs!$D$31</f>
        <v>776.54373543410452</v>
      </c>
      <c r="W219" s="36">
        <f>V219/(B219*Inputs!$D$34)</f>
        <v>0.69334262092330756</v>
      </c>
      <c r="X219" s="38">
        <f>IF(W219&gt;=1,999,W219/(Inputs!$D$34*(1-W219))*60)</f>
        <v>3.8759457011369869</v>
      </c>
      <c r="Y219" s="37">
        <f>MIN(1,MAX(0,(X219-Inputs!$D$36)/(Inputs!$D$37-Inputs!$D$36)))</f>
        <v>0</v>
      </c>
      <c r="Z219" s="35">
        <f>Inputs!$D$6*F219*Inputs!$D$28*(1-Inputs!$D$38*Y219)</f>
        <v>5973.4133494931111</v>
      </c>
      <c r="AA219" s="39">
        <f>Z219*Inputs!$D$13</f>
        <v>50774.013470691447</v>
      </c>
      <c r="AB219" s="39">
        <f>AA219*(1-Inputs!$D$19)</f>
        <v>30464.408082414866</v>
      </c>
      <c r="AC219" s="39">
        <f t="shared" si="12"/>
        <v>277470.10474532208</v>
      </c>
      <c r="AD219" s="39">
        <f t="shared" si="13"/>
        <v>115837.49023599866</v>
      </c>
      <c r="AE219" s="36">
        <f t="shared" si="14"/>
        <v>1.1629765289256202</v>
      </c>
      <c r="AF219" s="35">
        <f>IF(AND(AE219&lt;=Inputs!$D$35,C219&gt;=Inputs!$D$48*(A219+B219+C219),B219*Inputs!$D$22&lt;=Inputs!$D$50*Inputs!$D$8,B219*Inputs!$D$22&gt;=Inputs!$D$49*Inputs!$D$8,A219*Inputs!$D$20&lt;=Inputs!$D$47*Inputs!$D$8,C219&gt;=1),1,0)</f>
        <v>0</v>
      </c>
      <c r="AG219" s="39">
        <f t="shared" si="15"/>
        <v>-1</v>
      </c>
    </row>
    <row r="220" spans="1:33" x14ac:dyDescent="0.25">
      <c r="A220" s="35">
        <v>33</v>
      </c>
      <c r="B220" s="35">
        <v>33</v>
      </c>
      <c r="C220" s="35">
        <f>Inputs!$D$8-A220-Inputs!$D$22*B220</f>
        <v>21</v>
      </c>
      <c r="D220" s="35">
        <f>A220*Inputs!$D$20+C220*Inputs!$D$21+B220*Inputs!$D$22</f>
        <v>120</v>
      </c>
      <c r="E220" s="36">
        <f>MIN(Inputs!$E$15,Inputs!$D$15*(C220/Inputs!$D$43)^Inputs!$D$44)</f>
        <v>0.30843748043226404</v>
      </c>
      <c r="F220" s="36">
        <f>MIN(Inputs!$E$16,Inputs!$D$16*(B220/Inputs!$D$42)^Inputs!$D$44)</f>
        <v>0.46484180038786721</v>
      </c>
      <c r="G220" s="37">
        <f>Inputs!$D$26*(1+Inputs!$D$41*(B220-Inputs!$D$42))</f>
        <v>1.6949999999999998</v>
      </c>
      <c r="H220" s="35">
        <f>Inputs!$D$6*Inputs!$D$14*G220*Inputs!$D$29</f>
        <v>2129.64885</v>
      </c>
      <c r="I220" s="36">
        <f>H220/(A220*Inputs!$D$32)</f>
        <v>1.1733602479338843</v>
      </c>
      <c r="J220" s="38">
        <f>IF(I220&gt;=1,999,I220/(Inputs!$D$32*(1-I220))*60)</f>
        <v>999</v>
      </c>
      <c r="K220" s="37">
        <f>MIN(1,MAX(0,(J220-Inputs!$D$36)/(Inputs!$D$37-Inputs!$D$36)))</f>
        <v>1</v>
      </c>
      <c r="L220" s="35">
        <f>Inputs!$D$6*Inputs!$D$14*G220*(1-Inputs!$D$38*K220)</f>
        <v>7808.71245</v>
      </c>
      <c r="M220" s="39">
        <f>L220*Inputs!$D$11</f>
        <v>167887.317675</v>
      </c>
      <c r="N220" s="39">
        <f>M220*(1-Inputs!$D$17)</f>
        <v>58760.561186249994</v>
      </c>
      <c r="O220" s="35">
        <f>Inputs!$D$6*E220*Inputs!$D$27*Inputs!$D$30</f>
        <v>440.03418208357215</v>
      </c>
      <c r="P220" s="36">
        <f>O220/(C220*Inputs!$D$33)</f>
        <v>0.52385021676615728</v>
      </c>
      <c r="Q220" s="38">
        <f>IF(P220&gt;=1,999,P220/(Inputs!$D$33*(1-P220))*60)</f>
        <v>1.6502692069132636</v>
      </c>
      <c r="R220" s="37">
        <f>MIN(1,MAX(0,(Q220-Inputs!$D$36)/(Inputs!$D$37-Inputs!$D$36)))</f>
        <v>0</v>
      </c>
      <c r="S220" s="35">
        <f>Inputs!$D$6*E220*Inputs!$D$27*(1-Inputs!$D$38*R220)</f>
        <v>3666.9515173631012</v>
      </c>
      <c r="T220" s="39">
        <f>S220*Inputs!$D$12</f>
        <v>58671.224277809619</v>
      </c>
      <c r="U220" s="39">
        <f>T220*(1-Inputs!$D$18)</f>
        <v>26402.050925014326</v>
      </c>
      <c r="V220" s="35">
        <f>Inputs!$D$6*F220*Inputs!$D$28*Inputs!$D$31</f>
        <v>783.74558786036266</v>
      </c>
      <c r="W220" s="36">
        <f>V220/(B220*Inputs!$D$34)</f>
        <v>0.67856760853711051</v>
      </c>
      <c r="X220" s="38">
        <f>IF(W220&gt;=1,999,W220/(Inputs!$D$34*(1-W220))*60)</f>
        <v>3.6189842355277744</v>
      </c>
      <c r="Y220" s="37">
        <f>MIN(1,MAX(0,(X220-Inputs!$D$36)/(Inputs!$D$37-Inputs!$D$36)))</f>
        <v>0</v>
      </c>
      <c r="Z220" s="35">
        <f>Inputs!$D$6*F220*Inputs!$D$28*(1-Inputs!$D$38*Y220)</f>
        <v>6028.812214310482</v>
      </c>
      <c r="AA220" s="39">
        <f>Z220*Inputs!$D$13</f>
        <v>51244.903821639098</v>
      </c>
      <c r="AB220" s="39">
        <f>AA220*(1-Inputs!$D$19)</f>
        <v>30746.942292983458</v>
      </c>
      <c r="AC220" s="39">
        <f t="shared" si="12"/>
        <v>277803.44577444869</v>
      </c>
      <c r="AD220" s="39">
        <f t="shared" si="13"/>
        <v>115909.55440424777</v>
      </c>
      <c r="AE220" s="36">
        <f t="shared" si="14"/>
        <v>1.1733602479338843</v>
      </c>
      <c r="AF220" s="35">
        <f>IF(AND(AE220&lt;=Inputs!$D$35,C220&gt;=Inputs!$D$48*(A220+B220+C220),B220*Inputs!$D$22&lt;=Inputs!$D$50*Inputs!$D$8,B220*Inputs!$D$22&gt;=Inputs!$D$49*Inputs!$D$8,A220*Inputs!$D$20&lt;=Inputs!$D$47*Inputs!$D$8,C220&gt;=1),1,0)</f>
        <v>0</v>
      </c>
      <c r="AG220" s="39">
        <f t="shared" si="15"/>
        <v>-1</v>
      </c>
    </row>
    <row r="221" spans="1:33" x14ac:dyDescent="0.25">
      <c r="A221" s="35">
        <v>34</v>
      </c>
      <c r="B221" s="35">
        <v>10</v>
      </c>
      <c r="C221" s="35">
        <f>Inputs!$D$8-A221-Inputs!$D$22*B221</f>
        <v>66</v>
      </c>
      <c r="D221" s="35">
        <f>A221*Inputs!$D$20+C221*Inputs!$D$21+B221*Inputs!$D$22</f>
        <v>120</v>
      </c>
      <c r="E221" s="36">
        <f>MIN(Inputs!$E$15,Inputs!$D$15*(C221/Inputs!$D$43)^Inputs!$D$44)</f>
        <v>0.4</v>
      </c>
      <c r="F221" s="36">
        <f>MIN(Inputs!$E$16,Inputs!$D$16*(B221/Inputs!$D$42)^Inputs!$D$44)</f>
        <v>0.32490095854249423</v>
      </c>
      <c r="G221" s="37">
        <f>Inputs!$D$26*(1+Inputs!$D$41*(B221-Inputs!$D$42))</f>
        <v>1.35</v>
      </c>
      <c r="H221" s="35">
        <f>Inputs!$D$6*Inputs!$D$14*G221*Inputs!$D$29</f>
        <v>1696.1805000000004</v>
      </c>
      <c r="I221" s="36">
        <f>H221/(A221*Inputs!$D$32)</f>
        <v>0.9070483957219253</v>
      </c>
      <c r="J221" s="38">
        <f>IF(I221&gt;=1,999,I221/(Inputs!$D$32*(1-I221))*60)</f>
        <v>10.645403578267864</v>
      </c>
      <c r="K221" s="37">
        <f>MIN(1,MAX(0,(J221-Inputs!$D$36)/(Inputs!$D$37-Inputs!$D$36)))</f>
        <v>0.37636023855119094</v>
      </c>
      <c r="L221" s="35">
        <f>Inputs!$D$6*Inputs!$D$14*G221*(1-Inputs!$D$38*K221)</f>
        <v>9392.7453071823675</v>
      </c>
      <c r="M221" s="39">
        <f>L221*Inputs!$D$11</f>
        <v>201944.02410442091</v>
      </c>
      <c r="N221" s="39">
        <f>M221*(1-Inputs!$D$17)</f>
        <v>70680.40843654731</v>
      </c>
      <c r="O221" s="35">
        <f>Inputs!$D$6*E221*Inputs!$D$27*Inputs!$D$30</f>
        <v>570.66240000000005</v>
      </c>
      <c r="P221" s="36">
        <f>O221/(C221*Inputs!$D$33)</f>
        <v>0.21616000000000002</v>
      </c>
      <c r="Q221" s="38">
        <f>IF(P221&gt;=1,999,P221/(Inputs!$D$33*(1-P221))*60)</f>
        <v>0.41365584813227191</v>
      </c>
      <c r="R221" s="37">
        <f>MIN(1,MAX(0,(Q221-Inputs!$D$36)/(Inputs!$D$37-Inputs!$D$36)))</f>
        <v>0</v>
      </c>
      <c r="S221" s="35">
        <f>Inputs!$D$6*E221*Inputs!$D$27*(1-Inputs!$D$38*R221)</f>
        <v>4755.5200000000004</v>
      </c>
      <c r="T221" s="39">
        <f>S221*Inputs!$D$12</f>
        <v>76088.320000000007</v>
      </c>
      <c r="U221" s="39">
        <f>T221*(1-Inputs!$D$18)</f>
        <v>34239.743999999999</v>
      </c>
      <c r="V221" s="35">
        <f>Inputs!$D$6*F221*Inputs!$D$28*Inputs!$D$31</f>
        <v>547.7986113486553</v>
      </c>
      <c r="W221" s="36">
        <f>V221/(B221*Inputs!$D$34)</f>
        <v>1.5651388895675866</v>
      </c>
      <c r="X221" s="38">
        <f>IF(W221&gt;=1,999,W221/(Inputs!$D$34*(1-W221))*60)</f>
        <v>999</v>
      </c>
      <c r="Y221" s="37">
        <f>MIN(1,MAX(0,(X221-Inputs!$D$36)/(Inputs!$D$37-Inputs!$D$36)))</f>
        <v>1</v>
      </c>
      <c r="Z221" s="35">
        <f>Inputs!$D$6*F221*Inputs!$D$28*(1-Inputs!$D$38*Y221)</f>
        <v>2317.6095095520031</v>
      </c>
      <c r="AA221" s="39">
        <f>Z221*Inputs!$D$13</f>
        <v>19699.680831192025</v>
      </c>
      <c r="AB221" s="39">
        <f>AA221*(1-Inputs!$D$19)</f>
        <v>11819.808498715214</v>
      </c>
      <c r="AC221" s="39">
        <f t="shared" si="12"/>
        <v>297732.02493561292</v>
      </c>
      <c r="AD221" s="39">
        <f t="shared" si="13"/>
        <v>116739.96093526251</v>
      </c>
      <c r="AE221" s="36">
        <f t="shared" si="14"/>
        <v>1.5651388895675866</v>
      </c>
      <c r="AF221" s="35">
        <f>IF(AND(AE221&lt;=Inputs!$D$35,C221&gt;=Inputs!$D$48*(A221+B221+C221),B221*Inputs!$D$22&lt;=Inputs!$D$50*Inputs!$D$8,B221*Inputs!$D$22&gt;=Inputs!$D$49*Inputs!$D$8,A221*Inputs!$D$20&lt;=Inputs!$D$47*Inputs!$D$8,C221&gt;=1),1,0)</f>
        <v>0</v>
      </c>
      <c r="AG221" s="39">
        <f t="shared" si="15"/>
        <v>-1</v>
      </c>
    </row>
    <row r="222" spans="1:33" x14ac:dyDescent="0.25">
      <c r="A222" s="35">
        <v>34</v>
      </c>
      <c r="B222" s="35">
        <v>11</v>
      </c>
      <c r="C222" s="35">
        <f>Inputs!$D$8-A222-Inputs!$D$22*B222</f>
        <v>64</v>
      </c>
      <c r="D222" s="35">
        <f>A222*Inputs!$D$20+C222*Inputs!$D$21+B222*Inputs!$D$22</f>
        <v>120</v>
      </c>
      <c r="E222" s="36">
        <f>MIN(Inputs!$E$15,Inputs!$D$15*(C222/Inputs!$D$43)^Inputs!$D$44)</f>
        <v>0.4</v>
      </c>
      <c r="F222" s="36">
        <f>MIN(Inputs!$E$16,Inputs!$D$16*(B222/Inputs!$D$42)^Inputs!$D$44)</f>
        <v>0.33432495758166098</v>
      </c>
      <c r="G222" s="37">
        <f>Inputs!$D$26*(1+Inputs!$D$41*(B222-Inputs!$D$42))</f>
        <v>1.365</v>
      </c>
      <c r="H222" s="35">
        <f>Inputs!$D$6*Inputs!$D$14*G222*Inputs!$D$29</f>
        <v>1715.0269500000002</v>
      </c>
      <c r="I222" s="36">
        <f>H222/(A222*Inputs!$D$32)</f>
        <v>0.9171267112299466</v>
      </c>
      <c r="J222" s="38">
        <f>IF(I222&gt;=1,999,I222/(Inputs!$D$32*(1-I222))*60)</f>
        <v>12.072669995906338</v>
      </c>
      <c r="K222" s="37">
        <f>MIN(1,MAX(0,(J222-Inputs!$D$36)/(Inputs!$D$37-Inputs!$D$36)))</f>
        <v>0.47151133306042253</v>
      </c>
      <c r="L222" s="35">
        <f>Inputs!$D$6*Inputs!$D$14*G222*(1-Inputs!$D$38*K222)</f>
        <v>9007.5490697128498</v>
      </c>
      <c r="M222" s="39">
        <f>L222*Inputs!$D$11</f>
        <v>193662.30499882626</v>
      </c>
      <c r="N222" s="39">
        <f>M222*(1-Inputs!$D$17)</f>
        <v>67781.806749589188</v>
      </c>
      <c r="O222" s="35">
        <f>Inputs!$D$6*E222*Inputs!$D$27*Inputs!$D$30</f>
        <v>570.66240000000005</v>
      </c>
      <c r="P222" s="36">
        <f>O222/(C222*Inputs!$D$33)</f>
        <v>0.22291500000000003</v>
      </c>
      <c r="Q222" s="38">
        <f>IF(P222&gt;=1,999,P222/(Inputs!$D$33*(1-P222))*60)</f>
        <v>0.43029076613240513</v>
      </c>
      <c r="R222" s="37">
        <f>MIN(1,MAX(0,(Q222-Inputs!$D$36)/(Inputs!$D$37-Inputs!$D$36)))</f>
        <v>0</v>
      </c>
      <c r="S222" s="35">
        <f>Inputs!$D$6*E222*Inputs!$D$27*(1-Inputs!$D$38*R222)</f>
        <v>4755.5200000000004</v>
      </c>
      <c r="T222" s="39">
        <f>S222*Inputs!$D$12</f>
        <v>76088.320000000007</v>
      </c>
      <c r="U222" s="39">
        <f>T222*(1-Inputs!$D$18)</f>
        <v>34239.743999999999</v>
      </c>
      <c r="V222" s="35">
        <f>Inputs!$D$6*F222*Inputs!$D$28*Inputs!$D$31</f>
        <v>563.68792608064427</v>
      </c>
      <c r="W222" s="36">
        <f>V222/(B222*Inputs!$D$34)</f>
        <v>1.4641244833263487</v>
      </c>
      <c r="X222" s="38">
        <f>IF(W222&gt;=1,999,W222/(Inputs!$D$34*(1-W222))*60)</f>
        <v>999</v>
      </c>
      <c r="Y222" s="37">
        <f>MIN(1,MAX(0,(X222-Inputs!$D$36)/(Inputs!$D$37-Inputs!$D$36)))</f>
        <v>1</v>
      </c>
      <c r="Z222" s="35">
        <f>Inputs!$D$6*F222*Inputs!$D$28*(1-Inputs!$D$38*Y222)</f>
        <v>2384.8335334181106</v>
      </c>
      <c r="AA222" s="39">
        <f>Z222*Inputs!$D$13</f>
        <v>20271.08503405394</v>
      </c>
      <c r="AB222" s="39">
        <f>AA222*(1-Inputs!$D$19)</f>
        <v>12162.651020432364</v>
      </c>
      <c r="AC222" s="39">
        <f t="shared" si="12"/>
        <v>290021.71003288025</v>
      </c>
      <c r="AD222" s="39">
        <f t="shared" si="13"/>
        <v>114184.20177002155</v>
      </c>
      <c r="AE222" s="36">
        <f t="shared" si="14"/>
        <v>1.4641244833263487</v>
      </c>
      <c r="AF222" s="35">
        <f>IF(AND(AE222&lt;=Inputs!$D$35,C222&gt;=Inputs!$D$48*(A222+B222+C222),B222*Inputs!$D$22&lt;=Inputs!$D$50*Inputs!$D$8,B222*Inputs!$D$22&gt;=Inputs!$D$49*Inputs!$D$8,A222*Inputs!$D$20&lt;=Inputs!$D$47*Inputs!$D$8,C222&gt;=1),1,0)</f>
        <v>0</v>
      </c>
      <c r="AG222" s="39">
        <f t="shared" si="15"/>
        <v>-1</v>
      </c>
    </row>
    <row r="223" spans="1:33" x14ac:dyDescent="0.25">
      <c r="A223" s="35">
        <v>34</v>
      </c>
      <c r="B223" s="35">
        <v>12</v>
      </c>
      <c r="C223" s="35">
        <f>Inputs!$D$8-A223-Inputs!$D$22*B223</f>
        <v>62</v>
      </c>
      <c r="D223" s="35">
        <f>A223*Inputs!$D$20+C223*Inputs!$D$21+B223*Inputs!$D$22</f>
        <v>120</v>
      </c>
      <c r="E223" s="36">
        <f>MIN(Inputs!$E$15,Inputs!$D$15*(C223/Inputs!$D$43)^Inputs!$D$44)</f>
        <v>0.4</v>
      </c>
      <c r="F223" s="36">
        <f>MIN(Inputs!$E$16,Inputs!$D$16*(B223/Inputs!$D$42)^Inputs!$D$44)</f>
        <v>0.34316688017763797</v>
      </c>
      <c r="G223" s="37">
        <f>Inputs!$D$26*(1+Inputs!$D$41*(B223-Inputs!$D$42))</f>
        <v>1.3800000000000001</v>
      </c>
      <c r="H223" s="35">
        <f>Inputs!$D$6*Inputs!$D$14*G223*Inputs!$D$29</f>
        <v>1733.8734000000004</v>
      </c>
      <c r="I223" s="36">
        <f>H223/(A223*Inputs!$D$32)</f>
        <v>0.92720502673796812</v>
      </c>
      <c r="J223" s="38">
        <f>IF(I223&gt;=1,999,I223/(Inputs!$D$32*(1-I223))*60)</f>
        <v>13.895140659837683</v>
      </c>
      <c r="K223" s="37">
        <f>MIN(1,MAX(0,(J223-Inputs!$D$36)/(Inputs!$D$37-Inputs!$D$36)))</f>
        <v>0.59300937732251213</v>
      </c>
      <c r="L223" s="35">
        <f>Inputs!$D$6*Inputs!$D$14*G223*(1-Inputs!$D$38*K223)</f>
        <v>8474.5464441298009</v>
      </c>
      <c r="M223" s="39">
        <f>L223*Inputs!$D$11</f>
        <v>182202.74854879073</v>
      </c>
      <c r="N223" s="39">
        <f>M223*(1-Inputs!$D$17)</f>
        <v>63770.961992076751</v>
      </c>
      <c r="O223" s="35">
        <f>Inputs!$D$6*E223*Inputs!$D$27*Inputs!$D$30</f>
        <v>570.66240000000005</v>
      </c>
      <c r="P223" s="36">
        <f>O223/(C223*Inputs!$D$33)</f>
        <v>0.23010580645161291</v>
      </c>
      <c r="Q223" s="38">
        <f>IF(P223&gt;=1,999,P223/(Inputs!$D$33*(1-P223))*60)</f>
        <v>0.44831966855939992</v>
      </c>
      <c r="R223" s="37">
        <f>MIN(1,MAX(0,(Q223-Inputs!$D$36)/(Inputs!$D$37-Inputs!$D$36)))</f>
        <v>0</v>
      </c>
      <c r="S223" s="35">
        <f>Inputs!$D$6*E223*Inputs!$D$27*(1-Inputs!$D$38*R223)</f>
        <v>4755.5200000000004</v>
      </c>
      <c r="T223" s="39">
        <f>S223*Inputs!$D$12</f>
        <v>76088.320000000007</v>
      </c>
      <c r="U223" s="39">
        <f>T223*(1-Inputs!$D$18)</f>
        <v>34239.743999999999</v>
      </c>
      <c r="V223" s="35">
        <f>Inputs!$D$6*F223*Inputs!$D$28*Inputs!$D$31</f>
        <v>578.5958319897461</v>
      </c>
      <c r="W223" s="36">
        <f>V223/(B223*Inputs!$D$34)</f>
        <v>1.3776091237851098</v>
      </c>
      <c r="X223" s="38">
        <f>IF(W223&gt;=1,999,W223/(Inputs!$D$34*(1-W223))*60)</f>
        <v>999</v>
      </c>
      <c r="Y223" s="37">
        <f>MIN(1,MAX(0,(X223-Inputs!$D$36)/(Inputs!$D$37-Inputs!$D$36)))</f>
        <v>1</v>
      </c>
      <c r="Z223" s="35">
        <f>Inputs!$D$6*F223*Inputs!$D$28*(1-Inputs!$D$38*Y223)</f>
        <v>2447.9054430335414</v>
      </c>
      <c r="AA223" s="39">
        <f>Z223*Inputs!$D$13</f>
        <v>20807.1962657851</v>
      </c>
      <c r="AB223" s="39">
        <f>AA223*(1-Inputs!$D$19)</f>
        <v>12484.31775947106</v>
      </c>
      <c r="AC223" s="39">
        <f t="shared" si="12"/>
        <v>279098.26481457584</v>
      </c>
      <c r="AD223" s="39">
        <f t="shared" si="13"/>
        <v>110495.02375154781</v>
      </c>
      <c r="AE223" s="36">
        <f t="shared" si="14"/>
        <v>1.3776091237851098</v>
      </c>
      <c r="AF223" s="35">
        <f>IF(AND(AE223&lt;=Inputs!$D$35,C223&gt;=Inputs!$D$48*(A223+B223+C223),B223*Inputs!$D$22&lt;=Inputs!$D$50*Inputs!$D$8,B223*Inputs!$D$22&gt;=Inputs!$D$49*Inputs!$D$8,A223*Inputs!$D$20&lt;=Inputs!$D$47*Inputs!$D$8,C223&gt;=1),1,0)</f>
        <v>0</v>
      </c>
      <c r="AG223" s="39">
        <f t="shared" si="15"/>
        <v>-1</v>
      </c>
    </row>
    <row r="224" spans="1:33" x14ac:dyDescent="0.25">
      <c r="A224" s="35">
        <v>34</v>
      </c>
      <c r="B224" s="35">
        <v>13</v>
      </c>
      <c r="C224" s="35">
        <f>Inputs!$D$8-A224-Inputs!$D$22*B224</f>
        <v>60</v>
      </c>
      <c r="D224" s="35">
        <f>A224*Inputs!$D$20+C224*Inputs!$D$21+B224*Inputs!$D$22</f>
        <v>120</v>
      </c>
      <c r="E224" s="36">
        <f>MIN(Inputs!$E$15,Inputs!$D$15*(C224/Inputs!$D$43)^Inputs!$D$44)</f>
        <v>0.4</v>
      </c>
      <c r="F224" s="36">
        <f>MIN(Inputs!$E$16,Inputs!$D$16*(B224/Inputs!$D$42)^Inputs!$D$44)</f>
        <v>0.35150701637190523</v>
      </c>
      <c r="G224" s="37">
        <f>Inputs!$D$26*(1+Inputs!$D$41*(B224-Inputs!$D$42))</f>
        <v>1.395</v>
      </c>
      <c r="H224" s="35">
        <f>Inputs!$D$6*Inputs!$D$14*G224*Inputs!$D$29</f>
        <v>1752.7198500000002</v>
      </c>
      <c r="I224" s="36">
        <f>H224/(A224*Inputs!$D$32)</f>
        <v>0.93728334224598941</v>
      </c>
      <c r="J224" s="38">
        <f>IF(I224&gt;=1,999,I224/(Inputs!$D$32*(1-I224))*60)</f>
        <v>16.303338784797099</v>
      </c>
      <c r="K224" s="37">
        <f>MIN(1,MAX(0,(J224-Inputs!$D$36)/(Inputs!$D$37-Inputs!$D$36)))</f>
        <v>0.75355591898647323</v>
      </c>
      <c r="L224" s="35">
        <f>Inputs!$D$6*Inputs!$D$14*G224*(1-Inputs!$D$38*K224)</f>
        <v>7722.481748122249</v>
      </c>
      <c r="M224" s="39">
        <f>L224*Inputs!$D$11</f>
        <v>166033.35758462836</v>
      </c>
      <c r="N224" s="39">
        <f>M224*(1-Inputs!$D$17)</f>
        <v>58111.675154619923</v>
      </c>
      <c r="O224" s="35">
        <f>Inputs!$D$6*E224*Inputs!$D$27*Inputs!$D$30</f>
        <v>570.66240000000005</v>
      </c>
      <c r="P224" s="36">
        <f>O224/(C224*Inputs!$D$33)</f>
        <v>0.23777600000000002</v>
      </c>
      <c r="Q224" s="38">
        <f>IF(P224&gt;=1,999,P224/(Inputs!$D$33*(1-P224))*60)</f>
        <v>0.46792543924095809</v>
      </c>
      <c r="R224" s="37">
        <f>MIN(1,MAX(0,(Q224-Inputs!$D$36)/(Inputs!$D$37-Inputs!$D$36)))</f>
        <v>0</v>
      </c>
      <c r="S224" s="35">
        <f>Inputs!$D$6*E224*Inputs!$D$27*(1-Inputs!$D$38*R224)</f>
        <v>4755.5200000000004</v>
      </c>
      <c r="T224" s="39">
        <f>S224*Inputs!$D$12</f>
        <v>76088.320000000007</v>
      </c>
      <c r="U224" s="39">
        <f>T224*(1-Inputs!$D$18)</f>
        <v>34239.743999999999</v>
      </c>
      <c r="V224" s="35">
        <f>Inputs!$D$6*F224*Inputs!$D$28*Inputs!$D$31</f>
        <v>592.65770193981814</v>
      </c>
      <c r="W224" s="36">
        <f>V224/(B224*Inputs!$D$34)</f>
        <v>1.3025443998677322</v>
      </c>
      <c r="X224" s="38">
        <f>IF(W224&gt;=1,999,W224/(Inputs!$D$34*(1-W224))*60)</f>
        <v>999</v>
      </c>
      <c r="Y224" s="37">
        <f>MIN(1,MAX(0,(X224-Inputs!$D$36)/(Inputs!$D$37-Inputs!$D$36)))</f>
        <v>1</v>
      </c>
      <c r="Z224" s="35">
        <f>Inputs!$D$6*F224*Inputs!$D$28*(1-Inputs!$D$38*Y224)</f>
        <v>2507.3979697453847</v>
      </c>
      <c r="AA224" s="39">
        <f>Z224*Inputs!$D$13</f>
        <v>21312.882742835769</v>
      </c>
      <c r="AB224" s="39">
        <f>AA224*(1-Inputs!$D$19)</f>
        <v>12787.729645701462</v>
      </c>
      <c r="AC224" s="39">
        <f t="shared" si="12"/>
        <v>263434.56032746413</v>
      </c>
      <c r="AD224" s="39">
        <f t="shared" si="13"/>
        <v>105139.14880032137</v>
      </c>
      <c r="AE224" s="36">
        <f t="shared" si="14"/>
        <v>1.3025443998677322</v>
      </c>
      <c r="AF224" s="35">
        <f>IF(AND(AE224&lt;=Inputs!$D$35,C224&gt;=Inputs!$D$48*(A224+B224+C224),B224*Inputs!$D$22&lt;=Inputs!$D$50*Inputs!$D$8,B224*Inputs!$D$22&gt;=Inputs!$D$49*Inputs!$D$8,A224*Inputs!$D$20&lt;=Inputs!$D$47*Inputs!$D$8,C224&gt;=1),1,0)</f>
        <v>0</v>
      </c>
      <c r="AG224" s="39">
        <f t="shared" si="15"/>
        <v>-1</v>
      </c>
    </row>
    <row r="225" spans="1:33" x14ac:dyDescent="0.25">
      <c r="A225" s="35">
        <v>34</v>
      </c>
      <c r="B225" s="35">
        <v>14</v>
      </c>
      <c r="C225" s="35">
        <f>Inputs!$D$8-A225-Inputs!$D$22*B225</f>
        <v>58</v>
      </c>
      <c r="D225" s="35">
        <f>A225*Inputs!$D$20+C225*Inputs!$D$21+B225*Inputs!$D$22</f>
        <v>120</v>
      </c>
      <c r="E225" s="36">
        <f>MIN(Inputs!$E$15,Inputs!$D$15*(C225/Inputs!$D$43)^Inputs!$D$44)</f>
        <v>0.4</v>
      </c>
      <c r="F225" s="36">
        <f>MIN(Inputs!$E$16,Inputs!$D$16*(B225/Inputs!$D$42)^Inputs!$D$44)</f>
        <v>0.35940937671625589</v>
      </c>
      <c r="G225" s="37">
        <f>Inputs!$D$26*(1+Inputs!$D$41*(B225-Inputs!$D$42))</f>
        <v>1.41</v>
      </c>
      <c r="H225" s="35">
        <f>Inputs!$D$6*Inputs!$D$14*G225*Inputs!$D$29</f>
        <v>1771.5663000000002</v>
      </c>
      <c r="I225" s="36">
        <f>H225/(A225*Inputs!$D$32)</f>
        <v>0.94736165775401082</v>
      </c>
      <c r="J225" s="38">
        <f>IF(I225&gt;=1,999,I225/(Inputs!$D$32*(1-I225))*60)</f>
        <v>19.633700468621893</v>
      </c>
      <c r="K225" s="37">
        <f>MIN(1,MAX(0,(J225-Inputs!$D$36)/(Inputs!$D$37-Inputs!$D$36)))</f>
        <v>0.97558003124145953</v>
      </c>
      <c r="L225" s="35">
        <f>Inputs!$D$6*Inputs!$D$14*G225*(1-Inputs!$D$38*K225)</f>
        <v>6625.5278810990503</v>
      </c>
      <c r="M225" s="39">
        <f>L225*Inputs!$D$11</f>
        <v>142448.84944362959</v>
      </c>
      <c r="N225" s="39">
        <f>M225*(1-Inputs!$D$17)</f>
        <v>49857.097305270356</v>
      </c>
      <c r="O225" s="35">
        <f>Inputs!$D$6*E225*Inputs!$D$27*Inputs!$D$30</f>
        <v>570.66240000000005</v>
      </c>
      <c r="P225" s="36">
        <f>O225/(C225*Inputs!$D$33)</f>
        <v>0.24597517241379313</v>
      </c>
      <c r="Q225" s="38">
        <f>IF(P225&gt;=1,999,P225/(Inputs!$D$33*(1-P225))*60)</f>
        <v>0.48932441628191153</v>
      </c>
      <c r="R225" s="37">
        <f>MIN(1,MAX(0,(Q225-Inputs!$D$36)/(Inputs!$D$37-Inputs!$D$36)))</f>
        <v>0</v>
      </c>
      <c r="S225" s="35">
        <f>Inputs!$D$6*E225*Inputs!$D$27*(1-Inputs!$D$38*R225)</f>
        <v>4755.5200000000004</v>
      </c>
      <c r="T225" s="39">
        <f>S225*Inputs!$D$12</f>
        <v>76088.320000000007</v>
      </c>
      <c r="U225" s="39">
        <f>T225*(1-Inputs!$D$18)</f>
        <v>34239.743999999999</v>
      </c>
      <c r="V225" s="35">
        <f>Inputs!$D$6*F225*Inputs!$D$28*Inputs!$D$31</f>
        <v>605.98146079368973</v>
      </c>
      <c r="W225" s="36">
        <f>V225/(B225*Inputs!$D$34)</f>
        <v>1.2366968587626321</v>
      </c>
      <c r="X225" s="38">
        <f>IF(W225&gt;=1,999,W225/(Inputs!$D$34*(1-W225))*60)</f>
        <v>999</v>
      </c>
      <c r="Y225" s="37">
        <f>MIN(1,MAX(0,(X225-Inputs!$D$36)/(Inputs!$D$37-Inputs!$D$36)))</f>
        <v>1</v>
      </c>
      <c r="Z225" s="35">
        <f>Inputs!$D$6*F225*Inputs!$D$28*(1-Inputs!$D$38*Y225)</f>
        <v>2563.7677187425338</v>
      </c>
      <c r="AA225" s="39">
        <f>Z225*Inputs!$D$13</f>
        <v>21792.025609311539</v>
      </c>
      <c r="AB225" s="39">
        <f>AA225*(1-Inputs!$D$19)</f>
        <v>13075.215365586922</v>
      </c>
      <c r="AC225" s="39">
        <f t="shared" si="12"/>
        <v>240329.19505294113</v>
      </c>
      <c r="AD225" s="39">
        <f t="shared" si="13"/>
        <v>97172.056670857273</v>
      </c>
      <c r="AE225" s="36">
        <f t="shared" si="14"/>
        <v>1.2366968587626321</v>
      </c>
      <c r="AF225" s="35">
        <f>IF(AND(AE225&lt;=Inputs!$D$35,C225&gt;=Inputs!$D$48*(A225+B225+C225),B225*Inputs!$D$22&lt;=Inputs!$D$50*Inputs!$D$8,B225*Inputs!$D$22&gt;=Inputs!$D$49*Inputs!$D$8,A225*Inputs!$D$20&lt;=Inputs!$D$47*Inputs!$D$8,C225&gt;=1),1,0)</f>
        <v>0</v>
      </c>
      <c r="AG225" s="39">
        <f t="shared" si="15"/>
        <v>-1</v>
      </c>
    </row>
    <row r="226" spans="1:33" x14ac:dyDescent="0.25">
      <c r="A226" s="35">
        <v>34</v>
      </c>
      <c r="B226" s="35">
        <v>15</v>
      </c>
      <c r="C226" s="35">
        <f>Inputs!$D$8-A226-Inputs!$D$22*B226</f>
        <v>56</v>
      </c>
      <c r="D226" s="35">
        <f>A226*Inputs!$D$20+C226*Inputs!$D$21+B226*Inputs!$D$22</f>
        <v>120</v>
      </c>
      <c r="E226" s="36">
        <f>MIN(Inputs!$E$15,Inputs!$D$15*(C226/Inputs!$D$43)^Inputs!$D$44)</f>
        <v>0.4</v>
      </c>
      <c r="F226" s="36">
        <f>MIN(Inputs!$E$16,Inputs!$D$16*(B226/Inputs!$D$42)^Inputs!$D$44)</f>
        <v>0.36692590185696072</v>
      </c>
      <c r="G226" s="37">
        <f>Inputs!$D$26*(1+Inputs!$D$41*(B226-Inputs!$D$42))</f>
        <v>1.4249999999999998</v>
      </c>
      <c r="H226" s="35">
        <f>Inputs!$D$6*Inputs!$D$14*G226*Inputs!$D$29</f>
        <v>1790.4127499999997</v>
      </c>
      <c r="I226" s="36">
        <f>H226/(A226*Inputs!$D$32)</f>
        <v>0.9574399732620319</v>
      </c>
      <c r="J226" s="38">
        <f>IF(I226&gt;=1,999,I226/(Inputs!$D$32*(1-I226))*60)</f>
        <v>24.541337280211799</v>
      </c>
      <c r="K226" s="37">
        <f>MIN(1,MAX(0,(J226-Inputs!$D$36)/(Inputs!$D$37-Inputs!$D$36)))</f>
        <v>1</v>
      </c>
      <c r="L226" s="35">
        <f>Inputs!$D$6*Inputs!$D$14*G226*(1-Inputs!$D$38*K226)</f>
        <v>6564.8467499999997</v>
      </c>
      <c r="M226" s="39">
        <f>L226*Inputs!$D$11</f>
        <v>141144.20512500001</v>
      </c>
      <c r="N226" s="39">
        <f>M226*(1-Inputs!$D$17)</f>
        <v>49400.471793750003</v>
      </c>
      <c r="O226" s="35">
        <f>Inputs!$D$6*E226*Inputs!$D$27*Inputs!$D$30</f>
        <v>570.66240000000005</v>
      </c>
      <c r="P226" s="36">
        <f>O226/(C226*Inputs!$D$33)</f>
        <v>0.25476000000000004</v>
      </c>
      <c r="Q226" s="38">
        <f>IF(P226&gt;=1,999,P226/(Inputs!$D$33*(1-P226))*60)</f>
        <v>0.51277440824432408</v>
      </c>
      <c r="R226" s="37">
        <f>MIN(1,MAX(0,(Q226-Inputs!$D$36)/(Inputs!$D$37-Inputs!$D$36)))</f>
        <v>0</v>
      </c>
      <c r="S226" s="35">
        <f>Inputs!$D$6*E226*Inputs!$D$27*(1-Inputs!$D$38*R226)</f>
        <v>4755.5200000000004</v>
      </c>
      <c r="T226" s="39">
        <f>S226*Inputs!$D$12</f>
        <v>76088.320000000007</v>
      </c>
      <c r="U226" s="39">
        <f>T226*(1-Inputs!$D$18)</f>
        <v>34239.743999999999</v>
      </c>
      <c r="V226" s="35">
        <f>Inputs!$D$6*F226*Inputs!$D$28*Inputs!$D$31</f>
        <v>618.65468297412497</v>
      </c>
      <c r="W226" s="36">
        <f>V226/(B226*Inputs!$D$34)</f>
        <v>1.1783898723316666</v>
      </c>
      <c r="X226" s="38">
        <f>IF(W226&gt;=1,999,W226/(Inputs!$D$34*(1-W226))*60)</f>
        <v>999</v>
      </c>
      <c r="Y226" s="37">
        <f>MIN(1,MAX(0,(X226-Inputs!$D$36)/(Inputs!$D$37-Inputs!$D$36)))</f>
        <v>1</v>
      </c>
      <c r="Z226" s="35">
        <f>Inputs!$D$6*F226*Inputs!$D$28*(1-Inputs!$D$38*Y226)</f>
        <v>2617.3851971982212</v>
      </c>
      <c r="AA226" s="39">
        <f>Z226*Inputs!$D$13</f>
        <v>22247.774176184881</v>
      </c>
      <c r="AB226" s="39">
        <f>AA226*(1-Inputs!$D$19)</f>
        <v>13348.664505710929</v>
      </c>
      <c r="AC226" s="39">
        <f t="shared" si="12"/>
        <v>239480.29930118489</v>
      </c>
      <c r="AD226" s="39">
        <f t="shared" si="13"/>
        <v>96988.880299460929</v>
      </c>
      <c r="AE226" s="36">
        <f t="shared" si="14"/>
        <v>1.1783898723316666</v>
      </c>
      <c r="AF226" s="35">
        <f>IF(AND(AE226&lt;=Inputs!$D$35,C226&gt;=Inputs!$D$48*(A226+B226+C226),B226*Inputs!$D$22&lt;=Inputs!$D$50*Inputs!$D$8,B226*Inputs!$D$22&gt;=Inputs!$D$49*Inputs!$D$8,A226*Inputs!$D$20&lt;=Inputs!$D$47*Inputs!$D$8,C226&gt;=1),1,0)</f>
        <v>0</v>
      </c>
      <c r="AG226" s="39">
        <f t="shared" si="15"/>
        <v>-1</v>
      </c>
    </row>
    <row r="227" spans="1:33" x14ac:dyDescent="0.25">
      <c r="A227" s="35">
        <v>34</v>
      </c>
      <c r="B227" s="35">
        <v>16</v>
      </c>
      <c r="C227" s="35">
        <f>Inputs!$D$8-A227-Inputs!$D$22*B227</f>
        <v>54</v>
      </c>
      <c r="D227" s="35">
        <f>A227*Inputs!$D$20+C227*Inputs!$D$21+B227*Inputs!$D$22</f>
        <v>120</v>
      </c>
      <c r="E227" s="36">
        <f>MIN(Inputs!$E$15,Inputs!$D$15*(C227/Inputs!$D$43)^Inputs!$D$44)</f>
        <v>0.4</v>
      </c>
      <c r="F227" s="36">
        <f>MIN(Inputs!$E$16,Inputs!$D$16*(B227/Inputs!$D$42)^Inputs!$D$44)</f>
        <v>0.37409937912904856</v>
      </c>
      <c r="G227" s="37">
        <f>Inputs!$D$26*(1+Inputs!$D$41*(B227-Inputs!$D$42))</f>
        <v>1.44</v>
      </c>
      <c r="H227" s="35">
        <f>Inputs!$D$6*Inputs!$D$14*G227*Inputs!$D$29</f>
        <v>1809.2592000000002</v>
      </c>
      <c r="I227" s="36">
        <f>H227/(A227*Inputs!$D$32)</f>
        <v>0.96751828877005353</v>
      </c>
      <c r="J227" s="38">
        <f>IF(I227&gt;=1,999,I227/(Inputs!$D$32*(1-I227))*60)</f>
        <v>32.494423996570873</v>
      </c>
      <c r="K227" s="37">
        <f>MIN(1,MAX(0,(J227-Inputs!$D$36)/(Inputs!$D$37-Inputs!$D$36)))</f>
        <v>1</v>
      </c>
      <c r="L227" s="35">
        <f>Inputs!$D$6*Inputs!$D$14*G227*(1-Inputs!$D$38*K227)</f>
        <v>6633.9504000000006</v>
      </c>
      <c r="M227" s="39">
        <f>L227*Inputs!$D$11</f>
        <v>142629.93360000002</v>
      </c>
      <c r="N227" s="39">
        <f>M227*(1-Inputs!$D$17)</f>
        <v>49920.476760000005</v>
      </c>
      <c r="O227" s="35">
        <f>Inputs!$D$6*E227*Inputs!$D$27*Inputs!$D$30</f>
        <v>570.66240000000005</v>
      </c>
      <c r="P227" s="36">
        <f>O227/(C227*Inputs!$D$33)</f>
        <v>0.26419555555555557</v>
      </c>
      <c r="Q227" s="38">
        <f>IF(P227&gt;=1,999,P227/(Inputs!$D$33*(1-P227))*60)</f>
        <v>0.53858513131508379</v>
      </c>
      <c r="R227" s="37">
        <f>MIN(1,MAX(0,(Q227-Inputs!$D$36)/(Inputs!$D$37-Inputs!$D$36)))</f>
        <v>0</v>
      </c>
      <c r="S227" s="35">
        <f>Inputs!$D$6*E227*Inputs!$D$27*(1-Inputs!$D$38*R227)</f>
        <v>4755.5200000000004</v>
      </c>
      <c r="T227" s="39">
        <f>S227*Inputs!$D$12</f>
        <v>76088.320000000007</v>
      </c>
      <c r="U227" s="39">
        <f>T227*(1-Inputs!$D$18)</f>
        <v>34239.743999999999</v>
      </c>
      <c r="V227" s="35">
        <f>Inputs!$D$6*F227*Inputs!$D$28*Inputs!$D$31</f>
        <v>630.74950998177405</v>
      </c>
      <c r="W227" s="36">
        <f>V227/(B227*Inputs!$D$34)</f>
        <v>1.1263384106817393</v>
      </c>
      <c r="X227" s="38">
        <f>IF(W227&gt;=1,999,W227/(Inputs!$D$34*(1-W227))*60)</f>
        <v>999</v>
      </c>
      <c r="Y227" s="37">
        <f>MIN(1,MAX(0,(X227-Inputs!$D$36)/(Inputs!$D$37-Inputs!$D$36)))</f>
        <v>1</v>
      </c>
      <c r="Z227" s="35">
        <f>Inputs!$D$6*F227*Inputs!$D$28*(1-Inputs!$D$38*Y227)</f>
        <v>2668.5556191536598</v>
      </c>
      <c r="AA227" s="39">
        <f>Z227*Inputs!$D$13</f>
        <v>22682.722762806108</v>
      </c>
      <c r="AB227" s="39">
        <f>AA227*(1-Inputs!$D$19)</f>
        <v>13609.633657683664</v>
      </c>
      <c r="AC227" s="39">
        <f t="shared" si="12"/>
        <v>241400.97636280613</v>
      </c>
      <c r="AD227" s="39">
        <f t="shared" si="13"/>
        <v>97769.854417683659</v>
      </c>
      <c r="AE227" s="36">
        <f t="shared" si="14"/>
        <v>1.1263384106817393</v>
      </c>
      <c r="AF227" s="35">
        <f>IF(AND(AE227&lt;=Inputs!$D$35,C227&gt;=Inputs!$D$48*(A227+B227+C227),B227*Inputs!$D$22&lt;=Inputs!$D$50*Inputs!$D$8,B227*Inputs!$D$22&gt;=Inputs!$D$49*Inputs!$D$8,A227*Inputs!$D$20&lt;=Inputs!$D$47*Inputs!$D$8,C227&gt;=1),1,0)</f>
        <v>0</v>
      </c>
      <c r="AG227" s="39">
        <f t="shared" si="15"/>
        <v>-1</v>
      </c>
    </row>
    <row r="228" spans="1:33" x14ac:dyDescent="0.25">
      <c r="A228" s="35">
        <v>34</v>
      </c>
      <c r="B228" s="35">
        <v>17</v>
      </c>
      <c r="C228" s="35">
        <f>Inputs!$D$8-A228-Inputs!$D$22*B228</f>
        <v>52</v>
      </c>
      <c r="D228" s="35">
        <f>A228*Inputs!$D$20+C228*Inputs!$D$21+B228*Inputs!$D$22</f>
        <v>120</v>
      </c>
      <c r="E228" s="36">
        <f>MIN(Inputs!$E$15,Inputs!$D$15*(C228/Inputs!$D$43)^Inputs!$D$44)</f>
        <v>0.4</v>
      </c>
      <c r="F228" s="36">
        <f>MIN(Inputs!$E$16,Inputs!$D$16*(B228/Inputs!$D$42)^Inputs!$D$44)</f>
        <v>0.3809655184437048</v>
      </c>
      <c r="G228" s="37">
        <f>Inputs!$D$26*(1+Inputs!$D$41*(B228-Inputs!$D$42))</f>
        <v>1.4550000000000001</v>
      </c>
      <c r="H228" s="35">
        <f>Inputs!$D$6*Inputs!$D$14*G228*Inputs!$D$29</f>
        <v>1828.1056500000002</v>
      </c>
      <c r="I228" s="36">
        <f>H228/(A228*Inputs!$D$32)</f>
        <v>0.97759660427807493</v>
      </c>
      <c r="J228" s="38">
        <f>IF(I228&gt;=1,999,I228/(Inputs!$D$32*(1-I228))*60)</f>
        <v>47.603007869253943</v>
      </c>
      <c r="K228" s="37">
        <f>MIN(1,MAX(0,(J228-Inputs!$D$36)/(Inputs!$D$37-Inputs!$D$36)))</f>
        <v>1</v>
      </c>
      <c r="L228" s="35">
        <f>Inputs!$D$6*Inputs!$D$14*G228*(1-Inputs!$D$38*K228)</f>
        <v>6703.0540500000006</v>
      </c>
      <c r="M228" s="39">
        <f>L228*Inputs!$D$11</f>
        <v>144115.662075</v>
      </c>
      <c r="N228" s="39">
        <f>M228*(1-Inputs!$D$17)</f>
        <v>50440.48172625</v>
      </c>
      <c r="O228" s="35">
        <f>Inputs!$D$6*E228*Inputs!$D$27*Inputs!$D$30</f>
        <v>570.66240000000005</v>
      </c>
      <c r="P228" s="36">
        <f>O228/(C228*Inputs!$D$33)</f>
        <v>0.27435692307692311</v>
      </c>
      <c r="Q228" s="38">
        <f>IF(P228&gt;=1,999,P228/(Inputs!$D$33*(1-P228))*60)</f>
        <v>0.56713196570469071</v>
      </c>
      <c r="R228" s="37">
        <f>MIN(1,MAX(0,(Q228-Inputs!$D$36)/(Inputs!$D$37-Inputs!$D$36)))</f>
        <v>0</v>
      </c>
      <c r="S228" s="35">
        <f>Inputs!$D$6*E228*Inputs!$D$27*(1-Inputs!$D$38*R228)</f>
        <v>4755.5200000000004</v>
      </c>
      <c r="T228" s="39">
        <f>S228*Inputs!$D$12</f>
        <v>76088.320000000007</v>
      </c>
      <c r="U228" s="39">
        <f>T228*(1-Inputs!$D$18)</f>
        <v>34239.743999999999</v>
      </c>
      <c r="V228" s="35">
        <f>Inputs!$D$6*F228*Inputs!$D$28*Inputs!$D$31</f>
        <v>642.32615044097156</v>
      </c>
      <c r="W228" s="36">
        <f>V228/(B228*Inputs!$D$34)</f>
        <v>1.0795397486402882</v>
      </c>
      <c r="X228" s="38">
        <f>IF(W228&gt;=1,999,W228/(Inputs!$D$34*(1-W228))*60)</f>
        <v>999</v>
      </c>
      <c r="Y228" s="37">
        <f>MIN(1,MAX(0,(X228-Inputs!$D$36)/(Inputs!$D$37-Inputs!$D$36)))</f>
        <v>1</v>
      </c>
      <c r="Z228" s="35">
        <f>Inputs!$D$6*F228*Inputs!$D$28*(1-Inputs!$D$38*Y228)</f>
        <v>2717.5337134041106</v>
      </c>
      <c r="AA228" s="39">
        <f>Z228*Inputs!$D$13</f>
        <v>23099.03656393494</v>
      </c>
      <c r="AB228" s="39">
        <f>AA228*(1-Inputs!$D$19)</f>
        <v>13859.421938360963</v>
      </c>
      <c r="AC228" s="39">
        <f t="shared" si="12"/>
        <v>243303.01863893494</v>
      </c>
      <c r="AD228" s="39">
        <f t="shared" si="13"/>
        <v>98539.647664610966</v>
      </c>
      <c r="AE228" s="36">
        <f t="shared" si="14"/>
        <v>1.0795397486402882</v>
      </c>
      <c r="AF228" s="35">
        <f>IF(AND(AE228&lt;=Inputs!$D$35,C228&gt;=Inputs!$D$48*(A228+B228+C228),B228*Inputs!$D$22&lt;=Inputs!$D$50*Inputs!$D$8,B228*Inputs!$D$22&gt;=Inputs!$D$49*Inputs!$D$8,A228*Inputs!$D$20&lt;=Inputs!$D$47*Inputs!$D$8,C228&gt;=1),1,0)</f>
        <v>0</v>
      </c>
      <c r="AG228" s="39">
        <f t="shared" si="15"/>
        <v>-1</v>
      </c>
    </row>
    <row r="229" spans="1:33" x14ac:dyDescent="0.25">
      <c r="A229" s="35">
        <v>34</v>
      </c>
      <c r="B229" s="35">
        <v>18</v>
      </c>
      <c r="C229" s="35">
        <f>Inputs!$D$8-A229-Inputs!$D$22*B229</f>
        <v>50</v>
      </c>
      <c r="D229" s="35">
        <f>A229*Inputs!$D$20+C229*Inputs!$D$21+B229*Inputs!$D$22</f>
        <v>120</v>
      </c>
      <c r="E229" s="36">
        <f>MIN(Inputs!$E$15,Inputs!$D$15*(C229/Inputs!$D$43)^Inputs!$D$44)</f>
        <v>0.4</v>
      </c>
      <c r="F229" s="36">
        <f>MIN(Inputs!$E$16,Inputs!$D$16*(B229/Inputs!$D$42)^Inputs!$D$44)</f>
        <v>0.38755446447890535</v>
      </c>
      <c r="G229" s="37">
        <f>Inputs!$D$26*(1+Inputs!$D$41*(B229-Inputs!$D$42))</f>
        <v>1.47</v>
      </c>
      <c r="H229" s="35">
        <f>Inputs!$D$6*Inputs!$D$14*G229*Inputs!$D$29</f>
        <v>1846.9521</v>
      </c>
      <c r="I229" s="36">
        <f>H229/(A229*Inputs!$D$32)</f>
        <v>0.98767491978609623</v>
      </c>
      <c r="J229" s="38">
        <f>IF(I229&gt;=1,999,I229/(Inputs!$D$32*(1-I229))*60)</f>
        <v>87.420408643027415</v>
      </c>
      <c r="K229" s="37">
        <f>MIN(1,MAX(0,(J229-Inputs!$D$36)/(Inputs!$D$37-Inputs!$D$36)))</f>
        <v>1</v>
      </c>
      <c r="L229" s="35">
        <f>Inputs!$D$6*Inputs!$D$14*G229*(1-Inputs!$D$38*K229)</f>
        <v>6772.1577000000016</v>
      </c>
      <c r="M229" s="39">
        <f>L229*Inputs!$D$11</f>
        <v>145601.39055000004</v>
      </c>
      <c r="N229" s="39">
        <f>M229*(1-Inputs!$D$17)</f>
        <v>50960.48669250001</v>
      </c>
      <c r="O229" s="35">
        <f>Inputs!$D$6*E229*Inputs!$D$27*Inputs!$D$30</f>
        <v>570.66240000000005</v>
      </c>
      <c r="P229" s="36">
        <f>O229/(C229*Inputs!$D$33)</f>
        <v>0.28533120000000001</v>
      </c>
      <c r="Q229" s="38">
        <f>IF(P229&gt;=1,999,P229/(Inputs!$D$33*(1-P229))*60)</f>
        <v>0.59887433171841276</v>
      </c>
      <c r="R229" s="37">
        <f>MIN(1,MAX(0,(Q229-Inputs!$D$36)/(Inputs!$D$37-Inputs!$D$36)))</f>
        <v>0</v>
      </c>
      <c r="S229" s="35">
        <f>Inputs!$D$6*E229*Inputs!$D$27*(1-Inputs!$D$38*R229)</f>
        <v>4755.5200000000004</v>
      </c>
      <c r="T229" s="39">
        <f>S229*Inputs!$D$12</f>
        <v>76088.320000000007</v>
      </c>
      <c r="U229" s="39">
        <f>T229*(1-Inputs!$D$18)</f>
        <v>34239.743999999999</v>
      </c>
      <c r="V229" s="35">
        <f>Inputs!$D$6*F229*Inputs!$D$28*Inputs!$D$31</f>
        <v>653.43542972572936</v>
      </c>
      <c r="W229" s="36">
        <f>V229/(B229*Inputs!$D$34)</f>
        <v>1.037199094802745</v>
      </c>
      <c r="X229" s="38">
        <f>IF(W229&gt;=1,999,W229/(Inputs!$D$34*(1-W229))*60)</f>
        <v>999</v>
      </c>
      <c r="Y229" s="37">
        <f>MIN(1,MAX(0,(X229-Inputs!$D$36)/(Inputs!$D$37-Inputs!$D$36)))</f>
        <v>1</v>
      </c>
      <c r="Z229" s="35">
        <f>Inputs!$D$6*F229*Inputs!$D$28*(1-Inputs!$D$38*Y229)</f>
        <v>2764.534510378086</v>
      </c>
      <c r="AA229" s="39">
        <f>Z229*Inputs!$D$13</f>
        <v>23498.543338213731</v>
      </c>
      <c r="AB229" s="39">
        <f>AA229*(1-Inputs!$D$19)</f>
        <v>14099.126002928238</v>
      </c>
      <c r="AC229" s="39">
        <f t="shared" si="12"/>
        <v>245188.25388821377</v>
      </c>
      <c r="AD229" s="39">
        <f t="shared" si="13"/>
        <v>99299.356695428258</v>
      </c>
      <c r="AE229" s="36">
        <f t="shared" si="14"/>
        <v>1.037199094802745</v>
      </c>
      <c r="AF229" s="35">
        <f>IF(AND(AE229&lt;=Inputs!$D$35,C229&gt;=Inputs!$D$48*(A229+B229+C229),B229*Inputs!$D$22&lt;=Inputs!$D$50*Inputs!$D$8,B229*Inputs!$D$22&gt;=Inputs!$D$49*Inputs!$D$8,A229*Inputs!$D$20&lt;=Inputs!$D$47*Inputs!$D$8,C229&gt;=1),1,0)</f>
        <v>0</v>
      </c>
      <c r="AG229" s="39">
        <f t="shared" si="15"/>
        <v>-1</v>
      </c>
    </row>
    <row r="230" spans="1:33" x14ac:dyDescent="0.25">
      <c r="A230" s="35">
        <v>34</v>
      </c>
      <c r="B230" s="35">
        <v>19</v>
      </c>
      <c r="C230" s="35">
        <f>Inputs!$D$8-A230-Inputs!$D$22*B230</f>
        <v>48</v>
      </c>
      <c r="D230" s="35">
        <f>A230*Inputs!$D$20+C230*Inputs!$D$21+B230*Inputs!$D$22</f>
        <v>120</v>
      </c>
      <c r="E230" s="36">
        <f>MIN(Inputs!$E$15,Inputs!$D$15*(C230/Inputs!$D$43)^Inputs!$D$44)</f>
        <v>0.39525168457966786</v>
      </c>
      <c r="F230" s="36">
        <f>MIN(Inputs!$E$16,Inputs!$D$16*(B230/Inputs!$D$42)^Inputs!$D$44)</f>
        <v>0.39389192072703005</v>
      </c>
      <c r="G230" s="37">
        <f>Inputs!$D$26*(1+Inputs!$D$41*(B230-Inputs!$D$42))</f>
        <v>1.4849999999999999</v>
      </c>
      <c r="H230" s="35">
        <f>Inputs!$D$6*Inputs!$D$14*G230*Inputs!$D$29</f>
        <v>1865.7985499999998</v>
      </c>
      <c r="I230" s="36">
        <f>H230/(A230*Inputs!$D$32)</f>
        <v>0.99775323529411752</v>
      </c>
      <c r="J230" s="38">
        <f>IF(I230&gt;=1,999,I230/(Inputs!$D$32*(1-I230))*60)</f>
        <v>484.4557474205069</v>
      </c>
      <c r="K230" s="37">
        <f>MIN(1,MAX(0,(J230-Inputs!$D$36)/(Inputs!$D$37-Inputs!$D$36)))</f>
        <v>1</v>
      </c>
      <c r="L230" s="35">
        <f>Inputs!$D$6*Inputs!$D$14*G230*(1-Inputs!$D$38*K230)</f>
        <v>6841.2613499999998</v>
      </c>
      <c r="M230" s="39">
        <f>L230*Inputs!$D$11</f>
        <v>147087.11902499999</v>
      </c>
      <c r="N230" s="39">
        <f>M230*(1-Inputs!$D$17)</f>
        <v>51480.491658749997</v>
      </c>
      <c r="O230" s="35">
        <f>Inputs!$D$6*E230*Inputs!$D$27*Inputs!$D$30</f>
        <v>563.88818731569074</v>
      </c>
      <c r="P230" s="36">
        <f>O230/(C230*Inputs!$D$33)</f>
        <v>0.29369176422692228</v>
      </c>
      <c r="Q230" s="38">
        <f>IF(P230&gt;=1,999,P230/(Inputs!$D$33*(1-P230))*60)</f>
        <v>0.62371868828373556</v>
      </c>
      <c r="R230" s="37">
        <f>MIN(1,MAX(0,(Q230-Inputs!$D$36)/(Inputs!$D$37-Inputs!$D$36)))</f>
        <v>0</v>
      </c>
      <c r="S230" s="35">
        <f>Inputs!$D$6*E230*Inputs!$D$27*(1-Inputs!$D$38*R230)</f>
        <v>4699.0682276307562</v>
      </c>
      <c r="T230" s="39">
        <f>S230*Inputs!$D$12</f>
        <v>75185.091642092098</v>
      </c>
      <c r="U230" s="39">
        <f>T230*(1-Inputs!$D$18)</f>
        <v>33833.291238941441</v>
      </c>
      <c r="V230" s="35">
        <f>Inputs!$D$6*F230*Inputs!$D$28*Inputs!$D$31</f>
        <v>664.12068515796761</v>
      </c>
      <c r="W230" s="36">
        <f>V230/(B230*Inputs!$D$34)</f>
        <v>0.99867772204205651</v>
      </c>
      <c r="X230" s="38">
        <f>IF(W230&gt;=1,999,W230/(Inputs!$D$34*(1-W230))*60)</f>
        <v>1294.749671797274</v>
      </c>
      <c r="Y230" s="37">
        <f>MIN(1,MAX(0,(X230-Inputs!$D$36)/(Inputs!$D$37-Inputs!$D$36)))</f>
        <v>1</v>
      </c>
      <c r="Z230" s="35">
        <f>Inputs!$D$6*F230*Inputs!$D$28*(1-Inputs!$D$38*Y230)</f>
        <v>2809.7413602837091</v>
      </c>
      <c r="AA230" s="39">
        <f>Z230*Inputs!$D$13</f>
        <v>23882.801562411529</v>
      </c>
      <c r="AB230" s="39">
        <f>AA230*(1-Inputs!$D$19)</f>
        <v>14329.680937446918</v>
      </c>
      <c r="AC230" s="39">
        <f t="shared" si="12"/>
        <v>246155.01222950363</v>
      </c>
      <c r="AD230" s="39">
        <f t="shared" si="13"/>
        <v>99643.463835138362</v>
      </c>
      <c r="AE230" s="36">
        <f t="shared" si="14"/>
        <v>0.99867772204205651</v>
      </c>
      <c r="AF230" s="35">
        <f>IF(AND(AE230&lt;=Inputs!$D$35,C230&gt;=Inputs!$D$48*(A230+B230+C230),B230*Inputs!$D$22&lt;=Inputs!$D$50*Inputs!$D$8,B230*Inputs!$D$22&gt;=Inputs!$D$49*Inputs!$D$8,A230*Inputs!$D$20&lt;=Inputs!$D$47*Inputs!$D$8,C230&gt;=1),1,0)</f>
        <v>0</v>
      </c>
      <c r="AG230" s="39">
        <f t="shared" si="15"/>
        <v>-1</v>
      </c>
    </row>
    <row r="231" spans="1:33" x14ac:dyDescent="0.25">
      <c r="A231" s="35">
        <v>34</v>
      </c>
      <c r="B231" s="35">
        <v>20</v>
      </c>
      <c r="C231" s="35">
        <f>Inputs!$D$8-A231-Inputs!$D$22*B231</f>
        <v>46</v>
      </c>
      <c r="D231" s="35">
        <f>A231*Inputs!$D$20+C231*Inputs!$D$21+B231*Inputs!$D$22</f>
        <v>120</v>
      </c>
      <c r="E231" s="36">
        <f>MIN(Inputs!$E$15,Inputs!$D$15*(C231/Inputs!$D$43)^Inputs!$D$44)</f>
        <v>0.39023723685630041</v>
      </c>
      <c r="F231" s="36">
        <f>MIN(Inputs!$E$16,Inputs!$D$16*(B231/Inputs!$D$42)^Inputs!$D$44)</f>
        <v>0.4</v>
      </c>
      <c r="G231" s="37">
        <f>Inputs!$D$26*(1+Inputs!$D$41*(B231-Inputs!$D$42))</f>
        <v>1.5</v>
      </c>
      <c r="H231" s="35">
        <f>Inputs!$D$6*Inputs!$D$14*G231*Inputs!$D$29</f>
        <v>1884.645</v>
      </c>
      <c r="I231" s="36">
        <f>H231/(A231*Inputs!$D$32)</f>
        <v>1.0078315508021389</v>
      </c>
      <c r="J231" s="38">
        <f>IF(I231&gt;=1,999,I231/(Inputs!$D$32*(1-I231))*60)</f>
        <v>999</v>
      </c>
      <c r="K231" s="37">
        <f>MIN(1,MAX(0,(J231-Inputs!$D$36)/(Inputs!$D$37-Inputs!$D$36)))</f>
        <v>1</v>
      </c>
      <c r="L231" s="35">
        <f>Inputs!$D$6*Inputs!$D$14*G231*(1-Inputs!$D$38*K231)</f>
        <v>6910.3650000000016</v>
      </c>
      <c r="M231" s="39">
        <f>L231*Inputs!$D$11</f>
        <v>148572.84750000003</v>
      </c>
      <c r="N231" s="39">
        <f>M231*(1-Inputs!$D$17)</f>
        <v>52000.496625000007</v>
      </c>
      <c r="O231" s="35">
        <f>Inputs!$D$6*E231*Inputs!$D$27*Inputs!$D$30</f>
        <v>556.73429538446214</v>
      </c>
      <c r="P231" s="36">
        <f>O231/(C231*Inputs!$D$33)</f>
        <v>0.30257298662199028</v>
      </c>
      <c r="Q231" s="38">
        <f>IF(P231&gt;=1,999,P231/(Inputs!$D$33*(1-P231))*60)</f>
        <v>0.65076269090109196</v>
      </c>
      <c r="R231" s="37">
        <f>MIN(1,MAX(0,(Q231-Inputs!$D$36)/(Inputs!$D$37-Inputs!$D$36)))</f>
        <v>0</v>
      </c>
      <c r="S231" s="35">
        <f>Inputs!$D$6*E231*Inputs!$D$27*(1-Inputs!$D$38*R231)</f>
        <v>4639.4524615371847</v>
      </c>
      <c r="T231" s="39">
        <f>S231*Inputs!$D$12</f>
        <v>74231.239384594955</v>
      </c>
      <c r="U231" s="39">
        <f>T231*(1-Inputs!$D$18)</f>
        <v>33404.05772306773</v>
      </c>
      <c r="V231" s="35">
        <f>Inputs!$D$6*F231*Inputs!$D$28*Inputs!$D$31</f>
        <v>674.41919999999993</v>
      </c>
      <c r="W231" s="36">
        <f>V231/(B231*Inputs!$D$34)</f>
        <v>0.96345599999999987</v>
      </c>
      <c r="X231" s="38">
        <f>IF(W231&gt;=1,999,W231/(Inputs!$D$34*(1-W231))*60)</f>
        <v>45.195896922691851</v>
      </c>
      <c r="Y231" s="37">
        <f>MIN(1,MAX(0,(X231-Inputs!$D$36)/(Inputs!$D$37-Inputs!$D$36)))</f>
        <v>1</v>
      </c>
      <c r="Z231" s="35">
        <f>Inputs!$D$6*F231*Inputs!$D$28*(1-Inputs!$D$38*Y231)</f>
        <v>2853.3119999999999</v>
      </c>
      <c r="AA231" s="39">
        <f>Z231*Inputs!$D$13</f>
        <v>24253.151999999998</v>
      </c>
      <c r="AB231" s="39">
        <f>AA231*(1-Inputs!$D$19)</f>
        <v>14551.891199999998</v>
      </c>
      <c r="AC231" s="39">
        <f t="shared" si="12"/>
        <v>247057.23888459499</v>
      </c>
      <c r="AD231" s="39">
        <f t="shared" si="13"/>
        <v>99956.445548067728</v>
      </c>
      <c r="AE231" s="36">
        <f t="shared" si="14"/>
        <v>1.0078315508021389</v>
      </c>
      <c r="AF231" s="35">
        <f>IF(AND(AE231&lt;=Inputs!$D$35,C231&gt;=Inputs!$D$48*(A231+B231+C231),B231*Inputs!$D$22&lt;=Inputs!$D$50*Inputs!$D$8,B231*Inputs!$D$22&gt;=Inputs!$D$49*Inputs!$D$8,A231*Inputs!$D$20&lt;=Inputs!$D$47*Inputs!$D$8,C231&gt;=1),1,0)</f>
        <v>0</v>
      </c>
      <c r="AG231" s="39">
        <f t="shared" si="15"/>
        <v>-1</v>
      </c>
    </row>
    <row r="232" spans="1:33" x14ac:dyDescent="0.25">
      <c r="A232" s="35">
        <v>34</v>
      </c>
      <c r="B232" s="35">
        <v>21</v>
      </c>
      <c r="C232" s="35">
        <f>Inputs!$D$8-A232-Inputs!$D$22*B232</f>
        <v>44</v>
      </c>
      <c r="D232" s="35">
        <f>A232*Inputs!$D$20+C232*Inputs!$D$21+B232*Inputs!$D$22</f>
        <v>120</v>
      </c>
      <c r="E232" s="36">
        <f>MIN(Inputs!$E$15,Inputs!$D$15*(C232/Inputs!$D$43)^Inputs!$D$44)</f>
        <v>0.38506776240403751</v>
      </c>
      <c r="F232" s="36">
        <f>MIN(Inputs!$E$16,Inputs!$D$16*(B232/Inputs!$D$42)^Inputs!$D$44)</f>
        <v>0.40589787816896217</v>
      </c>
      <c r="G232" s="37">
        <f>Inputs!$D$26*(1+Inputs!$D$41*(B232-Inputs!$D$42))</f>
        <v>1.5150000000000001</v>
      </c>
      <c r="H232" s="35">
        <f>Inputs!$D$6*Inputs!$D$14*G232*Inputs!$D$29</f>
        <v>1903.4914500000004</v>
      </c>
      <c r="I232" s="36">
        <f>H232/(A232*Inputs!$D$32)</f>
        <v>1.0179098663101607</v>
      </c>
      <c r="J232" s="38">
        <f>IF(I232&gt;=1,999,I232/(Inputs!$D$32*(1-I232))*60)</f>
        <v>999</v>
      </c>
      <c r="K232" s="37">
        <f>MIN(1,MAX(0,(J232-Inputs!$D$36)/(Inputs!$D$37-Inputs!$D$36)))</f>
        <v>1</v>
      </c>
      <c r="L232" s="35">
        <f>Inputs!$D$6*Inputs!$D$14*G232*(1-Inputs!$D$38*K232)</f>
        <v>6979.4686500000025</v>
      </c>
      <c r="M232" s="39">
        <f>L232*Inputs!$D$11</f>
        <v>150058.57597500004</v>
      </c>
      <c r="N232" s="39">
        <f>M232*(1-Inputs!$D$17)</f>
        <v>52520.501591250009</v>
      </c>
      <c r="O232" s="35">
        <f>Inputs!$D$6*E232*Inputs!$D$27*Inputs!$D$30</f>
        <v>549.35923364029463</v>
      </c>
      <c r="P232" s="36">
        <f>O232/(C232*Inputs!$D$33)</f>
        <v>0.31213592820471286</v>
      </c>
      <c r="Q232" s="38">
        <f>IF(P232&gt;=1,999,P232/(Inputs!$D$33*(1-P232))*60)</f>
        <v>0.6806633919476025</v>
      </c>
      <c r="R232" s="37">
        <f>MIN(1,MAX(0,(Q232-Inputs!$D$36)/(Inputs!$D$37-Inputs!$D$36)))</f>
        <v>0</v>
      </c>
      <c r="S232" s="35">
        <f>Inputs!$D$6*E232*Inputs!$D$27*(1-Inputs!$D$38*R232)</f>
        <v>4577.9936136691222</v>
      </c>
      <c r="T232" s="39">
        <f>S232*Inputs!$D$12</f>
        <v>73247.897818705955</v>
      </c>
      <c r="U232" s="39">
        <f>T232*(1-Inputs!$D$18)</f>
        <v>32961.554018417679</v>
      </c>
      <c r="V232" s="35">
        <f>Inputs!$D$6*F232*Inputs!$D$28*Inputs!$D$31</f>
        <v>684.36330569102222</v>
      </c>
      <c r="W232" s="36">
        <f>V232/(B232*Inputs!$D$34)</f>
        <v>0.93110653835513224</v>
      </c>
      <c r="X232" s="38">
        <f>IF(W232&gt;=1,999,W232/(Inputs!$D$34*(1-W232))*60)</f>
        <v>23.16885520150278</v>
      </c>
      <c r="Y232" s="37">
        <f>MIN(1,MAX(0,(X232-Inputs!$D$36)/(Inputs!$D$37-Inputs!$D$36)))</f>
        <v>1</v>
      </c>
      <c r="Z232" s="35">
        <f>Inputs!$D$6*F232*Inputs!$D$28*(1-Inputs!$D$38*Y232)</f>
        <v>2895.3832163850943</v>
      </c>
      <c r="AA232" s="39">
        <f>Z232*Inputs!$D$13</f>
        <v>24610.757339273303</v>
      </c>
      <c r="AB232" s="39">
        <f>AA232*(1-Inputs!$D$19)</f>
        <v>14766.454403563981</v>
      </c>
      <c r="AC232" s="39">
        <f t="shared" si="12"/>
        <v>247917.23113297927</v>
      </c>
      <c r="AD232" s="39">
        <f t="shared" si="13"/>
        <v>100248.51001323167</v>
      </c>
      <c r="AE232" s="36">
        <f t="shared" si="14"/>
        <v>1.0179098663101607</v>
      </c>
      <c r="AF232" s="35">
        <f>IF(AND(AE232&lt;=Inputs!$D$35,C232&gt;=Inputs!$D$48*(A232+B232+C232),B232*Inputs!$D$22&lt;=Inputs!$D$50*Inputs!$D$8,B232*Inputs!$D$22&gt;=Inputs!$D$49*Inputs!$D$8,A232*Inputs!$D$20&lt;=Inputs!$D$47*Inputs!$D$8,C232&gt;=1),1,0)</f>
        <v>0</v>
      </c>
      <c r="AG232" s="39">
        <f t="shared" si="15"/>
        <v>-1</v>
      </c>
    </row>
    <row r="233" spans="1:33" x14ac:dyDescent="0.25">
      <c r="A233" s="35">
        <v>34</v>
      </c>
      <c r="B233" s="35">
        <v>22</v>
      </c>
      <c r="C233" s="35">
        <f>Inputs!$D$8-A233-Inputs!$D$22*B233</f>
        <v>42</v>
      </c>
      <c r="D233" s="35">
        <f>A233*Inputs!$D$20+C233*Inputs!$D$21+B233*Inputs!$D$22</f>
        <v>120</v>
      </c>
      <c r="E233" s="36">
        <f>MIN(Inputs!$E$15,Inputs!$D$15*(C233/Inputs!$D$43)^Inputs!$D$44)</f>
        <v>0.37973108090036384</v>
      </c>
      <c r="F233" s="36">
        <f>MIN(Inputs!$E$16,Inputs!$D$16*(B233/Inputs!$D$42)^Inputs!$D$44)</f>
        <v>0.41160230376843804</v>
      </c>
      <c r="G233" s="37">
        <f>Inputs!$D$26*(1+Inputs!$D$41*(B233-Inputs!$D$42))</f>
        <v>1.53</v>
      </c>
      <c r="H233" s="35">
        <f>Inputs!$D$6*Inputs!$D$14*G233*Inputs!$D$29</f>
        <v>1922.3379</v>
      </c>
      <c r="I233" s="36">
        <f>H233/(A233*Inputs!$D$32)</f>
        <v>1.0279881818181817</v>
      </c>
      <c r="J233" s="38">
        <f>IF(I233&gt;=1,999,I233/(Inputs!$D$32*(1-I233))*60)</f>
        <v>999</v>
      </c>
      <c r="K233" s="37">
        <f>MIN(1,MAX(0,(J233-Inputs!$D$36)/(Inputs!$D$37-Inputs!$D$36)))</f>
        <v>1</v>
      </c>
      <c r="L233" s="35">
        <f>Inputs!$D$6*Inputs!$D$14*G233*(1-Inputs!$D$38*K233)</f>
        <v>7048.5723000000016</v>
      </c>
      <c r="M233" s="39">
        <f>L233*Inputs!$D$11</f>
        <v>151544.30445000003</v>
      </c>
      <c r="N233" s="39">
        <f>M233*(1-Inputs!$D$17)</f>
        <v>53040.506557500004</v>
      </c>
      <c r="O233" s="35">
        <f>Inputs!$D$6*E233*Inputs!$D$27*Inputs!$D$30</f>
        <v>541.74562495298949</v>
      </c>
      <c r="P233" s="36">
        <f>O233/(C233*Inputs!$D$33)</f>
        <v>0.32246763390058897</v>
      </c>
      <c r="Q233" s="38">
        <f>IF(P233&gt;=1,999,P233/(Inputs!$D$33*(1-P233))*60)</f>
        <v>0.71391637514762252</v>
      </c>
      <c r="R233" s="37">
        <f>MIN(1,MAX(0,(Q233-Inputs!$D$36)/(Inputs!$D$37-Inputs!$D$36)))</f>
        <v>0</v>
      </c>
      <c r="S233" s="35">
        <f>Inputs!$D$6*E233*Inputs!$D$27*(1-Inputs!$D$38*R233)</f>
        <v>4514.5468746082461</v>
      </c>
      <c r="T233" s="39">
        <f>S233*Inputs!$D$12</f>
        <v>72232.749993731937</v>
      </c>
      <c r="U233" s="39">
        <f>T233*(1-Inputs!$D$18)</f>
        <v>32504.737497179369</v>
      </c>
      <c r="V233" s="35">
        <f>Inputs!$D$6*F233*Inputs!$D$28*Inputs!$D$31</f>
        <v>693.98124106416742</v>
      </c>
      <c r="W233" s="36">
        <f>V233/(B233*Inputs!$D$34)</f>
        <v>0.90127433904437326</v>
      </c>
      <c r="X233" s="38">
        <f>IF(W233&gt;=1,999,W233/(Inputs!$D$34*(1-W233))*60)</f>
        <v>15.649849381818807</v>
      </c>
      <c r="Y233" s="37">
        <f>MIN(1,MAX(0,(X233-Inputs!$D$36)/(Inputs!$D$37-Inputs!$D$36)))</f>
        <v>0.70998995878792048</v>
      </c>
      <c r="Z233" s="35">
        <f>Inputs!$D$6*F233*Inputs!$D$28*(1-Inputs!$D$38*Y233)</f>
        <v>3632.749002537963</v>
      </c>
      <c r="AA233" s="39">
        <f>Z233*Inputs!$D$13</f>
        <v>30878.366521572687</v>
      </c>
      <c r="AB233" s="39">
        <f>AA233*(1-Inputs!$D$19)</f>
        <v>18527.019912943611</v>
      </c>
      <c r="AC233" s="39">
        <f t="shared" si="12"/>
        <v>254655.42096530466</v>
      </c>
      <c r="AD233" s="39">
        <f t="shared" si="13"/>
        <v>104072.26396762299</v>
      </c>
      <c r="AE233" s="36">
        <f t="shared" si="14"/>
        <v>1.0279881818181817</v>
      </c>
      <c r="AF233" s="35">
        <f>IF(AND(AE233&lt;=Inputs!$D$35,C233&gt;=Inputs!$D$48*(A233+B233+C233),B233*Inputs!$D$22&lt;=Inputs!$D$50*Inputs!$D$8,B233*Inputs!$D$22&gt;=Inputs!$D$49*Inputs!$D$8,A233*Inputs!$D$20&lt;=Inputs!$D$47*Inputs!$D$8,C233&gt;=1),1,0)</f>
        <v>0</v>
      </c>
      <c r="AG233" s="39">
        <f t="shared" si="15"/>
        <v>-1</v>
      </c>
    </row>
    <row r="234" spans="1:33" x14ac:dyDescent="0.25">
      <c r="A234" s="35">
        <v>34</v>
      </c>
      <c r="B234" s="35">
        <v>23</v>
      </c>
      <c r="C234" s="35">
        <f>Inputs!$D$8-A234-Inputs!$D$22*B234</f>
        <v>40</v>
      </c>
      <c r="D234" s="35">
        <f>A234*Inputs!$D$20+C234*Inputs!$D$21+B234*Inputs!$D$22</f>
        <v>120</v>
      </c>
      <c r="E234" s="36">
        <f>MIN(Inputs!$E$15,Inputs!$D$15*(C234/Inputs!$D$43)^Inputs!$D$44)</f>
        <v>0.37421341802855551</v>
      </c>
      <c r="F234" s="36">
        <f>MIN(Inputs!$E$16,Inputs!$D$16*(B234/Inputs!$D$42)^Inputs!$D$44)</f>
        <v>0.41712800028621322</v>
      </c>
      <c r="G234" s="37">
        <f>Inputs!$D$26*(1+Inputs!$D$41*(B234-Inputs!$D$42))</f>
        <v>1.5449999999999999</v>
      </c>
      <c r="H234" s="35">
        <f>Inputs!$D$6*Inputs!$D$14*G234*Inputs!$D$29</f>
        <v>1941.18435</v>
      </c>
      <c r="I234" s="36">
        <f>H234/(A234*Inputs!$D$32)</f>
        <v>1.0380664973262033</v>
      </c>
      <c r="J234" s="38">
        <f>IF(I234&gt;=1,999,I234/(Inputs!$D$32*(1-I234))*60)</f>
        <v>999</v>
      </c>
      <c r="K234" s="37">
        <f>MIN(1,MAX(0,(J234-Inputs!$D$36)/(Inputs!$D$37-Inputs!$D$36)))</f>
        <v>1</v>
      </c>
      <c r="L234" s="35">
        <f>Inputs!$D$6*Inputs!$D$14*G234*(1-Inputs!$D$38*K234)</f>
        <v>7117.6759500000016</v>
      </c>
      <c r="M234" s="39">
        <f>L234*Inputs!$D$11</f>
        <v>153030.03292500004</v>
      </c>
      <c r="N234" s="39">
        <f>M234*(1-Inputs!$D$17)</f>
        <v>53560.511523750007</v>
      </c>
      <c r="O234" s="35">
        <f>Inputs!$D$6*E234*Inputs!$D$27*Inputs!$D$30</f>
        <v>533.8738181109469</v>
      </c>
      <c r="P234" s="36">
        <f>O234/(C234*Inputs!$D$33)</f>
        <v>0.33367113631934181</v>
      </c>
      <c r="Q234" s="38">
        <f>IF(P234&gt;=1,999,P234/(Inputs!$D$33*(1-P234))*60)</f>
        <v>0.75114066305685867</v>
      </c>
      <c r="R234" s="37">
        <f>MIN(1,MAX(0,(Q234-Inputs!$D$36)/(Inputs!$D$37-Inputs!$D$36)))</f>
        <v>0</v>
      </c>
      <c r="S234" s="35">
        <f>Inputs!$D$6*E234*Inputs!$D$27*(1-Inputs!$D$38*R234)</f>
        <v>4448.9484842578913</v>
      </c>
      <c r="T234" s="39">
        <f>S234*Inputs!$D$12</f>
        <v>71183.175748126261</v>
      </c>
      <c r="U234" s="39">
        <f>T234*(1-Inputs!$D$18)</f>
        <v>32032.429086656815</v>
      </c>
      <c r="V234" s="35">
        <f>Inputs!$D$6*F234*Inputs!$D$28*Inputs!$D$31</f>
        <v>703.29783062656929</v>
      </c>
      <c r="W234" s="36">
        <f>V234/(B234*Inputs!$D$34)</f>
        <v>0.87366190139946498</v>
      </c>
      <c r="X234" s="38">
        <f>IF(W234&gt;=1,999,W234/(Inputs!$D$34*(1-W234))*60)</f>
        <v>11.854746377182334</v>
      </c>
      <c r="Y234" s="37">
        <f>MIN(1,MAX(0,(X234-Inputs!$D$36)/(Inputs!$D$37-Inputs!$D$36)))</f>
        <v>0.45698309181215557</v>
      </c>
      <c r="Z234" s="35">
        <f>Inputs!$D$6*F234*Inputs!$D$28*(1-Inputs!$D$38*Y234)</f>
        <v>4297.4614071503011</v>
      </c>
      <c r="AA234" s="39">
        <f>Z234*Inputs!$D$13</f>
        <v>36528.421960777559</v>
      </c>
      <c r="AB234" s="39">
        <f>AA234*(1-Inputs!$D$19)</f>
        <v>21917.053176466536</v>
      </c>
      <c r="AC234" s="39">
        <f t="shared" si="12"/>
        <v>260741.63063390384</v>
      </c>
      <c r="AD234" s="39">
        <f t="shared" si="13"/>
        <v>107509.99378687335</v>
      </c>
      <c r="AE234" s="36">
        <f t="shared" si="14"/>
        <v>1.0380664973262033</v>
      </c>
      <c r="AF234" s="35">
        <f>IF(AND(AE234&lt;=Inputs!$D$35,C234&gt;=Inputs!$D$48*(A234+B234+C234),B234*Inputs!$D$22&lt;=Inputs!$D$50*Inputs!$D$8,B234*Inputs!$D$22&gt;=Inputs!$D$49*Inputs!$D$8,A234*Inputs!$D$20&lt;=Inputs!$D$47*Inputs!$D$8,C234&gt;=1),1,0)</f>
        <v>0</v>
      </c>
      <c r="AG234" s="39">
        <f t="shared" si="15"/>
        <v>-1</v>
      </c>
    </row>
    <row r="235" spans="1:33" x14ac:dyDescent="0.25">
      <c r="A235" s="35">
        <v>34</v>
      </c>
      <c r="B235" s="35">
        <v>24</v>
      </c>
      <c r="C235" s="35">
        <f>Inputs!$D$8-A235-Inputs!$D$22*B235</f>
        <v>38</v>
      </c>
      <c r="D235" s="35">
        <f>A235*Inputs!$D$20+C235*Inputs!$D$21+B235*Inputs!$D$22</f>
        <v>120</v>
      </c>
      <c r="E235" s="36">
        <f>MIN(Inputs!$E$15,Inputs!$D$15*(C235/Inputs!$D$43)^Inputs!$D$44)</f>
        <v>0.36849910497273691</v>
      </c>
      <c r="F235" s="36">
        <f>MIN(Inputs!$E$16,Inputs!$D$16*(B235/Inputs!$D$42)^Inputs!$D$44)</f>
        <v>0.42248798737570326</v>
      </c>
      <c r="G235" s="37">
        <f>Inputs!$D$26*(1+Inputs!$D$41*(B235-Inputs!$D$42))</f>
        <v>1.56</v>
      </c>
      <c r="H235" s="35">
        <f>Inputs!$D$6*Inputs!$D$14*G235*Inputs!$D$29</f>
        <v>1960.0308</v>
      </c>
      <c r="I235" s="36">
        <f>H235/(A235*Inputs!$D$32)</f>
        <v>1.0481448128342246</v>
      </c>
      <c r="J235" s="38">
        <f>IF(I235&gt;=1,999,I235/(Inputs!$D$32*(1-I235))*60)</f>
        <v>999</v>
      </c>
      <c r="K235" s="37">
        <f>MIN(1,MAX(0,(J235-Inputs!$D$36)/(Inputs!$D$37-Inputs!$D$36)))</f>
        <v>1</v>
      </c>
      <c r="L235" s="35">
        <f>Inputs!$D$6*Inputs!$D$14*G235*(1-Inputs!$D$38*K235)</f>
        <v>7186.7796000000017</v>
      </c>
      <c r="M235" s="39">
        <f>L235*Inputs!$D$11</f>
        <v>154515.76140000005</v>
      </c>
      <c r="N235" s="39">
        <f>M235*(1-Inputs!$D$17)</f>
        <v>54080.516490000016</v>
      </c>
      <c r="O235" s="35">
        <f>Inputs!$D$6*E235*Inputs!$D$27*Inputs!$D$30</f>
        <v>525.72145910398501</v>
      </c>
      <c r="P235" s="36">
        <f>O235/(C235*Inputs!$D$33)</f>
        <v>0.34586938098946385</v>
      </c>
      <c r="Q235" s="38">
        <f>IF(P235&gt;=1,999,P235/(Inputs!$D$33*(1-P235))*60)</f>
        <v>0.79311999225622454</v>
      </c>
      <c r="R235" s="37">
        <f>MIN(1,MAX(0,(Q235-Inputs!$D$36)/(Inputs!$D$37-Inputs!$D$36)))</f>
        <v>0</v>
      </c>
      <c r="S235" s="35">
        <f>Inputs!$D$6*E235*Inputs!$D$27*(1-Inputs!$D$38*R235)</f>
        <v>4381.012159199875</v>
      </c>
      <c r="T235" s="39">
        <f>S235*Inputs!$D$12</f>
        <v>70096.194547198</v>
      </c>
      <c r="U235" s="39">
        <f>T235*(1-Inputs!$D$18)</f>
        <v>31543.287546239098</v>
      </c>
      <c r="V235" s="35">
        <f>Inputs!$D$6*F235*Inputs!$D$28*Inputs!$D$31</f>
        <v>712.33502613882979</v>
      </c>
      <c r="W235" s="36">
        <f>V235/(B235*Inputs!$D$34)</f>
        <v>0.84801788826051161</v>
      </c>
      <c r="X235" s="38">
        <f>IF(W235&gt;=1,999,W235/(Inputs!$D$34*(1-W235))*60)</f>
        <v>9.5652372155190832</v>
      </c>
      <c r="Y235" s="37">
        <f>MIN(1,MAX(0,(X235-Inputs!$D$36)/(Inputs!$D$37-Inputs!$D$36)))</f>
        <v>0.30434914770127219</v>
      </c>
      <c r="Z235" s="35">
        <f>Inputs!$D$6*F235*Inputs!$D$28*(1-Inputs!$D$38*Y235)</f>
        <v>4729.0436538571339</v>
      </c>
      <c r="AA235" s="39">
        <f>Z235*Inputs!$D$13</f>
        <v>40196.87105778564</v>
      </c>
      <c r="AB235" s="39">
        <f>AA235*(1-Inputs!$D$19)</f>
        <v>24118.122634671385</v>
      </c>
      <c r="AC235" s="39">
        <f t="shared" si="12"/>
        <v>264808.82700498367</v>
      </c>
      <c r="AD235" s="39">
        <f t="shared" si="13"/>
        <v>109741.9266709105</v>
      </c>
      <c r="AE235" s="36">
        <f t="shared" si="14"/>
        <v>1.0481448128342246</v>
      </c>
      <c r="AF235" s="35">
        <f>IF(AND(AE235&lt;=Inputs!$D$35,C235&gt;=Inputs!$D$48*(A235+B235+C235),B235*Inputs!$D$22&lt;=Inputs!$D$50*Inputs!$D$8,B235*Inputs!$D$22&gt;=Inputs!$D$49*Inputs!$D$8,A235*Inputs!$D$20&lt;=Inputs!$D$47*Inputs!$D$8,C235&gt;=1),1,0)</f>
        <v>0</v>
      </c>
      <c r="AG235" s="39">
        <f t="shared" si="15"/>
        <v>-1</v>
      </c>
    </row>
    <row r="236" spans="1:33" x14ac:dyDescent="0.25">
      <c r="A236" s="35">
        <v>34</v>
      </c>
      <c r="B236" s="35">
        <v>25</v>
      </c>
      <c r="C236" s="35">
        <f>Inputs!$D$8-A236-Inputs!$D$22*B236</f>
        <v>36</v>
      </c>
      <c r="D236" s="35">
        <f>A236*Inputs!$D$20+C236*Inputs!$D$21+B236*Inputs!$D$22</f>
        <v>120</v>
      </c>
      <c r="E236" s="36">
        <f>MIN(Inputs!$E$15,Inputs!$D$15*(C236/Inputs!$D$43)^Inputs!$D$44)</f>
        <v>0.36257020206219398</v>
      </c>
      <c r="F236" s="36">
        <f>MIN(Inputs!$E$16,Inputs!$D$16*(B236/Inputs!$D$42)^Inputs!$D$44)</f>
        <v>0.42769383999647526</v>
      </c>
      <c r="G236" s="37">
        <f>Inputs!$D$26*(1+Inputs!$D$41*(B236-Inputs!$D$42))</f>
        <v>1.5750000000000002</v>
      </c>
      <c r="H236" s="35">
        <f>Inputs!$D$6*Inputs!$D$14*G236*Inputs!$D$29</f>
        <v>1978.8772500000005</v>
      </c>
      <c r="I236" s="36">
        <f>H236/(A236*Inputs!$D$32)</f>
        <v>1.0582231283422463</v>
      </c>
      <c r="J236" s="38">
        <f>IF(I236&gt;=1,999,I236/(Inputs!$D$32*(1-I236))*60)</f>
        <v>999</v>
      </c>
      <c r="K236" s="37">
        <f>MIN(1,MAX(0,(J236-Inputs!$D$36)/(Inputs!$D$37-Inputs!$D$36)))</f>
        <v>1</v>
      </c>
      <c r="L236" s="35">
        <f>Inputs!$D$6*Inputs!$D$14*G236*(1-Inputs!$D$38*K236)</f>
        <v>7255.8832500000026</v>
      </c>
      <c r="M236" s="39">
        <f>L236*Inputs!$D$11</f>
        <v>156001.48987500006</v>
      </c>
      <c r="N236" s="39">
        <f>M236*(1-Inputs!$D$17)</f>
        <v>54600.521456250019</v>
      </c>
      <c r="O236" s="35">
        <f>Inputs!$D$6*E236*Inputs!$D$27*Inputs!$D$30</f>
        <v>517.26295419324151</v>
      </c>
      <c r="P236" s="36">
        <f>O236/(C236*Inputs!$D$33)</f>
        <v>0.35921038485641771</v>
      </c>
      <c r="Q236" s="38">
        <f>IF(P236&gt;=1,999,P236/(Inputs!$D$33*(1-P236))*60)</f>
        <v>0.84086190623406665</v>
      </c>
      <c r="R236" s="37">
        <f>MIN(1,MAX(0,(Q236-Inputs!$D$36)/(Inputs!$D$37-Inputs!$D$36)))</f>
        <v>0</v>
      </c>
      <c r="S236" s="35">
        <f>Inputs!$D$6*E236*Inputs!$D$27*(1-Inputs!$D$38*R236)</f>
        <v>4310.5246182770125</v>
      </c>
      <c r="T236" s="39">
        <f>S236*Inputs!$D$12</f>
        <v>68968.393892432199</v>
      </c>
      <c r="U236" s="39">
        <f>T236*(1-Inputs!$D$18)</f>
        <v>31035.777251594485</v>
      </c>
      <c r="V236" s="35">
        <f>Inputs!$D$6*F236*Inputs!$D$28*Inputs!$D$31</f>
        <v>721.1123435383771</v>
      </c>
      <c r="W236" s="36">
        <f>V236/(B236*Inputs!$D$34)</f>
        <v>0.82412839261528814</v>
      </c>
      <c r="X236" s="38">
        <f>IF(W236&gt;=1,999,W236/(Inputs!$D$34*(1-W236))*60)</f>
        <v>8.0330847668163621</v>
      </c>
      <c r="Y236" s="37">
        <f>MIN(1,MAX(0,(X236-Inputs!$D$36)/(Inputs!$D$37-Inputs!$D$36)))</f>
        <v>0.20220565112109082</v>
      </c>
      <c r="Z236" s="35">
        <f>Inputs!$D$6*F236*Inputs!$D$28*(1-Inputs!$D$38*Y236)</f>
        <v>5042.2807508299393</v>
      </c>
      <c r="AA236" s="39">
        <f>Z236*Inputs!$D$13</f>
        <v>42859.386382054487</v>
      </c>
      <c r="AB236" s="39">
        <f>AA236*(1-Inputs!$D$19)</f>
        <v>25715.631829232691</v>
      </c>
      <c r="AC236" s="39">
        <f t="shared" si="12"/>
        <v>267829.27014948672</v>
      </c>
      <c r="AD236" s="39">
        <f t="shared" si="13"/>
        <v>111351.93053707719</v>
      </c>
      <c r="AE236" s="36">
        <f t="shared" si="14"/>
        <v>1.0582231283422463</v>
      </c>
      <c r="AF236" s="35">
        <f>IF(AND(AE236&lt;=Inputs!$D$35,C236&gt;=Inputs!$D$48*(A236+B236+C236),B236*Inputs!$D$22&lt;=Inputs!$D$50*Inputs!$D$8,B236*Inputs!$D$22&gt;=Inputs!$D$49*Inputs!$D$8,A236*Inputs!$D$20&lt;=Inputs!$D$47*Inputs!$D$8,C236&gt;=1),1,0)</f>
        <v>0</v>
      </c>
      <c r="AG236" s="39">
        <f t="shared" si="15"/>
        <v>-1</v>
      </c>
    </row>
    <row r="237" spans="1:33" x14ac:dyDescent="0.25">
      <c r="A237" s="35">
        <v>34</v>
      </c>
      <c r="B237" s="35">
        <v>26</v>
      </c>
      <c r="C237" s="35">
        <f>Inputs!$D$8-A237-Inputs!$D$22*B237</f>
        <v>34</v>
      </c>
      <c r="D237" s="35">
        <f>A237*Inputs!$D$20+C237*Inputs!$D$21+B237*Inputs!$D$22</f>
        <v>120</v>
      </c>
      <c r="E237" s="36">
        <f>MIN(Inputs!$E$15,Inputs!$D$15*(C237/Inputs!$D$43)^Inputs!$D$44)</f>
        <v>0.35640602201959876</v>
      </c>
      <c r="F237" s="36">
        <f>MIN(Inputs!$E$16,Inputs!$D$16*(B237/Inputs!$D$42)^Inputs!$D$44)</f>
        <v>0.43275589945781112</v>
      </c>
      <c r="G237" s="37">
        <f>Inputs!$D$26*(1+Inputs!$D$41*(B237-Inputs!$D$42))</f>
        <v>1.59</v>
      </c>
      <c r="H237" s="35">
        <f>Inputs!$D$6*Inputs!$D$14*G237*Inputs!$D$29</f>
        <v>1997.7237</v>
      </c>
      <c r="I237" s="36">
        <f>H237/(A237*Inputs!$D$32)</f>
        <v>1.0683014438502674</v>
      </c>
      <c r="J237" s="38">
        <f>IF(I237&gt;=1,999,I237/(Inputs!$D$32*(1-I237))*60)</f>
        <v>999</v>
      </c>
      <c r="K237" s="37">
        <f>MIN(1,MAX(0,(J237-Inputs!$D$36)/(Inputs!$D$37-Inputs!$D$36)))</f>
        <v>1</v>
      </c>
      <c r="L237" s="35">
        <f>Inputs!$D$6*Inputs!$D$14*G237*(1-Inputs!$D$38*K237)</f>
        <v>7324.9869000000017</v>
      </c>
      <c r="M237" s="39">
        <f>L237*Inputs!$D$11</f>
        <v>157487.21835000004</v>
      </c>
      <c r="N237" s="39">
        <f>M237*(1-Inputs!$D$17)</f>
        <v>55120.526422500014</v>
      </c>
      <c r="O237" s="35">
        <f>Inputs!$D$6*E237*Inputs!$D$27*Inputs!$D$30</f>
        <v>508.46878975039266</v>
      </c>
      <c r="P237" s="36">
        <f>O237/(C237*Inputs!$D$33)</f>
        <v>0.37387411011058286</v>
      </c>
      <c r="Q237" s="38">
        <f>IF(P237&gt;=1,999,P237/(Inputs!$D$33*(1-P237))*60)</f>
        <v>0.89568435712652228</v>
      </c>
      <c r="R237" s="37">
        <f>MIN(1,MAX(0,(Q237-Inputs!$D$36)/(Inputs!$D$37-Inputs!$D$36)))</f>
        <v>0</v>
      </c>
      <c r="S237" s="35">
        <f>Inputs!$D$6*E237*Inputs!$D$27*(1-Inputs!$D$38*R237)</f>
        <v>4237.2399145866057</v>
      </c>
      <c r="T237" s="39">
        <f>S237*Inputs!$D$12</f>
        <v>67795.838633385691</v>
      </c>
      <c r="U237" s="39">
        <f>T237*(1-Inputs!$D$18)</f>
        <v>30508.127385023559</v>
      </c>
      <c r="V237" s="35">
        <f>Inputs!$D$6*F237*Inputs!$D$28*Inputs!$D$31</f>
        <v>729.64721876904355</v>
      </c>
      <c r="W237" s="36">
        <f>V237/(B237*Inputs!$D$34)</f>
        <v>0.80181013051543248</v>
      </c>
      <c r="X237" s="38">
        <f>IF(W237&gt;=1,999,W237/(Inputs!$D$34*(1-W237))*60)</f>
        <v>6.9354284146153136</v>
      </c>
      <c r="Y237" s="37">
        <f>MIN(1,MAX(0,(X237-Inputs!$D$36)/(Inputs!$D$37-Inputs!$D$36)))</f>
        <v>0.12902856097435425</v>
      </c>
      <c r="Z237" s="35">
        <f>Inputs!$D$6*F237*Inputs!$D$28*(1-Inputs!$D$38*Y237)</f>
        <v>5286.7832305655711</v>
      </c>
      <c r="AA237" s="39">
        <f>Z237*Inputs!$D$13</f>
        <v>44937.657459807357</v>
      </c>
      <c r="AB237" s="39">
        <f>AA237*(1-Inputs!$D$19)</f>
        <v>26962.594475884413</v>
      </c>
      <c r="AC237" s="39">
        <f t="shared" si="12"/>
        <v>270220.71444319311</v>
      </c>
      <c r="AD237" s="39">
        <f t="shared" si="13"/>
        <v>112591.24828340799</v>
      </c>
      <c r="AE237" s="36">
        <f t="shared" si="14"/>
        <v>1.0683014438502674</v>
      </c>
      <c r="AF237" s="35">
        <f>IF(AND(AE237&lt;=Inputs!$D$35,C237&gt;=Inputs!$D$48*(A237+B237+C237),B237*Inputs!$D$22&lt;=Inputs!$D$50*Inputs!$D$8,B237*Inputs!$D$22&gt;=Inputs!$D$49*Inputs!$D$8,A237*Inputs!$D$20&lt;=Inputs!$D$47*Inputs!$D$8,C237&gt;=1),1,0)</f>
        <v>0</v>
      </c>
      <c r="AG237" s="39">
        <f t="shared" si="15"/>
        <v>-1</v>
      </c>
    </row>
    <row r="238" spans="1:33" x14ac:dyDescent="0.25">
      <c r="A238" s="35">
        <v>34</v>
      </c>
      <c r="B238" s="35">
        <v>27</v>
      </c>
      <c r="C238" s="35">
        <f>Inputs!$D$8-A238-Inputs!$D$22*B238</f>
        <v>32</v>
      </c>
      <c r="D238" s="35">
        <f>A238*Inputs!$D$20+C238*Inputs!$D$21+B238*Inputs!$D$22</f>
        <v>120</v>
      </c>
      <c r="E238" s="36">
        <f>MIN(Inputs!$E$15,Inputs!$D$15*(C238/Inputs!$D$43)^Inputs!$D$44)</f>
        <v>0.34998251836560429</v>
      </c>
      <c r="F238" s="36">
        <f>MIN(Inputs!$E$16,Inputs!$D$16*(B238/Inputs!$D$42)^Inputs!$D$44)</f>
        <v>0.43768344678187454</v>
      </c>
      <c r="G238" s="37">
        <f>Inputs!$D$26*(1+Inputs!$D$41*(B238-Inputs!$D$42))</f>
        <v>1.605</v>
      </c>
      <c r="H238" s="35">
        <f>Inputs!$D$6*Inputs!$D$14*G238*Inputs!$D$29</f>
        <v>2016.57015</v>
      </c>
      <c r="I238" s="36">
        <f>H238/(A238*Inputs!$D$32)</f>
        <v>1.0783797593582887</v>
      </c>
      <c r="J238" s="38">
        <f>IF(I238&gt;=1,999,I238/(Inputs!$D$32*(1-I238))*60)</f>
        <v>999</v>
      </c>
      <c r="K238" s="37">
        <f>MIN(1,MAX(0,(J238-Inputs!$D$36)/(Inputs!$D$37-Inputs!$D$36)))</f>
        <v>1</v>
      </c>
      <c r="L238" s="35">
        <f>Inputs!$D$6*Inputs!$D$14*G238*(1-Inputs!$D$38*K238)</f>
        <v>7394.0905500000017</v>
      </c>
      <c r="M238" s="39">
        <f>L238*Inputs!$D$11</f>
        <v>158972.94682500005</v>
      </c>
      <c r="N238" s="39">
        <f>M238*(1-Inputs!$D$17)</f>
        <v>55640.531388750016</v>
      </c>
      <c r="O238" s="35">
        <f>Inputs!$D$6*E238*Inputs!$D$27*Inputs!$D$30</f>
        <v>499.30465972139962</v>
      </c>
      <c r="P238" s="36">
        <f>O238/(C238*Inputs!$D$33)</f>
        <v>0.39008176540734346</v>
      </c>
      <c r="Q238" s="38">
        <f>IF(P238&gt;=1,999,P238/(Inputs!$D$33*(1-P238))*60)</f>
        <v>0.95934604824825165</v>
      </c>
      <c r="R238" s="37">
        <f>MIN(1,MAX(0,(Q238-Inputs!$D$36)/(Inputs!$D$37-Inputs!$D$36)))</f>
        <v>0</v>
      </c>
      <c r="S238" s="35">
        <f>Inputs!$D$6*E238*Inputs!$D$27*(1-Inputs!$D$38*R238)</f>
        <v>4160.8721643449971</v>
      </c>
      <c r="T238" s="39">
        <f>S238*Inputs!$D$12</f>
        <v>66573.954629519954</v>
      </c>
      <c r="U238" s="39">
        <f>T238*(1-Inputs!$D$18)</f>
        <v>29958.279583283977</v>
      </c>
      <c r="V238" s="35">
        <f>Inputs!$D$6*F238*Inputs!$D$28*Inputs!$D$31</f>
        <v>737.95530007968603</v>
      </c>
      <c r="W238" s="36">
        <f>V238/(B238*Inputs!$D$34)</f>
        <v>0.78090507944940324</v>
      </c>
      <c r="X238" s="38">
        <f>IF(W238&gt;=1,999,W238/(Inputs!$D$34*(1-W238))*60)</f>
        <v>6.1101116290101798</v>
      </c>
      <c r="Y238" s="37">
        <f>MIN(1,MAX(0,(X238-Inputs!$D$36)/(Inputs!$D$37-Inputs!$D$36)))</f>
        <v>7.4007441934011986E-2</v>
      </c>
      <c r="Z238" s="35">
        <f>Inputs!$D$6*F238*Inputs!$D$28*(1-Inputs!$D$38*Y238)</f>
        <v>5487.5301328495489</v>
      </c>
      <c r="AA238" s="39">
        <f>Z238*Inputs!$D$13</f>
        <v>46644.006129221169</v>
      </c>
      <c r="AB238" s="39">
        <f>AA238*(1-Inputs!$D$19)</f>
        <v>27986.4036775327</v>
      </c>
      <c r="AC238" s="39">
        <f t="shared" si="12"/>
        <v>272190.90758374118</v>
      </c>
      <c r="AD238" s="39">
        <f t="shared" si="13"/>
        <v>113585.2146495667</v>
      </c>
      <c r="AE238" s="36">
        <f t="shared" si="14"/>
        <v>1.0783797593582887</v>
      </c>
      <c r="AF238" s="35">
        <f>IF(AND(AE238&lt;=Inputs!$D$35,C238&gt;=Inputs!$D$48*(A238+B238+C238),B238*Inputs!$D$22&lt;=Inputs!$D$50*Inputs!$D$8,B238*Inputs!$D$22&gt;=Inputs!$D$49*Inputs!$D$8,A238*Inputs!$D$20&lt;=Inputs!$D$47*Inputs!$D$8,C238&gt;=1),1,0)</f>
        <v>0</v>
      </c>
      <c r="AG238" s="39">
        <f t="shared" si="15"/>
        <v>-1</v>
      </c>
    </row>
    <row r="239" spans="1:33" x14ac:dyDescent="0.25">
      <c r="A239" s="35">
        <v>34</v>
      </c>
      <c r="B239" s="35">
        <v>28</v>
      </c>
      <c r="C239" s="35">
        <f>Inputs!$D$8-A239-Inputs!$D$22*B239</f>
        <v>30</v>
      </c>
      <c r="D239" s="35">
        <f>A239*Inputs!$D$20+C239*Inputs!$D$21+B239*Inputs!$D$22</f>
        <v>120</v>
      </c>
      <c r="E239" s="36">
        <f>MIN(Inputs!$E$15,Inputs!$D$15*(C239/Inputs!$D$43)^Inputs!$D$44)</f>
        <v>0.3432714897427589</v>
      </c>
      <c r="F239" s="36">
        <f>MIN(Inputs!$E$16,Inputs!$D$16*(B239/Inputs!$D$42)^Inputs!$D$44)</f>
        <v>0.44248484624799689</v>
      </c>
      <c r="G239" s="37">
        <f>Inputs!$D$26*(1+Inputs!$D$41*(B239-Inputs!$D$42))</f>
        <v>1.62</v>
      </c>
      <c r="H239" s="35">
        <f>Inputs!$D$6*Inputs!$D$14*G239*Inputs!$D$29</f>
        <v>2035.4166</v>
      </c>
      <c r="I239" s="36">
        <f>H239/(A239*Inputs!$D$32)</f>
        <v>1.0884580748663102</v>
      </c>
      <c r="J239" s="38">
        <f>IF(I239&gt;=1,999,I239/(Inputs!$D$32*(1-I239))*60)</f>
        <v>999</v>
      </c>
      <c r="K239" s="37">
        <f>MIN(1,MAX(0,(J239-Inputs!$D$36)/(Inputs!$D$37-Inputs!$D$36)))</f>
        <v>1</v>
      </c>
      <c r="L239" s="35">
        <f>Inputs!$D$6*Inputs!$D$14*G239*(1-Inputs!$D$38*K239)</f>
        <v>7463.1942000000017</v>
      </c>
      <c r="M239" s="39">
        <f>L239*Inputs!$D$11</f>
        <v>160458.67530000003</v>
      </c>
      <c r="N239" s="39">
        <f>M239*(1-Inputs!$D$17)</f>
        <v>56160.536355000011</v>
      </c>
      <c r="O239" s="35">
        <f>Inputs!$D$6*E239*Inputs!$D$27*Inputs!$D$30</f>
        <v>489.73033047044544</v>
      </c>
      <c r="P239" s="36">
        <f>O239/(C239*Inputs!$D$33)</f>
        <v>0.40810860872537119</v>
      </c>
      <c r="Q239" s="38">
        <f>IF(P239&gt;=1,999,P239/(Inputs!$D$33*(1-P239))*60)</f>
        <v>1.0342487187890559</v>
      </c>
      <c r="R239" s="37">
        <f>MIN(1,MAX(0,(Q239-Inputs!$D$36)/(Inputs!$D$37-Inputs!$D$36)))</f>
        <v>0</v>
      </c>
      <c r="S239" s="35">
        <f>Inputs!$D$6*E239*Inputs!$D$27*(1-Inputs!$D$38*R239)</f>
        <v>4081.0860872537123</v>
      </c>
      <c r="T239" s="39">
        <f>S239*Inputs!$D$12</f>
        <v>65297.377396059397</v>
      </c>
      <c r="U239" s="39">
        <f>T239*(1-Inputs!$D$18)</f>
        <v>29383.819828226726</v>
      </c>
      <c r="V239" s="35">
        <f>Inputs!$D$6*F239*Inputs!$D$28*Inputs!$D$31</f>
        <v>746.05069004674272</v>
      </c>
      <c r="W239" s="36">
        <f>V239/(B239*Inputs!$D$34)</f>
        <v>0.76127621433341097</v>
      </c>
      <c r="X239" s="38">
        <f>IF(W239&gt;=1,999,W239/(Inputs!$D$34*(1-W239))*60)</f>
        <v>5.4667570523531852</v>
      </c>
      <c r="Y239" s="37">
        <f>MIN(1,MAX(0,(X239-Inputs!$D$36)/(Inputs!$D$37-Inputs!$D$36)))</f>
        <v>3.111713682354568E-2</v>
      </c>
      <c r="Z239" s="35">
        <f>Inputs!$D$6*F239*Inputs!$D$28*(1-Inputs!$D$38*Y239)</f>
        <v>5658.4919801305723</v>
      </c>
      <c r="AA239" s="39">
        <f>Z239*Inputs!$D$13</f>
        <v>48097.181831109861</v>
      </c>
      <c r="AB239" s="39">
        <f>AA239*(1-Inputs!$D$19)</f>
        <v>28858.309098665915</v>
      </c>
      <c r="AC239" s="39">
        <f t="shared" si="12"/>
        <v>273853.23452716926</v>
      </c>
      <c r="AD239" s="39">
        <f t="shared" si="13"/>
        <v>114402.66528189267</v>
      </c>
      <c r="AE239" s="36">
        <f t="shared" si="14"/>
        <v>1.0884580748663102</v>
      </c>
      <c r="AF239" s="35">
        <f>IF(AND(AE239&lt;=Inputs!$D$35,C239&gt;=Inputs!$D$48*(A239+B239+C239),B239*Inputs!$D$22&lt;=Inputs!$D$50*Inputs!$D$8,B239*Inputs!$D$22&gt;=Inputs!$D$49*Inputs!$D$8,A239*Inputs!$D$20&lt;=Inputs!$D$47*Inputs!$D$8,C239&gt;=1),1,0)</f>
        <v>0</v>
      </c>
      <c r="AG239" s="39">
        <f t="shared" si="15"/>
        <v>-1</v>
      </c>
    </row>
    <row r="240" spans="1:33" x14ac:dyDescent="0.25">
      <c r="A240" s="35">
        <v>34</v>
      </c>
      <c r="B240" s="35">
        <v>29</v>
      </c>
      <c r="C240" s="35">
        <f>Inputs!$D$8-A240-Inputs!$D$22*B240</f>
        <v>28</v>
      </c>
      <c r="D240" s="35">
        <f>A240*Inputs!$D$20+C240*Inputs!$D$21+B240*Inputs!$D$22</f>
        <v>120</v>
      </c>
      <c r="E240" s="36">
        <f>MIN(Inputs!$E$15,Inputs!$D$15*(C240/Inputs!$D$43)^Inputs!$D$44)</f>
        <v>0.33623952833125714</v>
      </c>
      <c r="F240" s="36">
        <f>MIN(Inputs!$E$16,Inputs!$D$16*(B240/Inputs!$D$42)^Inputs!$D$44)</f>
        <v>0.44716766511947192</v>
      </c>
      <c r="G240" s="37">
        <f>Inputs!$D$26*(1+Inputs!$D$41*(B240-Inputs!$D$42))</f>
        <v>1.6350000000000002</v>
      </c>
      <c r="H240" s="35">
        <f>Inputs!$D$6*Inputs!$D$14*G240*Inputs!$D$29</f>
        <v>2054.2630500000005</v>
      </c>
      <c r="I240" s="36">
        <f>H240/(A240*Inputs!$D$32)</f>
        <v>1.0985363903743317</v>
      </c>
      <c r="J240" s="38">
        <f>IF(I240&gt;=1,999,I240/(Inputs!$D$32*(1-I240))*60)</f>
        <v>999</v>
      </c>
      <c r="K240" s="37">
        <f>MIN(1,MAX(0,(J240-Inputs!$D$36)/(Inputs!$D$37-Inputs!$D$36)))</f>
        <v>1</v>
      </c>
      <c r="L240" s="35">
        <f>Inputs!$D$6*Inputs!$D$14*G240*(1-Inputs!$D$38*K240)</f>
        <v>7532.2978500000027</v>
      </c>
      <c r="M240" s="39">
        <f>L240*Inputs!$D$11</f>
        <v>161944.40377500007</v>
      </c>
      <c r="N240" s="39">
        <f>M240*(1-Inputs!$D$17)</f>
        <v>56680.541321250021</v>
      </c>
      <c r="O240" s="35">
        <f>Inputs!$D$6*E240*Inputs!$D$27*Inputs!$D$30</f>
        <v>479.69814053095797</v>
      </c>
      <c r="P240" s="36">
        <f>O240/(C240*Inputs!$D$33)</f>
        <v>0.42830191118835531</v>
      </c>
      <c r="Q240" s="38">
        <f>IF(P240&gt;=1,999,P240/(Inputs!$D$33*(1-P240))*60)</f>
        <v>1.1237624882006552</v>
      </c>
      <c r="R240" s="37">
        <f>MIN(1,MAX(0,(Q240-Inputs!$D$36)/(Inputs!$D$37-Inputs!$D$36)))</f>
        <v>0</v>
      </c>
      <c r="S240" s="35">
        <f>Inputs!$D$6*E240*Inputs!$D$27*(1-Inputs!$D$38*R240)</f>
        <v>3997.4845044246499</v>
      </c>
      <c r="T240" s="39">
        <f>S240*Inputs!$D$12</f>
        <v>63959.752070794399</v>
      </c>
      <c r="U240" s="39">
        <f>T240*(1-Inputs!$D$18)</f>
        <v>28781.888431857478</v>
      </c>
      <c r="V240" s="35">
        <f>Inputs!$D$6*F240*Inputs!$D$28*Inputs!$D$31</f>
        <v>753.9461474393554</v>
      </c>
      <c r="W240" s="36">
        <f>V240/(B240*Inputs!$D$34)</f>
        <v>0.74280408614714821</v>
      </c>
      <c r="X240" s="38">
        <f>IF(W240&gt;=1,999,W240/(Inputs!$D$34*(1-W240))*60)</f>
        <v>4.9510056918075414</v>
      </c>
      <c r="Y240" s="37">
        <f>MIN(1,MAX(0,(X240-Inputs!$D$36)/(Inputs!$D$37-Inputs!$D$36)))</f>
        <v>0</v>
      </c>
      <c r="Z240" s="35">
        <f>Inputs!$D$6*F240*Inputs!$D$28*(1-Inputs!$D$38*Y240)</f>
        <v>5799.5857495335031</v>
      </c>
      <c r="AA240" s="39">
        <f>Z240*Inputs!$D$13</f>
        <v>49296.478871034778</v>
      </c>
      <c r="AB240" s="39">
        <f>AA240*(1-Inputs!$D$19)</f>
        <v>29577.887322620867</v>
      </c>
      <c r="AC240" s="39">
        <f t="shared" si="12"/>
        <v>275200.63471682929</v>
      </c>
      <c r="AD240" s="39">
        <f t="shared" si="13"/>
        <v>115040.31707572837</v>
      </c>
      <c r="AE240" s="36">
        <f t="shared" si="14"/>
        <v>1.0985363903743317</v>
      </c>
      <c r="AF240" s="35">
        <f>IF(AND(AE240&lt;=Inputs!$D$35,C240&gt;=Inputs!$D$48*(A240+B240+C240),B240*Inputs!$D$22&lt;=Inputs!$D$50*Inputs!$D$8,B240*Inputs!$D$22&gt;=Inputs!$D$49*Inputs!$D$8,A240*Inputs!$D$20&lt;=Inputs!$D$47*Inputs!$D$8,C240&gt;=1),1,0)</f>
        <v>0</v>
      </c>
      <c r="AG240" s="39">
        <f t="shared" si="15"/>
        <v>-1</v>
      </c>
    </row>
    <row r="241" spans="1:33" x14ac:dyDescent="0.25">
      <c r="A241" s="35">
        <v>34</v>
      </c>
      <c r="B241" s="35">
        <v>30</v>
      </c>
      <c r="C241" s="35">
        <f>Inputs!$D$8-A241-Inputs!$D$22*B241</f>
        <v>26</v>
      </c>
      <c r="D241" s="35">
        <f>A241*Inputs!$D$20+C241*Inputs!$D$21+B241*Inputs!$D$22</f>
        <v>120</v>
      </c>
      <c r="E241" s="36">
        <f>MIN(Inputs!$E$15,Inputs!$D$15*(C241/Inputs!$D$43)^Inputs!$D$44)</f>
        <v>0.32884660514387515</v>
      </c>
      <c r="F241" s="36">
        <f>MIN(Inputs!$E$16,Inputs!$D$16*(B241/Inputs!$D$42)^Inputs!$D$44)</f>
        <v>0.45173877418274222</v>
      </c>
      <c r="G241" s="37">
        <f>Inputs!$D$26*(1+Inputs!$D$41*(B241-Inputs!$D$42))</f>
        <v>1.6500000000000001</v>
      </c>
      <c r="H241" s="35">
        <f>Inputs!$D$6*Inputs!$D$14*G241*Inputs!$D$29</f>
        <v>2073.1095000000005</v>
      </c>
      <c r="I241" s="36">
        <f>H241/(A241*Inputs!$D$32)</f>
        <v>1.1086147058823532</v>
      </c>
      <c r="J241" s="38">
        <f>IF(I241&gt;=1,999,I241/(Inputs!$D$32*(1-I241))*60)</f>
        <v>999</v>
      </c>
      <c r="K241" s="37">
        <f>MIN(1,MAX(0,(J241-Inputs!$D$36)/(Inputs!$D$37-Inputs!$D$36)))</f>
        <v>1</v>
      </c>
      <c r="L241" s="35">
        <f>Inputs!$D$6*Inputs!$D$14*G241*(1-Inputs!$D$38*K241)</f>
        <v>7601.4015000000027</v>
      </c>
      <c r="M241" s="39">
        <f>L241*Inputs!$D$11</f>
        <v>163430.13225000005</v>
      </c>
      <c r="N241" s="39">
        <f>M241*(1-Inputs!$D$17)</f>
        <v>57200.546287500016</v>
      </c>
      <c r="O241" s="35">
        <f>Inputs!$D$6*E241*Inputs!$D$27*Inputs!$D$30</f>
        <v>469.15098230814039</v>
      </c>
      <c r="P241" s="36">
        <f>O241/(C241*Inputs!$D$33)</f>
        <v>0.45110671375782729</v>
      </c>
      <c r="Q241" s="38">
        <f>IF(P241&gt;=1,999,P241/(Inputs!$D$33*(1-P241))*60)</f>
        <v>1.2327716290160586</v>
      </c>
      <c r="R241" s="37">
        <f>MIN(1,MAX(0,(Q241-Inputs!$D$36)/(Inputs!$D$37-Inputs!$D$36)))</f>
        <v>0</v>
      </c>
      <c r="S241" s="35">
        <f>Inputs!$D$6*E241*Inputs!$D$27*(1-Inputs!$D$38*R241)</f>
        <v>3909.5915192345033</v>
      </c>
      <c r="T241" s="39">
        <f>S241*Inputs!$D$12</f>
        <v>62553.464307752052</v>
      </c>
      <c r="U241" s="39">
        <f>T241*(1-Inputs!$D$18)</f>
        <v>28149.058938488422</v>
      </c>
      <c r="V241" s="35">
        <f>Inputs!$D$6*F241*Inputs!$D$28*Inputs!$D$31</f>
        <v>761.65325673326424</v>
      </c>
      <c r="W241" s="36">
        <f>V241/(B241*Inputs!$D$34)</f>
        <v>0.72538405403168027</v>
      </c>
      <c r="X241" s="38">
        <f>IF(W241&gt;=1,999,W241/(Inputs!$D$34*(1-W241))*60)</f>
        <v>4.5281985239874629</v>
      </c>
      <c r="Y241" s="37">
        <f>MIN(1,MAX(0,(X241-Inputs!$D$36)/(Inputs!$D$37-Inputs!$D$36)))</f>
        <v>0</v>
      </c>
      <c r="Z241" s="35">
        <f>Inputs!$D$6*F241*Inputs!$D$28*(1-Inputs!$D$38*Y241)</f>
        <v>5858.8712056404938</v>
      </c>
      <c r="AA241" s="39">
        <f>Z241*Inputs!$D$13</f>
        <v>49800.405247944196</v>
      </c>
      <c r="AB241" s="39">
        <f>AA241*(1-Inputs!$D$19)</f>
        <v>29880.243148766516</v>
      </c>
      <c r="AC241" s="39">
        <f t="shared" si="12"/>
        <v>275784.00180569629</v>
      </c>
      <c r="AD241" s="39">
        <f t="shared" si="13"/>
        <v>115229.84837475495</v>
      </c>
      <c r="AE241" s="36">
        <f t="shared" si="14"/>
        <v>1.1086147058823532</v>
      </c>
      <c r="AF241" s="35">
        <f>IF(AND(AE241&lt;=Inputs!$D$35,C241&gt;=Inputs!$D$48*(A241+B241+C241),B241*Inputs!$D$22&lt;=Inputs!$D$50*Inputs!$D$8,B241*Inputs!$D$22&gt;=Inputs!$D$49*Inputs!$D$8,A241*Inputs!$D$20&lt;=Inputs!$D$47*Inputs!$D$8,C241&gt;=1),1,0)</f>
        <v>0</v>
      </c>
      <c r="AG241" s="39">
        <f t="shared" si="15"/>
        <v>-1</v>
      </c>
    </row>
    <row r="242" spans="1:33" x14ac:dyDescent="0.25">
      <c r="A242" s="35">
        <v>34</v>
      </c>
      <c r="B242" s="35">
        <v>31</v>
      </c>
      <c r="C242" s="35">
        <f>Inputs!$D$8-A242-Inputs!$D$22*B242</f>
        <v>24</v>
      </c>
      <c r="D242" s="35">
        <f>A242*Inputs!$D$20+C242*Inputs!$D$21+B242*Inputs!$D$22</f>
        <v>120</v>
      </c>
      <c r="E242" s="36">
        <f>MIN(Inputs!$E$15,Inputs!$D$15*(C242/Inputs!$D$43)^Inputs!$D$44)</f>
        <v>0.32104412796367415</v>
      </c>
      <c r="F242" s="36">
        <f>MIN(Inputs!$E$16,Inputs!$D$16*(B242/Inputs!$D$42)^Inputs!$D$44)</f>
        <v>0.45620443270573335</v>
      </c>
      <c r="G242" s="37">
        <f>Inputs!$D$26*(1+Inputs!$D$41*(B242-Inputs!$D$42))</f>
        <v>1.665</v>
      </c>
      <c r="H242" s="35">
        <f>Inputs!$D$6*Inputs!$D$14*G242*Inputs!$D$29</f>
        <v>2091.95595</v>
      </c>
      <c r="I242" s="36">
        <f>H242/(A242*Inputs!$D$32)</f>
        <v>1.1186930213903743</v>
      </c>
      <c r="J242" s="38">
        <f>IF(I242&gt;=1,999,I242/(Inputs!$D$32*(1-I242))*60)</f>
        <v>999</v>
      </c>
      <c r="K242" s="37">
        <f>MIN(1,MAX(0,(J242-Inputs!$D$36)/(Inputs!$D$37-Inputs!$D$36)))</f>
        <v>1</v>
      </c>
      <c r="L242" s="35">
        <f>Inputs!$D$6*Inputs!$D$14*G242*(1-Inputs!$D$38*K242)</f>
        <v>7670.5051500000018</v>
      </c>
      <c r="M242" s="39">
        <f>L242*Inputs!$D$11</f>
        <v>164915.86072500004</v>
      </c>
      <c r="N242" s="39">
        <f>M242*(1-Inputs!$D$17)</f>
        <v>57720.551253750011</v>
      </c>
      <c r="O242" s="35">
        <f>Inputs!$D$6*E242*Inputs!$D$27*Inputs!$D$30</f>
        <v>458.01953142414351</v>
      </c>
      <c r="P242" s="36">
        <f>O242/(C242*Inputs!$D$33)</f>
        <v>0.47710367856681618</v>
      </c>
      <c r="Q242" s="38">
        <f>IF(P242&gt;=1,999,P242/(Inputs!$D$33*(1-P242))*60)</f>
        <v>1.3686375071232384</v>
      </c>
      <c r="R242" s="37">
        <f>MIN(1,MAX(0,(Q242-Inputs!$D$36)/(Inputs!$D$37-Inputs!$D$36)))</f>
        <v>0</v>
      </c>
      <c r="S242" s="35">
        <f>Inputs!$D$6*E242*Inputs!$D$27*(1-Inputs!$D$38*R242)</f>
        <v>3816.8294285345296</v>
      </c>
      <c r="T242" s="39">
        <f>S242*Inputs!$D$12</f>
        <v>61069.270856552474</v>
      </c>
      <c r="U242" s="39">
        <f>T242*(1-Inputs!$D$18)</f>
        <v>27481.17188544861</v>
      </c>
      <c r="V242" s="35">
        <f>Inputs!$D$6*F242*Inputs!$D$28*Inputs!$D$31</f>
        <v>769.18257135463637</v>
      </c>
      <c r="W242" s="36">
        <f>V242/(B242*Inputs!$D$34)</f>
        <v>0.70892402889828232</v>
      </c>
      <c r="X242" s="38">
        <f>IF(W242&gt;=1,999,W242/(Inputs!$D$34*(1-W242))*60)</f>
        <v>4.1751929252501148</v>
      </c>
      <c r="Y242" s="37">
        <f>MIN(1,MAX(0,(X242-Inputs!$D$36)/(Inputs!$D$37-Inputs!$D$36)))</f>
        <v>0</v>
      </c>
      <c r="Z242" s="35">
        <f>Inputs!$D$6*F242*Inputs!$D$28*(1-Inputs!$D$38*Y242)</f>
        <v>5916.7890104202797</v>
      </c>
      <c r="AA242" s="39">
        <f>Z242*Inputs!$D$13</f>
        <v>50292.706588572379</v>
      </c>
      <c r="AB242" s="39">
        <f>AA242*(1-Inputs!$D$19)</f>
        <v>30175.623953143426</v>
      </c>
      <c r="AC242" s="39">
        <f t="shared" si="12"/>
        <v>276277.83817012486</v>
      </c>
      <c r="AD242" s="39">
        <f t="shared" si="13"/>
        <v>115377.34709234204</v>
      </c>
      <c r="AE242" s="36">
        <f t="shared" si="14"/>
        <v>1.1186930213903743</v>
      </c>
      <c r="AF242" s="35">
        <f>IF(AND(AE242&lt;=Inputs!$D$35,C242&gt;=Inputs!$D$48*(A242+B242+C242),B242*Inputs!$D$22&lt;=Inputs!$D$50*Inputs!$D$8,B242*Inputs!$D$22&gt;=Inputs!$D$49*Inputs!$D$8,A242*Inputs!$D$20&lt;=Inputs!$D$47*Inputs!$D$8,C242&gt;=1),1,0)</f>
        <v>0</v>
      </c>
      <c r="AG242" s="39">
        <f t="shared" si="15"/>
        <v>-1</v>
      </c>
    </row>
    <row r="243" spans="1:33" x14ac:dyDescent="0.25">
      <c r="A243" s="35">
        <v>34</v>
      </c>
      <c r="B243" s="35">
        <v>32</v>
      </c>
      <c r="C243" s="35">
        <f>Inputs!$D$8-A243-Inputs!$D$22*B243</f>
        <v>22</v>
      </c>
      <c r="D243" s="35">
        <f>A243*Inputs!$D$20+C243*Inputs!$D$21+B243*Inputs!$D$22</f>
        <v>120</v>
      </c>
      <c r="E243" s="36">
        <f>MIN(Inputs!$E$15,Inputs!$D$15*(C243/Inputs!$D$43)^Inputs!$D$44)</f>
        <v>0.31277221277221301</v>
      </c>
      <c r="F243" s="36">
        <f>MIN(Inputs!$E$16,Inputs!$D$16*(B243/Inputs!$D$42)^Inputs!$D$44)</f>
        <v>0.46057036065052986</v>
      </c>
      <c r="G243" s="37">
        <f>Inputs!$D$26*(1+Inputs!$D$41*(B243-Inputs!$D$42))</f>
        <v>1.6800000000000002</v>
      </c>
      <c r="H243" s="35">
        <f>Inputs!$D$6*Inputs!$D$14*G243*Inputs!$D$29</f>
        <v>2110.8024000000005</v>
      </c>
      <c r="I243" s="36">
        <f>H243/(A243*Inputs!$D$32)</f>
        <v>1.128771336898396</v>
      </c>
      <c r="J243" s="38">
        <f>IF(I243&gt;=1,999,I243/(Inputs!$D$32*(1-I243))*60)</f>
        <v>999</v>
      </c>
      <c r="K243" s="37">
        <f>MIN(1,MAX(0,(J243-Inputs!$D$36)/(Inputs!$D$37-Inputs!$D$36)))</f>
        <v>1</v>
      </c>
      <c r="L243" s="35">
        <f>Inputs!$D$6*Inputs!$D$14*G243*(1-Inputs!$D$38*K243)</f>
        <v>7739.6088000000027</v>
      </c>
      <c r="M243" s="39">
        <f>L243*Inputs!$D$11</f>
        <v>166401.58920000005</v>
      </c>
      <c r="N243" s="39">
        <f>M243*(1-Inputs!$D$17)</f>
        <v>58240.556220000013</v>
      </c>
      <c r="O243" s="35">
        <f>Inputs!$D$6*E243*Inputs!$D$27*Inputs!$D$30</f>
        <v>446.21835398475434</v>
      </c>
      <c r="P243" s="36">
        <f>O243/(C243*Inputs!$D$33)</f>
        <v>0.50706631134631175</v>
      </c>
      <c r="Q243" s="38">
        <f>IF(P243&gt;=1,999,P243/(Inputs!$D$33*(1-P243))*60)</f>
        <v>1.543005650713049</v>
      </c>
      <c r="R243" s="37">
        <f>MIN(1,MAX(0,(Q243-Inputs!$D$36)/(Inputs!$D$37-Inputs!$D$36)))</f>
        <v>0</v>
      </c>
      <c r="S243" s="35">
        <f>Inputs!$D$6*E243*Inputs!$D$27*(1-Inputs!$D$38*R243)</f>
        <v>3718.4862832062863</v>
      </c>
      <c r="T243" s="39">
        <f>S243*Inputs!$D$12</f>
        <v>59495.780531300581</v>
      </c>
      <c r="U243" s="39">
        <f>T243*(1-Inputs!$D$18)</f>
        <v>26773.101239085259</v>
      </c>
      <c r="V243" s="35">
        <f>Inputs!$D$6*F243*Inputs!$D$28*Inputs!$D$31</f>
        <v>776.54373543410452</v>
      </c>
      <c r="W243" s="36">
        <f>V243/(B243*Inputs!$D$34)</f>
        <v>0.69334262092330756</v>
      </c>
      <c r="X243" s="38">
        <f>IF(W243&gt;=1,999,W243/(Inputs!$D$34*(1-W243))*60)</f>
        <v>3.8759457011369869</v>
      </c>
      <c r="Y243" s="37">
        <f>MIN(1,MAX(0,(X243-Inputs!$D$36)/(Inputs!$D$37-Inputs!$D$36)))</f>
        <v>0</v>
      </c>
      <c r="Z243" s="35">
        <f>Inputs!$D$6*F243*Inputs!$D$28*(1-Inputs!$D$38*Y243)</f>
        <v>5973.4133494931111</v>
      </c>
      <c r="AA243" s="39">
        <f>Z243*Inputs!$D$13</f>
        <v>50774.013470691447</v>
      </c>
      <c r="AB243" s="39">
        <f>AA243*(1-Inputs!$D$19)</f>
        <v>30464.408082414866</v>
      </c>
      <c r="AC243" s="39">
        <f t="shared" si="12"/>
        <v>276671.38320199208</v>
      </c>
      <c r="AD243" s="39">
        <f t="shared" si="13"/>
        <v>115478.06554150014</v>
      </c>
      <c r="AE243" s="36">
        <f t="shared" si="14"/>
        <v>1.128771336898396</v>
      </c>
      <c r="AF243" s="35">
        <f>IF(AND(AE243&lt;=Inputs!$D$35,C243&gt;=Inputs!$D$48*(A243+B243+C243),B243*Inputs!$D$22&lt;=Inputs!$D$50*Inputs!$D$8,B243*Inputs!$D$22&gt;=Inputs!$D$49*Inputs!$D$8,A243*Inputs!$D$20&lt;=Inputs!$D$47*Inputs!$D$8,C243&gt;=1),1,0)</f>
        <v>0</v>
      </c>
      <c r="AG243" s="39">
        <f t="shared" si="15"/>
        <v>-1</v>
      </c>
    </row>
    <row r="244" spans="1:33" x14ac:dyDescent="0.25">
      <c r="A244" s="35">
        <v>34</v>
      </c>
      <c r="B244" s="35">
        <v>33</v>
      </c>
      <c r="C244" s="35">
        <f>Inputs!$D$8-A244-Inputs!$D$22*B244</f>
        <v>20</v>
      </c>
      <c r="D244" s="35">
        <f>A244*Inputs!$D$20+C244*Inputs!$D$21+B244*Inputs!$D$22</f>
        <v>120</v>
      </c>
      <c r="E244" s="36">
        <f>MIN(Inputs!$E$15,Inputs!$D$15*(C244/Inputs!$D$43)^Inputs!$D$44)</f>
        <v>0.30395574554235194</v>
      </c>
      <c r="F244" s="36">
        <f>MIN(Inputs!$E$16,Inputs!$D$16*(B244/Inputs!$D$42)^Inputs!$D$44)</f>
        <v>0.46484180038786721</v>
      </c>
      <c r="G244" s="37">
        <f>Inputs!$D$26*(1+Inputs!$D$41*(B244-Inputs!$D$42))</f>
        <v>1.6949999999999998</v>
      </c>
      <c r="H244" s="35">
        <f>Inputs!$D$6*Inputs!$D$14*G244*Inputs!$D$29</f>
        <v>2129.64885</v>
      </c>
      <c r="I244" s="36">
        <f>H244/(A244*Inputs!$D$32)</f>
        <v>1.1388496524064171</v>
      </c>
      <c r="J244" s="38">
        <f>IF(I244&gt;=1,999,I244/(Inputs!$D$32*(1-I244))*60)</f>
        <v>999</v>
      </c>
      <c r="K244" s="37">
        <f>MIN(1,MAX(0,(J244-Inputs!$D$36)/(Inputs!$D$37-Inputs!$D$36)))</f>
        <v>1</v>
      </c>
      <c r="L244" s="35">
        <f>Inputs!$D$6*Inputs!$D$14*G244*(1-Inputs!$D$38*K244)</f>
        <v>7808.71245</v>
      </c>
      <c r="M244" s="39">
        <f>L244*Inputs!$D$11</f>
        <v>167887.317675</v>
      </c>
      <c r="N244" s="39">
        <f>M244*(1-Inputs!$D$17)</f>
        <v>58760.561186249994</v>
      </c>
      <c r="O244" s="35">
        <f>Inputs!$D$6*E244*Inputs!$D$27*Inputs!$D$30</f>
        <v>433.64028811246965</v>
      </c>
      <c r="P244" s="36">
        <f>O244/(C244*Inputs!$D$33)</f>
        <v>0.54205036014058705</v>
      </c>
      <c r="Q244" s="38">
        <f>IF(P244&gt;=1,999,P244/(Inputs!$D$33*(1-P244))*60)</f>
        <v>1.7754693299038049</v>
      </c>
      <c r="R244" s="37">
        <f>MIN(1,MAX(0,(Q244-Inputs!$D$36)/(Inputs!$D$37-Inputs!$D$36)))</f>
        <v>0</v>
      </c>
      <c r="S244" s="35">
        <f>Inputs!$D$6*E244*Inputs!$D$27*(1-Inputs!$D$38*R244)</f>
        <v>3613.6690676039138</v>
      </c>
      <c r="T244" s="39">
        <f>S244*Inputs!$D$12</f>
        <v>57818.705081662622</v>
      </c>
      <c r="U244" s="39">
        <f>T244*(1-Inputs!$D$18)</f>
        <v>26018.417286748176</v>
      </c>
      <c r="V244" s="35">
        <f>Inputs!$D$6*F244*Inputs!$D$28*Inputs!$D$31</f>
        <v>783.74558786036266</v>
      </c>
      <c r="W244" s="36">
        <f>V244/(B244*Inputs!$D$34)</f>
        <v>0.67856760853711051</v>
      </c>
      <c r="X244" s="38">
        <f>IF(W244&gt;=1,999,W244/(Inputs!$D$34*(1-W244))*60)</f>
        <v>3.6189842355277744</v>
      </c>
      <c r="Y244" s="37">
        <f>MIN(1,MAX(0,(X244-Inputs!$D$36)/(Inputs!$D$37-Inputs!$D$36)))</f>
        <v>0</v>
      </c>
      <c r="Z244" s="35">
        <f>Inputs!$D$6*F244*Inputs!$D$28*(1-Inputs!$D$38*Y244)</f>
        <v>6028.812214310482</v>
      </c>
      <c r="AA244" s="39">
        <f>Z244*Inputs!$D$13</f>
        <v>51244.903821639098</v>
      </c>
      <c r="AB244" s="39">
        <f>AA244*(1-Inputs!$D$19)</f>
        <v>30746.942292983458</v>
      </c>
      <c r="AC244" s="39">
        <f t="shared" si="12"/>
        <v>276950.9265783017</v>
      </c>
      <c r="AD244" s="39">
        <f t="shared" si="13"/>
        <v>115525.92076598162</v>
      </c>
      <c r="AE244" s="36">
        <f t="shared" si="14"/>
        <v>1.1388496524064171</v>
      </c>
      <c r="AF244" s="35">
        <f>IF(AND(AE244&lt;=Inputs!$D$35,C244&gt;=Inputs!$D$48*(A244+B244+C244),B244*Inputs!$D$22&lt;=Inputs!$D$50*Inputs!$D$8,B244*Inputs!$D$22&gt;=Inputs!$D$49*Inputs!$D$8,A244*Inputs!$D$20&lt;=Inputs!$D$47*Inputs!$D$8,C244&gt;=1),1,0)</f>
        <v>0</v>
      </c>
      <c r="AG244" s="39">
        <f t="shared" si="15"/>
        <v>-1</v>
      </c>
    </row>
    <row r="245" spans="1:33" x14ac:dyDescent="0.25">
      <c r="A245" s="35">
        <v>35</v>
      </c>
      <c r="B245" s="35">
        <v>10</v>
      </c>
      <c r="C245" s="35">
        <f>Inputs!$D$8-A245-Inputs!$D$22*B245</f>
        <v>65</v>
      </c>
      <c r="D245" s="35">
        <f>A245*Inputs!$D$20+C245*Inputs!$D$21+B245*Inputs!$D$22</f>
        <v>120</v>
      </c>
      <c r="E245" s="36">
        <f>MIN(Inputs!$E$15,Inputs!$D$15*(C245/Inputs!$D$43)^Inputs!$D$44)</f>
        <v>0.4</v>
      </c>
      <c r="F245" s="36">
        <f>MIN(Inputs!$E$16,Inputs!$D$16*(B245/Inputs!$D$42)^Inputs!$D$44)</f>
        <v>0.32490095854249423</v>
      </c>
      <c r="G245" s="37">
        <f>Inputs!$D$26*(1+Inputs!$D$41*(B245-Inputs!$D$42))</f>
        <v>1.35</v>
      </c>
      <c r="H245" s="35">
        <f>Inputs!$D$6*Inputs!$D$14*G245*Inputs!$D$29</f>
        <v>1696.1805000000004</v>
      </c>
      <c r="I245" s="36">
        <f>H245/(A245*Inputs!$D$32)</f>
        <v>0.88113272727272751</v>
      </c>
      <c r="J245" s="38">
        <f>IF(I245&gt;=1,999,I245/(Inputs!$D$32*(1-I245))*60)</f>
        <v>8.0866304107505318</v>
      </c>
      <c r="K245" s="37">
        <f>MIN(1,MAX(0,(J245-Inputs!$D$36)/(Inputs!$D$37-Inputs!$D$36)))</f>
        <v>0.20577536071670213</v>
      </c>
      <c r="L245" s="35">
        <f>Inputs!$D$6*Inputs!$D$14*G245*(1-Inputs!$D$38*K245)</f>
        <v>10260.773537315594</v>
      </c>
      <c r="M245" s="39">
        <f>L245*Inputs!$D$11</f>
        <v>220606.63105228526</v>
      </c>
      <c r="N245" s="39">
        <f>M245*(1-Inputs!$D$17)</f>
        <v>77212.320868299837</v>
      </c>
      <c r="O245" s="35">
        <f>Inputs!$D$6*E245*Inputs!$D$27*Inputs!$D$30</f>
        <v>570.66240000000005</v>
      </c>
      <c r="P245" s="36">
        <f>O245/(C245*Inputs!$D$33)</f>
        <v>0.21948553846153848</v>
      </c>
      <c r="Q245" s="38">
        <f>IF(P245&gt;=1,999,P245/(Inputs!$D$33*(1-P245))*60)</f>
        <v>0.42180936281868536</v>
      </c>
      <c r="R245" s="37">
        <f>MIN(1,MAX(0,(Q245-Inputs!$D$36)/(Inputs!$D$37-Inputs!$D$36)))</f>
        <v>0</v>
      </c>
      <c r="S245" s="35">
        <f>Inputs!$D$6*E245*Inputs!$D$27*(1-Inputs!$D$38*R245)</f>
        <v>4755.5200000000004</v>
      </c>
      <c r="T245" s="39">
        <f>S245*Inputs!$D$12</f>
        <v>76088.320000000007</v>
      </c>
      <c r="U245" s="39">
        <f>T245*(1-Inputs!$D$18)</f>
        <v>34239.743999999999</v>
      </c>
      <c r="V245" s="35">
        <f>Inputs!$D$6*F245*Inputs!$D$28*Inputs!$D$31</f>
        <v>547.7986113486553</v>
      </c>
      <c r="W245" s="36">
        <f>V245/(B245*Inputs!$D$34)</f>
        <v>1.5651388895675866</v>
      </c>
      <c r="X245" s="38">
        <f>IF(W245&gt;=1,999,W245/(Inputs!$D$34*(1-W245))*60)</f>
        <v>999</v>
      </c>
      <c r="Y245" s="37">
        <f>MIN(1,MAX(0,(X245-Inputs!$D$36)/(Inputs!$D$37-Inputs!$D$36)))</f>
        <v>1</v>
      </c>
      <c r="Z245" s="35">
        <f>Inputs!$D$6*F245*Inputs!$D$28*(1-Inputs!$D$38*Y245)</f>
        <v>2317.6095095520031</v>
      </c>
      <c r="AA245" s="39">
        <f>Z245*Inputs!$D$13</f>
        <v>19699.680831192025</v>
      </c>
      <c r="AB245" s="39">
        <f>AA245*(1-Inputs!$D$19)</f>
        <v>11819.808498715214</v>
      </c>
      <c r="AC245" s="39">
        <f t="shared" si="12"/>
        <v>316394.63188347727</v>
      </c>
      <c r="AD245" s="39">
        <f t="shared" si="13"/>
        <v>123271.87336701505</v>
      </c>
      <c r="AE245" s="36">
        <f t="shared" si="14"/>
        <v>1.5651388895675866</v>
      </c>
      <c r="AF245" s="35">
        <f>IF(AND(AE245&lt;=Inputs!$D$35,C245&gt;=Inputs!$D$48*(A245+B245+C245),B245*Inputs!$D$22&lt;=Inputs!$D$50*Inputs!$D$8,B245*Inputs!$D$22&gt;=Inputs!$D$49*Inputs!$D$8,A245*Inputs!$D$20&lt;=Inputs!$D$47*Inputs!$D$8,C245&gt;=1),1,0)</f>
        <v>0</v>
      </c>
      <c r="AG245" s="39">
        <f t="shared" si="15"/>
        <v>-1</v>
      </c>
    </row>
    <row r="246" spans="1:33" x14ac:dyDescent="0.25">
      <c r="A246" s="35">
        <v>35</v>
      </c>
      <c r="B246" s="35">
        <v>11</v>
      </c>
      <c r="C246" s="35">
        <f>Inputs!$D$8-A246-Inputs!$D$22*B246</f>
        <v>63</v>
      </c>
      <c r="D246" s="35">
        <f>A246*Inputs!$D$20+C246*Inputs!$D$21+B246*Inputs!$D$22</f>
        <v>120</v>
      </c>
      <c r="E246" s="36">
        <f>MIN(Inputs!$E$15,Inputs!$D$15*(C246/Inputs!$D$43)^Inputs!$D$44)</f>
        <v>0.4</v>
      </c>
      <c r="F246" s="36">
        <f>MIN(Inputs!$E$16,Inputs!$D$16*(B246/Inputs!$D$42)^Inputs!$D$44)</f>
        <v>0.33432495758166098</v>
      </c>
      <c r="G246" s="37">
        <f>Inputs!$D$26*(1+Inputs!$D$41*(B246-Inputs!$D$42))</f>
        <v>1.365</v>
      </c>
      <c r="H246" s="35">
        <f>Inputs!$D$6*Inputs!$D$14*G246*Inputs!$D$29</f>
        <v>1715.0269500000002</v>
      </c>
      <c r="I246" s="36">
        <f>H246/(A246*Inputs!$D$32)</f>
        <v>0.89092309090909094</v>
      </c>
      <c r="J246" s="38">
        <f>IF(I246&gt;=1,999,I246/(Inputs!$D$32*(1-I246))*60)</f>
        <v>8.9103744071398285</v>
      </c>
      <c r="K246" s="37">
        <f>MIN(1,MAX(0,(J246-Inputs!$D$36)/(Inputs!$D$37-Inputs!$D$36)))</f>
        <v>0.26069162714265526</v>
      </c>
      <c r="L246" s="35">
        <f>Inputs!$D$6*Inputs!$D$14*G246*(1-Inputs!$D$38*K246)</f>
        <v>10092.233501432984</v>
      </c>
      <c r="M246" s="39">
        <f>L246*Inputs!$D$11</f>
        <v>216983.02028080914</v>
      </c>
      <c r="N246" s="39">
        <f>M246*(1-Inputs!$D$17)</f>
        <v>75944.0570982832</v>
      </c>
      <c r="O246" s="35">
        <f>Inputs!$D$6*E246*Inputs!$D$27*Inputs!$D$30</f>
        <v>570.66240000000005</v>
      </c>
      <c r="P246" s="36">
        <f>O246/(C246*Inputs!$D$33)</f>
        <v>0.22645333333333334</v>
      </c>
      <c r="Q246" s="38">
        <f>IF(P246&gt;=1,999,P246/(Inputs!$D$33*(1-P246))*60)</f>
        <v>0.43912024269167138</v>
      </c>
      <c r="R246" s="37">
        <f>MIN(1,MAX(0,(Q246-Inputs!$D$36)/(Inputs!$D$37-Inputs!$D$36)))</f>
        <v>0</v>
      </c>
      <c r="S246" s="35">
        <f>Inputs!$D$6*E246*Inputs!$D$27*(1-Inputs!$D$38*R246)</f>
        <v>4755.5200000000004</v>
      </c>
      <c r="T246" s="39">
        <f>S246*Inputs!$D$12</f>
        <v>76088.320000000007</v>
      </c>
      <c r="U246" s="39">
        <f>T246*(1-Inputs!$D$18)</f>
        <v>34239.743999999999</v>
      </c>
      <c r="V246" s="35">
        <f>Inputs!$D$6*F246*Inputs!$D$28*Inputs!$D$31</f>
        <v>563.68792608064427</v>
      </c>
      <c r="W246" s="36">
        <f>V246/(B246*Inputs!$D$34)</f>
        <v>1.4641244833263487</v>
      </c>
      <c r="X246" s="38">
        <f>IF(W246&gt;=1,999,W246/(Inputs!$D$34*(1-W246))*60)</f>
        <v>999</v>
      </c>
      <c r="Y246" s="37">
        <f>MIN(1,MAX(0,(X246-Inputs!$D$36)/(Inputs!$D$37-Inputs!$D$36)))</f>
        <v>1</v>
      </c>
      <c r="Z246" s="35">
        <f>Inputs!$D$6*F246*Inputs!$D$28*(1-Inputs!$D$38*Y246)</f>
        <v>2384.8335334181106</v>
      </c>
      <c r="AA246" s="39">
        <f>Z246*Inputs!$D$13</f>
        <v>20271.08503405394</v>
      </c>
      <c r="AB246" s="39">
        <f>AA246*(1-Inputs!$D$19)</f>
        <v>12162.651020432364</v>
      </c>
      <c r="AC246" s="39">
        <f t="shared" si="12"/>
        <v>313342.4253148631</v>
      </c>
      <c r="AD246" s="39">
        <f t="shared" si="13"/>
        <v>122346.45211871556</v>
      </c>
      <c r="AE246" s="36">
        <f t="shared" si="14"/>
        <v>1.4641244833263487</v>
      </c>
      <c r="AF246" s="35">
        <f>IF(AND(AE246&lt;=Inputs!$D$35,C246&gt;=Inputs!$D$48*(A246+B246+C246),B246*Inputs!$D$22&lt;=Inputs!$D$50*Inputs!$D$8,B246*Inputs!$D$22&gt;=Inputs!$D$49*Inputs!$D$8,A246*Inputs!$D$20&lt;=Inputs!$D$47*Inputs!$D$8,C246&gt;=1),1,0)</f>
        <v>0</v>
      </c>
      <c r="AG246" s="39">
        <f t="shared" si="15"/>
        <v>-1</v>
      </c>
    </row>
    <row r="247" spans="1:33" x14ac:dyDescent="0.25">
      <c r="A247" s="35">
        <v>35</v>
      </c>
      <c r="B247" s="35">
        <v>12</v>
      </c>
      <c r="C247" s="35">
        <f>Inputs!$D$8-A247-Inputs!$D$22*B247</f>
        <v>61</v>
      </c>
      <c r="D247" s="35">
        <f>A247*Inputs!$D$20+C247*Inputs!$D$21+B247*Inputs!$D$22</f>
        <v>120</v>
      </c>
      <c r="E247" s="36">
        <f>MIN(Inputs!$E$15,Inputs!$D$15*(C247/Inputs!$D$43)^Inputs!$D$44)</f>
        <v>0.4</v>
      </c>
      <c r="F247" s="36">
        <f>MIN(Inputs!$E$16,Inputs!$D$16*(B247/Inputs!$D$42)^Inputs!$D$44)</f>
        <v>0.34316688017763797</v>
      </c>
      <c r="G247" s="37">
        <f>Inputs!$D$26*(1+Inputs!$D$41*(B247-Inputs!$D$42))</f>
        <v>1.3800000000000001</v>
      </c>
      <c r="H247" s="35">
        <f>Inputs!$D$6*Inputs!$D$14*G247*Inputs!$D$29</f>
        <v>1733.8734000000004</v>
      </c>
      <c r="I247" s="36">
        <f>H247/(A247*Inputs!$D$32)</f>
        <v>0.90071345454545471</v>
      </c>
      <c r="J247" s="38">
        <f>IF(I247&gt;=1,999,I247/(Inputs!$D$32*(1-I247))*60)</f>
        <v>9.8965725050592521</v>
      </c>
      <c r="K247" s="37">
        <f>MIN(1,MAX(0,(J247-Inputs!$D$36)/(Inputs!$D$37-Inputs!$D$36)))</f>
        <v>0.32643816700395012</v>
      </c>
      <c r="L247" s="35">
        <f>Inputs!$D$6*Inputs!$D$14*G247*(1-Inputs!$D$38*K247)</f>
        <v>9861.1486364612811</v>
      </c>
      <c r="M247" s="39">
        <f>L247*Inputs!$D$11</f>
        <v>212014.69568391755</v>
      </c>
      <c r="N247" s="39">
        <f>M247*(1-Inputs!$D$17)</f>
        <v>74205.143489371141</v>
      </c>
      <c r="O247" s="35">
        <f>Inputs!$D$6*E247*Inputs!$D$27*Inputs!$D$30</f>
        <v>570.66240000000005</v>
      </c>
      <c r="P247" s="36">
        <f>O247/(C247*Inputs!$D$33)</f>
        <v>0.23387803278688526</v>
      </c>
      <c r="Q247" s="38">
        <f>IF(P247&gt;=1,999,P247/(Inputs!$D$33*(1-P247))*60)</f>
        <v>0.45791279221046005</v>
      </c>
      <c r="R247" s="37">
        <f>MIN(1,MAX(0,(Q247-Inputs!$D$36)/(Inputs!$D$37-Inputs!$D$36)))</f>
        <v>0</v>
      </c>
      <c r="S247" s="35">
        <f>Inputs!$D$6*E247*Inputs!$D$27*(1-Inputs!$D$38*R247)</f>
        <v>4755.5200000000004</v>
      </c>
      <c r="T247" s="39">
        <f>S247*Inputs!$D$12</f>
        <v>76088.320000000007</v>
      </c>
      <c r="U247" s="39">
        <f>T247*(1-Inputs!$D$18)</f>
        <v>34239.743999999999</v>
      </c>
      <c r="V247" s="35">
        <f>Inputs!$D$6*F247*Inputs!$D$28*Inputs!$D$31</f>
        <v>578.5958319897461</v>
      </c>
      <c r="W247" s="36">
        <f>V247/(B247*Inputs!$D$34)</f>
        <v>1.3776091237851098</v>
      </c>
      <c r="X247" s="38">
        <f>IF(W247&gt;=1,999,W247/(Inputs!$D$34*(1-W247))*60)</f>
        <v>999</v>
      </c>
      <c r="Y247" s="37">
        <f>MIN(1,MAX(0,(X247-Inputs!$D$36)/(Inputs!$D$37-Inputs!$D$36)))</f>
        <v>1</v>
      </c>
      <c r="Z247" s="35">
        <f>Inputs!$D$6*F247*Inputs!$D$28*(1-Inputs!$D$38*Y247)</f>
        <v>2447.9054430335414</v>
      </c>
      <c r="AA247" s="39">
        <f>Z247*Inputs!$D$13</f>
        <v>20807.1962657851</v>
      </c>
      <c r="AB247" s="39">
        <f>AA247*(1-Inputs!$D$19)</f>
        <v>12484.31775947106</v>
      </c>
      <c r="AC247" s="39">
        <f t="shared" si="12"/>
        <v>308910.21194970264</v>
      </c>
      <c r="AD247" s="39">
        <f t="shared" si="13"/>
        <v>120929.20524884221</v>
      </c>
      <c r="AE247" s="36">
        <f t="shared" si="14"/>
        <v>1.3776091237851098</v>
      </c>
      <c r="AF247" s="35">
        <f>IF(AND(AE247&lt;=Inputs!$D$35,C247&gt;=Inputs!$D$48*(A247+B247+C247),B247*Inputs!$D$22&lt;=Inputs!$D$50*Inputs!$D$8,B247*Inputs!$D$22&gt;=Inputs!$D$49*Inputs!$D$8,A247*Inputs!$D$20&lt;=Inputs!$D$47*Inputs!$D$8,C247&gt;=1),1,0)</f>
        <v>0</v>
      </c>
      <c r="AG247" s="39">
        <f t="shared" si="15"/>
        <v>-1</v>
      </c>
    </row>
    <row r="248" spans="1:33" x14ac:dyDescent="0.25">
      <c r="A248" s="35">
        <v>35</v>
      </c>
      <c r="B248" s="35">
        <v>13</v>
      </c>
      <c r="C248" s="35">
        <f>Inputs!$D$8-A248-Inputs!$D$22*B248</f>
        <v>59</v>
      </c>
      <c r="D248" s="35">
        <f>A248*Inputs!$D$20+C248*Inputs!$D$21+B248*Inputs!$D$22</f>
        <v>120</v>
      </c>
      <c r="E248" s="36">
        <f>MIN(Inputs!$E$15,Inputs!$D$15*(C248/Inputs!$D$43)^Inputs!$D$44)</f>
        <v>0.4</v>
      </c>
      <c r="F248" s="36">
        <f>MIN(Inputs!$E$16,Inputs!$D$16*(B248/Inputs!$D$42)^Inputs!$D$44)</f>
        <v>0.35150701637190523</v>
      </c>
      <c r="G248" s="37">
        <f>Inputs!$D$26*(1+Inputs!$D$41*(B248-Inputs!$D$42))</f>
        <v>1.395</v>
      </c>
      <c r="H248" s="35">
        <f>Inputs!$D$6*Inputs!$D$14*G248*Inputs!$D$29</f>
        <v>1752.7198500000002</v>
      </c>
      <c r="I248" s="36">
        <f>H248/(A248*Inputs!$D$32)</f>
        <v>0.91050381818181825</v>
      </c>
      <c r="J248" s="38">
        <f>IF(I248&gt;=1,999,I248/(Inputs!$D$32*(1-I248))*60)</f>
        <v>11.098539316234746</v>
      </c>
      <c r="K248" s="37">
        <f>MIN(1,MAX(0,(J248-Inputs!$D$36)/(Inputs!$D$37-Inputs!$D$36)))</f>
        <v>0.40656928774898304</v>
      </c>
      <c r="L248" s="35">
        <f>Inputs!$D$6*Inputs!$D$14*G248*(1-Inputs!$D$38*K248)</f>
        <v>9546.9928168859878</v>
      </c>
      <c r="M248" s="39">
        <f>L248*Inputs!$D$11</f>
        <v>205260.34556304873</v>
      </c>
      <c r="N248" s="39">
        <f>M248*(1-Inputs!$D$17)</f>
        <v>71841.120947067044</v>
      </c>
      <c r="O248" s="35">
        <f>Inputs!$D$6*E248*Inputs!$D$27*Inputs!$D$30</f>
        <v>570.66240000000005</v>
      </c>
      <c r="P248" s="36">
        <f>O248/(C248*Inputs!$D$33)</f>
        <v>0.24180610169491529</v>
      </c>
      <c r="Q248" s="38">
        <f>IF(P248&gt;=1,999,P248/(Inputs!$D$33*(1-P248))*60)</f>
        <v>0.47838574453473742</v>
      </c>
      <c r="R248" s="37">
        <f>MIN(1,MAX(0,(Q248-Inputs!$D$36)/(Inputs!$D$37-Inputs!$D$36)))</f>
        <v>0</v>
      </c>
      <c r="S248" s="35">
        <f>Inputs!$D$6*E248*Inputs!$D$27*(1-Inputs!$D$38*R248)</f>
        <v>4755.5200000000004</v>
      </c>
      <c r="T248" s="39">
        <f>S248*Inputs!$D$12</f>
        <v>76088.320000000007</v>
      </c>
      <c r="U248" s="39">
        <f>T248*(1-Inputs!$D$18)</f>
        <v>34239.743999999999</v>
      </c>
      <c r="V248" s="35">
        <f>Inputs!$D$6*F248*Inputs!$D$28*Inputs!$D$31</f>
        <v>592.65770193981814</v>
      </c>
      <c r="W248" s="36">
        <f>V248/(B248*Inputs!$D$34)</f>
        <v>1.3025443998677322</v>
      </c>
      <c r="X248" s="38">
        <f>IF(W248&gt;=1,999,W248/(Inputs!$D$34*(1-W248))*60)</f>
        <v>999</v>
      </c>
      <c r="Y248" s="37">
        <f>MIN(1,MAX(0,(X248-Inputs!$D$36)/(Inputs!$D$37-Inputs!$D$36)))</f>
        <v>1</v>
      </c>
      <c r="Z248" s="35">
        <f>Inputs!$D$6*F248*Inputs!$D$28*(1-Inputs!$D$38*Y248)</f>
        <v>2507.3979697453847</v>
      </c>
      <c r="AA248" s="39">
        <f>Z248*Inputs!$D$13</f>
        <v>21312.882742835769</v>
      </c>
      <c r="AB248" s="39">
        <f>AA248*(1-Inputs!$D$19)</f>
        <v>12787.729645701462</v>
      </c>
      <c r="AC248" s="39">
        <f t="shared" si="12"/>
        <v>302661.54830588453</v>
      </c>
      <c r="AD248" s="39">
        <f t="shared" si="13"/>
        <v>118868.59459276851</v>
      </c>
      <c r="AE248" s="36">
        <f t="shared" si="14"/>
        <v>1.3025443998677322</v>
      </c>
      <c r="AF248" s="35">
        <f>IF(AND(AE248&lt;=Inputs!$D$35,C248&gt;=Inputs!$D$48*(A248+B248+C248),B248*Inputs!$D$22&lt;=Inputs!$D$50*Inputs!$D$8,B248*Inputs!$D$22&gt;=Inputs!$D$49*Inputs!$D$8,A248*Inputs!$D$20&lt;=Inputs!$D$47*Inputs!$D$8,C248&gt;=1),1,0)</f>
        <v>0</v>
      </c>
      <c r="AG248" s="39">
        <f t="shared" si="15"/>
        <v>-1</v>
      </c>
    </row>
    <row r="249" spans="1:33" x14ac:dyDescent="0.25">
      <c r="A249" s="35">
        <v>35</v>
      </c>
      <c r="B249" s="35">
        <v>14</v>
      </c>
      <c r="C249" s="35">
        <f>Inputs!$D$8-A249-Inputs!$D$22*B249</f>
        <v>57</v>
      </c>
      <c r="D249" s="35">
        <f>A249*Inputs!$D$20+C249*Inputs!$D$21+B249*Inputs!$D$22</f>
        <v>120</v>
      </c>
      <c r="E249" s="36">
        <f>MIN(Inputs!$E$15,Inputs!$D$15*(C249/Inputs!$D$43)^Inputs!$D$44)</f>
        <v>0.4</v>
      </c>
      <c r="F249" s="36">
        <f>MIN(Inputs!$E$16,Inputs!$D$16*(B249/Inputs!$D$42)^Inputs!$D$44)</f>
        <v>0.35940937671625589</v>
      </c>
      <c r="G249" s="37">
        <f>Inputs!$D$26*(1+Inputs!$D$41*(B249-Inputs!$D$42))</f>
        <v>1.41</v>
      </c>
      <c r="H249" s="35">
        <f>Inputs!$D$6*Inputs!$D$14*G249*Inputs!$D$29</f>
        <v>1771.5663000000002</v>
      </c>
      <c r="I249" s="36">
        <f>H249/(A249*Inputs!$D$32)</f>
        <v>0.9202941818181819</v>
      </c>
      <c r="J249" s="38">
        <f>IF(I249&gt;=1,999,I249/(Inputs!$D$32*(1-I249))*60)</f>
        <v>12.595784249602167</v>
      </c>
      <c r="K249" s="37">
        <f>MIN(1,MAX(0,(J249-Inputs!$D$36)/(Inputs!$D$37-Inputs!$D$36)))</f>
        <v>0.50638561664014448</v>
      </c>
      <c r="L249" s="35">
        <f>Inputs!$D$6*Inputs!$D$14*G249*(1-Inputs!$D$38*K249)</f>
        <v>9119.1549202668029</v>
      </c>
      <c r="M249" s="39">
        <f>L249*Inputs!$D$11</f>
        <v>196061.83078573627</v>
      </c>
      <c r="N249" s="39">
        <f>M249*(1-Inputs!$D$17)</f>
        <v>68621.640775007691</v>
      </c>
      <c r="O249" s="35">
        <f>Inputs!$D$6*E249*Inputs!$D$27*Inputs!$D$30</f>
        <v>570.66240000000005</v>
      </c>
      <c r="P249" s="36">
        <f>O249/(C249*Inputs!$D$33)</f>
        <v>0.25029052631578952</v>
      </c>
      <c r="Q249" s="38">
        <f>IF(P249&gt;=1,999,P249/(Inputs!$D$33*(1-P249))*60)</f>
        <v>0.50077503706699034</v>
      </c>
      <c r="R249" s="37">
        <f>MIN(1,MAX(0,(Q249-Inputs!$D$36)/(Inputs!$D$37-Inputs!$D$36)))</f>
        <v>0</v>
      </c>
      <c r="S249" s="35">
        <f>Inputs!$D$6*E249*Inputs!$D$27*(1-Inputs!$D$38*R249)</f>
        <v>4755.5200000000004</v>
      </c>
      <c r="T249" s="39">
        <f>S249*Inputs!$D$12</f>
        <v>76088.320000000007</v>
      </c>
      <c r="U249" s="39">
        <f>T249*(1-Inputs!$D$18)</f>
        <v>34239.743999999999</v>
      </c>
      <c r="V249" s="35">
        <f>Inputs!$D$6*F249*Inputs!$D$28*Inputs!$D$31</f>
        <v>605.98146079368973</v>
      </c>
      <c r="W249" s="36">
        <f>V249/(B249*Inputs!$D$34)</f>
        <v>1.2366968587626321</v>
      </c>
      <c r="X249" s="38">
        <f>IF(W249&gt;=1,999,W249/(Inputs!$D$34*(1-W249))*60)</f>
        <v>999</v>
      </c>
      <c r="Y249" s="37">
        <f>MIN(1,MAX(0,(X249-Inputs!$D$36)/(Inputs!$D$37-Inputs!$D$36)))</f>
        <v>1</v>
      </c>
      <c r="Z249" s="35">
        <f>Inputs!$D$6*F249*Inputs!$D$28*(1-Inputs!$D$38*Y249)</f>
        <v>2563.7677187425338</v>
      </c>
      <c r="AA249" s="39">
        <f>Z249*Inputs!$D$13</f>
        <v>21792.025609311539</v>
      </c>
      <c r="AB249" s="39">
        <f>AA249*(1-Inputs!$D$19)</f>
        <v>13075.215365586922</v>
      </c>
      <c r="AC249" s="39">
        <f t="shared" si="12"/>
        <v>293942.17639504781</v>
      </c>
      <c r="AD249" s="39">
        <f t="shared" si="13"/>
        <v>115936.60014059462</v>
      </c>
      <c r="AE249" s="36">
        <f t="shared" si="14"/>
        <v>1.2366968587626321</v>
      </c>
      <c r="AF249" s="35">
        <f>IF(AND(AE249&lt;=Inputs!$D$35,C249&gt;=Inputs!$D$48*(A249+B249+C249),B249*Inputs!$D$22&lt;=Inputs!$D$50*Inputs!$D$8,B249*Inputs!$D$22&gt;=Inputs!$D$49*Inputs!$D$8,A249*Inputs!$D$20&lt;=Inputs!$D$47*Inputs!$D$8,C249&gt;=1),1,0)</f>
        <v>0</v>
      </c>
      <c r="AG249" s="39">
        <f t="shared" si="15"/>
        <v>-1</v>
      </c>
    </row>
    <row r="250" spans="1:33" x14ac:dyDescent="0.25">
      <c r="A250" s="35">
        <v>35</v>
      </c>
      <c r="B250" s="35">
        <v>15</v>
      </c>
      <c r="C250" s="35">
        <f>Inputs!$D$8-A250-Inputs!$D$22*B250</f>
        <v>55</v>
      </c>
      <c r="D250" s="35">
        <f>A250*Inputs!$D$20+C250*Inputs!$D$21+B250*Inputs!$D$22</f>
        <v>120</v>
      </c>
      <c r="E250" s="36">
        <f>MIN(Inputs!$E$15,Inputs!$D$15*(C250/Inputs!$D$43)^Inputs!$D$44)</f>
        <v>0.4</v>
      </c>
      <c r="F250" s="36">
        <f>MIN(Inputs!$E$16,Inputs!$D$16*(B250/Inputs!$D$42)^Inputs!$D$44)</f>
        <v>0.36692590185696072</v>
      </c>
      <c r="G250" s="37">
        <f>Inputs!$D$26*(1+Inputs!$D$41*(B250-Inputs!$D$42))</f>
        <v>1.4249999999999998</v>
      </c>
      <c r="H250" s="35">
        <f>Inputs!$D$6*Inputs!$D$14*G250*Inputs!$D$29</f>
        <v>1790.4127499999997</v>
      </c>
      <c r="I250" s="36">
        <f>H250/(A250*Inputs!$D$32)</f>
        <v>0.93008454545454533</v>
      </c>
      <c r="J250" s="38">
        <f>IF(I250&gt;=1,999,I250/(Inputs!$D$32*(1-I250))*60)</f>
        <v>14.512351990656928</v>
      </c>
      <c r="K250" s="37">
        <f>MIN(1,MAX(0,(J250-Inputs!$D$36)/(Inputs!$D$37-Inputs!$D$36)))</f>
        <v>0.63415679937712854</v>
      </c>
      <c r="L250" s="35">
        <f>Inputs!$D$6*Inputs!$D$14*G250*(1-Inputs!$D$38*K250)</f>
        <v>8529.8777426879915</v>
      </c>
      <c r="M250" s="39">
        <f>L250*Inputs!$D$11</f>
        <v>183392.37146779182</v>
      </c>
      <c r="N250" s="39">
        <f>M250*(1-Inputs!$D$17)</f>
        <v>64187.330013727129</v>
      </c>
      <c r="O250" s="35">
        <f>Inputs!$D$6*E250*Inputs!$D$27*Inputs!$D$30</f>
        <v>570.66240000000005</v>
      </c>
      <c r="P250" s="36">
        <f>O250/(C250*Inputs!$D$33)</f>
        <v>0.25939200000000001</v>
      </c>
      <c r="Q250" s="38">
        <f>IF(P250&gt;=1,999,P250/(Inputs!$D$33*(1-P250))*60)</f>
        <v>0.52536294503975123</v>
      </c>
      <c r="R250" s="37">
        <f>MIN(1,MAX(0,(Q250-Inputs!$D$36)/(Inputs!$D$37-Inputs!$D$36)))</f>
        <v>0</v>
      </c>
      <c r="S250" s="35">
        <f>Inputs!$D$6*E250*Inputs!$D$27*(1-Inputs!$D$38*R250)</f>
        <v>4755.5200000000004</v>
      </c>
      <c r="T250" s="39">
        <f>S250*Inputs!$D$12</f>
        <v>76088.320000000007</v>
      </c>
      <c r="U250" s="39">
        <f>T250*(1-Inputs!$D$18)</f>
        <v>34239.743999999999</v>
      </c>
      <c r="V250" s="35">
        <f>Inputs!$D$6*F250*Inputs!$D$28*Inputs!$D$31</f>
        <v>618.65468297412497</v>
      </c>
      <c r="W250" s="36">
        <f>V250/(B250*Inputs!$D$34)</f>
        <v>1.1783898723316666</v>
      </c>
      <c r="X250" s="38">
        <f>IF(W250&gt;=1,999,W250/(Inputs!$D$34*(1-W250))*60)</f>
        <v>999</v>
      </c>
      <c r="Y250" s="37">
        <f>MIN(1,MAX(0,(X250-Inputs!$D$36)/(Inputs!$D$37-Inputs!$D$36)))</f>
        <v>1</v>
      </c>
      <c r="Z250" s="35">
        <f>Inputs!$D$6*F250*Inputs!$D$28*(1-Inputs!$D$38*Y250)</f>
        <v>2617.3851971982212</v>
      </c>
      <c r="AA250" s="39">
        <f>Z250*Inputs!$D$13</f>
        <v>22247.774176184881</v>
      </c>
      <c r="AB250" s="39">
        <f>AA250*(1-Inputs!$D$19)</f>
        <v>13348.664505710929</v>
      </c>
      <c r="AC250" s="39">
        <f t="shared" si="12"/>
        <v>281728.4656439767</v>
      </c>
      <c r="AD250" s="39">
        <f t="shared" si="13"/>
        <v>111775.73851943806</v>
      </c>
      <c r="AE250" s="36">
        <f t="shared" si="14"/>
        <v>1.1783898723316666</v>
      </c>
      <c r="AF250" s="35">
        <f>IF(AND(AE250&lt;=Inputs!$D$35,C250&gt;=Inputs!$D$48*(A250+B250+C250),B250*Inputs!$D$22&lt;=Inputs!$D$50*Inputs!$D$8,B250*Inputs!$D$22&gt;=Inputs!$D$49*Inputs!$D$8,A250*Inputs!$D$20&lt;=Inputs!$D$47*Inputs!$D$8,C250&gt;=1),1,0)</f>
        <v>0</v>
      </c>
      <c r="AG250" s="39">
        <f t="shared" si="15"/>
        <v>-1</v>
      </c>
    </row>
    <row r="251" spans="1:33" x14ac:dyDescent="0.25">
      <c r="A251" s="35">
        <v>35</v>
      </c>
      <c r="B251" s="35">
        <v>16</v>
      </c>
      <c r="C251" s="35">
        <f>Inputs!$D$8-A251-Inputs!$D$22*B251</f>
        <v>53</v>
      </c>
      <c r="D251" s="35">
        <f>A251*Inputs!$D$20+C251*Inputs!$D$21+B251*Inputs!$D$22</f>
        <v>120</v>
      </c>
      <c r="E251" s="36">
        <f>MIN(Inputs!$E$15,Inputs!$D$15*(C251/Inputs!$D$43)^Inputs!$D$44)</f>
        <v>0.4</v>
      </c>
      <c r="F251" s="36">
        <f>MIN(Inputs!$E$16,Inputs!$D$16*(B251/Inputs!$D$42)^Inputs!$D$44)</f>
        <v>0.37409937912904856</v>
      </c>
      <c r="G251" s="37">
        <f>Inputs!$D$26*(1+Inputs!$D$41*(B251-Inputs!$D$42))</f>
        <v>1.44</v>
      </c>
      <c r="H251" s="35">
        <f>Inputs!$D$6*Inputs!$D$14*G251*Inputs!$D$29</f>
        <v>1809.2592000000002</v>
      </c>
      <c r="I251" s="36">
        <f>H251/(A251*Inputs!$D$32)</f>
        <v>0.93987490909090921</v>
      </c>
      <c r="J251" s="38">
        <f>IF(I251&gt;=1,999,I251/(Inputs!$D$32*(1-I251))*60)</f>
        <v>17.053081619367699</v>
      </c>
      <c r="K251" s="37">
        <f>MIN(1,MAX(0,(J251-Inputs!$D$36)/(Inputs!$D$37-Inputs!$D$36)))</f>
        <v>0.80353877462451329</v>
      </c>
      <c r="L251" s="35">
        <f>Inputs!$D$6*Inputs!$D$14*G251*(1-Inputs!$D$38*K251)</f>
        <v>7700.298238361619</v>
      </c>
      <c r="M251" s="39">
        <f>L251*Inputs!$D$11</f>
        <v>165556.4121247748</v>
      </c>
      <c r="N251" s="39">
        <f>M251*(1-Inputs!$D$17)</f>
        <v>57944.744243671172</v>
      </c>
      <c r="O251" s="35">
        <f>Inputs!$D$6*E251*Inputs!$D$27*Inputs!$D$30</f>
        <v>570.66240000000005</v>
      </c>
      <c r="P251" s="36">
        <f>O251/(C251*Inputs!$D$33)</f>
        <v>0.2691803773584906</v>
      </c>
      <c r="Q251" s="38">
        <f>IF(P251&gt;=1,999,P251/(Inputs!$D$33*(1-P251))*60)</f>
        <v>0.5524900447778458</v>
      </c>
      <c r="R251" s="37">
        <f>MIN(1,MAX(0,(Q251-Inputs!$D$36)/(Inputs!$D$37-Inputs!$D$36)))</f>
        <v>0</v>
      </c>
      <c r="S251" s="35">
        <f>Inputs!$D$6*E251*Inputs!$D$27*(1-Inputs!$D$38*R251)</f>
        <v>4755.5200000000004</v>
      </c>
      <c r="T251" s="39">
        <f>S251*Inputs!$D$12</f>
        <v>76088.320000000007</v>
      </c>
      <c r="U251" s="39">
        <f>T251*(1-Inputs!$D$18)</f>
        <v>34239.743999999999</v>
      </c>
      <c r="V251" s="35">
        <f>Inputs!$D$6*F251*Inputs!$D$28*Inputs!$D$31</f>
        <v>630.74950998177405</v>
      </c>
      <c r="W251" s="36">
        <f>V251/(B251*Inputs!$D$34)</f>
        <v>1.1263384106817393</v>
      </c>
      <c r="X251" s="38">
        <f>IF(W251&gt;=1,999,W251/(Inputs!$D$34*(1-W251))*60)</f>
        <v>999</v>
      </c>
      <c r="Y251" s="37">
        <f>MIN(1,MAX(0,(X251-Inputs!$D$36)/(Inputs!$D$37-Inputs!$D$36)))</f>
        <v>1</v>
      </c>
      <c r="Z251" s="35">
        <f>Inputs!$D$6*F251*Inputs!$D$28*(1-Inputs!$D$38*Y251)</f>
        <v>2668.5556191536598</v>
      </c>
      <c r="AA251" s="39">
        <f>Z251*Inputs!$D$13</f>
        <v>22682.722762806108</v>
      </c>
      <c r="AB251" s="39">
        <f>AA251*(1-Inputs!$D$19)</f>
        <v>13609.633657683664</v>
      </c>
      <c r="AC251" s="39">
        <f t="shared" si="12"/>
        <v>264327.45488758094</v>
      </c>
      <c r="AD251" s="39">
        <f t="shared" si="13"/>
        <v>105794.12190135483</v>
      </c>
      <c r="AE251" s="36">
        <f t="shared" si="14"/>
        <v>1.1263384106817393</v>
      </c>
      <c r="AF251" s="35">
        <f>IF(AND(AE251&lt;=Inputs!$D$35,C251&gt;=Inputs!$D$48*(A251+B251+C251),B251*Inputs!$D$22&lt;=Inputs!$D$50*Inputs!$D$8,B251*Inputs!$D$22&gt;=Inputs!$D$49*Inputs!$D$8,A251*Inputs!$D$20&lt;=Inputs!$D$47*Inputs!$D$8,C251&gt;=1),1,0)</f>
        <v>0</v>
      </c>
      <c r="AG251" s="39">
        <f t="shared" si="15"/>
        <v>-1</v>
      </c>
    </row>
    <row r="252" spans="1:33" x14ac:dyDescent="0.25">
      <c r="A252" s="35">
        <v>35</v>
      </c>
      <c r="B252" s="35">
        <v>17</v>
      </c>
      <c r="C252" s="35">
        <f>Inputs!$D$8-A252-Inputs!$D$22*B252</f>
        <v>51</v>
      </c>
      <c r="D252" s="35">
        <f>A252*Inputs!$D$20+C252*Inputs!$D$21+B252*Inputs!$D$22</f>
        <v>120</v>
      </c>
      <c r="E252" s="36">
        <f>MIN(Inputs!$E$15,Inputs!$D$15*(C252/Inputs!$D$43)^Inputs!$D$44)</f>
        <v>0.4</v>
      </c>
      <c r="F252" s="36">
        <f>MIN(Inputs!$E$16,Inputs!$D$16*(B252/Inputs!$D$42)^Inputs!$D$44)</f>
        <v>0.3809655184437048</v>
      </c>
      <c r="G252" s="37">
        <f>Inputs!$D$26*(1+Inputs!$D$41*(B252-Inputs!$D$42))</f>
        <v>1.4550000000000001</v>
      </c>
      <c r="H252" s="35">
        <f>Inputs!$D$6*Inputs!$D$14*G252*Inputs!$D$29</f>
        <v>1828.1056500000002</v>
      </c>
      <c r="I252" s="36">
        <f>H252/(A252*Inputs!$D$32)</f>
        <v>0.94966527272727286</v>
      </c>
      <c r="J252" s="38">
        <f>IF(I252&gt;=1,999,I252/(Inputs!$D$32*(1-I252))*60)</f>
        <v>20.582181238919279</v>
      </c>
      <c r="K252" s="37">
        <f>MIN(1,MAX(0,(J252-Inputs!$D$36)/(Inputs!$D$37-Inputs!$D$36)))</f>
        <v>1</v>
      </c>
      <c r="L252" s="35">
        <f>Inputs!$D$6*Inputs!$D$14*G252*(1-Inputs!$D$38*K252)</f>
        <v>6703.0540500000006</v>
      </c>
      <c r="M252" s="39">
        <f>L252*Inputs!$D$11</f>
        <v>144115.662075</v>
      </c>
      <c r="N252" s="39">
        <f>M252*(1-Inputs!$D$17)</f>
        <v>50440.48172625</v>
      </c>
      <c r="O252" s="35">
        <f>Inputs!$D$6*E252*Inputs!$D$27*Inputs!$D$30</f>
        <v>570.66240000000005</v>
      </c>
      <c r="P252" s="36">
        <f>O252/(C252*Inputs!$D$33)</f>
        <v>0.27973647058823531</v>
      </c>
      <c r="Q252" s="38">
        <f>IF(P252&gt;=1,999,P252/(Inputs!$D$33*(1-P252))*60)</f>
        <v>0.5825710850930379</v>
      </c>
      <c r="R252" s="37">
        <f>MIN(1,MAX(0,(Q252-Inputs!$D$36)/(Inputs!$D$37-Inputs!$D$36)))</f>
        <v>0</v>
      </c>
      <c r="S252" s="35">
        <f>Inputs!$D$6*E252*Inputs!$D$27*(1-Inputs!$D$38*R252)</f>
        <v>4755.5200000000004</v>
      </c>
      <c r="T252" s="39">
        <f>S252*Inputs!$D$12</f>
        <v>76088.320000000007</v>
      </c>
      <c r="U252" s="39">
        <f>T252*(1-Inputs!$D$18)</f>
        <v>34239.743999999999</v>
      </c>
      <c r="V252" s="35">
        <f>Inputs!$D$6*F252*Inputs!$D$28*Inputs!$D$31</f>
        <v>642.32615044097156</v>
      </c>
      <c r="W252" s="36">
        <f>V252/(B252*Inputs!$D$34)</f>
        <v>1.0795397486402882</v>
      </c>
      <c r="X252" s="38">
        <f>IF(W252&gt;=1,999,W252/(Inputs!$D$34*(1-W252))*60)</f>
        <v>999</v>
      </c>
      <c r="Y252" s="37">
        <f>MIN(1,MAX(0,(X252-Inputs!$D$36)/(Inputs!$D$37-Inputs!$D$36)))</f>
        <v>1</v>
      </c>
      <c r="Z252" s="35">
        <f>Inputs!$D$6*F252*Inputs!$D$28*(1-Inputs!$D$38*Y252)</f>
        <v>2717.5337134041106</v>
      </c>
      <c r="AA252" s="39">
        <f>Z252*Inputs!$D$13</f>
        <v>23099.03656393494</v>
      </c>
      <c r="AB252" s="39">
        <f>AA252*(1-Inputs!$D$19)</f>
        <v>13859.421938360963</v>
      </c>
      <c r="AC252" s="39">
        <f t="shared" si="12"/>
        <v>243303.01863893494</v>
      </c>
      <c r="AD252" s="39">
        <f t="shared" si="13"/>
        <v>98539.647664610966</v>
      </c>
      <c r="AE252" s="36">
        <f t="shared" si="14"/>
        <v>1.0795397486402882</v>
      </c>
      <c r="AF252" s="35">
        <f>IF(AND(AE252&lt;=Inputs!$D$35,C252&gt;=Inputs!$D$48*(A252+B252+C252),B252*Inputs!$D$22&lt;=Inputs!$D$50*Inputs!$D$8,B252*Inputs!$D$22&gt;=Inputs!$D$49*Inputs!$D$8,A252*Inputs!$D$20&lt;=Inputs!$D$47*Inputs!$D$8,C252&gt;=1),1,0)</f>
        <v>0</v>
      </c>
      <c r="AG252" s="39">
        <f t="shared" si="15"/>
        <v>-1</v>
      </c>
    </row>
    <row r="253" spans="1:33" x14ac:dyDescent="0.25">
      <c r="A253" s="35">
        <v>35</v>
      </c>
      <c r="B253" s="35">
        <v>18</v>
      </c>
      <c r="C253" s="35">
        <f>Inputs!$D$8-A253-Inputs!$D$22*B253</f>
        <v>49</v>
      </c>
      <c r="D253" s="35">
        <f>A253*Inputs!$D$20+C253*Inputs!$D$21+B253*Inputs!$D$22</f>
        <v>120</v>
      </c>
      <c r="E253" s="36">
        <f>MIN(Inputs!$E$15,Inputs!$D$15*(C253/Inputs!$D$43)^Inputs!$D$44)</f>
        <v>0.39770420454194916</v>
      </c>
      <c r="F253" s="36">
        <f>MIN(Inputs!$E$16,Inputs!$D$16*(B253/Inputs!$D$42)^Inputs!$D$44)</f>
        <v>0.38755446447890535</v>
      </c>
      <c r="G253" s="37">
        <f>Inputs!$D$26*(1+Inputs!$D$41*(B253-Inputs!$D$42))</f>
        <v>1.47</v>
      </c>
      <c r="H253" s="35">
        <f>Inputs!$D$6*Inputs!$D$14*G253*Inputs!$D$29</f>
        <v>1846.9521</v>
      </c>
      <c r="I253" s="36">
        <f>H253/(A253*Inputs!$D$32)</f>
        <v>0.9594556363636364</v>
      </c>
      <c r="J253" s="38">
        <f>IF(I253&gt;=1,999,I253/(Inputs!$D$32*(1-I253))*60)</f>
        <v>25.815644448648047</v>
      </c>
      <c r="K253" s="37">
        <f>MIN(1,MAX(0,(J253-Inputs!$D$36)/(Inputs!$D$37-Inputs!$D$36)))</f>
        <v>1</v>
      </c>
      <c r="L253" s="35">
        <f>Inputs!$D$6*Inputs!$D$14*G253*(1-Inputs!$D$38*K253)</f>
        <v>6772.1577000000016</v>
      </c>
      <c r="M253" s="39">
        <f>L253*Inputs!$D$11</f>
        <v>145601.39055000004</v>
      </c>
      <c r="N253" s="39">
        <f>M253*(1-Inputs!$D$17)</f>
        <v>50960.48669250001</v>
      </c>
      <c r="O253" s="35">
        <f>Inputs!$D$6*E253*Inputs!$D$27*Inputs!$D$30</f>
        <v>567.38708963499903</v>
      </c>
      <c r="P253" s="36">
        <f>O253/(C253*Inputs!$D$33)</f>
        <v>0.2894832089974485</v>
      </c>
      <c r="Q253" s="38">
        <f>IF(P253&gt;=1,999,P253/(Inputs!$D$33*(1-P253))*60)</f>
        <v>0.61113941147467321</v>
      </c>
      <c r="R253" s="37">
        <f>MIN(1,MAX(0,(Q253-Inputs!$D$36)/(Inputs!$D$37-Inputs!$D$36)))</f>
        <v>0</v>
      </c>
      <c r="S253" s="35">
        <f>Inputs!$D$6*E253*Inputs!$D$27*(1-Inputs!$D$38*R253)</f>
        <v>4728.2257469583255</v>
      </c>
      <c r="T253" s="39">
        <f>S253*Inputs!$D$12</f>
        <v>75651.611951333209</v>
      </c>
      <c r="U253" s="39">
        <f>T253*(1-Inputs!$D$18)</f>
        <v>34043.225378099938</v>
      </c>
      <c r="V253" s="35">
        <f>Inputs!$D$6*F253*Inputs!$D$28*Inputs!$D$31</f>
        <v>653.43542972572936</v>
      </c>
      <c r="W253" s="36">
        <f>V253/(B253*Inputs!$D$34)</f>
        <v>1.037199094802745</v>
      </c>
      <c r="X253" s="38">
        <f>IF(W253&gt;=1,999,W253/(Inputs!$D$34*(1-W253))*60)</f>
        <v>999</v>
      </c>
      <c r="Y253" s="37">
        <f>MIN(1,MAX(0,(X253-Inputs!$D$36)/(Inputs!$D$37-Inputs!$D$36)))</f>
        <v>1</v>
      </c>
      <c r="Z253" s="35">
        <f>Inputs!$D$6*F253*Inputs!$D$28*(1-Inputs!$D$38*Y253)</f>
        <v>2764.534510378086</v>
      </c>
      <c r="AA253" s="39">
        <f>Z253*Inputs!$D$13</f>
        <v>23498.543338213731</v>
      </c>
      <c r="AB253" s="39">
        <f>AA253*(1-Inputs!$D$19)</f>
        <v>14099.126002928238</v>
      </c>
      <c r="AC253" s="39">
        <f t="shared" si="12"/>
        <v>244751.54583954698</v>
      </c>
      <c r="AD253" s="39">
        <f t="shared" si="13"/>
        <v>99102.838073528197</v>
      </c>
      <c r="AE253" s="36">
        <f t="shared" si="14"/>
        <v>1.037199094802745</v>
      </c>
      <c r="AF253" s="35">
        <f>IF(AND(AE253&lt;=Inputs!$D$35,C253&gt;=Inputs!$D$48*(A253+B253+C253),B253*Inputs!$D$22&lt;=Inputs!$D$50*Inputs!$D$8,B253*Inputs!$D$22&gt;=Inputs!$D$49*Inputs!$D$8,A253*Inputs!$D$20&lt;=Inputs!$D$47*Inputs!$D$8,C253&gt;=1),1,0)</f>
        <v>0</v>
      </c>
      <c r="AG253" s="39">
        <f t="shared" si="15"/>
        <v>-1</v>
      </c>
    </row>
    <row r="254" spans="1:33" x14ac:dyDescent="0.25">
      <c r="A254" s="35">
        <v>35</v>
      </c>
      <c r="B254" s="35">
        <v>19</v>
      </c>
      <c r="C254" s="35">
        <f>Inputs!$D$8-A254-Inputs!$D$22*B254</f>
        <v>47</v>
      </c>
      <c r="D254" s="35">
        <f>A254*Inputs!$D$20+C254*Inputs!$D$21+B254*Inputs!$D$22</f>
        <v>120</v>
      </c>
      <c r="E254" s="36">
        <f>MIN(Inputs!$E$15,Inputs!$D$15*(C254/Inputs!$D$43)^Inputs!$D$44)</f>
        <v>0.39276313309091065</v>
      </c>
      <c r="F254" s="36">
        <f>MIN(Inputs!$E$16,Inputs!$D$16*(B254/Inputs!$D$42)^Inputs!$D$44)</f>
        <v>0.39389192072703005</v>
      </c>
      <c r="G254" s="37">
        <f>Inputs!$D$26*(1+Inputs!$D$41*(B254-Inputs!$D$42))</f>
        <v>1.4849999999999999</v>
      </c>
      <c r="H254" s="35">
        <f>Inputs!$D$6*Inputs!$D$14*G254*Inputs!$D$29</f>
        <v>1865.7985499999998</v>
      </c>
      <c r="I254" s="36">
        <f>H254/(A254*Inputs!$D$32)</f>
        <v>0.96924599999999983</v>
      </c>
      <c r="J254" s="38">
        <f>IF(I254&gt;=1,999,I254/(Inputs!$D$32*(1-I254))*60)</f>
        <v>34.381195055188485</v>
      </c>
      <c r="K254" s="37">
        <f>MIN(1,MAX(0,(J254-Inputs!$D$36)/(Inputs!$D$37-Inputs!$D$36)))</f>
        <v>1</v>
      </c>
      <c r="L254" s="35">
        <f>Inputs!$D$6*Inputs!$D$14*G254*(1-Inputs!$D$38*K254)</f>
        <v>6841.2613499999998</v>
      </c>
      <c r="M254" s="39">
        <f>L254*Inputs!$D$11</f>
        <v>147087.11902499999</v>
      </c>
      <c r="N254" s="39">
        <f>M254*(1-Inputs!$D$17)</f>
        <v>51480.491658749997</v>
      </c>
      <c r="O254" s="35">
        <f>Inputs!$D$6*E254*Inputs!$D$27*Inputs!$D$30</f>
        <v>560.33788040294633</v>
      </c>
      <c r="P254" s="36">
        <f>O254/(C254*Inputs!$D$33)</f>
        <v>0.29805206404412038</v>
      </c>
      <c r="Q254" s="38">
        <f>IF(P254&gt;=1,999,P254/(Inputs!$D$33*(1-P254))*60)</f>
        <v>0.63691062138016075</v>
      </c>
      <c r="R254" s="37">
        <f>MIN(1,MAX(0,(Q254-Inputs!$D$36)/(Inputs!$D$37-Inputs!$D$36)))</f>
        <v>0</v>
      </c>
      <c r="S254" s="35">
        <f>Inputs!$D$6*E254*Inputs!$D$27*(1-Inputs!$D$38*R254)</f>
        <v>4669.4823366912196</v>
      </c>
      <c r="T254" s="39">
        <f>S254*Inputs!$D$12</f>
        <v>74711.717387059514</v>
      </c>
      <c r="U254" s="39">
        <f>T254*(1-Inputs!$D$18)</f>
        <v>33620.272824176776</v>
      </c>
      <c r="V254" s="35">
        <f>Inputs!$D$6*F254*Inputs!$D$28*Inputs!$D$31</f>
        <v>664.12068515796761</v>
      </c>
      <c r="W254" s="36">
        <f>V254/(B254*Inputs!$D$34)</f>
        <v>0.99867772204205651</v>
      </c>
      <c r="X254" s="38">
        <f>IF(W254&gt;=1,999,W254/(Inputs!$D$34*(1-W254))*60)</f>
        <v>1294.749671797274</v>
      </c>
      <c r="Y254" s="37">
        <f>MIN(1,MAX(0,(X254-Inputs!$D$36)/(Inputs!$D$37-Inputs!$D$36)))</f>
        <v>1</v>
      </c>
      <c r="Z254" s="35">
        <f>Inputs!$D$6*F254*Inputs!$D$28*(1-Inputs!$D$38*Y254)</f>
        <v>2809.7413602837091</v>
      </c>
      <c r="AA254" s="39">
        <f>Z254*Inputs!$D$13</f>
        <v>23882.801562411529</v>
      </c>
      <c r="AB254" s="39">
        <f>AA254*(1-Inputs!$D$19)</f>
        <v>14329.680937446918</v>
      </c>
      <c r="AC254" s="39">
        <f t="shared" si="12"/>
        <v>245681.63797447103</v>
      </c>
      <c r="AD254" s="39">
        <f t="shared" si="13"/>
        <v>99430.445420373697</v>
      </c>
      <c r="AE254" s="36">
        <f t="shared" si="14"/>
        <v>0.99867772204205651</v>
      </c>
      <c r="AF254" s="35">
        <f>IF(AND(AE254&lt;=Inputs!$D$35,C254&gt;=Inputs!$D$48*(A254+B254+C254),B254*Inputs!$D$22&lt;=Inputs!$D$50*Inputs!$D$8,B254*Inputs!$D$22&gt;=Inputs!$D$49*Inputs!$D$8,A254*Inputs!$D$20&lt;=Inputs!$D$47*Inputs!$D$8,C254&gt;=1),1,0)</f>
        <v>0</v>
      </c>
      <c r="AG254" s="39">
        <f t="shared" si="15"/>
        <v>-1</v>
      </c>
    </row>
    <row r="255" spans="1:33" x14ac:dyDescent="0.25">
      <c r="A255" s="35">
        <v>35</v>
      </c>
      <c r="B255" s="35">
        <v>20</v>
      </c>
      <c r="C255" s="35">
        <f>Inputs!$D$8-A255-Inputs!$D$22*B255</f>
        <v>45</v>
      </c>
      <c r="D255" s="35">
        <f>A255*Inputs!$D$20+C255*Inputs!$D$21+B255*Inputs!$D$22</f>
        <v>120</v>
      </c>
      <c r="E255" s="36">
        <f>MIN(Inputs!$E$15,Inputs!$D$15*(C255/Inputs!$D$43)^Inputs!$D$44)</f>
        <v>0.38767260497069417</v>
      </c>
      <c r="F255" s="36">
        <f>MIN(Inputs!$E$16,Inputs!$D$16*(B255/Inputs!$D$42)^Inputs!$D$44)</f>
        <v>0.4</v>
      </c>
      <c r="G255" s="37">
        <f>Inputs!$D$26*(1+Inputs!$D$41*(B255-Inputs!$D$42))</f>
        <v>1.5</v>
      </c>
      <c r="H255" s="35">
        <f>Inputs!$D$6*Inputs!$D$14*G255*Inputs!$D$29</f>
        <v>1884.645</v>
      </c>
      <c r="I255" s="36">
        <f>H255/(A255*Inputs!$D$32)</f>
        <v>0.97903636363636359</v>
      </c>
      <c r="J255" s="38">
        <f>IF(I255&gt;=1,999,I255/(Inputs!$D$32*(1-I255))*60)</f>
        <v>50.947252227390891</v>
      </c>
      <c r="K255" s="37">
        <f>MIN(1,MAX(0,(J255-Inputs!$D$36)/(Inputs!$D$37-Inputs!$D$36)))</f>
        <v>1</v>
      </c>
      <c r="L255" s="35">
        <f>Inputs!$D$6*Inputs!$D$14*G255*(1-Inputs!$D$38*K255)</f>
        <v>6910.3650000000016</v>
      </c>
      <c r="M255" s="39">
        <f>L255*Inputs!$D$11</f>
        <v>148572.84750000003</v>
      </c>
      <c r="N255" s="39">
        <f>M255*(1-Inputs!$D$17)</f>
        <v>52000.496625000007</v>
      </c>
      <c r="O255" s="35">
        <f>Inputs!$D$6*E255*Inputs!$D$27*Inputs!$D$30</f>
        <v>553.07544791707073</v>
      </c>
      <c r="P255" s="36">
        <f>O255/(C255*Inputs!$D$33)</f>
        <v>0.30726413773170597</v>
      </c>
      <c r="Q255" s="38">
        <f>IF(P255&gt;=1,999,P255/(Inputs!$D$33*(1-P255))*60)</f>
        <v>0.66532748151423926</v>
      </c>
      <c r="R255" s="37">
        <f>MIN(1,MAX(0,(Q255-Inputs!$D$36)/(Inputs!$D$37-Inputs!$D$36)))</f>
        <v>0</v>
      </c>
      <c r="S255" s="35">
        <f>Inputs!$D$6*E255*Inputs!$D$27*(1-Inputs!$D$38*R255)</f>
        <v>4608.9620659755892</v>
      </c>
      <c r="T255" s="39">
        <f>S255*Inputs!$D$12</f>
        <v>73743.393055609427</v>
      </c>
      <c r="U255" s="39">
        <f>T255*(1-Inputs!$D$18)</f>
        <v>33184.526875024239</v>
      </c>
      <c r="V255" s="35">
        <f>Inputs!$D$6*F255*Inputs!$D$28*Inputs!$D$31</f>
        <v>674.41919999999993</v>
      </c>
      <c r="W255" s="36">
        <f>V255/(B255*Inputs!$D$34)</f>
        <v>0.96345599999999987</v>
      </c>
      <c r="X255" s="38">
        <f>IF(W255&gt;=1,999,W255/(Inputs!$D$34*(1-W255))*60)</f>
        <v>45.195896922691851</v>
      </c>
      <c r="Y255" s="37">
        <f>MIN(1,MAX(0,(X255-Inputs!$D$36)/(Inputs!$D$37-Inputs!$D$36)))</f>
        <v>1</v>
      </c>
      <c r="Z255" s="35">
        <f>Inputs!$D$6*F255*Inputs!$D$28*(1-Inputs!$D$38*Y255)</f>
        <v>2853.3119999999999</v>
      </c>
      <c r="AA255" s="39">
        <f>Z255*Inputs!$D$13</f>
        <v>24253.151999999998</v>
      </c>
      <c r="AB255" s="39">
        <f>AA255*(1-Inputs!$D$19)</f>
        <v>14551.891199999998</v>
      </c>
      <c r="AC255" s="39">
        <f t="shared" si="12"/>
        <v>246569.39255560946</v>
      </c>
      <c r="AD255" s="39">
        <f t="shared" si="13"/>
        <v>99736.914700024252</v>
      </c>
      <c r="AE255" s="36">
        <f t="shared" si="14"/>
        <v>0.97903636363636359</v>
      </c>
      <c r="AF255" s="35">
        <f>IF(AND(AE255&lt;=Inputs!$D$35,C255&gt;=Inputs!$D$48*(A255+B255+C255),B255*Inputs!$D$22&lt;=Inputs!$D$50*Inputs!$D$8,B255*Inputs!$D$22&gt;=Inputs!$D$49*Inputs!$D$8,A255*Inputs!$D$20&lt;=Inputs!$D$47*Inputs!$D$8,C255&gt;=1),1,0)</f>
        <v>0</v>
      </c>
      <c r="AG255" s="39">
        <f t="shared" si="15"/>
        <v>-1</v>
      </c>
    </row>
    <row r="256" spans="1:33" x14ac:dyDescent="0.25">
      <c r="A256" s="35">
        <v>35</v>
      </c>
      <c r="B256" s="35">
        <v>21</v>
      </c>
      <c r="C256" s="35">
        <f>Inputs!$D$8-A256-Inputs!$D$22*B256</f>
        <v>43</v>
      </c>
      <c r="D256" s="35">
        <f>A256*Inputs!$D$20+C256*Inputs!$D$21+B256*Inputs!$D$22</f>
        <v>120</v>
      </c>
      <c r="E256" s="36">
        <f>MIN(Inputs!$E$15,Inputs!$D$15*(C256/Inputs!$D$43)^Inputs!$D$44)</f>
        <v>0.38242114286867052</v>
      </c>
      <c r="F256" s="36">
        <f>MIN(Inputs!$E$16,Inputs!$D$16*(B256/Inputs!$D$42)^Inputs!$D$44)</f>
        <v>0.40589787816896217</v>
      </c>
      <c r="G256" s="37">
        <f>Inputs!$D$26*(1+Inputs!$D$41*(B256-Inputs!$D$42))</f>
        <v>1.5150000000000001</v>
      </c>
      <c r="H256" s="35">
        <f>Inputs!$D$6*Inputs!$D$14*G256*Inputs!$D$29</f>
        <v>1903.4914500000004</v>
      </c>
      <c r="I256" s="36">
        <f>H256/(A256*Inputs!$D$32)</f>
        <v>0.98882672727272747</v>
      </c>
      <c r="J256" s="38">
        <f>IF(I256&gt;=1,999,I256/(Inputs!$D$32*(1-I256))*60)</f>
        <v>96.544682336687686</v>
      </c>
      <c r="K256" s="37">
        <f>MIN(1,MAX(0,(J256-Inputs!$D$36)/(Inputs!$D$37-Inputs!$D$36)))</f>
        <v>1</v>
      </c>
      <c r="L256" s="35">
        <f>Inputs!$D$6*Inputs!$D$14*G256*(1-Inputs!$D$38*K256)</f>
        <v>6979.4686500000025</v>
      </c>
      <c r="M256" s="39">
        <f>L256*Inputs!$D$11</f>
        <v>150058.57597500004</v>
      </c>
      <c r="N256" s="39">
        <f>M256*(1-Inputs!$D$17)</f>
        <v>52520.501591250009</v>
      </c>
      <c r="O256" s="35">
        <f>Inputs!$D$6*E256*Inputs!$D$27*Inputs!$D$30</f>
        <v>545.58341800044604</v>
      </c>
      <c r="P256" s="36">
        <f>O256/(C256*Inputs!$D$33)</f>
        <v>0.31719966162816632</v>
      </c>
      <c r="Q256" s="38">
        <f>IF(P256&gt;=1,999,P256/(Inputs!$D$33*(1-P256))*60)</f>
        <v>0.69683546668534679</v>
      </c>
      <c r="R256" s="37">
        <f>MIN(1,MAX(0,(Q256-Inputs!$D$36)/(Inputs!$D$37-Inputs!$D$36)))</f>
        <v>0</v>
      </c>
      <c r="S256" s="35">
        <f>Inputs!$D$6*E256*Inputs!$D$27*(1-Inputs!$D$38*R256)</f>
        <v>4546.5284833370506</v>
      </c>
      <c r="T256" s="39">
        <f>S256*Inputs!$D$12</f>
        <v>72744.45573339281</v>
      </c>
      <c r="U256" s="39">
        <f>T256*(1-Inputs!$D$18)</f>
        <v>32735.00508002676</v>
      </c>
      <c r="V256" s="35">
        <f>Inputs!$D$6*F256*Inputs!$D$28*Inputs!$D$31</f>
        <v>684.36330569102222</v>
      </c>
      <c r="W256" s="36">
        <f>V256/(B256*Inputs!$D$34)</f>
        <v>0.93110653835513224</v>
      </c>
      <c r="X256" s="38">
        <f>IF(W256&gt;=1,999,W256/(Inputs!$D$34*(1-W256))*60)</f>
        <v>23.16885520150278</v>
      </c>
      <c r="Y256" s="37">
        <f>MIN(1,MAX(0,(X256-Inputs!$D$36)/(Inputs!$D$37-Inputs!$D$36)))</f>
        <v>1</v>
      </c>
      <c r="Z256" s="35">
        <f>Inputs!$D$6*F256*Inputs!$D$28*(1-Inputs!$D$38*Y256)</f>
        <v>2895.3832163850943</v>
      </c>
      <c r="AA256" s="39">
        <f>Z256*Inputs!$D$13</f>
        <v>24610.757339273303</v>
      </c>
      <c r="AB256" s="39">
        <f>AA256*(1-Inputs!$D$19)</f>
        <v>14766.454403563981</v>
      </c>
      <c r="AC256" s="39">
        <f t="shared" si="12"/>
        <v>247413.78904766613</v>
      </c>
      <c r="AD256" s="39">
        <f t="shared" si="13"/>
        <v>100021.96107484076</v>
      </c>
      <c r="AE256" s="36">
        <f t="shared" si="14"/>
        <v>0.98882672727272747</v>
      </c>
      <c r="AF256" s="35">
        <f>IF(AND(AE256&lt;=Inputs!$D$35,C256&gt;=Inputs!$D$48*(A256+B256+C256),B256*Inputs!$D$22&lt;=Inputs!$D$50*Inputs!$D$8,B256*Inputs!$D$22&gt;=Inputs!$D$49*Inputs!$D$8,A256*Inputs!$D$20&lt;=Inputs!$D$47*Inputs!$D$8,C256&gt;=1),1,0)</f>
        <v>0</v>
      </c>
      <c r="AG256" s="39">
        <f t="shared" si="15"/>
        <v>-1</v>
      </c>
    </row>
    <row r="257" spans="1:33" x14ac:dyDescent="0.25">
      <c r="A257" s="35">
        <v>35</v>
      </c>
      <c r="B257" s="35">
        <v>22</v>
      </c>
      <c r="C257" s="35">
        <f>Inputs!$D$8-A257-Inputs!$D$22*B257</f>
        <v>41</v>
      </c>
      <c r="D257" s="35">
        <f>A257*Inputs!$D$20+C257*Inputs!$D$21+B257*Inputs!$D$22</f>
        <v>120</v>
      </c>
      <c r="E257" s="36">
        <f>MIN(Inputs!$E$15,Inputs!$D$15*(C257/Inputs!$D$43)^Inputs!$D$44)</f>
        <v>0.37699580304543617</v>
      </c>
      <c r="F257" s="36">
        <f>MIN(Inputs!$E$16,Inputs!$D$16*(B257/Inputs!$D$42)^Inputs!$D$44)</f>
        <v>0.41160230376843804</v>
      </c>
      <c r="G257" s="37">
        <f>Inputs!$D$26*(1+Inputs!$D$41*(B257-Inputs!$D$42))</f>
        <v>1.53</v>
      </c>
      <c r="H257" s="35">
        <f>Inputs!$D$6*Inputs!$D$14*G257*Inputs!$D$29</f>
        <v>1922.3379</v>
      </c>
      <c r="I257" s="36">
        <f>H257/(A257*Inputs!$D$32)</f>
        <v>0.9986170909090909</v>
      </c>
      <c r="J257" s="38">
        <f>IF(I257&gt;=1,999,I257/(Inputs!$D$32*(1-I257))*60)</f>
        <v>787.75999808762822</v>
      </c>
      <c r="K257" s="37">
        <f>MIN(1,MAX(0,(J257-Inputs!$D$36)/(Inputs!$D$37-Inputs!$D$36)))</f>
        <v>1</v>
      </c>
      <c r="L257" s="35">
        <f>Inputs!$D$6*Inputs!$D$14*G257*(1-Inputs!$D$38*K257)</f>
        <v>7048.5723000000016</v>
      </c>
      <c r="M257" s="39">
        <f>L257*Inputs!$D$11</f>
        <v>151544.30445000003</v>
      </c>
      <c r="N257" s="39">
        <f>M257*(1-Inputs!$D$17)</f>
        <v>53040.506557500004</v>
      </c>
      <c r="O257" s="35">
        <f>Inputs!$D$6*E257*Inputs!$D$27*Inputs!$D$30</f>
        <v>537.84332438958984</v>
      </c>
      <c r="P257" s="36">
        <f>O257/(C257*Inputs!$D$33)</f>
        <v>0.3279532465790182</v>
      </c>
      <c r="Q257" s="38">
        <f>IF(P257&gt;=1,999,P257/(Inputs!$D$33*(1-P257))*60)</f>
        <v>0.73198756985940516</v>
      </c>
      <c r="R257" s="37">
        <f>MIN(1,MAX(0,(Q257-Inputs!$D$36)/(Inputs!$D$37-Inputs!$D$36)))</f>
        <v>0</v>
      </c>
      <c r="S257" s="35">
        <f>Inputs!$D$6*E257*Inputs!$D$27*(1-Inputs!$D$38*R257)</f>
        <v>4482.027703246582</v>
      </c>
      <c r="T257" s="39">
        <f>S257*Inputs!$D$12</f>
        <v>71712.443251945311</v>
      </c>
      <c r="U257" s="39">
        <f>T257*(1-Inputs!$D$18)</f>
        <v>32270.599463375387</v>
      </c>
      <c r="V257" s="35">
        <f>Inputs!$D$6*F257*Inputs!$D$28*Inputs!$D$31</f>
        <v>693.98124106416742</v>
      </c>
      <c r="W257" s="36">
        <f>V257/(B257*Inputs!$D$34)</f>
        <v>0.90127433904437326</v>
      </c>
      <c r="X257" s="38">
        <f>IF(W257&gt;=1,999,W257/(Inputs!$D$34*(1-W257))*60)</f>
        <v>15.649849381818807</v>
      </c>
      <c r="Y257" s="37">
        <f>MIN(1,MAX(0,(X257-Inputs!$D$36)/(Inputs!$D$37-Inputs!$D$36)))</f>
        <v>0.70998995878792048</v>
      </c>
      <c r="Z257" s="35">
        <f>Inputs!$D$6*F257*Inputs!$D$28*(1-Inputs!$D$38*Y257)</f>
        <v>3632.749002537963</v>
      </c>
      <c r="AA257" s="39">
        <f>Z257*Inputs!$D$13</f>
        <v>30878.366521572687</v>
      </c>
      <c r="AB257" s="39">
        <f>AA257*(1-Inputs!$D$19)</f>
        <v>18527.019912943611</v>
      </c>
      <c r="AC257" s="39">
        <f t="shared" si="12"/>
        <v>254135.11422351803</v>
      </c>
      <c r="AD257" s="39">
        <f t="shared" si="13"/>
        <v>103838.125933819</v>
      </c>
      <c r="AE257" s="36">
        <f t="shared" si="14"/>
        <v>0.9986170909090909</v>
      </c>
      <c r="AF257" s="35">
        <f>IF(AND(AE257&lt;=Inputs!$D$35,C257&gt;=Inputs!$D$48*(A257+B257+C257),B257*Inputs!$D$22&lt;=Inputs!$D$50*Inputs!$D$8,B257*Inputs!$D$22&gt;=Inputs!$D$49*Inputs!$D$8,A257*Inputs!$D$20&lt;=Inputs!$D$47*Inputs!$D$8,C257&gt;=1),1,0)</f>
        <v>0</v>
      </c>
      <c r="AG257" s="39">
        <f t="shared" si="15"/>
        <v>-1</v>
      </c>
    </row>
    <row r="258" spans="1:33" x14ac:dyDescent="0.25">
      <c r="A258" s="35">
        <v>35</v>
      </c>
      <c r="B258" s="35">
        <v>23</v>
      </c>
      <c r="C258" s="35">
        <f>Inputs!$D$8-A258-Inputs!$D$22*B258</f>
        <v>39</v>
      </c>
      <c r="D258" s="35">
        <f>A258*Inputs!$D$20+C258*Inputs!$D$21+B258*Inputs!$D$22</f>
        <v>120</v>
      </c>
      <c r="E258" s="36">
        <f>MIN(Inputs!$E$15,Inputs!$D$15*(C258/Inputs!$D$43)^Inputs!$D$44)</f>
        <v>0.37138190575462604</v>
      </c>
      <c r="F258" s="36">
        <f>MIN(Inputs!$E$16,Inputs!$D$16*(B258/Inputs!$D$42)^Inputs!$D$44)</f>
        <v>0.41712800028621322</v>
      </c>
      <c r="G258" s="37">
        <f>Inputs!$D$26*(1+Inputs!$D$41*(B258-Inputs!$D$42))</f>
        <v>1.5449999999999999</v>
      </c>
      <c r="H258" s="35">
        <f>Inputs!$D$6*Inputs!$D$14*G258*Inputs!$D$29</f>
        <v>1941.18435</v>
      </c>
      <c r="I258" s="36">
        <f>H258/(A258*Inputs!$D$32)</f>
        <v>1.0084074545454544</v>
      </c>
      <c r="J258" s="38">
        <f>IF(I258&gt;=1,999,I258/(Inputs!$D$32*(1-I258))*60)</f>
        <v>999</v>
      </c>
      <c r="K258" s="37">
        <f>MIN(1,MAX(0,(J258-Inputs!$D$36)/(Inputs!$D$37-Inputs!$D$36)))</f>
        <v>1</v>
      </c>
      <c r="L258" s="35">
        <f>Inputs!$D$6*Inputs!$D$14*G258*(1-Inputs!$D$38*K258)</f>
        <v>7117.6759500000016</v>
      </c>
      <c r="M258" s="39">
        <f>L258*Inputs!$D$11</f>
        <v>153030.03292500004</v>
      </c>
      <c r="N258" s="39">
        <f>M258*(1-Inputs!$D$17)</f>
        <v>53560.511523750007</v>
      </c>
      <c r="O258" s="35">
        <f>Inputs!$D$6*E258*Inputs!$D$27*Inputs!$D$30</f>
        <v>529.8342241362717</v>
      </c>
      <c r="P258" s="36">
        <f>O258/(C258*Inputs!$D$33)</f>
        <v>0.33963732316427675</v>
      </c>
      <c r="Q258" s="38">
        <f>IF(P258&gt;=1,999,P258/(Inputs!$D$33*(1-P258))*60)</f>
        <v>0.77147907145144612</v>
      </c>
      <c r="R258" s="37">
        <f>MIN(1,MAX(0,(Q258-Inputs!$D$36)/(Inputs!$D$37-Inputs!$D$36)))</f>
        <v>0</v>
      </c>
      <c r="S258" s="35">
        <f>Inputs!$D$6*E258*Inputs!$D$27*(1-Inputs!$D$38*R258)</f>
        <v>4415.2852011355981</v>
      </c>
      <c r="T258" s="39">
        <f>S258*Inputs!$D$12</f>
        <v>70644.563218169569</v>
      </c>
      <c r="U258" s="39">
        <f>T258*(1-Inputs!$D$18)</f>
        <v>31790.053448176302</v>
      </c>
      <c r="V258" s="35">
        <f>Inputs!$D$6*F258*Inputs!$D$28*Inputs!$D$31</f>
        <v>703.29783062656929</v>
      </c>
      <c r="W258" s="36">
        <f>V258/(B258*Inputs!$D$34)</f>
        <v>0.87366190139946498</v>
      </c>
      <c r="X258" s="38">
        <f>IF(W258&gt;=1,999,W258/(Inputs!$D$34*(1-W258))*60)</f>
        <v>11.854746377182334</v>
      </c>
      <c r="Y258" s="37">
        <f>MIN(1,MAX(0,(X258-Inputs!$D$36)/(Inputs!$D$37-Inputs!$D$36)))</f>
        <v>0.45698309181215557</v>
      </c>
      <c r="Z258" s="35">
        <f>Inputs!$D$6*F258*Inputs!$D$28*(1-Inputs!$D$38*Y258)</f>
        <v>4297.4614071503011</v>
      </c>
      <c r="AA258" s="39">
        <f>Z258*Inputs!$D$13</f>
        <v>36528.421960777559</v>
      </c>
      <c r="AB258" s="39">
        <f>AA258*(1-Inputs!$D$19)</f>
        <v>21917.053176466536</v>
      </c>
      <c r="AC258" s="39">
        <f t="shared" si="12"/>
        <v>260203.01810394716</v>
      </c>
      <c r="AD258" s="39">
        <f t="shared" si="13"/>
        <v>107267.61814839284</v>
      </c>
      <c r="AE258" s="36">
        <f t="shared" si="14"/>
        <v>1.0084074545454544</v>
      </c>
      <c r="AF258" s="35">
        <f>IF(AND(AE258&lt;=Inputs!$D$35,C258&gt;=Inputs!$D$48*(A258+B258+C258),B258*Inputs!$D$22&lt;=Inputs!$D$50*Inputs!$D$8,B258*Inputs!$D$22&gt;=Inputs!$D$49*Inputs!$D$8,A258*Inputs!$D$20&lt;=Inputs!$D$47*Inputs!$D$8,C258&gt;=1),1,0)</f>
        <v>0</v>
      </c>
      <c r="AG258" s="39">
        <f t="shared" si="15"/>
        <v>-1</v>
      </c>
    </row>
    <row r="259" spans="1:33" x14ac:dyDescent="0.25">
      <c r="A259" s="35">
        <v>35</v>
      </c>
      <c r="B259" s="35">
        <v>24</v>
      </c>
      <c r="C259" s="35">
        <f>Inputs!$D$8-A259-Inputs!$D$22*B259</f>
        <v>37</v>
      </c>
      <c r="D259" s="35">
        <f>A259*Inputs!$D$20+C259*Inputs!$D$21+B259*Inputs!$D$22</f>
        <v>120</v>
      </c>
      <c r="E259" s="36">
        <f>MIN(Inputs!$E$15,Inputs!$D$15*(C259/Inputs!$D$43)^Inputs!$D$44)</f>
        <v>0.36556269939951974</v>
      </c>
      <c r="F259" s="36">
        <f>MIN(Inputs!$E$16,Inputs!$D$16*(B259/Inputs!$D$42)^Inputs!$D$44)</f>
        <v>0.42248798737570326</v>
      </c>
      <c r="G259" s="37">
        <f>Inputs!$D$26*(1+Inputs!$D$41*(B259-Inputs!$D$42))</f>
        <v>1.56</v>
      </c>
      <c r="H259" s="35">
        <f>Inputs!$D$6*Inputs!$D$14*G259*Inputs!$D$29</f>
        <v>1960.0308</v>
      </c>
      <c r="I259" s="36">
        <f>H259/(A259*Inputs!$D$32)</f>
        <v>1.0181978181818181</v>
      </c>
      <c r="J259" s="38">
        <f>IF(I259&gt;=1,999,I259/(Inputs!$D$32*(1-I259))*60)</f>
        <v>999</v>
      </c>
      <c r="K259" s="37">
        <f>MIN(1,MAX(0,(J259-Inputs!$D$36)/(Inputs!$D$37-Inputs!$D$36)))</f>
        <v>1</v>
      </c>
      <c r="L259" s="35">
        <f>Inputs!$D$6*Inputs!$D$14*G259*(1-Inputs!$D$38*K259)</f>
        <v>7186.7796000000017</v>
      </c>
      <c r="M259" s="39">
        <f>L259*Inputs!$D$11</f>
        <v>154515.76140000005</v>
      </c>
      <c r="N259" s="39">
        <f>M259*(1-Inputs!$D$17)</f>
        <v>54080.516490000016</v>
      </c>
      <c r="O259" s="35">
        <f>Inputs!$D$6*E259*Inputs!$D$27*Inputs!$D$30</f>
        <v>521.5322184745213</v>
      </c>
      <c r="P259" s="36">
        <f>O259/(C259*Inputs!$D$33)</f>
        <v>0.35238663410440629</v>
      </c>
      <c r="Q259" s="38">
        <f>IF(P259&gt;=1,999,P259/(Inputs!$D$33*(1-P259))*60)</f>
        <v>0.81619679116046151</v>
      </c>
      <c r="R259" s="37">
        <f>MIN(1,MAX(0,(Q259-Inputs!$D$36)/(Inputs!$D$37-Inputs!$D$36)))</f>
        <v>0</v>
      </c>
      <c r="S259" s="35">
        <f>Inputs!$D$6*E259*Inputs!$D$27*(1-Inputs!$D$38*R259)</f>
        <v>4346.101820621011</v>
      </c>
      <c r="T259" s="39">
        <f>S259*Inputs!$D$12</f>
        <v>69537.629129936176</v>
      </c>
      <c r="U259" s="39">
        <f>T259*(1-Inputs!$D$18)</f>
        <v>31291.933108471276</v>
      </c>
      <c r="V259" s="35">
        <f>Inputs!$D$6*F259*Inputs!$D$28*Inputs!$D$31</f>
        <v>712.33502613882979</v>
      </c>
      <c r="W259" s="36">
        <f>V259/(B259*Inputs!$D$34)</f>
        <v>0.84801788826051161</v>
      </c>
      <c r="X259" s="38">
        <f>IF(W259&gt;=1,999,W259/(Inputs!$D$34*(1-W259))*60)</f>
        <v>9.5652372155190832</v>
      </c>
      <c r="Y259" s="37">
        <f>MIN(1,MAX(0,(X259-Inputs!$D$36)/(Inputs!$D$37-Inputs!$D$36)))</f>
        <v>0.30434914770127219</v>
      </c>
      <c r="Z259" s="35">
        <f>Inputs!$D$6*F259*Inputs!$D$28*(1-Inputs!$D$38*Y259)</f>
        <v>4729.0436538571339</v>
      </c>
      <c r="AA259" s="39">
        <f>Z259*Inputs!$D$13</f>
        <v>40196.87105778564</v>
      </c>
      <c r="AB259" s="39">
        <f>AA259*(1-Inputs!$D$19)</f>
        <v>24118.122634671385</v>
      </c>
      <c r="AC259" s="39">
        <f t="shared" si="12"/>
        <v>264250.26158772188</v>
      </c>
      <c r="AD259" s="39">
        <f t="shared" si="13"/>
        <v>109490.57223314267</v>
      </c>
      <c r="AE259" s="36">
        <f t="shared" si="14"/>
        <v>1.0181978181818181</v>
      </c>
      <c r="AF259" s="35">
        <f>IF(AND(AE259&lt;=Inputs!$D$35,C259&gt;=Inputs!$D$48*(A259+B259+C259),B259*Inputs!$D$22&lt;=Inputs!$D$50*Inputs!$D$8,B259*Inputs!$D$22&gt;=Inputs!$D$49*Inputs!$D$8,A259*Inputs!$D$20&lt;=Inputs!$D$47*Inputs!$D$8,C259&gt;=1),1,0)</f>
        <v>0</v>
      </c>
      <c r="AG259" s="39">
        <f t="shared" si="15"/>
        <v>-1</v>
      </c>
    </row>
    <row r="260" spans="1:33" x14ac:dyDescent="0.25">
      <c r="A260" s="35">
        <v>35</v>
      </c>
      <c r="B260" s="35">
        <v>25</v>
      </c>
      <c r="C260" s="35">
        <f>Inputs!$D$8-A260-Inputs!$D$22*B260</f>
        <v>35</v>
      </c>
      <c r="D260" s="35">
        <f>A260*Inputs!$D$20+C260*Inputs!$D$21+B260*Inputs!$D$22</f>
        <v>120</v>
      </c>
      <c r="E260" s="36">
        <f>MIN(Inputs!$E$15,Inputs!$D$15*(C260/Inputs!$D$43)^Inputs!$D$44)</f>
        <v>0.3595189375764975</v>
      </c>
      <c r="F260" s="36">
        <f>MIN(Inputs!$E$16,Inputs!$D$16*(B260/Inputs!$D$42)^Inputs!$D$44)</f>
        <v>0.42769383999647526</v>
      </c>
      <c r="G260" s="37">
        <f>Inputs!$D$26*(1+Inputs!$D$41*(B260-Inputs!$D$42))</f>
        <v>1.5750000000000002</v>
      </c>
      <c r="H260" s="35">
        <f>Inputs!$D$6*Inputs!$D$14*G260*Inputs!$D$29</f>
        <v>1978.8772500000005</v>
      </c>
      <c r="I260" s="36">
        <f>H260/(A260*Inputs!$D$32)</f>
        <v>1.027988181818182</v>
      </c>
      <c r="J260" s="38">
        <f>IF(I260&gt;=1,999,I260/(Inputs!$D$32*(1-I260))*60)</f>
        <v>999</v>
      </c>
      <c r="K260" s="37">
        <f>MIN(1,MAX(0,(J260-Inputs!$D$36)/(Inputs!$D$37-Inputs!$D$36)))</f>
        <v>1</v>
      </c>
      <c r="L260" s="35">
        <f>Inputs!$D$6*Inputs!$D$14*G260*(1-Inputs!$D$38*K260)</f>
        <v>7255.8832500000026</v>
      </c>
      <c r="M260" s="39">
        <f>L260*Inputs!$D$11</f>
        <v>156001.48987500006</v>
      </c>
      <c r="N260" s="39">
        <f>M260*(1-Inputs!$D$17)</f>
        <v>54600.521456250019</v>
      </c>
      <c r="O260" s="35">
        <f>Inputs!$D$6*E260*Inputs!$D$27*Inputs!$D$30</f>
        <v>512.90984940713565</v>
      </c>
      <c r="P260" s="36">
        <f>O260/(C260*Inputs!$D$33)</f>
        <v>0.36636417814795402</v>
      </c>
      <c r="Q260" s="38">
        <f>IF(P260&gt;=1,999,P260/(Inputs!$D$33*(1-P260))*60)</f>
        <v>0.86729040289368331</v>
      </c>
      <c r="R260" s="37">
        <f>MIN(1,MAX(0,(Q260-Inputs!$D$36)/(Inputs!$D$37-Inputs!$D$36)))</f>
        <v>0</v>
      </c>
      <c r="S260" s="35">
        <f>Inputs!$D$6*E260*Inputs!$D$27*(1-Inputs!$D$38*R260)</f>
        <v>4274.2487450594635</v>
      </c>
      <c r="T260" s="39">
        <f>S260*Inputs!$D$12</f>
        <v>68387.979920951417</v>
      </c>
      <c r="U260" s="39">
        <f>T260*(1-Inputs!$D$18)</f>
        <v>30774.590964428135</v>
      </c>
      <c r="V260" s="35">
        <f>Inputs!$D$6*F260*Inputs!$D$28*Inputs!$D$31</f>
        <v>721.1123435383771</v>
      </c>
      <c r="W260" s="36">
        <f>V260/(B260*Inputs!$D$34)</f>
        <v>0.82412839261528814</v>
      </c>
      <c r="X260" s="38">
        <f>IF(W260&gt;=1,999,W260/(Inputs!$D$34*(1-W260))*60)</f>
        <v>8.0330847668163621</v>
      </c>
      <c r="Y260" s="37">
        <f>MIN(1,MAX(0,(X260-Inputs!$D$36)/(Inputs!$D$37-Inputs!$D$36)))</f>
        <v>0.20220565112109082</v>
      </c>
      <c r="Z260" s="35">
        <f>Inputs!$D$6*F260*Inputs!$D$28*(1-Inputs!$D$38*Y260)</f>
        <v>5042.2807508299393</v>
      </c>
      <c r="AA260" s="39">
        <f>Z260*Inputs!$D$13</f>
        <v>42859.386382054487</v>
      </c>
      <c r="AB260" s="39">
        <f>AA260*(1-Inputs!$D$19)</f>
        <v>25715.631829232691</v>
      </c>
      <c r="AC260" s="39">
        <f t="shared" si="12"/>
        <v>267248.85617800598</v>
      </c>
      <c r="AD260" s="39">
        <f t="shared" si="13"/>
        <v>111090.74424991084</v>
      </c>
      <c r="AE260" s="36">
        <f t="shared" si="14"/>
        <v>1.027988181818182</v>
      </c>
      <c r="AF260" s="35">
        <f>IF(AND(AE260&lt;=Inputs!$D$35,C260&gt;=Inputs!$D$48*(A260+B260+C260),B260*Inputs!$D$22&lt;=Inputs!$D$50*Inputs!$D$8,B260*Inputs!$D$22&gt;=Inputs!$D$49*Inputs!$D$8,A260*Inputs!$D$20&lt;=Inputs!$D$47*Inputs!$D$8,C260&gt;=1),1,0)</f>
        <v>0</v>
      </c>
      <c r="AG260" s="39">
        <f t="shared" si="15"/>
        <v>-1</v>
      </c>
    </row>
    <row r="261" spans="1:33" x14ac:dyDescent="0.25">
      <c r="A261" s="35">
        <v>35</v>
      </c>
      <c r="B261" s="35">
        <v>26</v>
      </c>
      <c r="C261" s="35">
        <f>Inputs!$D$8-A261-Inputs!$D$22*B261</f>
        <v>33</v>
      </c>
      <c r="D261" s="35">
        <f>A261*Inputs!$D$20+C261*Inputs!$D$21+B261*Inputs!$D$22</f>
        <v>120</v>
      </c>
      <c r="E261" s="36">
        <f>MIN(Inputs!$E$15,Inputs!$D$15*(C261/Inputs!$D$43)^Inputs!$D$44)</f>
        <v>0.35322833999035824</v>
      </c>
      <c r="F261" s="36">
        <f>MIN(Inputs!$E$16,Inputs!$D$16*(B261/Inputs!$D$42)^Inputs!$D$44)</f>
        <v>0.43275589945781112</v>
      </c>
      <c r="G261" s="37">
        <f>Inputs!$D$26*(1+Inputs!$D$41*(B261-Inputs!$D$42))</f>
        <v>1.59</v>
      </c>
      <c r="H261" s="35">
        <f>Inputs!$D$6*Inputs!$D$14*G261*Inputs!$D$29</f>
        <v>1997.7237</v>
      </c>
      <c r="I261" s="36">
        <f>H261/(A261*Inputs!$D$32)</f>
        <v>1.0377785454545454</v>
      </c>
      <c r="J261" s="38">
        <f>IF(I261&gt;=1,999,I261/(Inputs!$D$32*(1-I261))*60)</f>
        <v>999</v>
      </c>
      <c r="K261" s="37">
        <f>MIN(1,MAX(0,(J261-Inputs!$D$36)/(Inputs!$D$37-Inputs!$D$36)))</f>
        <v>1</v>
      </c>
      <c r="L261" s="35">
        <f>Inputs!$D$6*Inputs!$D$14*G261*(1-Inputs!$D$38*K261)</f>
        <v>7324.9869000000017</v>
      </c>
      <c r="M261" s="39">
        <f>L261*Inputs!$D$11</f>
        <v>157487.21835000004</v>
      </c>
      <c r="N261" s="39">
        <f>M261*(1-Inputs!$D$17)</f>
        <v>55120.526422500014</v>
      </c>
      <c r="O261" s="35">
        <f>Inputs!$D$6*E261*Inputs!$D$27*Inputs!$D$30</f>
        <v>503.93533061728459</v>
      </c>
      <c r="P261" s="36">
        <f>O261/(C261*Inputs!$D$33)</f>
        <v>0.38176918986157926</v>
      </c>
      <c r="Q261" s="38">
        <f>IF(P261&gt;=1,999,P261/(Inputs!$D$33*(1-P261))*60)</f>
        <v>0.92627830156855617</v>
      </c>
      <c r="R261" s="37">
        <f>MIN(1,MAX(0,(Q261-Inputs!$D$36)/(Inputs!$D$37-Inputs!$D$36)))</f>
        <v>0</v>
      </c>
      <c r="S261" s="35">
        <f>Inputs!$D$6*E261*Inputs!$D$27*(1-Inputs!$D$38*R261)</f>
        <v>4199.461088477372</v>
      </c>
      <c r="T261" s="39">
        <f>S261*Inputs!$D$12</f>
        <v>67191.377415637951</v>
      </c>
      <c r="U261" s="39">
        <f>T261*(1-Inputs!$D$18)</f>
        <v>30236.119837037077</v>
      </c>
      <c r="V261" s="35">
        <f>Inputs!$D$6*F261*Inputs!$D$28*Inputs!$D$31</f>
        <v>729.64721876904355</v>
      </c>
      <c r="W261" s="36">
        <f>V261/(B261*Inputs!$D$34)</f>
        <v>0.80181013051543248</v>
      </c>
      <c r="X261" s="38">
        <f>IF(W261&gt;=1,999,W261/(Inputs!$D$34*(1-W261))*60)</f>
        <v>6.9354284146153136</v>
      </c>
      <c r="Y261" s="37">
        <f>MIN(1,MAX(0,(X261-Inputs!$D$36)/(Inputs!$D$37-Inputs!$D$36)))</f>
        <v>0.12902856097435425</v>
      </c>
      <c r="Z261" s="35">
        <f>Inputs!$D$6*F261*Inputs!$D$28*(1-Inputs!$D$38*Y261)</f>
        <v>5286.7832305655711</v>
      </c>
      <c r="AA261" s="39">
        <f>Z261*Inputs!$D$13</f>
        <v>44937.657459807357</v>
      </c>
      <c r="AB261" s="39">
        <f>AA261*(1-Inputs!$D$19)</f>
        <v>26962.594475884413</v>
      </c>
      <c r="AC261" s="39">
        <f t="shared" ref="AC261:AC324" si="16">M261+T261+AA261</f>
        <v>269616.25322544534</v>
      </c>
      <c r="AD261" s="39">
        <f t="shared" ref="AD261:AD324" si="17">N261+U261+AB261</f>
        <v>112319.2407354215</v>
      </c>
      <c r="AE261" s="36">
        <f t="shared" ref="AE261:AE324" si="18">MAX(I261,P261,W261)</f>
        <v>1.0377785454545454</v>
      </c>
      <c r="AF261" s="35">
        <f>IF(AND(AE261&lt;=Inputs!$D$35,C261&gt;=Inputs!$D$48*(A261+B261+C261),B261*Inputs!$D$22&lt;=Inputs!$D$50*Inputs!$D$8,B261*Inputs!$D$22&gt;=Inputs!$D$49*Inputs!$D$8,A261*Inputs!$D$20&lt;=Inputs!$D$47*Inputs!$D$8,C261&gt;=1),1,0)</f>
        <v>0</v>
      </c>
      <c r="AG261" s="39">
        <f t="shared" ref="AG261:AG324" si="19">IF(AF261=1,AD261,-1)</f>
        <v>-1</v>
      </c>
    </row>
    <row r="262" spans="1:33" x14ac:dyDescent="0.25">
      <c r="A262" s="35">
        <v>35</v>
      </c>
      <c r="B262" s="35">
        <v>27</v>
      </c>
      <c r="C262" s="35">
        <f>Inputs!$D$8-A262-Inputs!$D$22*B262</f>
        <v>31</v>
      </c>
      <c r="D262" s="35">
        <f>A262*Inputs!$D$20+C262*Inputs!$D$21+B262*Inputs!$D$22</f>
        <v>120</v>
      </c>
      <c r="E262" s="36">
        <f>MIN(Inputs!$E$15,Inputs!$D$15*(C262/Inputs!$D$43)^Inputs!$D$44)</f>
        <v>0.34666489615699225</v>
      </c>
      <c r="F262" s="36">
        <f>MIN(Inputs!$E$16,Inputs!$D$16*(B262/Inputs!$D$42)^Inputs!$D$44)</f>
        <v>0.43768344678187454</v>
      </c>
      <c r="G262" s="37">
        <f>Inputs!$D$26*(1+Inputs!$D$41*(B262-Inputs!$D$42))</f>
        <v>1.605</v>
      </c>
      <c r="H262" s="35">
        <f>Inputs!$D$6*Inputs!$D$14*G262*Inputs!$D$29</f>
        <v>2016.57015</v>
      </c>
      <c r="I262" s="36">
        <f>H262/(A262*Inputs!$D$32)</f>
        <v>1.0475689090909091</v>
      </c>
      <c r="J262" s="38">
        <f>IF(I262&gt;=1,999,I262/(Inputs!$D$32*(1-I262))*60)</f>
        <v>999</v>
      </c>
      <c r="K262" s="37">
        <f>MIN(1,MAX(0,(J262-Inputs!$D$36)/(Inputs!$D$37-Inputs!$D$36)))</f>
        <v>1</v>
      </c>
      <c r="L262" s="35">
        <f>Inputs!$D$6*Inputs!$D$14*G262*(1-Inputs!$D$38*K262)</f>
        <v>7394.0905500000017</v>
      </c>
      <c r="M262" s="39">
        <f>L262*Inputs!$D$11</f>
        <v>158972.94682500005</v>
      </c>
      <c r="N262" s="39">
        <f>M262*(1-Inputs!$D$17)</f>
        <v>55640.531388750016</v>
      </c>
      <c r="O262" s="35">
        <f>Inputs!$D$6*E262*Inputs!$D$27*Inputs!$D$30</f>
        <v>494.57155409174993</v>
      </c>
      <c r="P262" s="36">
        <f>O262/(C262*Inputs!$D$33)</f>
        <v>0.39884802749334675</v>
      </c>
      <c r="Q262" s="38">
        <f>IF(P262&gt;=1,999,P262/(Inputs!$D$33*(1-P262))*60)</f>
        <v>0.9952093124561755</v>
      </c>
      <c r="R262" s="37">
        <f>MIN(1,MAX(0,(Q262-Inputs!$D$36)/(Inputs!$D$37-Inputs!$D$36)))</f>
        <v>0</v>
      </c>
      <c r="S262" s="35">
        <f>Inputs!$D$6*E262*Inputs!$D$27*(1-Inputs!$D$38*R262)</f>
        <v>4121.4296174312494</v>
      </c>
      <c r="T262" s="39">
        <f>S262*Inputs!$D$12</f>
        <v>65942.873878899991</v>
      </c>
      <c r="U262" s="39">
        <f>T262*(1-Inputs!$D$18)</f>
        <v>29674.293245504992</v>
      </c>
      <c r="V262" s="35">
        <f>Inputs!$D$6*F262*Inputs!$D$28*Inputs!$D$31</f>
        <v>737.95530007968603</v>
      </c>
      <c r="W262" s="36">
        <f>V262/(B262*Inputs!$D$34)</f>
        <v>0.78090507944940324</v>
      </c>
      <c r="X262" s="38">
        <f>IF(W262&gt;=1,999,W262/(Inputs!$D$34*(1-W262))*60)</f>
        <v>6.1101116290101798</v>
      </c>
      <c r="Y262" s="37">
        <f>MIN(1,MAX(0,(X262-Inputs!$D$36)/(Inputs!$D$37-Inputs!$D$36)))</f>
        <v>7.4007441934011986E-2</v>
      </c>
      <c r="Z262" s="35">
        <f>Inputs!$D$6*F262*Inputs!$D$28*(1-Inputs!$D$38*Y262)</f>
        <v>5487.5301328495489</v>
      </c>
      <c r="AA262" s="39">
        <f>Z262*Inputs!$D$13</f>
        <v>46644.006129221169</v>
      </c>
      <c r="AB262" s="39">
        <f>AA262*(1-Inputs!$D$19)</f>
        <v>27986.4036775327</v>
      </c>
      <c r="AC262" s="39">
        <f t="shared" si="16"/>
        <v>271559.82683312119</v>
      </c>
      <c r="AD262" s="39">
        <f t="shared" si="17"/>
        <v>113301.22831178771</v>
      </c>
      <c r="AE262" s="36">
        <f t="shared" si="18"/>
        <v>1.0475689090909091</v>
      </c>
      <c r="AF262" s="35">
        <f>IF(AND(AE262&lt;=Inputs!$D$35,C262&gt;=Inputs!$D$48*(A262+B262+C262),B262*Inputs!$D$22&lt;=Inputs!$D$50*Inputs!$D$8,B262*Inputs!$D$22&gt;=Inputs!$D$49*Inputs!$D$8,A262*Inputs!$D$20&lt;=Inputs!$D$47*Inputs!$D$8,C262&gt;=1),1,0)</f>
        <v>0</v>
      </c>
      <c r="AG262" s="39">
        <f t="shared" si="19"/>
        <v>-1</v>
      </c>
    </row>
    <row r="263" spans="1:33" x14ac:dyDescent="0.25">
      <c r="A263" s="35">
        <v>35</v>
      </c>
      <c r="B263" s="35">
        <v>28</v>
      </c>
      <c r="C263" s="35">
        <f>Inputs!$D$8-A263-Inputs!$D$22*B263</f>
        <v>29</v>
      </c>
      <c r="D263" s="35">
        <f>A263*Inputs!$D$20+C263*Inputs!$D$21+B263*Inputs!$D$22</f>
        <v>120</v>
      </c>
      <c r="E263" s="36">
        <f>MIN(Inputs!$E$15,Inputs!$D$15*(C263/Inputs!$D$43)^Inputs!$D$44)</f>
        <v>0.33979795258455459</v>
      </c>
      <c r="F263" s="36">
        <f>MIN(Inputs!$E$16,Inputs!$D$16*(B263/Inputs!$D$42)^Inputs!$D$44)</f>
        <v>0.44248484624799689</v>
      </c>
      <c r="G263" s="37">
        <f>Inputs!$D$26*(1+Inputs!$D$41*(B263-Inputs!$D$42))</f>
        <v>1.62</v>
      </c>
      <c r="H263" s="35">
        <f>Inputs!$D$6*Inputs!$D$14*G263*Inputs!$D$29</f>
        <v>2035.4166</v>
      </c>
      <c r="I263" s="36">
        <f>H263/(A263*Inputs!$D$32)</f>
        <v>1.0573592727272727</v>
      </c>
      <c r="J263" s="38">
        <f>IF(I263&gt;=1,999,I263/(Inputs!$D$32*(1-I263))*60)</f>
        <v>999</v>
      </c>
      <c r="K263" s="37">
        <f>MIN(1,MAX(0,(J263-Inputs!$D$36)/(Inputs!$D$37-Inputs!$D$36)))</f>
        <v>1</v>
      </c>
      <c r="L263" s="35">
        <f>Inputs!$D$6*Inputs!$D$14*G263*(1-Inputs!$D$38*K263)</f>
        <v>7463.1942000000017</v>
      </c>
      <c r="M263" s="39">
        <f>L263*Inputs!$D$11</f>
        <v>160458.67530000003</v>
      </c>
      <c r="N263" s="39">
        <f>M263*(1-Inputs!$D$17)</f>
        <v>56160.536355000011</v>
      </c>
      <c r="O263" s="35">
        <f>Inputs!$D$6*E263*Inputs!$D$27*Inputs!$D$30</f>
        <v>484.77478784247035</v>
      </c>
      <c r="P263" s="36">
        <f>O263/(C263*Inputs!$D$33)</f>
        <v>0.41790929986419856</v>
      </c>
      <c r="Q263" s="38">
        <f>IF(P263&gt;=1,999,P263/(Inputs!$D$33*(1-P263))*60)</f>
        <v>1.0769179951681944</v>
      </c>
      <c r="R263" s="37">
        <f>MIN(1,MAX(0,(Q263-Inputs!$D$36)/(Inputs!$D$37-Inputs!$D$36)))</f>
        <v>0</v>
      </c>
      <c r="S263" s="35">
        <f>Inputs!$D$6*E263*Inputs!$D$27*(1-Inputs!$D$38*R263)</f>
        <v>4039.7898986872528</v>
      </c>
      <c r="T263" s="39">
        <f>S263*Inputs!$D$12</f>
        <v>64636.638378996046</v>
      </c>
      <c r="U263" s="39">
        <f>T263*(1-Inputs!$D$18)</f>
        <v>29086.487270548219</v>
      </c>
      <c r="V263" s="35">
        <f>Inputs!$D$6*F263*Inputs!$D$28*Inputs!$D$31</f>
        <v>746.05069004674272</v>
      </c>
      <c r="W263" s="36">
        <f>V263/(B263*Inputs!$D$34)</f>
        <v>0.76127621433341097</v>
      </c>
      <c r="X263" s="38">
        <f>IF(W263&gt;=1,999,W263/(Inputs!$D$34*(1-W263))*60)</f>
        <v>5.4667570523531852</v>
      </c>
      <c r="Y263" s="37">
        <f>MIN(1,MAX(0,(X263-Inputs!$D$36)/(Inputs!$D$37-Inputs!$D$36)))</f>
        <v>3.111713682354568E-2</v>
      </c>
      <c r="Z263" s="35">
        <f>Inputs!$D$6*F263*Inputs!$D$28*(1-Inputs!$D$38*Y263)</f>
        <v>5658.4919801305723</v>
      </c>
      <c r="AA263" s="39">
        <f>Z263*Inputs!$D$13</f>
        <v>48097.181831109861</v>
      </c>
      <c r="AB263" s="39">
        <f>AA263*(1-Inputs!$D$19)</f>
        <v>28858.309098665915</v>
      </c>
      <c r="AC263" s="39">
        <f t="shared" si="16"/>
        <v>273192.49551010597</v>
      </c>
      <c r="AD263" s="39">
        <f t="shared" si="17"/>
        <v>114105.33272421415</v>
      </c>
      <c r="AE263" s="36">
        <f t="shared" si="18"/>
        <v>1.0573592727272727</v>
      </c>
      <c r="AF263" s="35">
        <f>IF(AND(AE263&lt;=Inputs!$D$35,C263&gt;=Inputs!$D$48*(A263+B263+C263),B263*Inputs!$D$22&lt;=Inputs!$D$50*Inputs!$D$8,B263*Inputs!$D$22&gt;=Inputs!$D$49*Inputs!$D$8,A263*Inputs!$D$20&lt;=Inputs!$D$47*Inputs!$D$8,C263&gt;=1),1,0)</f>
        <v>0</v>
      </c>
      <c r="AG263" s="39">
        <f t="shared" si="19"/>
        <v>-1</v>
      </c>
    </row>
    <row r="264" spans="1:33" x14ac:dyDescent="0.25">
      <c r="A264" s="35">
        <v>35</v>
      </c>
      <c r="B264" s="35">
        <v>29</v>
      </c>
      <c r="C264" s="35">
        <f>Inputs!$D$8-A264-Inputs!$D$22*B264</f>
        <v>27</v>
      </c>
      <c r="D264" s="35">
        <f>A264*Inputs!$D$20+C264*Inputs!$D$21+B264*Inputs!$D$22</f>
        <v>120</v>
      </c>
      <c r="E264" s="36">
        <f>MIN(Inputs!$E$15,Inputs!$D$15*(C264/Inputs!$D$43)^Inputs!$D$44)</f>
        <v>0.33259099594532748</v>
      </c>
      <c r="F264" s="36">
        <f>MIN(Inputs!$E$16,Inputs!$D$16*(B264/Inputs!$D$42)^Inputs!$D$44)</f>
        <v>0.44716766511947192</v>
      </c>
      <c r="G264" s="37">
        <f>Inputs!$D$26*(1+Inputs!$D$41*(B264-Inputs!$D$42))</f>
        <v>1.6350000000000002</v>
      </c>
      <c r="H264" s="35">
        <f>Inputs!$D$6*Inputs!$D$14*G264*Inputs!$D$29</f>
        <v>2054.2630500000005</v>
      </c>
      <c r="I264" s="36">
        <f>H264/(A264*Inputs!$D$32)</f>
        <v>1.0671496363636366</v>
      </c>
      <c r="J264" s="38">
        <f>IF(I264&gt;=1,999,I264/(Inputs!$D$32*(1-I264))*60)</f>
        <v>999</v>
      </c>
      <c r="K264" s="37">
        <f>MIN(1,MAX(0,(J264-Inputs!$D$36)/(Inputs!$D$37-Inputs!$D$36)))</f>
        <v>1</v>
      </c>
      <c r="L264" s="35">
        <f>Inputs!$D$6*Inputs!$D$14*G264*(1-Inputs!$D$38*K264)</f>
        <v>7532.2978500000027</v>
      </c>
      <c r="M264" s="39">
        <f>L264*Inputs!$D$11</f>
        <v>161944.40377500007</v>
      </c>
      <c r="N264" s="39">
        <f>M264*(1-Inputs!$D$17)</f>
        <v>56680.541321250021</v>
      </c>
      <c r="O264" s="35">
        <f>Inputs!$D$6*E264*Inputs!$D$27*Inputs!$D$30</f>
        <v>474.49293991137716</v>
      </c>
      <c r="P264" s="36">
        <f>O264/(C264*Inputs!$D$33)</f>
        <v>0.43934531473275662</v>
      </c>
      <c r="Q264" s="38">
        <f>IF(P264&gt;=1,999,P264/(Inputs!$D$33*(1-P264))*60)</f>
        <v>1.1754436187133714</v>
      </c>
      <c r="R264" s="37">
        <f>MIN(1,MAX(0,(Q264-Inputs!$D$36)/(Inputs!$D$37-Inputs!$D$36)))</f>
        <v>0</v>
      </c>
      <c r="S264" s="35">
        <f>Inputs!$D$6*E264*Inputs!$D$27*(1-Inputs!$D$38*R264)</f>
        <v>3954.1078325948097</v>
      </c>
      <c r="T264" s="39">
        <f>S264*Inputs!$D$12</f>
        <v>63265.725321516955</v>
      </c>
      <c r="U264" s="39">
        <f>T264*(1-Inputs!$D$18)</f>
        <v>28469.576394682626</v>
      </c>
      <c r="V264" s="35">
        <f>Inputs!$D$6*F264*Inputs!$D$28*Inputs!$D$31</f>
        <v>753.9461474393554</v>
      </c>
      <c r="W264" s="36">
        <f>V264/(B264*Inputs!$D$34)</f>
        <v>0.74280408614714821</v>
      </c>
      <c r="X264" s="38">
        <f>IF(W264&gt;=1,999,W264/(Inputs!$D$34*(1-W264))*60)</f>
        <v>4.9510056918075414</v>
      </c>
      <c r="Y264" s="37">
        <f>MIN(1,MAX(0,(X264-Inputs!$D$36)/(Inputs!$D$37-Inputs!$D$36)))</f>
        <v>0</v>
      </c>
      <c r="Z264" s="35">
        <f>Inputs!$D$6*F264*Inputs!$D$28*(1-Inputs!$D$38*Y264)</f>
        <v>5799.5857495335031</v>
      </c>
      <c r="AA264" s="39">
        <f>Z264*Inputs!$D$13</f>
        <v>49296.478871034778</v>
      </c>
      <c r="AB264" s="39">
        <f>AA264*(1-Inputs!$D$19)</f>
        <v>29577.887322620867</v>
      </c>
      <c r="AC264" s="39">
        <f t="shared" si="16"/>
        <v>274506.6079675518</v>
      </c>
      <c r="AD264" s="39">
        <f t="shared" si="17"/>
        <v>114728.00503855351</v>
      </c>
      <c r="AE264" s="36">
        <f t="shared" si="18"/>
        <v>1.0671496363636366</v>
      </c>
      <c r="AF264" s="35">
        <f>IF(AND(AE264&lt;=Inputs!$D$35,C264&gt;=Inputs!$D$48*(A264+B264+C264),B264*Inputs!$D$22&lt;=Inputs!$D$50*Inputs!$D$8,B264*Inputs!$D$22&gt;=Inputs!$D$49*Inputs!$D$8,A264*Inputs!$D$20&lt;=Inputs!$D$47*Inputs!$D$8,C264&gt;=1),1,0)</f>
        <v>0</v>
      </c>
      <c r="AG264" s="39">
        <f t="shared" si="19"/>
        <v>-1</v>
      </c>
    </row>
    <row r="265" spans="1:33" x14ac:dyDescent="0.25">
      <c r="A265" s="35">
        <v>35</v>
      </c>
      <c r="B265" s="35">
        <v>30</v>
      </c>
      <c r="C265" s="35">
        <f>Inputs!$D$8-A265-Inputs!$D$22*B265</f>
        <v>25</v>
      </c>
      <c r="D265" s="35">
        <f>A265*Inputs!$D$20+C265*Inputs!$D$21+B265*Inputs!$D$22</f>
        <v>120</v>
      </c>
      <c r="E265" s="36">
        <f>MIN(Inputs!$E$15,Inputs!$D$15*(C265/Inputs!$D$43)^Inputs!$D$44)</f>
        <v>0.32500000000000001</v>
      </c>
      <c r="F265" s="36">
        <f>MIN(Inputs!$E$16,Inputs!$D$16*(B265/Inputs!$D$42)^Inputs!$D$44)</f>
        <v>0.45173877418274222</v>
      </c>
      <c r="G265" s="37">
        <f>Inputs!$D$26*(1+Inputs!$D$41*(B265-Inputs!$D$42))</f>
        <v>1.6500000000000001</v>
      </c>
      <c r="H265" s="35">
        <f>Inputs!$D$6*Inputs!$D$14*G265*Inputs!$D$29</f>
        <v>2073.1095000000005</v>
      </c>
      <c r="I265" s="36">
        <f>H265/(A265*Inputs!$D$32)</f>
        <v>1.0769400000000002</v>
      </c>
      <c r="J265" s="38">
        <f>IF(I265&gt;=1,999,I265/(Inputs!$D$32*(1-I265))*60)</f>
        <v>999</v>
      </c>
      <c r="K265" s="37">
        <f>MIN(1,MAX(0,(J265-Inputs!$D$36)/(Inputs!$D$37-Inputs!$D$36)))</f>
        <v>1</v>
      </c>
      <c r="L265" s="35">
        <f>Inputs!$D$6*Inputs!$D$14*G265*(1-Inputs!$D$38*K265)</f>
        <v>7601.4015000000027</v>
      </c>
      <c r="M265" s="39">
        <f>L265*Inputs!$D$11</f>
        <v>163430.13225000005</v>
      </c>
      <c r="N265" s="39">
        <f>M265*(1-Inputs!$D$17)</f>
        <v>57200.546287500016</v>
      </c>
      <c r="O265" s="35">
        <f>Inputs!$D$6*E265*Inputs!$D$27*Inputs!$D$30</f>
        <v>463.66320000000002</v>
      </c>
      <c r="P265" s="36">
        <f>O265/(C265*Inputs!$D$33)</f>
        <v>0.4636632</v>
      </c>
      <c r="Q265" s="38">
        <f>IF(P265&gt;=1,999,P265/(Inputs!$D$33*(1-P265))*60)</f>
        <v>1.296750101801704</v>
      </c>
      <c r="R265" s="37">
        <f>MIN(1,MAX(0,(Q265-Inputs!$D$36)/(Inputs!$D$37-Inputs!$D$36)))</f>
        <v>0</v>
      </c>
      <c r="S265" s="35">
        <f>Inputs!$D$6*E265*Inputs!$D$27*(1-Inputs!$D$38*R265)</f>
        <v>3863.86</v>
      </c>
      <c r="T265" s="39">
        <f>S265*Inputs!$D$12</f>
        <v>61821.760000000002</v>
      </c>
      <c r="U265" s="39">
        <f>T265*(1-Inputs!$D$18)</f>
        <v>27819.791999999998</v>
      </c>
      <c r="V265" s="35">
        <f>Inputs!$D$6*F265*Inputs!$D$28*Inputs!$D$31</f>
        <v>761.65325673326424</v>
      </c>
      <c r="W265" s="36">
        <f>V265/(B265*Inputs!$D$34)</f>
        <v>0.72538405403168027</v>
      </c>
      <c r="X265" s="38">
        <f>IF(W265&gt;=1,999,W265/(Inputs!$D$34*(1-W265))*60)</f>
        <v>4.5281985239874629</v>
      </c>
      <c r="Y265" s="37">
        <f>MIN(1,MAX(0,(X265-Inputs!$D$36)/(Inputs!$D$37-Inputs!$D$36)))</f>
        <v>0</v>
      </c>
      <c r="Z265" s="35">
        <f>Inputs!$D$6*F265*Inputs!$D$28*(1-Inputs!$D$38*Y265)</f>
        <v>5858.8712056404938</v>
      </c>
      <c r="AA265" s="39">
        <f>Z265*Inputs!$D$13</f>
        <v>49800.405247944196</v>
      </c>
      <c r="AB265" s="39">
        <f>AA265*(1-Inputs!$D$19)</f>
        <v>29880.243148766516</v>
      </c>
      <c r="AC265" s="39">
        <f t="shared" si="16"/>
        <v>275052.29749794427</v>
      </c>
      <c r="AD265" s="39">
        <f t="shared" si="17"/>
        <v>114900.58143626653</v>
      </c>
      <c r="AE265" s="36">
        <f t="shared" si="18"/>
        <v>1.0769400000000002</v>
      </c>
      <c r="AF265" s="35">
        <f>IF(AND(AE265&lt;=Inputs!$D$35,C265&gt;=Inputs!$D$48*(A265+B265+C265),B265*Inputs!$D$22&lt;=Inputs!$D$50*Inputs!$D$8,B265*Inputs!$D$22&gt;=Inputs!$D$49*Inputs!$D$8,A265*Inputs!$D$20&lt;=Inputs!$D$47*Inputs!$D$8,C265&gt;=1),1,0)</f>
        <v>0</v>
      </c>
      <c r="AG265" s="39">
        <f t="shared" si="19"/>
        <v>-1</v>
      </c>
    </row>
    <row r="266" spans="1:33" x14ac:dyDescent="0.25">
      <c r="A266" s="35">
        <v>35</v>
      </c>
      <c r="B266" s="35">
        <v>31</v>
      </c>
      <c r="C266" s="35">
        <f>Inputs!$D$8-A266-Inputs!$D$22*B266</f>
        <v>23</v>
      </c>
      <c r="D266" s="35">
        <f>A266*Inputs!$D$20+C266*Inputs!$D$21+B266*Inputs!$D$22</f>
        <v>120</v>
      </c>
      <c r="E266" s="36">
        <f>MIN(Inputs!$E$15,Inputs!$D$15*(C266/Inputs!$D$43)^Inputs!$D$44)</f>
        <v>0.31697113078396583</v>
      </c>
      <c r="F266" s="36">
        <f>MIN(Inputs!$E$16,Inputs!$D$16*(B266/Inputs!$D$42)^Inputs!$D$44)</f>
        <v>0.45620443270573335</v>
      </c>
      <c r="G266" s="37">
        <f>Inputs!$D$26*(1+Inputs!$D$41*(B266-Inputs!$D$42))</f>
        <v>1.665</v>
      </c>
      <c r="H266" s="35">
        <f>Inputs!$D$6*Inputs!$D$14*G266*Inputs!$D$29</f>
        <v>2091.95595</v>
      </c>
      <c r="I266" s="36">
        <f>H266/(A266*Inputs!$D$32)</f>
        <v>1.0867303636363637</v>
      </c>
      <c r="J266" s="38">
        <f>IF(I266&gt;=1,999,I266/(Inputs!$D$32*(1-I266))*60)</f>
        <v>999</v>
      </c>
      <c r="K266" s="37">
        <f>MIN(1,MAX(0,(J266-Inputs!$D$36)/(Inputs!$D$37-Inputs!$D$36)))</f>
        <v>1</v>
      </c>
      <c r="L266" s="35">
        <f>Inputs!$D$6*Inputs!$D$14*G266*(1-Inputs!$D$38*K266)</f>
        <v>7670.5051500000018</v>
      </c>
      <c r="M266" s="39">
        <f>L266*Inputs!$D$11</f>
        <v>164915.86072500004</v>
      </c>
      <c r="N266" s="39">
        <f>M266*(1-Inputs!$D$17)</f>
        <v>57720.551253750011</v>
      </c>
      <c r="O266" s="35">
        <f>Inputs!$D$6*E266*Inputs!$D$27*Inputs!$D$30</f>
        <v>452.20876555972956</v>
      </c>
      <c r="P266" s="36">
        <f>O266/(C266*Inputs!$D$33)</f>
        <v>0.49153126691274951</v>
      </c>
      <c r="Q266" s="38">
        <f>IF(P266&gt;=1,999,P266/(Inputs!$D$33*(1-P266))*60)</f>
        <v>1.4500339005950402</v>
      </c>
      <c r="R266" s="37">
        <f>MIN(1,MAX(0,(Q266-Inputs!$D$36)/(Inputs!$D$37-Inputs!$D$36)))</f>
        <v>0</v>
      </c>
      <c r="S266" s="35">
        <f>Inputs!$D$6*E266*Inputs!$D$27*(1-Inputs!$D$38*R266)</f>
        <v>3768.4063796644132</v>
      </c>
      <c r="T266" s="39">
        <f>S266*Inputs!$D$12</f>
        <v>60294.502074630611</v>
      </c>
      <c r="U266" s="39">
        <f>T266*(1-Inputs!$D$18)</f>
        <v>27132.525933583773</v>
      </c>
      <c r="V266" s="35">
        <f>Inputs!$D$6*F266*Inputs!$D$28*Inputs!$D$31</f>
        <v>769.18257135463637</v>
      </c>
      <c r="W266" s="36">
        <f>V266/(B266*Inputs!$D$34)</f>
        <v>0.70892402889828232</v>
      </c>
      <c r="X266" s="38">
        <f>IF(W266&gt;=1,999,W266/(Inputs!$D$34*(1-W266))*60)</f>
        <v>4.1751929252501148</v>
      </c>
      <c r="Y266" s="37">
        <f>MIN(1,MAX(0,(X266-Inputs!$D$36)/(Inputs!$D$37-Inputs!$D$36)))</f>
        <v>0</v>
      </c>
      <c r="Z266" s="35">
        <f>Inputs!$D$6*F266*Inputs!$D$28*(1-Inputs!$D$38*Y266)</f>
        <v>5916.7890104202797</v>
      </c>
      <c r="AA266" s="39">
        <f>Z266*Inputs!$D$13</f>
        <v>50292.706588572379</v>
      </c>
      <c r="AB266" s="39">
        <f>AA266*(1-Inputs!$D$19)</f>
        <v>30175.623953143426</v>
      </c>
      <c r="AC266" s="39">
        <f t="shared" si="16"/>
        <v>275503.06938820303</v>
      </c>
      <c r="AD266" s="39">
        <f t="shared" si="17"/>
        <v>115028.70114047721</v>
      </c>
      <c r="AE266" s="36">
        <f t="shared" si="18"/>
        <v>1.0867303636363637</v>
      </c>
      <c r="AF266" s="35">
        <f>IF(AND(AE266&lt;=Inputs!$D$35,C266&gt;=Inputs!$D$48*(A266+B266+C266),B266*Inputs!$D$22&lt;=Inputs!$D$50*Inputs!$D$8,B266*Inputs!$D$22&gt;=Inputs!$D$49*Inputs!$D$8,A266*Inputs!$D$20&lt;=Inputs!$D$47*Inputs!$D$8,C266&gt;=1),1,0)</f>
        <v>0</v>
      </c>
      <c r="AG266" s="39">
        <f t="shared" si="19"/>
        <v>-1</v>
      </c>
    </row>
    <row r="267" spans="1:33" x14ac:dyDescent="0.25">
      <c r="A267" s="35">
        <v>35</v>
      </c>
      <c r="B267" s="35">
        <v>32</v>
      </c>
      <c r="C267" s="35">
        <f>Inputs!$D$8-A267-Inputs!$D$22*B267</f>
        <v>21</v>
      </c>
      <c r="D267" s="35">
        <f>A267*Inputs!$D$20+C267*Inputs!$D$21+B267*Inputs!$D$22</f>
        <v>120</v>
      </c>
      <c r="E267" s="36">
        <f>MIN(Inputs!$E$15,Inputs!$D$15*(C267/Inputs!$D$43)^Inputs!$D$44)</f>
        <v>0.30843748043226404</v>
      </c>
      <c r="F267" s="36">
        <f>MIN(Inputs!$E$16,Inputs!$D$16*(B267/Inputs!$D$42)^Inputs!$D$44)</f>
        <v>0.46057036065052986</v>
      </c>
      <c r="G267" s="37">
        <f>Inputs!$D$26*(1+Inputs!$D$41*(B267-Inputs!$D$42))</f>
        <v>1.6800000000000002</v>
      </c>
      <c r="H267" s="35">
        <f>Inputs!$D$6*Inputs!$D$14*G267*Inputs!$D$29</f>
        <v>2110.8024000000005</v>
      </c>
      <c r="I267" s="36">
        <f>H267/(A267*Inputs!$D$32)</f>
        <v>1.0965207272727275</v>
      </c>
      <c r="J267" s="38">
        <f>IF(I267&gt;=1,999,I267/(Inputs!$D$32*(1-I267))*60)</f>
        <v>999</v>
      </c>
      <c r="K267" s="37">
        <f>MIN(1,MAX(0,(J267-Inputs!$D$36)/(Inputs!$D$37-Inputs!$D$36)))</f>
        <v>1</v>
      </c>
      <c r="L267" s="35">
        <f>Inputs!$D$6*Inputs!$D$14*G267*(1-Inputs!$D$38*K267)</f>
        <v>7739.6088000000027</v>
      </c>
      <c r="M267" s="39">
        <f>L267*Inputs!$D$11</f>
        <v>166401.58920000005</v>
      </c>
      <c r="N267" s="39">
        <f>M267*(1-Inputs!$D$17)</f>
        <v>58240.556220000013</v>
      </c>
      <c r="O267" s="35">
        <f>Inputs!$D$6*E267*Inputs!$D$27*Inputs!$D$30</f>
        <v>440.03418208357215</v>
      </c>
      <c r="P267" s="36">
        <f>O267/(C267*Inputs!$D$33)</f>
        <v>0.52385021676615728</v>
      </c>
      <c r="Q267" s="38">
        <f>IF(P267&gt;=1,999,P267/(Inputs!$D$33*(1-P267))*60)</f>
        <v>1.6502692069132636</v>
      </c>
      <c r="R267" s="37">
        <f>MIN(1,MAX(0,(Q267-Inputs!$D$36)/(Inputs!$D$37-Inputs!$D$36)))</f>
        <v>0</v>
      </c>
      <c r="S267" s="35">
        <f>Inputs!$D$6*E267*Inputs!$D$27*(1-Inputs!$D$38*R267)</f>
        <v>3666.9515173631012</v>
      </c>
      <c r="T267" s="39">
        <f>S267*Inputs!$D$12</f>
        <v>58671.224277809619</v>
      </c>
      <c r="U267" s="39">
        <f>T267*(1-Inputs!$D$18)</f>
        <v>26402.050925014326</v>
      </c>
      <c r="V267" s="35">
        <f>Inputs!$D$6*F267*Inputs!$D$28*Inputs!$D$31</f>
        <v>776.54373543410452</v>
      </c>
      <c r="W267" s="36">
        <f>V267/(B267*Inputs!$D$34)</f>
        <v>0.69334262092330756</v>
      </c>
      <c r="X267" s="38">
        <f>IF(W267&gt;=1,999,W267/(Inputs!$D$34*(1-W267))*60)</f>
        <v>3.8759457011369869</v>
      </c>
      <c r="Y267" s="37">
        <f>MIN(1,MAX(0,(X267-Inputs!$D$36)/(Inputs!$D$37-Inputs!$D$36)))</f>
        <v>0</v>
      </c>
      <c r="Z267" s="35">
        <f>Inputs!$D$6*F267*Inputs!$D$28*(1-Inputs!$D$38*Y267)</f>
        <v>5973.4133494931111</v>
      </c>
      <c r="AA267" s="39">
        <f>Z267*Inputs!$D$13</f>
        <v>50774.013470691447</v>
      </c>
      <c r="AB267" s="39">
        <f>AA267*(1-Inputs!$D$19)</f>
        <v>30464.408082414866</v>
      </c>
      <c r="AC267" s="39">
        <f t="shared" si="16"/>
        <v>275846.82694850111</v>
      </c>
      <c r="AD267" s="39">
        <f t="shared" si="17"/>
        <v>115107.0152274292</v>
      </c>
      <c r="AE267" s="36">
        <f t="shared" si="18"/>
        <v>1.0965207272727275</v>
      </c>
      <c r="AF267" s="35">
        <f>IF(AND(AE267&lt;=Inputs!$D$35,C267&gt;=Inputs!$D$48*(A267+B267+C267),B267*Inputs!$D$22&lt;=Inputs!$D$50*Inputs!$D$8,B267*Inputs!$D$22&gt;=Inputs!$D$49*Inputs!$D$8,A267*Inputs!$D$20&lt;=Inputs!$D$47*Inputs!$D$8,C267&gt;=1),1,0)</f>
        <v>0</v>
      </c>
      <c r="AG267" s="39">
        <f t="shared" si="19"/>
        <v>-1</v>
      </c>
    </row>
    <row r="268" spans="1:33" x14ac:dyDescent="0.25">
      <c r="A268" s="35">
        <v>35</v>
      </c>
      <c r="B268" s="35">
        <v>33</v>
      </c>
      <c r="C268" s="35">
        <f>Inputs!$D$8-A268-Inputs!$D$22*B268</f>
        <v>19</v>
      </c>
      <c r="D268" s="35">
        <f>A268*Inputs!$D$20+C268*Inputs!$D$21+B268*Inputs!$D$22</f>
        <v>120</v>
      </c>
      <c r="E268" s="36">
        <f>MIN(Inputs!$E$15,Inputs!$D$15*(C268/Inputs!$D$43)^Inputs!$D$44)</f>
        <v>0.29931428106923352</v>
      </c>
      <c r="F268" s="36">
        <f>MIN(Inputs!$E$16,Inputs!$D$16*(B268/Inputs!$D$42)^Inputs!$D$44)</f>
        <v>0.46484180038786721</v>
      </c>
      <c r="G268" s="37">
        <f>Inputs!$D$26*(1+Inputs!$D$41*(B268-Inputs!$D$42))</f>
        <v>1.6949999999999998</v>
      </c>
      <c r="H268" s="35">
        <f>Inputs!$D$6*Inputs!$D$14*G268*Inputs!$D$29</f>
        <v>2129.64885</v>
      </c>
      <c r="I268" s="36">
        <f>H268/(A268*Inputs!$D$32)</f>
        <v>1.106311090909091</v>
      </c>
      <c r="J268" s="38">
        <f>IF(I268&gt;=1,999,I268/(Inputs!$D$32*(1-I268))*60)</f>
        <v>999</v>
      </c>
      <c r="K268" s="37">
        <f>MIN(1,MAX(0,(J268-Inputs!$D$36)/(Inputs!$D$37-Inputs!$D$36)))</f>
        <v>1</v>
      </c>
      <c r="L268" s="35">
        <f>Inputs!$D$6*Inputs!$D$14*G268*(1-Inputs!$D$38*K268)</f>
        <v>7808.71245</v>
      </c>
      <c r="M268" s="39">
        <f>L268*Inputs!$D$11</f>
        <v>167887.317675</v>
      </c>
      <c r="N268" s="39">
        <f>M268*(1-Inputs!$D$17)</f>
        <v>58760.561186249994</v>
      </c>
      <c r="O268" s="35">
        <f>Inputs!$D$6*E268*Inputs!$D$27*Inputs!$D$30</f>
        <v>427.01851497310844</v>
      </c>
      <c r="P268" s="36">
        <f>O268/(C268*Inputs!$D$33)</f>
        <v>0.56186646706987953</v>
      </c>
      <c r="Q268" s="38">
        <f>IF(P268&gt;=1,999,P268/(Inputs!$D$33*(1-P268))*60)</f>
        <v>1.9236137781292366</v>
      </c>
      <c r="R268" s="37">
        <f>MIN(1,MAX(0,(Q268-Inputs!$D$36)/(Inputs!$D$37-Inputs!$D$36)))</f>
        <v>0</v>
      </c>
      <c r="S268" s="35">
        <f>Inputs!$D$6*E268*Inputs!$D$27*(1-Inputs!$D$38*R268)</f>
        <v>3558.4876247759039</v>
      </c>
      <c r="T268" s="39">
        <f>S268*Inputs!$D$12</f>
        <v>56935.801996414462</v>
      </c>
      <c r="U268" s="39">
        <f>T268*(1-Inputs!$D$18)</f>
        <v>25621.110898386505</v>
      </c>
      <c r="V268" s="35">
        <f>Inputs!$D$6*F268*Inputs!$D$28*Inputs!$D$31</f>
        <v>783.74558786036266</v>
      </c>
      <c r="W268" s="36">
        <f>V268/(B268*Inputs!$D$34)</f>
        <v>0.67856760853711051</v>
      </c>
      <c r="X268" s="38">
        <f>IF(W268&gt;=1,999,W268/(Inputs!$D$34*(1-W268))*60)</f>
        <v>3.6189842355277744</v>
      </c>
      <c r="Y268" s="37">
        <f>MIN(1,MAX(0,(X268-Inputs!$D$36)/(Inputs!$D$37-Inputs!$D$36)))</f>
        <v>0</v>
      </c>
      <c r="Z268" s="35">
        <f>Inputs!$D$6*F268*Inputs!$D$28*(1-Inputs!$D$38*Y268)</f>
        <v>6028.812214310482</v>
      </c>
      <c r="AA268" s="39">
        <f>Z268*Inputs!$D$13</f>
        <v>51244.903821639098</v>
      </c>
      <c r="AB268" s="39">
        <f>AA268*(1-Inputs!$D$19)</f>
        <v>30746.942292983458</v>
      </c>
      <c r="AC268" s="39">
        <f t="shared" si="16"/>
        <v>276068.02349305357</v>
      </c>
      <c r="AD268" s="39">
        <f t="shared" si="17"/>
        <v>115128.61437761995</v>
      </c>
      <c r="AE268" s="36">
        <f t="shared" si="18"/>
        <v>1.106311090909091</v>
      </c>
      <c r="AF268" s="35">
        <f>IF(AND(AE268&lt;=Inputs!$D$35,C268&gt;=Inputs!$D$48*(A268+B268+C268),B268*Inputs!$D$22&lt;=Inputs!$D$50*Inputs!$D$8,B268*Inputs!$D$22&gt;=Inputs!$D$49*Inputs!$D$8,A268*Inputs!$D$20&lt;=Inputs!$D$47*Inputs!$D$8,C268&gt;=1),1,0)</f>
        <v>0</v>
      </c>
      <c r="AG268" s="39">
        <f t="shared" si="19"/>
        <v>-1</v>
      </c>
    </row>
    <row r="269" spans="1:33" x14ac:dyDescent="0.25">
      <c r="A269" s="35">
        <v>36</v>
      </c>
      <c r="B269" s="35">
        <v>10</v>
      </c>
      <c r="C269" s="35">
        <f>Inputs!$D$8-A269-Inputs!$D$22*B269</f>
        <v>64</v>
      </c>
      <c r="D269" s="35">
        <f>A269*Inputs!$D$20+C269*Inputs!$D$21+B269*Inputs!$D$22</f>
        <v>120</v>
      </c>
      <c r="E269" s="36">
        <f>MIN(Inputs!$E$15,Inputs!$D$15*(C269/Inputs!$D$43)^Inputs!$D$44)</f>
        <v>0.4</v>
      </c>
      <c r="F269" s="36">
        <f>MIN(Inputs!$E$16,Inputs!$D$16*(B269/Inputs!$D$42)^Inputs!$D$44)</f>
        <v>0.32490095854249423</v>
      </c>
      <c r="G269" s="37">
        <f>Inputs!$D$26*(1+Inputs!$D$41*(B269-Inputs!$D$42))</f>
        <v>1.35</v>
      </c>
      <c r="H269" s="35">
        <f>Inputs!$D$6*Inputs!$D$14*G269*Inputs!$D$29</f>
        <v>1696.1805000000004</v>
      </c>
      <c r="I269" s="36">
        <f>H269/(A269*Inputs!$D$32)</f>
        <v>0.85665681818181838</v>
      </c>
      <c r="J269" s="38">
        <f>IF(I269&gt;=1,999,I269/(Inputs!$D$32*(1-I269))*60)</f>
        <v>6.5195616484164418</v>
      </c>
      <c r="K269" s="37">
        <f>MIN(1,MAX(0,(J269-Inputs!$D$36)/(Inputs!$D$37-Inputs!$D$36)))</f>
        <v>0.10130410989442945</v>
      </c>
      <c r="L269" s="35">
        <f>Inputs!$D$6*Inputs!$D$14*G269*(1-Inputs!$D$38*K269)</f>
        <v>10792.379832681638</v>
      </c>
      <c r="M269" s="39">
        <f>L269*Inputs!$D$11</f>
        <v>232036.16640265522</v>
      </c>
      <c r="N269" s="39">
        <f>M269*(1-Inputs!$D$17)</f>
        <v>81212.658240929319</v>
      </c>
      <c r="O269" s="35">
        <f>Inputs!$D$6*E269*Inputs!$D$27*Inputs!$D$30</f>
        <v>570.66240000000005</v>
      </c>
      <c r="P269" s="36">
        <f>O269/(C269*Inputs!$D$33)</f>
        <v>0.22291500000000003</v>
      </c>
      <c r="Q269" s="38">
        <f>IF(P269&gt;=1,999,P269/(Inputs!$D$33*(1-P269))*60)</f>
        <v>0.43029076613240513</v>
      </c>
      <c r="R269" s="37">
        <f>MIN(1,MAX(0,(Q269-Inputs!$D$36)/(Inputs!$D$37-Inputs!$D$36)))</f>
        <v>0</v>
      </c>
      <c r="S269" s="35">
        <f>Inputs!$D$6*E269*Inputs!$D$27*(1-Inputs!$D$38*R269)</f>
        <v>4755.5200000000004</v>
      </c>
      <c r="T269" s="39">
        <f>S269*Inputs!$D$12</f>
        <v>76088.320000000007</v>
      </c>
      <c r="U269" s="39">
        <f>T269*(1-Inputs!$D$18)</f>
        <v>34239.743999999999</v>
      </c>
      <c r="V269" s="35">
        <f>Inputs!$D$6*F269*Inputs!$D$28*Inputs!$D$31</f>
        <v>547.7986113486553</v>
      </c>
      <c r="W269" s="36">
        <f>V269/(B269*Inputs!$D$34)</f>
        <v>1.5651388895675866</v>
      </c>
      <c r="X269" s="38">
        <f>IF(W269&gt;=1,999,W269/(Inputs!$D$34*(1-W269))*60)</f>
        <v>999</v>
      </c>
      <c r="Y269" s="37">
        <f>MIN(1,MAX(0,(X269-Inputs!$D$36)/(Inputs!$D$37-Inputs!$D$36)))</f>
        <v>1</v>
      </c>
      <c r="Z269" s="35">
        <f>Inputs!$D$6*F269*Inputs!$D$28*(1-Inputs!$D$38*Y269)</f>
        <v>2317.6095095520031</v>
      </c>
      <c r="AA269" s="39">
        <f>Z269*Inputs!$D$13</f>
        <v>19699.680831192025</v>
      </c>
      <c r="AB269" s="39">
        <f>AA269*(1-Inputs!$D$19)</f>
        <v>11819.808498715214</v>
      </c>
      <c r="AC269" s="39">
        <f t="shared" si="16"/>
        <v>327824.16723384726</v>
      </c>
      <c r="AD269" s="39">
        <f t="shared" si="17"/>
        <v>127272.21073964452</v>
      </c>
      <c r="AE269" s="36">
        <f t="shared" si="18"/>
        <v>1.5651388895675866</v>
      </c>
      <c r="AF269" s="35">
        <f>IF(AND(AE269&lt;=Inputs!$D$35,C269&gt;=Inputs!$D$48*(A269+B269+C269),B269*Inputs!$D$22&lt;=Inputs!$D$50*Inputs!$D$8,B269*Inputs!$D$22&gt;=Inputs!$D$49*Inputs!$D$8,A269*Inputs!$D$20&lt;=Inputs!$D$47*Inputs!$D$8,C269&gt;=1),1,0)</f>
        <v>0</v>
      </c>
      <c r="AG269" s="39">
        <f t="shared" si="19"/>
        <v>-1</v>
      </c>
    </row>
    <row r="270" spans="1:33" x14ac:dyDescent="0.25">
      <c r="A270" s="35">
        <v>36</v>
      </c>
      <c r="B270" s="35">
        <v>11</v>
      </c>
      <c r="C270" s="35">
        <f>Inputs!$D$8-A270-Inputs!$D$22*B270</f>
        <v>62</v>
      </c>
      <c r="D270" s="35">
        <f>A270*Inputs!$D$20+C270*Inputs!$D$21+B270*Inputs!$D$22</f>
        <v>120</v>
      </c>
      <c r="E270" s="36">
        <f>MIN(Inputs!$E$15,Inputs!$D$15*(C270/Inputs!$D$43)^Inputs!$D$44)</f>
        <v>0.4</v>
      </c>
      <c r="F270" s="36">
        <f>MIN(Inputs!$E$16,Inputs!$D$16*(B270/Inputs!$D$42)^Inputs!$D$44)</f>
        <v>0.33432495758166098</v>
      </c>
      <c r="G270" s="37">
        <f>Inputs!$D$26*(1+Inputs!$D$41*(B270-Inputs!$D$42))</f>
        <v>1.365</v>
      </c>
      <c r="H270" s="35">
        <f>Inputs!$D$6*Inputs!$D$14*G270*Inputs!$D$29</f>
        <v>1715.0269500000002</v>
      </c>
      <c r="I270" s="36">
        <f>H270/(A270*Inputs!$D$32)</f>
        <v>0.86617522727272733</v>
      </c>
      <c r="J270" s="38">
        <f>IF(I270&gt;=1,999,I270/(Inputs!$D$32*(1-I270))*60)</f>
        <v>7.0608633251913426</v>
      </c>
      <c r="K270" s="37">
        <f>MIN(1,MAX(0,(J270-Inputs!$D$36)/(Inputs!$D$37-Inputs!$D$36)))</f>
        <v>0.13739088834608951</v>
      </c>
      <c r="L270" s="35">
        <f>Inputs!$D$6*Inputs!$D$14*G270*(1-Inputs!$D$38*K270)</f>
        <v>10726.625771406048</v>
      </c>
      <c r="M270" s="39">
        <f>L270*Inputs!$D$11</f>
        <v>230622.45408523004</v>
      </c>
      <c r="N270" s="39">
        <f>M270*(1-Inputs!$D$17)</f>
        <v>80717.858929830516</v>
      </c>
      <c r="O270" s="35">
        <f>Inputs!$D$6*E270*Inputs!$D$27*Inputs!$D$30</f>
        <v>570.66240000000005</v>
      </c>
      <c r="P270" s="36">
        <f>O270/(C270*Inputs!$D$33)</f>
        <v>0.23010580645161291</v>
      </c>
      <c r="Q270" s="38">
        <f>IF(P270&gt;=1,999,P270/(Inputs!$D$33*(1-P270))*60)</f>
        <v>0.44831966855939992</v>
      </c>
      <c r="R270" s="37">
        <f>MIN(1,MAX(0,(Q270-Inputs!$D$36)/(Inputs!$D$37-Inputs!$D$36)))</f>
        <v>0</v>
      </c>
      <c r="S270" s="35">
        <f>Inputs!$D$6*E270*Inputs!$D$27*(1-Inputs!$D$38*R270)</f>
        <v>4755.5200000000004</v>
      </c>
      <c r="T270" s="39">
        <f>S270*Inputs!$D$12</f>
        <v>76088.320000000007</v>
      </c>
      <c r="U270" s="39">
        <f>T270*(1-Inputs!$D$18)</f>
        <v>34239.743999999999</v>
      </c>
      <c r="V270" s="35">
        <f>Inputs!$D$6*F270*Inputs!$D$28*Inputs!$D$31</f>
        <v>563.68792608064427</v>
      </c>
      <c r="W270" s="36">
        <f>V270/(B270*Inputs!$D$34)</f>
        <v>1.4641244833263487</v>
      </c>
      <c r="X270" s="38">
        <f>IF(W270&gt;=1,999,W270/(Inputs!$D$34*(1-W270))*60)</f>
        <v>999</v>
      </c>
      <c r="Y270" s="37">
        <f>MIN(1,MAX(0,(X270-Inputs!$D$36)/(Inputs!$D$37-Inputs!$D$36)))</f>
        <v>1</v>
      </c>
      <c r="Z270" s="35">
        <f>Inputs!$D$6*F270*Inputs!$D$28*(1-Inputs!$D$38*Y270)</f>
        <v>2384.8335334181106</v>
      </c>
      <c r="AA270" s="39">
        <f>Z270*Inputs!$D$13</f>
        <v>20271.08503405394</v>
      </c>
      <c r="AB270" s="39">
        <f>AA270*(1-Inputs!$D$19)</f>
        <v>12162.651020432364</v>
      </c>
      <c r="AC270" s="39">
        <f t="shared" si="16"/>
        <v>326981.85911928402</v>
      </c>
      <c r="AD270" s="39">
        <f t="shared" si="17"/>
        <v>127120.25395026288</v>
      </c>
      <c r="AE270" s="36">
        <f t="shared" si="18"/>
        <v>1.4641244833263487</v>
      </c>
      <c r="AF270" s="35">
        <f>IF(AND(AE270&lt;=Inputs!$D$35,C270&gt;=Inputs!$D$48*(A270+B270+C270),B270*Inputs!$D$22&lt;=Inputs!$D$50*Inputs!$D$8,B270*Inputs!$D$22&gt;=Inputs!$D$49*Inputs!$D$8,A270*Inputs!$D$20&lt;=Inputs!$D$47*Inputs!$D$8,C270&gt;=1),1,0)</f>
        <v>0</v>
      </c>
      <c r="AG270" s="39">
        <f t="shared" si="19"/>
        <v>-1</v>
      </c>
    </row>
    <row r="271" spans="1:33" x14ac:dyDescent="0.25">
      <c r="A271" s="35">
        <v>36</v>
      </c>
      <c r="B271" s="35">
        <v>12</v>
      </c>
      <c r="C271" s="35">
        <f>Inputs!$D$8-A271-Inputs!$D$22*B271</f>
        <v>60</v>
      </c>
      <c r="D271" s="35">
        <f>A271*Inputs!$D$20+C271*Inputs!$D$21+B271*Inputs!$D$22</f>
        <v>120</v>
      </c>
      <c r="E271" s="36">
        <f>MIN(Inputs!$E$15,Inputs!$D$15*(C271/Inputs!$D$43)^Inputs!$D$44)</f>
        <v>0.4</v>
      </c>
      <c r="F271" s="36">
        <f>MIN(Inputs!$E$16,Inputs!$D$16*(B271/Inputs!$D$42)^Inputs!$D$44)</f>
        <v>0.34316688017763797</v>
      </c>
      <c r="G271" s="37">
        <f>Inputs!$D$26*(1+Inputs!$D$41*(B271-Inputs!$D$42))</f>
        <v>1.3800000000000001</v>
      </c>
      <c r="H271" s="35">
        <f>Inputs!$D$6*Inputs!$D$14*G271*Inputs!$D$29</f>
        <v>1733.8734000000004</v>
      </c>
      <c r="I271" s="36">
        <f>H271/(A271*Inputs!$D$32)</f>
        <v>0.87569363636363662</v>
      </c>
      <c r="J271" s="38">
        <f>IF(I271&gt;=1,999,I271/(Inputs!$D$32*(1-I271))*60)</f>
        <v>7.6850622994241942</v>
      </c>
      <c r="K271" s="37">
        <f>MIN(1,MAX(0,(J271-Inputs!$D$36)/(Inputs!$D$37-Inputs!$D$36)))</f>
        <v>0.17900415329494629</v>
      </c>
      <c r="L271" s="35">
        <f>Inputs!$D$6*Inputs!$D$14*G271*(1-Inputs!$D$38*K271)</f>
        <v>10628.044380337113</v>
      </c>
      <c r="M271" s="39">
        <f>L271*Inputs!$D$11</f>
        <v>228502.95417724791</v>
      </c>
      <c r="N271" s="39">
        <f>M271*(1-Inputs!$D$17)</f>
        <v>79976.033962036759</v>
      </c>
      <c r="O271" s="35">
        <f>Inputs!$D$6*E271*Inputs!$D$27*Inputs!$D$30</f>
        <v>570.66240000000005</v>
      </c>
      <c r="P271" s="36">
        <f>O271/(C271*Inputs!$D$33)</f>
        <v>0.23777600000000002</v>
      </c>
      <c r="Q271" s="38">
        <f>IF(P271&gt;=1,999,P271/(Inputs!$D$33*(1-P271))*60)</f>
        <v>0.46792543924095809</v>
      </c>
      <c r="R271" s="37">
        <f>MIN(1,MAX(0,(Q271-Inputs!$D$36)/(Inputs!$D$37-Inputs!$D$36)))</f>
        <v>0</v>
      </c>
      <c r="S271" s="35">
        <f>Inputs!$D$6*E271*Inputs!$D$27*(1-Inputs!$D$38*R271)</f>
        <v>4755.5200000000004</v>
      </c>
      <c r="T271" s="39">
        <f>S271*Inputs!$D$12</f>
        <v>76088.320000000007</v>
      </c>
      <c r="U271" s="39">
        <f>T271*(1-Inputs!$D$18)</f>
        <v>34239.743999999999</v>
      </c>
      <c r="V271" s="35">
        <f>Inputs!$D$6*F271*Inputs!$D$28*Inputs!$D$31</f>
        <v>578.5958319897461</v>
      </c>
      <c r="W271" s="36">
        <f>V271/(B271*Inputs!$D$34)</f>
        <v>1.3776091237851098</v>
      </c>
      <c r="X271" s="38">
        <f>IF(W271&gt;=1,999,W271/(Inputs!$D$34*(1-W271))*60)</f>
        <v>999</v>
      </c>
      <c r="Y271" s="37">
        <f>MIN(1,MAX(0,(X271-Inputs!$D$36)/(Inputs!$D$37-Inputs!$D$36)))</f>
        <v>1</v>
      </c>
      <c r="Z271" s="35">
        <f>Inputs!$D$6*F271*Inputs!$D$28*(1-Inputs!$D$38*Y271)</f>
        <v>2447.9054430335414</v>
      </c>
      <c r="AA271" s="39">
        <f>Z271*Inputs!$D$13</f>
        <v>20807.1962657851</v>
      </c>
      <c r="AB271" s="39">
        <f>AA271*(1-Inputs!$D$19)</f>
        <v>12484.31775947106</v>
      </c>
      <c r="AC271" s="39">
        <f t="shared" si="16"/>
        <v>325398.47044303297</v>
      </c>
      <c r="AD271" s="39">
        <f t="shared" si="17"/>
        <v>126700.09572150781</v>
      </c>
      <c r="AE271" s="36">
        <f t="shared" si="18"/>
        <v>1.3776091237851098</v>
      </c>
      <c r="AF271" s="35">
        <f>IF(AND(AE271&lt;=Inputs!$D$35,C271&gt;=Inputs!$D$48*(A271+B271+C271),B271*Inputs!$D$22&lt;=Inputs!$D$50*Inputs!$D$8,B271*Inputs!$D$22&gt;=Inputs!$D$49*Inputs!$D$8,A271*Inputs!$D$20&lt;=Inputs!$D$47*Inputs!$D$8,C271&gt;=1),1,0)</f>
        <v>0</v>
      </c>
      <c r="AG271" s="39">
        <f t="shared" si="19"/>
        <v>-1</v>
      </c>
    </row>
    <row r="272" spans="1:33" x14ac:dyDescent="0.25">
      <c r="A272" s="35">
        <v>36</v>
      </c>
      <c r="B272" s="35">
        <v>13</v>
      </c>
      <c r="C272" s="35">
        <f>Inputs!$D$8-A272-Inputs!$D$22*B272</f>
        <v>58</v>
      </c>
      <c r="D272" s="35">
        <f>A272*Inputs!$D$20+C272*Inputs!$D$21+B272*Inputs!$D$22</f>
        <v>120</v>
      </c>
      <c r="E272" s="36">
        <f>MIN(Inputs!$E$15,Inputs!$D$15*(C272/Inputs!$D$43)^Inputs!$D$44)</f>
        <v>0.4</v>
      </c>
      <c r="F272" s="36">
        <f>MIN(Inputs!$E$16,Inputs!$D$16*(B272/Inputs!$D$42)^Inputs!$D$44)</f>
        <v>0.35150701637190523</v>
      </c>
      <c r="G272" s="37">
        <f>Inputs!$D$26*(1+Inputs!$D$41*(B272-Inputs!$D$42))</f>
        <v>1.395</v>
      </c>
      <c r="H272" s="35">
        <f>Inputs!$D$6*Inputs!$D$14*G272*Inputs!$D$29</f>
        <v>1752.7198500000002</v>
      </c>
      <c r="I272" s="36">
        <f>H272/(A272*Inputs!$D$32)</f>
        <v>0.88521204545454557</v>
      </c>
      <c r="J272" s="38">
        <f>IF(I272&gt;=1,999,I272/(Inputs!$D$32*(1-I272))*60)</f>
        <v>8.4127805185882725</v>
      </c>
      <c r="K272" s="37">
        <f>MIN(1,MAX(0,(J272-Inputs!$D$36)/(Inputs!$D$37-Inputs!$D$36)))</f>
        <v>0.22751870123921816</v>
      </c>
      <c r="L272" s="35">
        <f>Inputs!$D$6*Inputs!$D$14*G272*(1-Inputs!$D$38*K272)</f>
        <v>10488.46936827541</v>
      </c>
      <c r="M272" s="39">
        <f>L272*Inputs!$D$11</f>
        <v>225502.0914179213</v>
      </c>
      <c r="N272" s="39">
        <f>M272*(1-Inputs!$D$17)</f>
        <v>78925.731996272443</v>
      </c>
      <c r="O272" s="35">
        <f>Inputs!$D$6*E272*Inputs!$D$27*Inputs!$D$30</f>
        <v>570.66240000000005</v>
      </c>
      <c r="P272" s="36">
        <f>O272/(C272*Inputs!$D$33)</f>
        <v>0.24597517241379313</v>
      </c>
      <c r="Q272" s="38">
        <f>IF(P272&gt;=1,999,P272/(Inputs!$D$33*(1-P272))*60)</f>
        <v>0.48932441628191153</v>
      </c>
      <c r="R272" s="37">
        <f>MIN(1,MAX(0,(Q272-Inputs!$D$36)/(Inputs!$D$37-Inputs!$D$36)))</f>
        <v>0</v>
      </c>
      <c r="S272" s="35">
        <f>Inputs!$D$6*E272*Inputs!$D$27*(1-Inputs!$D$38*R272)</f>
        <v>4755.5200000000004</v>
      </c>
      <c r="T272" s="39">
        <f>S272*Inputs!$D$12</f>
        <v>76088.320000000007</v>
      </c>
      <c r="U272" s="39">
        <f>T272*(1-Inputs!$D$18)</f>
        <v>34239.743999999999</v>
      </c>
      <c r="V272" s="35">
        <f>Inputs!$D$6*F272*Inputs!$D$28*Inputs!$D$31</f>
        <v>592.65770193981814</v>
      </c>
      <c r="W272" s="36">
        <f>V272/(B272*Inputs!$D$34)</f>
        <v>1.3025443998677322</v>
      </c>
      <c r="X272" s="38">
        <f>IF(W272&gt;=1,999,W272/(Inputs!$D$34*(1-W272))*60)</f>
        <v>999</v>
      </c>
      <c r="Y272" s="37">
        <f>MIN(1,MAX(0,(X272-Inputs!$D$36)/(Inputs!$D$37-Inputs!$D$36)))</f>
        <v>1</v>
      </c>
      <c r="Z272" s="35">
        <f>Inputs!$D$6*F272*Inputs!$D$28*(1-Inputs!$D$38*Y272)</f>
        <v>2507.3979697453847</v>
      </c>
      <c r="AA272" s="39">
        <f>Z272*Inputs!$D$13</f>
        <v>21312.882742835769</v>
      </c>
      <c r="AB272" s="39">
        <f>AA272*(1-Inputs!$D$19)</f>
        <v>12787.729645701462</v>
      </c>
      <c r="AC272" s="39">
        <f t="shared" si="16"/>
        <v>322903.2941607571</v>
      </c>
      <c r="AD272" s="39">
        <f t="shared" si="17"/>
        <v>125953.20564197389</v>
      </c>
      <c r="AE272" s="36">
        <f t="shared" si="18"/>
        <v>1.3025443998677322</v>
      </c>
      <c r="AF272" s="35">
        <f>IF(AND(AE272&lt;=Inputs!$D$35,C272&gt;=Inputs!$D$48*(A272+B272+C272),B272*Inputs!$D$22&lt;=Inputs!$D$50*Inputs!$D$8,B272*Inputs!$D$22&gt;=Inputs!$D$49*Inputs!$D$8,A272*Inputs!$D$20&lt;=Inputs!$D$47*Inputs!$D$8,C272&gt;=1),1,0)</f>
        <v>0</v>
      </c>
      <c r="AG272" s="39">
        <f t="shared" si="19"/>
        <v>-1</v>
      </c>
    </row>
    <row r="273" spans="1:33" x14ac:dyDescent="0.25">
      <c r="A273" s="35">
        <v>36</v>
      </c>
      <c r="B273" s="35">
        <v>14</v>
      </c>
      <c r="C273" s="35">
        <f>Inputs!$D$8-A273-Inputs!$D$22*B273</f>
        <v>56</v>
      </c>
      <c r="D273" s="35">
        <f>A273*Inputs!$D$20+C273*Inputs!$D$21+B273*Inputs!$D$22</f>
        <v>120</v>
      </c>
      <c r="E273" s="36">
        <f>MIN(Inputs!$E$15,Inputs!$D$15*(C273/Inputs!$D$43)^Inputs!$D$44)</f>
        <v>0.4</v>
      </c>
      <c r="F273" s="36">
        <f>MIN(Inputs!$E$16,Inputs!$D$16*(B273/Inputs!$D$42)^Inputs!$D$44)</f>
        <v>0.35940937671625589</v>
      </c>
      <c r="G273" s="37">
        <f>Inputs!$D$26*(1+Inputs!$D$41*(B273-Inputs!$D$42))</f>
        <v>1.41</v>
      </c>
      <c r="H273" s="35">
        <f>Inputs!$D$6*Inputs!$D$14*G273*Inputs!$D$29</f>
        <v>1771.5663000000002</v>
      </c>
      <c r="I273" s="36">
        <f>H273/(A273*Inputs!$D$32)</f>
        <v>0.89473045454545463</v>
      </c>
      <c r="J273" s="38">
        <f>IF(I273&gt;=1,999,I273/(Inputs!$D$32*(1-I273))*60)</f>
        <v>9.2720984265892881</v>
      </c>
      <c r="K273" s="37">
        <f>MIN(1,MAX(0,(J273-Inputs!$D$36)/(Inputs!$D$37-Inputs!$D$36)))</f>
        <v>0.2848065617726192</v>
      </c>
      <c r="L273" s="35">
        <f>Inputs!$D$6*Inputs!$D$14*G273*(1-Inputs!$D$38*K273)</f>
        <v>10296.78087943428</v>
      </c>
      <c r="M273" s="39">
        <f>L273*Inputs!$D$11</f>
        <v>221380.78890783701</v>
      </c>
      <c r="N273" s="39">
        <f>M273*(1-Inputs!$D$17)</f>
        <v>77483.276117742949</v>
      </c>
      <c r="O273" s="35">
        <f>Inputs!$D$6*E273*Inputs!$D$27*Inputs!$D$30</f>
        <v>570.66240000000005</v>
      </c>
      <c r="P273" s="36">
        <f>O273/(C273*Inputs!$D$33)</f>
        <v>0.25476000000000004</v>
      </c>
      <c r="Q273" s="38">
        <f>IF(P273&gt;=1,999,P273/(Inputs!$D$33*(1-P273))*60)</f>
        <v>0.51277440824432408</v>
      </c>
      <c r="R273" s="37">
        <f>MIN(1,MAX(0,(Q273-Inputs!$D$36)/(Inputs!$D$37-Inputs!$D$36)))</f>
        <v>0</v>
      </c>
      <c r="S273" s="35">
        <f>Inputs!$D$6*E273*Inputs!$D$27*(1-Inputs!$D$38*R273)</f>
        <v>4755.5200000000004</v>
      </c>
      <c r="T273" s="39">
        <f>S273*Inputs!$D$12</f>
        <v>76088.320000000007</v>
      </c>
      <c r="U273" s="39">
        <f>T273*(1-Inputs!$D$18)</f>
        <v>34239.743999999999</v>
      </c>
      <c r="V273" s="35">
        <f>Inputs!$D$6*F273*Inputs!$D$28*Inputs!$D$31</f>
        <v>605.98146079368973</v>
      </c>
      <c r="W273" s="36">
        <f>V273/(B273*Inputs!$D$34)</f>
        <v>1.2366968587626321</v>
      </c>
      <c r="X273" s="38">
        <f>IF(W273&gt;=1,999,W273/(Inputs!$D$34*(1-W273))*60)</f>
        <v>999</v>
      </c>
      <c r="Y273" s="37">
        <f>MIN(1,MAX(0,(X273-Inputs!$D$36)/(Inputs!$D$37-Inputs!$D$36)))</f>
        <v>1</v>
      </c>
      <c r="Z273" s="35">
        <f>Inputs!$D$6*F273*Inputs!$D$28*(1-Inputs!$D$38*Y273)</f>
        <v>2563.7677187425338</v>
      </c>
      <c r="AA273" s="39">
        <f>Z273*Inputs!$D$13</f>
        <v>21792.025609311539</v>
      </c>
      <c r="AB273" s="39">
        <f>AA273*(1-Inputs!$D$19)</f>
        <v>13075.215365586922</v>
      </c>
      <c r="AC273" s="39">
        <f t="shared" si="16"/>
        <v>319261.13451714854</v>
      </c>
      <c r="AD273" s="39">
        <f t="shared" si="17"/>
        <v>124798.23548332986</v>
      </c>
      <c r="AE273" s="36">
        <f t="shared" si="18"/>
        <v>1.2366968587626321</v>
      </c>
      <c r="AF273" s="35">
        <f>IF(AND(AE273&lt;=Inputs!$D$35,C273&gt;=Inputs!$D$48*(A273+B273+C273),B273*Inputs!$D$22&lt;=Inputs!$D$50*Inputs!$D$8,B273*Inputs!$D$22&gt;=Inputs!$D$49*Inputs!$D$8,A273*Inputs!$D$20&lt;=Inputs!$D$47*Inputs!$D$8,C273&gt;=1),1,0)</f>
        <v>0</v>
      </c>
      <c r="AG273" s="39">
        <f t="shared" si="19"/>
        <v>-1</v>
      </c>
    </row>
    <row r="274" spans="1:33" x14ac:dyDescent="0.25">
      <c r="A274" s="35">
        <v>36</v>
      </c>
      <c r="B274" s="35">
        <v>15</v>
      </c>
      <c r="C274" s="35">
        <f>Inputs!$D$8-A274-Inputs!$D$22*B274</f>
        <v>54</v>
      </c>
      <c r="D274" s="35">
        <f>A274*Inputs!$D$20+C274*Inputs!$D$21+B274*Inputs!$D$22</f>
        <v>120</v>
      </c>
      <c r="E274" s="36">
        <f>MIN(Inputs!$E$15,Inputs!$D$15*(C274/Inputs!$D$43)^Inputs!$D$44)</f>
        <v>0.4</v>
      </c>
      <c r="F274" s="36">
        <f>MIN(Inputs!$E$16,Inputs!$D$16*(B274/Inputs!$D$42)^Inputs!$D$44)</f>
        <v>0.36692590185696072</v>
      </c>
      <c r="G274" s="37">
        <f>Inputs!$D$26*(1+Inputs!$D$41*(B274-Inputs!$D$42))</f>
        <v>1.4249999999999998</v>
      </c>
      <c r="H274" s="35">
        <f>Inputs!$D$6*Inputs!$D$14*G274*Inputs!$D$29</f>
        <v>1790.4127499999997</v>
      </c>
      <c r="I274" s="36">
        <f>H274/(A274*Inputs!$D$32)</f>
        <v>0.90424886363636348</v>
      </c>
      <c r="J274" s="38">
        <f>IF(I274&gt;=1,999,I274/(Inputs!$D$32*(1-I274))*60)</f>
        <v>10.302262127092101</v>
      </c>
      <c r="K274" s="37">
        <f>MIN(1,MAX(0,(J274-Inputs!$D$36)/(Inputs!$D$37-Inputs!$D$36)))</f>
        <v>0.35348414180614007</v>
      </c>
      <c r="L274" s="35">
        <f>Inputs!$D$6*Inputs!$D$14*G274*(1-Inputs!$D$38*K274)</f>
        <v>10037.437456762435</v>
      </c>
      <c r="M274" s="39">
        <f>L274*Inputs!$D$11</f>
        <v>215804.90532039234</v>
      </c>
      <c r="N274" s="39">
        <f>M274*(1-Inputs!$D$17)</f>
        <v>75531.716862137313</v>
      </c>
      <c r="O274" s="35">
        <f>Inputs!$D$6*E274*Inputs!$D$27*Inputs!$D$30</f>
        <v>570.66240000000005</v>
      </c>
      <c r="P274" s="36">
        <f>O274/(C274*Inputs!$D$33)</f>
        <v>0.26419555555555557</v>
      </c>
      <c r="Q274" s="38">
        <f>IF(P274&gt;=1,999,P274/(Inputs!$D$33*(1-P274))*60)</f>
        <v>0.53858513131508379</v>
      </c>
      <c r="R274" s="37">
        <f>MIN(1,MAX(0,(Q274-Inputs!$D$36)/(Inputs!$D$37-Inputs!$D$36)))</f>
        <v>0</v>
      </c>
      <c r="S274" s="35">
        <f>Inputs!$D$6*E274*Inputs!$D$27*(1-Inputs!$D$38*R274)</f>
        <v>4755.5200000000004</v>
      </c>
      <c r="T274" s="39">
        <f>S274*Inputs!$D$12</f>
        <v>76088.320000000007</v>
      </c>
      <c r="U274" s="39">
        <f>T274*(1-Inputs!$D$18)</f>
        <v>34239.743999999999</v>
      </c>
      <c r="V274" s="35">
        <f>Inputs!$D$6*F274*Inputs!$D$28*Inputs!$D$31</f>
        <v>618.65468297412497</v>
      </c>
      <c r="W274" s="36">
        <f>V274/(B274*Inputs!$D$34)</f>
        <v>1.1783898723316666</v>
      </c>
      <c r="X274" s="38">
        <f>IF(W274&gt;=1,999,W274/(Inputs!$D$34*(1-W274))*60)</f>
        <v>999</v>
      </c>
      <c r="Y274" s="37">
        <f>MIN(1,MAX(0,(X274-Inputs!$D$36)/(Inputs!$D$37-Inputs!$D$36)))</f>
        <v>1</v>
      </c>
      <c r="Z274" s="35">
        <f>Inputs!$D$6*F274*Inputs!$D$28*(1-Inputs!$D$38*Y274)</f>
        <v>2617.3851971982212</v>
      </c>
      <c r="AA274" s="39">
        <f>Z274*Inputs!$D$13</f>
        <v>22247.774176184881</v>
      </c>
      <c r="AB274" s="39">
        <f>AA274*(1-Inputs!$D$19)</f>
        <v>13348.664505710929</v>
      </c>
      <c r="AC274" s="39">
        <f t="shared" si="16"/>
        <v>314140.99949657725</v>
      </c>
      <c r="AD274" s="39">
        <f t="shared" si="17"/>
        <v>123120.12536784825</v>
      </c>
      <c r="AE274" s="36">
        <f t="shared" si="18"/>
        <v>1.1783898723316666</v>
      </c>
      <c r="AF274" s="35">
        <f>IF(AND(AE274&lt;=Inputs!$D$35,C274&gt;=Inputs!$D$48*(A274+B274+C274),B274*Inputs!$D$22&lt;=Inputs!$D$50*Inputs!$D$8,B274*Inputs!$D$22&gt;=Inputs!$D$49*Inputs!$D$8,A274*Inputs!$D$20&lt;=Inputs!$D$47*Inputs!$D$8,C274&gt;=1),1,0)</f>
        <v>0</v>
      </c>
      <c r="AG274" s="39">
        <f t="shared" si="19"/>
        <v>-1</v>
      </c>
    </row>
    <row r="275" spans="1:33" x14ac:dyDescent="0.25">
      <c r="A275" s="35">
        <v>36</v>
      </c>
      <c r="B275" s="35">
        <v>16</v>
      </c>
      <c r="C275" s="35">
        <f>Inputs!$D$8-A275-Inputs!$D$22*B275</f>
        <v>52</v>
      </c>
      <c r="D275" s="35">
        <f>A275*Inputs!$D$20+C275*Inputs!$D$21+B275*Inputs!$D$22</f>
        <v>120</v>
      </c>
      <c r="E275" s="36">
        <f>MIN(Inputs!$E$15,Inputs!$D$15*(C275/Inputs!$D$43)^Inputs!$D$44)</f>
        <v>0.4</v>
      </c>
      <c r="F275" s="36">
        <f>MIN(Inputs!$E$16,Inputs!$D$16*(B275/Inputs!$D$42)^Inputs!$D$44)</f>
        <v>0.37409937912904856</v>
      </c>
      <c r="G275" s="37">
        <f>Inputs!$D$26*(1+Inputs!$D$41*(B275-Inputs!$D$42))</f>
        <v>1.44</v>
      </c>
      <c r="H275" s="35">
        <f>Inputs!$D$6*Inputs!$D$14*G275*Inputs!$D$29</f>
        <v>1809.2592000000002</v>
      </c>
      <c r="I275" s="36">
        <f>H275/(A275*Inputs!$D$32)</f>
        <v>0.91376727272727287</v>
      </c>
      <c r="J275" s="38">
        <f>IF(I275&gt;=1,999,I275/(Inputs!$D$32*(1-I275))*60)</f>
        <v>11.559845737462357</v>
      </c>
      <c r="K275" s="37">
        <f>MIN(1,MAX(0,(J275-Inputs!$D$36)/(Inputs!$D$37-Inputs!$D$36)))</f>
        <v>0.43732304916415715</v>
      </c>
      <c r="L275" s="35">
        <f>Inputs!$D$6*Inputs!$D$14*G275*(1-Inputs!$D$38*K275)</f>
        <v>9688.0357497830901</v>
      </c>
      <c r="M275" s="39">
        <f>L275*Inputs!$D$11</f>
        <v>208292.76862033643</v>
      </c>
      <c r="N275" s="39">
        <f>M275*(1-Inputs!$D$17)</f>
        <v>72902.46901711775</v>
      </c>
      <c r="O275" s="35">
        <f>Inputs!$D$6*E275*Inputs!$D$27*Inputs!$D$30</f>
        <v>570.66240000000005</v>
      </c>
      <c r="P275" s="36">
        <f>O275/(C275*Inputs!$D$33)</f>
        <v>0.27435692307692311</v>
      </c>
      <c r="Q275" s="38">
        <f>IF(P275&gt;=1,999,P275/(Inputs!$D$33*(1-P275))*60)</f>
        <v>0.56713196570469071</v>
      </c>
      <c r="R275" s="37">
        <f>MIN(1,MAX(0,(Q275-Inputs!$D$36)/(Inputs!$D$37-Inputs!$D$36)))</f>
        <v>0</v>
      </c>
      <c r="S275" s="35">
        <f>Inputs!$D$6*E275*Inputs!$D$27*(1-Inputs!$D$38*R275)</f>
        <v>4755.5200000000004</v>
      </c>
      <c r="T275" s="39">
        <f>S275*Inputs!$D$12</f>
        <v>76088.320000000007</v>
      </c>
      <c r="U275" s="39">
        <f>T275*(1-Inputs!$D$18)</f>
        <v>34239.743999999999</v>
      </c>
      <c r="V275" s="35">
        <f>Inputs!$D$6*F275*Inputs!$D$28*Inputs!$D$31</f>
        <v>630.74950998177405</v>
      </c>
      <c r="W275" s="36">
        <f>V275/(B275*Inputs!$D$34)</f>
        <v>1.1263384106817393</v>
      </c>
      <c r="X275" s="38">
        <f>IF(W275&gt;=1,999,W275/(Inputs!$D$34*(1-W275))*60)</f>
        <v>999</v>
      </c>
      <c r="Y275" s="37">
        <f>MIN(1,MAX(0,(X275-Inputs!$D$36)/(Inputs!$D$37-Inputs!$D$36)))</f>
        <v>1</v>
      </c>
      <c r="Z275" s="35">
        <f>Inputs!$D$6*F275*Inputs!$D$28*(1-Inputs!$D$38*Y275)</f>
        <v>2668.5556191536598</v>
      </c>
      <c r="AA275" s="39">
        <f>Z275*Inputs!$D$13</f>
        <v>22682.722762806108</v>
      </c>
      <c r="AB275" s="39">
        <f>AA275*(1-Inputs!$D$19)</f>
        <v>13609.633657683664</v>
      </c>
      <c r="AC275" s="39">
        <f t="shared" si="16"/>
        <v>307063.81138314254</v>
      </c>
      <c r="AD275" s="39">
        <f t="shared" si="17"/>
        <v>120751.84667480142</v>
      </c>
      <c r="AE275" s="36">
        <f t="shared" si="18"/>
        <v>1.1263384106817393</v>
      </c>
      <c r="AF275" s="35">
        <f>IF(AND(AE275&lt;=Inputs!$D$35,C275&gt;=Inputs!$D$48*(A275+B275+C275),B275*Inputs!$D$22&lt;=Inputs!$D$50*Inputs!$D$8,B275*Inputs!$D$22&gt;=Inputs!$D$49*Inputs!$D$8,A275*Inputs!$D$20&lt;=Inputs!$D$47*Inputs!$D$8,C275&gt;=1),1,0)</f>
        <v>0</v>
      </c>
      <c r="AG275" s="39">
        <f t="shared" si="19"/>
        <v>-1</v>
      </c>
    </row>
    <row r="276" spans="1:33" x14ac:dyDescent="0.25">
      <c r="A276" s="35">
        <v>36</v>
      </c>
      <c r="B276" s="35">
        <v>17</v>
      </c>
      <c r="C276" s="35">
        <f>Inputs!$D$8-A276-Inputs!$D$22*B276</f>
        <v>50</v>
      </c>
      <c r="D276" s="35">
        <f>A276*Inputs!$D$20+C276*Inputs!$D$21+B276*Inputs!$D$22</f>
        <v>120</v>
      </c>
      <c r="E276" s="36">
        <f>MIN(Inputs!$E$15,Inputs!$D$15*(C276/Inputs!$D$43)^Inputs!$D$44)</f>
        <v>0.4</v>
      </c>
      <c r="F276" s="36">
        <f>MIN(Inputs!$E$16,Inputs!$D$16*(B276/Inputs!$D$42)^Inputs!$D$44)</f>
        <v>0.3809655184437048</v>
      </c>
      <c r="G276" s="37">
        <f>Inputs!$D$26*(1+Inputs!$D$41*(B276-Inputs!$D$42))</f>
        <v>1.4550000000000001</v>
      </c>
      <c r="H276" s="35">
        <f>Inputs!$D$6*Inputs!$D$14*G276*Inputs!$D$29</f>
        <v>1828.1056500000002</v>
      </c>
      <c r="I276" s="36">
        <f>H276/(A276*Inputs!$D$32)</f>
        <v>0.92328568181818194</v>
      </c>
      <c r="J276" s="38">
        <f>IF(I276&gt;=1,999,I276/(Inputs!$D$32*(1-I276))*60)</f>
        <v>13.129501345687157</v>
      </c>
      <c r="K276" s="37">
        <f>MIN(1,MAX(0,(J276-Inputs!$D$36)/(Inputs!$D$37-Inputs!$D$36)))</f>
        <v>0.54196675637914382</v>
      </c>
      <c r="L276" s="35">
        <f>Inputs!$D$6*Inputs!$D$14*G276*(1-Inputs!$D$38*K276)</f>
        <v>9215.0535316533405</v>
      </c>
      <c r="M276" s="39">
        <f>L276*Inputs!$D$11</f>
        <v>198123.65093054684</v>
      </c>
      <c r="N276" s="39">
        <f>M276*(1-Inputs!$D$17)</f>
        <v>69343.277825691388</v>
      </c>
      <c r="O276" s="35">
        <f>Inputs!$D$6*E276*Inputs!$D$27*Inputs!$D$30</f>
        <v>570.66240000000005</v>
      </c>
      <c r="P276" s="36">
        <f>O276/(C276*Inputs!$D$33)</f>
        <v>0.28533120000000001</v>
      </c>
      <c r="Q276" s="38">
        <f>IF(P276&gt;=1,999,P276/(Inputs!$D$33*(1-P276))*60)</f>
        <v>0.59887433171841276</v>
      </c>
      <c r="R276" s="37">
        <f>MIN(1,MAX(0,(Q276-Inputs!$D$36)/(Inputs!$D$37-Inputs!$D$36)))</f>
        <v>0</v>
      </c>
      <c r="S276" s="35">
        <f>Inputs!$D$6*E276*Inputs!$D$27*(1-Inputs!$D$38*R276)</f>
        <v>4755.5200000000004</v>
      </c>
      <c r="T276" s="39">
        <f>S276*Inputs!$D$12</f>
        <v>76088.320000000007</v>
      </c>
      <c r="U276" s="39">
        <f>T276*(1-Inputs!$D$18)</f>
        <v>34239.743999999999</v>
      </c>
      <c r="V276" s="35">
        <f>Inputs!$D$6*F276*Inputs!$D$28*Inputs!$D$31</f>
        <v>642.32615044097156</v>
      </c>
      <c r="W276" s="36">
        <f>V276/(B276*Inputs!$D$34)</f>
        <v>1.0795397486402882</v>
      </c>
      <c r="X276" s="38">
        <f>IF(W276&gt;=1,999,W276/(Inputs!$D$34*(1-W276))*60)</f>
        <v>999</v>
      </c>
      <c r="Y276" s="37">
        <f>MIN(1,MAX(0,(X276-Inputs!$D$36)/(Inputs!$D$37-Inputs!$D$36)))</f>
        <v>1</v>
      </c>
      <c r="Z276" s="35">
        <f>Inputs!$D$6*F276*Inputs!$D$28*(1-Inputs!$D$38*Y276)</f>
        <v>2717.5337134041106</v>
      </c>
      <c r="AA276" s="39">
        <f>Z276*Inputs!$D$13</f>
        <v>23099.03656393494</v>
      </c>
      <c r="AB276" s="39">
        <f>AA276*(1-Inputs!$D$19)</f>
        <v>13859.421938360963</v>
      </c>
      <c r="AC276" s="39">
        <f t="shared" si="16"/>
        <v>297311.0074944818</v>
      </c>
      <c r="AD276" s="39">
        <f t="shared" si="17"/>
        <v>117442.44376405235</v>
      </c>
      <c r="AE276" s="36">
        <f t="shared" si="18"/>
        <v>1.0795397486402882</v>
      </c>
      <c r="AF276" s="35">
        <f>IF(AND(AE276&lt;=Inputs!$D$35,C276&gt;=Inputs!$D$48*(A276+B276+C276),B276*Inputs!$D$22&lt;=Inputs!$D$50*Inputs!$D$8,B276*Inputs!$D$22&gt;=Inputs!$D$49*Inputs!$D$8,A276*Inputs!$D$20&lt;=Inputs!$D$47*Inputs!$D$8,C276&gt;=1),1,0)</f>
        <v>0</v>
      </c>
      <c r="AG276" s="39">
        <f t="shared" si="19"/>
        <v>-1</v>
      </c>
    </row>
    <row r="277" spans="1:33" x14ac:dyDescent="0.25">
      <c r="A277" s="35">
        <v>36</v>
      </c>
      <c r="B277" s="35">
        <v>18</v>
      </c>
      <c r="C277" s="35">
        <f>Inputs!$D$8-A277-Inputs!$D$22*B277</f>
        <v>48</v>
      </c>
      <c r="D277" s="35">
        <f>A277*Inputs!$D$20+C277*Inputs!$D$21+B277*Inputs!$D$22</f>
        <v>120</v>
      </c>
      <c r="E277" s="36">
        <f>MIN(Inputs!$E$15,Inputs!$D$15*(C277/Inputs!$D$43)^Inputs!$D$44)</f>
        <v>0.39525168457966786</v>
      </c>
      <c r="F277" s="36">
        <f>MIN(Inputs!$E$16,Inputs!$D$16*(B277/Inputs!$D$42)^Inputs!$D$44)</f>
        <v>0.38755446447890535</v>
      </c>
      <c r="G277" s="37">
        <f>Inputs!$D$26*(1+Inputs!$D$41*(B277-Inputs!$D$42))</f>
        <v>1.47</v>
      </c>
      <c r="H277" s="35">
        <f>Inputs!$D$6*Inputs!$D$14*G277*Inputs!$D$29</f>
        <v>1846.9521</v>
      </c>
      <c r="I277" s="36">
        <f>H277/(A277*Inputs!$D$32)</f>
        <v>0.93280409090909089</v>
      </c>
      <c r="J277" s="38">
        <f>IF(I277&gt;=1,999,I277/(Inputs!$D$32*(1-I277))*60)</f>
        <v>15.143845459895537</v>
      </c>
      <c r="K277" s="37">
        <f>MIN(1,MAX(0,(J277-Inputs!$D$36)/(Inputs!$D$37-Inputs!$D$36)))</f>
        <v>0.67625636399303579</v>
      </c>
      <c r="L277" s="35">
        <f>Inputs!$D$6*Inputs!$D$14*G277*(1-Inputs!$D$38*K277)</f>
        <v>8565.9746651540954</v>
      </c>
      <c r="M277" s="39">
        <f>L277*Inputs!$D$11</f>
        <v>184168.45530081305</v>
      </c>
      <c r="N277" s="39">
        <f>M277*(1-Inputs!$D$17)</f>
        <v>64458.959355284562</v>
      </c>
      <c r="O277" s="35">
        <f>Inputs!$D$6*E277*Inputs!$D$27*Inputs!$D$30</f>
        <v>563.88818731569074</v>
      </c>
      <c r="P277" s="36">
        <f>O277/(C277*Inputs!$D$33)</f>
        <v>0.29369176422692228</v>
      </c>
      <c r="Q277" s="38">
        <f>IF(P277&gt;=1,999,P277/(Inputs!$D$33*(1-P277))*60)</f>
        <v>0.62371868828373556</v>
      </c>
      <c r="R277" s="37">
        <f>MIN(1,MAX(0,(Q277-Inputs!$D$36)/(Inputs!$D$37-Inputs!$D$36)))</f>
        <v>0</v>
      </c>
      <c r="S277" s="35">
        <f>Inputs!$D$6*E277*Inputs!$D$27*(1-Inputs!$D$38*R277)</f>
        <v>4699.0682276307562</v>
      </c>
      <c r="T277" s="39">
        <f>S277*Inputs!$D$12</f>
        <v>75185.091642092098</v>
      </c>
      <c r="U277" s="39">
        <f>T277*(1-Inputs!$D$18)</f>
        <v>33833.291238941441</v>
      </c>
      <c r="V277" s="35">
        <f>Inputs!$D$6*F277*Inputs!$D$28*Inputs!$D$31</f>
        <v>653.43542972572936</v>
      </c>
      <c r="W277" s="36">
        <f>V277/(B277*Inputs!$D$34)</f>
        <v>1.037199094802745</v>
      </c>
      <c r="X277" s="38">
        <f>IF(W277&gt;=1,999,W277/(Inputs!$D$34*(1-W277))*60)</f>
        <v>999</v>
      </c>
      <c r="Y277" s="37">
        <f>MIN(1,MAX(0,(X277-Inputs!$D$36)/(Inputs!$D$37-Inputs!$D$36)))</f>
        <v>1</v>
      </c>
      <c r="Z277" s="35">
        <f>Inputs!$D$6*F277*Inputs!$D$28*(1-Inputs!$D$38*Y277)</f>
        <v>2764.534510378086</v>
      </c>
      <c r="AA277" s="39">
        <f>Z277*Inputs!$D$13</f>
        <v>23498.543338213731</v>
      </c>
      <c r="AB277" s="39">
        <f>AA277*(1-Inputs!$D$19)</f>
        <v>14099.126002928238</v>
      </c>
      <c r="AC277" s="39">
        <f t="shared" si="16"/>
        <v>282852.09028111887</v>
      </c>
      <c r="AD277" s="39">
        <f t="shared" si="17"/>
        <v>112391.37659715425</v>
      </c>
      <c r="AE277" s="36">
        <f t="shared" si="18"/>
        <v>1.037199094802745</v>
      </c>
      <c r="AF277" s="35">
        <f>IF(AND(AE277&lt;=Inputs!$D$35,C277&gt;=Inputs!$D$48*(A277+B277+C277),B277*Inputs!$D$22&lt;=Inputs!$D$50*Inputs!$D$8,B277*Inputs!$D$22&gt;=Inputs!$D$49*Inputs!$D$8,A277*Inputs!$D$20&lt;=Inputs!$D$47*Inputs!$D$8,C277&gt;=1),1,0)</f>
        <v>0</v>
      </c>
      <c r="AG277" s="39">
        <f t="shared" si="19"/>
        <v>-1</v>
      </c>
    </row>
    <row r="278" spans="1:33" x14ac:dyDescent="0.25">
      <c r="A278" s="35">
        <v>36</v>
      </c>
      <c r="B278" s="35">
        <v>19</v>
      </c>
      <c r="C278" s="35">
        <f>Inputs!$D$8-A278-Inputs!$D$22*B278</f>
        <v>46</v>
      </c>
      <c r="D278" s="35">
        <f>A278*Inputs!$D$20+C278*Inputs!$D$21+B278*Inputs!$D$22</f>
        <v>120</v>
      </c>
      <c r="E278" s="36">
        <f>MIN(Inputs!$E$15,Inputs!$D$15*(C278/Inputs!$D$43)^Inputs!$D$44)</f>
        <v>0.39023723685630041</v>
      </c>
      <c r="F278" s="36">
        <f>MIN(Inputs!$E$16,Inputs!$D$16*(B278/Inputs!$D$42)^Inputs!$D$44)</f>
        <v>0.39389192072703005</v>
      </c>
      <c r="G278" s="37">
        <f>Inputs!$D$26*(1+Inputs!$D$41*(B278-Inputs!$D$42))</f>
        <v>1.4849999999999999</v>
      </c>
      <c r="H278" s="35">
        <f>Inputs!$D$6*Inputs!$D$14*G278*Inputs!$D$29</f>
        <v>1865.7985499999998</v>
      </c>
      <c r="I278" s="36">
        <f>H278/(A278*Inputs!$D$32)</f>
        <v>0.94232249999999984</v>
      </c>
      <c r="J278" s="38">
        <f>IF(I278&gt;=1,999,I278/(Inputs!$D$32*(1-I278))*60)</f>
        <v>17.823036397523797</v>
      </c>
      <c r="K278" s="37">
        <f>MIN(1,MAX(0,(J278-Inputs!$D$36)/(Inputs!$D$37-Inputs!$D$36)))</f>
        <v>0.8548690931682531</v>
      </c>
      <c r="L278" s="35">
        <f>Inputs!$D$6*Inputs!$D$14*G278*(1-Inputs!$D$38*K278)</f>
        <v>7653.6164565805757</v>
      </c>
      <c r="M278" s="39">
        <f>L278*Inputs!$D$11</f>
        <v>164552.75381648238</v>
      </c>
      <c r="N278" s="39">
        <f>M278*(1-Inputs!$D$17)</f>
        <v>57593.463835768831</v>
      </c>
      <c r="O278" s="35">
        <f>Inputs!$D$6*E278*Inputs!$D$27*Inputs!$D$30</f>
        <v>556.73429538446214</v>
      </c>
      <c r="P278" s="36">
        <f>O278/(C278*Inputs!$D$33)</f>
        <v>0.30257298662199028</v>
      </c>
      <c r="Q278" s="38">
        <f>IF(P278&gt;=1,999,P278/(Inputs!$D$33*(1-P278))*60)</f>
        <v>0.65076269090109196</v>
      </c>
      <c r="R278" s="37">
        <f>MIN(1,MAX(0,(Q278-Inputs!$D$36)/(Inputs!$D$37-Inputs!$D$36)))</f>
        <v>0</v>
      </c>
      <c r="S278" s="35">
        <f>Inputs!$D$6*E278*Inputs!$D$27*(1-Inputs!$D$38*R278)</f>
        <v>4639.4524615371847</v>
      </c>
      <c r="T278" s="39">
        <f>S278*Inputs!$D$12</f>
        <v>74231.239384594955</v>
      </c>
      <c r="U278" s="39">
        <f>T278*(1-Inputs!$D$18)</f>
        <v>33404.05772306773</v>
      </c>
      <c r="V278" s="35">
        <f>Inputs!$D$6*F278*Inputs!$D$28*Inputs!$D$31</f>
        <v>664.12068515796761</v>
      </c>
      <c r="W278" s="36">
        <f>V278/(B278*Inputs!$D$34)</f>
        <v>0.99867772204205651</v>
      </c>
      <c r="X278" s="38">
        <f>IF(W278&gt;=1,999,W278/(Inputs!$D$34*(1-W278))*60)</f>
        <v>1294.749671797274</v>
      </c>
      <c r="Y278" s="37">
        <f>MIN(1,MAX(0,(X278-Inputs!$D$36)/(Inputs!$D$37-Inputs!$D$36)))</f>
        <v>1</v>
      </c>
      <c r="Z278" s="35">
        <f>Inputs!$D$6*F278*Inputs!$D$28*(1-Inputs!$D$38*Y278)</f>
        <v>2809.7413602837091</v>
      </c>
      <c r="AA278" s="39">
        <f>Z278*Inputs!$D$13</f>
        <v>23882.801562411529</v>
      </c>
      <c r="AB278" s="39">
        <f>AA278*(1-Inputs!$D$19)</f>
        <v>14329.680937446918</v>
      </c>
      <c r="AC278" s="39">
        <f t="shared" si="16"/>
        <v>262666.79476348887</v>
      </c>
      <c r="AD278" s="39">
        <f t="shared" si="17"/>
        <v>105327.20249628348</v>
      </c>
      <c r="AE278" s="36">
        <f t="shared" si="18"/>
        <v>0.99867772204205651</v>
      </c>
      <c r="AF278" s="35">
        <f>IF(AND(AE278&lt;=Inputs!$D$35,C278&gt;=Inputs!$D$48*(A278+B278+C278),B278*Inputs!$D$22&lt;=Inputs!$D$50*Inputs!$D$8,B278*Inputs!$D$22&gt;=Inputs!$D$49*Inputs!$D$8,A278*Inputs!$D$20&lt;=Inputs!$D$47*Inputs!$D$8,C278&gt;=1),1,0)</f>
        <v>0</v>
      </c>
      <c r="AG278" s="39">
        <f t="shared" si="19"/>
        <v>-1</v>
      </c>
    </row>
    <row r="279" spans="1:33" x14ac:dyDescent="0.25">
      <c r="A279" s="35">
        <v>36</v>
      </c>
      <c r="B279" s="35">
        <v>20</v>
      </c>
      <c r="C279" s="35">
        <f>Inputs!$D$8-A279-Inputs!$D$22*B279</f>
        <v>44</v>
      </c>
      <c r="D279" s="35">
        <f>A279*Inputs!$D$20+C279*Inputs!$D$21+B279*Inputs!$D$22</f>
        <v>120</v>
      </c>
      <c r="E279" s="36">
        <f>MIN(Inputs!$E$15,Inputs!$D$15*(C279/Inputs!$D$43)^Inputs!$D$44)</f>
        <v>0.38506776240403751</v>
      </c>
      <c r="F279" s="36">
        <f>MIN(Inputs!$E$16,Inputs!$D$16*(B279/Inputs!$D$42)^Inputs!$D$44)</f>
        <v>0.4</v>
      </c>
      <c r="G279" s="37">
        <f>Inputs!$D$26*(1+Inputs!$D$41*(B279-Inputs!$D$42))</f>
        <v>1.5</v>
      </c>
      <c r="H279" s="35">
        <f>Inputs!$D$6*Inputs!$D$14*G279*Inputs!$D$29</f>
        <v>1884.645</v>
      </c>
      <c r="I279" s="36">
        <f>H279/(A279*Inputs!$D$32)</f>
        <v>0.95184090909090913</v>
      </c>
      <c r="J279" s="38">
        <f>IF(I279&gt;=1,999,I279/(Inputs!$D$32*(1-I279))*60)</f>
        <v>21.561285340426465</v>
      </c>
      <c r="K279" s="37">
        <f>MIN(1,MAX(0,(J279-Inputs!$D$36)/(Inputs!$D$37-Inputs!$D$36)))</f>
        <v>1</v>
      </c>
      <c r="L279" s="35">
        <f>Inputs!$D$6*Inputs!$D$14*G279*(1-Inputs!$D$38*K279)</f>
        <v>6910.3650000000016</v>
      </c>
      <c r="M279" s="39">
        <f>L279*Inputs!$D$11</f>
        <v>148572.84750000003</v>
      </c>
      <c r="N279" s="39">
        <f>M279*(1-Inputs!$D$17)</f>
        <v>52000.496625000007</v>
      </c>
      <c r="O279" s="35">
        <f>Inputs!$D$6*E279*Inputs!$D$27*Inputs!$D$30</f>
        <v>549.35923364029463</v>
      </c>
      <c r="P279" s="36">
        <f>O279/(C279*Inputs!$D$33)</f>
        <v>0.31213592820471286</v>
      </c>
      <c r="Q279" s="38">
        <f>IF(P279&gt;=1,999,P279/(Inputs!$D$33*(1-P279))*60)</f>
        <v>0.6806633919476025</v>
      </c>
      <c r="R279" s="37">
        <f>MIN(1,MAX(0,(Q279-Inputs!$D$36)/(Inputs!$D$37-Inputs!$D$36)))</f>
        <v>0</v>
      </c>
      <c r="S279" s="35">
        <f>Inputs!$D$6*E279*Inputs!$D$27*(1-Inputs!$D$38*R279)</f>
        <v>4577.9936136691222</v>
      </c>
      <c r="T279" s="39">
        <f>S279*Inputs!$D$12</f>
        <v>73247.897818705955</v>
      </c>
      <c r="U279" s="39">
        <f>T279*(1-Inputs!$D$18)</f>
        <v>32961.554018417679</v>
      </c>
      <c r="V279" s="35">
        <f>Inputs!$D$6*F279*Inputs!$D$28*Inputs!$D$31</f>
        <v>674.41919999999993</v>
      </c>
      <c r="W279" s="36">
        <f>V279/(B279*Inputs!$D$34)</f>
        <v>0.96345599999999987</v>
      </c>
      <c r="X279" s="38">
        <f>IF(W279&gt;=1,999,W279/(Inputs!$D$34*(1-W279))*60)</f>
        <v>45.195896922691851</v>
      </c>
      <c r="Y279" s="37">
        <f>MIN(1,MAX(0,(X279-Inputs!$D$36)/(Inputs!$D$37-Inputs!$D$36)))</f>
        <v>1</v>
      </c>
      <c r="Z279" s="35">
        <f>Inputs!$D$6*F279*Inputs!$D$28*(1-Inputs!$D$38*Y279)</f>
        <v>2853.3119999999999</v>
      </c>
      <c r="AA279" s="39">
        <f>Z279*Inputs!$D$13</f>
        <v>24253.151999999998</v>
      </c>
      <c r="AB279" s="39">
        <f>AA279*(1-Inputs!$D$19)</f>
        <v>14551.891199999998</v>
      </c>
      <c r="AC279" s="39">
        <f t="shared" si="16"/>
        <v>246073.89731870597</v>
      </c>
      <c r="AD279" s="39">
        <f t="shared" si="17"/>
        <v>99513.941843417691</v>
      </c>
      <c r="AE279" s="36">
        <f t="shared" si="18"/>
        <v>0.96345599999999987</v>
      </c>
      <c r="AF279" s="35">
        <f>IF(AND(AE279&lt;=Inputs!$D$35,C279&gt;=Inputs!$D$48*(A279+B279+C279),B279*Inputs!$D$22&lt;=Inputs!$D$50*Inputs!$D$8,B279*Inputs!$D$22&gt;=Inputs!$D$49*Inputs!$D$8,A279*Inputs!$D$20&lt;=Inputs!$D$47*Inputs!$D$8,C279&gt;=1),1,0)</f>
        <v>0</v>
      </c>
      <c r="AG279" s="39">
        <f t="shared" si="19"/>
        <v>-1</v>
      </c>
    </row>
    <row r="280" spans="1:33" x14ac:dyDescent="0.25">
      <c r="A280" s="35">
        <v>36</v>
      </c>
      <c r="B280" s="35">
        <v>21</v>
      </c>
      <c r="C280" s="35">
        <f>Inputs!$D$8-A280-Inputs!$D$22*B280</f>
        <v>42</v>
      </c>
      <c r="D280" s="35">
        <f>A280*Inputs!$D$20+C280*Inputs!$D$21+B280*Inputs!$D$22</f>
        <v>120</v>
      </c>
      <c r="E280" s="36">
        <f>MIN(Inputs!$E$15,Inputs!$D$15*(C280/Inputs!$D$43)^Inputs!$D$44)</f>
        <v>0.37973108090036384</v>
      </c>
      <c r="F280" s="36">
        <f>MIN(Inputs!$E$16,Inputs!$D$16*(B280/Inputs!$D$42)^Inputs!$D$44)</f>
        <v>0.40589787816896217</v>
      </c>
      <c r="G280" s="37">
        <f>Inputs!$D$26*(1+Inputs!$D$41*(B280-Inputs!$D$42))</f>
        <v>1.5150000000000001</v>
      </c>
      <c r="H280" s="35">
        <f>Inputs!$D$6*Inputs!$D$14*G280*Inputs!$D$29</f>
        <v>1903.4914500000004</v>
      </c>
      <c r="I280" s="36">
        <f>H280/(A280*Inputs!$D$32)</f>
        <v>0.96135931818181841</v>
      </c>
      <c r="J280" s="38">
        <f>IF(I280&gt;=1,999,I280/(Inputs!$D$32*(1-I280))*60)</f>
        <v>27.141229670053086</v>
      </c>
      <c r="K280" s="37">
        <f>MIN(1,MAX(0,(J280-Inputs!$D$36)/(Inputs!$D$37-Inputs!$D$36)))</f>
        <v>1</v>
      </c>
      <c r="L280" s="35">
        <f>Inputs!$D$6*Inputs!$D$14*G280*(1-Inputs!$D$38*K280)</f>
        <v>6979.4686500000025</v>
      </c>
      <c r="M280" s="39">
        <f>L280*Inputs!$D$11</f>
        <v>150058.57597500004</v>
      </c>
      <c r="N280" s="39">
        <f>M280*(1-Inputs!$D$17)</f>
        <v>52520.501591250009</v>
      </c>
      <c r="O280" s="35">
        <f>Inputs!$D$6*E280*Inputs!$D$27*Inputs!$D$30</f>
        <v>541.74562495298949</v>
      </c>
      <c r="P280" s="36">
        <f>O280/(C280*Inputs!$D$33)</f>
        <v>0.32246763390058897</v>
      </c>
      <c r="Q280" s="38">
        <f>IF(P280&gt;=1,999,P280/(Inputs!$D$33*(1-P280))*60)</f>
        <v>0.71391637514762252</v>
      </c>
      <c r="R280" s="37">
        <f>MIN(1,MAX(0,(Q280-Inputs!$D$36)/(Inputs!$D$37-Inputs!$D$36)))</f>
        <v>0</v>
      </c>
      <c r="S280" s="35">
        <f>Inputs!$D$6*E280*Inputs!$D$27*(1-Inputs!$D$38*R280)</f>
        <v>4514.5468746082461</v>
      </c>
      <c r="T280" s="39">
        <f>S280*Inputs!$D$12</f>
        <v>72232.749993731937</v>
      </c>
      <c r="U280" s="39">
        <f>T280*(1-Inputs!$D$18)</f>
        <v>32504.737497179369</v>
      </c>
      <c r="V280" s="35">
        <f>Inputs!$D$6*F280*Inputs!$D$28*Inputs!$D$31</f>
        <v>684.36330569102222</v>
      </c>
      <c r="W280" s="36">
        <f>V280/(B280*Inputs!$D$34)</f>
        <v>0.93110653835513224</v>
      </c>
      <c r="X280" s="38">
        <f>IF(W280&gt;=1,999,W280/(Inputs!$D$34*(1-W280))*60)</f>
        <v>23.16885520150278</v>
      </c>
      <c r="Y280" s="37">
        <f>MIN(1,MAX(0,(X280-Inputs!$D$36)/(Inputs!$D$37-Inputs!$D$36)))</f>
        <v>1</v>
      </c>
      <c r="Z280" s="35">
        <f>Inputs!$D$6*F280*Inputs!$D$28*(1-Inputs!$D$38*Y280)</f>
        <v>2895.3832163850943</v>
      </c>
      <c r="AA280" s="39">
        <f>Z280*Inputs!$D$13</f>
        <v>24610.757339273303</v>
      </c>
      <c r="AB280" s="39">
        <f>AA280*(1-Inputs!$D$19)</f>
        <v>14766.454403563981</v>
      </c>
      <c r="AC280" s="39">
        <f t="shared" si="16"/>
        <v>246902.0833080053</v>
      </c>
      <c r="AD280" s="39">
        <f t="shared" si="17"/>
        <v>99791.693491993356</v>
      </c>
      <c r="AE280" s="36">
        <f t="shared" si="18"/>
        <v>0.96135931818181841</v>
      </c>
      <c r="AF280" s="35">
        <f>IF(AND(AE280&lt;=Inputs!$D$35,C280&gt;=Inputs!$D$48*(A280+B280+C280),B280*Inputs!$D$22&lt;=Inputs!$D$50*Inputs!$D$8,B280*Inputs!$D$22&gt;=Inputs!$D$49*Inputs!$D$8,A280*Inputs!$D$20&lt;=Inputs!$D$47*Inputs!$D$8,C280&gt;=1),1,0)</f>
        <v>0</v>
      </c>
      <c r="AG280" s="39">
        <f t="shared" si="19"/>
        <v>-1</v>
      </c>
    </row>
    <row r="281" spans="1:33" x14ac:dyDescent="0.25">
      <c r="A281" s="35">
        <v>36</v>
      </c>
      <c r="B281" s="35">
        <v>22</v>
      </c>
      <c r="C281" s="35">
        <f>Inputs!$D$8-A281-Inputs!$D$22*B281</f>
        <v>40</v>
      </c>
      <c r="D281" s="35">
        <f>A281*Inputs!$D$20+C281*Inputs!$D$21+B281*Inputs!$D$22</f>
        <v>120</v>
      </c>
      <c r="E281" s="36">
        <f>MIN(Inputs!$E$15,Inputs!$D$15*(C281/Inputs!$D$43)^Inputs!$D$44)</f>
        <v>0.37421341802855551</v>
      </c>
      <c r="F281" s="36">
        <f>MIN(Inputs!$E$16,Inputs!$D$16*(B281/Inputs!$D$42)^Inputs!$D$44)</f>
        <v>0.41160230376843804</v>
      </c>
      <c r="G281" s="37">
        <f>Inputs!$D$26*(1+Inputs!$D$41*(B281-Inputs!$D$42))</f>
        <v>1.53</v>
      </c>
      <c r="H281" s="35">
        <f>Inputs!$D$6*Inputs!$D$14*G281*Inputs!$D$29</f>
        <v>1922.3379</v>
      </c>
      <c r="I281" s="36">
        <f>H281/(A281*Inputs!$D$32)</f>
        <v>0.97087772727272725</v>
      </c>
      <c r="J281" s="38">
        <f>IF(I281&gt;=1,999,I281/(Inputs!$D$32*(1-I281))*60)</f>
        <v>36.368704762904748</v>
      </c>
      <c r="K281" s="37">
        <f>MIN(1,MAX(0,(J281-Inputs!$D$36)/(Inputs!$D$37-Inputs!$D$36)))</f>
        <v>1</v>
      </c>
      <c r="L281" s="35">
        <f>Inputs!$D$6*Inputs!$D$14*G281*(1-Inputs!$D$38*K281)</f>
        <v>7048.5723000000016</v>
      </c>
      <c r="M281" s="39">
        <f>L281*Inputs!$D$11</f>
        <v>151544.30445000003</v>
      </c>
      <c r="N281" s="39">
        <f>M281*(1-Inputs!$D$17)</f>
        <v>53040.506557500004</v>
      </c>
      <c r="O281" s="35">
        <f>Inputs!$D$6*E281*Inputs!$D$27*Inputs!$D$30</f>
        <v>533.8738181109469</v>
      </c>
      <c r="P281" s="36">
        <f>O281/(C281*Inputs!$D$33)</f>
        <v>0.33367113631934181</v>
      </c>
      <c r="Q281" s="38">
        <f>IF(P281&gt;=1,999,P281/(Inputs!$D$33*(1-P281))*60)</f>
        <v>0.75114066305685867</v>
      </c>
      <c r="R281" s="37">
        <f>MIN(1,MAX(0,(Q281-Inputs!$D$36)/(Inputs!$D$37-Inputs!$D$36)))</f>
        <v>0</v>
      </c>
      <c r="S281" s="35">
        <f>Inputs!$D$6*E281*Inputs!$D$27*(1-Inputs!$D$38*R281)</f>
        <v>4448.9484842578913</v>
      </c>
      <c r="T281" s="39">
        <f>S281*Inputs!$D$12</f>
        <v>71183.175748126261</v>
      </c>
      <c r="U281" s="39">
        <f>T281*(1-Inputs!$D$18)</f>
        <v>32032.429086656815</v>
      </c>
      <c r="V281" s="35">
        <f>Inputs!$D$6*F281*Inputs!$D$28*Inputs!$D$31</f>
        <v>693.98124106416742</v>
      </c>
      <c r="W281" s="36">
        <f>V281/(B281*Inputs!$D$34)</f>
        <v>0.90127433904437326</v>
      </c>
      <c r="X281" s="38">
        <f>IF(W281&gt;=1,999,W281/(Inputs!$D$34*(1-W281))*60)</f>
        <v>15.649849381818807</v>
      </c>
      <c r="Y281" s="37">
        <f>MIN(1,MAX(0,(X281-Inputs!$D$36)/(Inputs!$D$37-Inputs!$D$36)))</f>
        <v>0.70998995878792048</v>
      </c>
      <c r="Z281" s="35">
        <f>Inputs!$D$6*F281*Inputs!$D$28*(1-Inputs!$D$38*Y281)</f>
        <v>3632.749002537963</v>
      </c>
      <c r="AA281" s="39">
        <f>Z281*Inputs!$D$13</f>
        <v>30878.366521572687</v>
      </c>
      <c r="AB281" s="39">
        <f>AA281*(1-Inputs!$D$19)</f>
        <v>18527.019912943611</v>
      </c>
      <c r="AC281" s="39">
        <f t="shared" si="16"/>
        <v>253605.84671969898</v>
      </c>
      <c r="AD281" s="39">
        <f t="shared" si="17"/>
        <v>103599.95555710043</v>
      </c>
      <c r="AE281" s="36">
        <f t="shared" si="18"/>
        <v>0.97087772727272725</v>
      </c>
      <c r="AF281" s="35">
        <f>IF(AND(AE281&lt;=Inputs!$D$35,C281&gt;=Inputs!$D$48*(A281+B281+C281),B281*Inputs!$D$22&lt;=Inputs!$D$50*Inputs!$D$8,B281*Inputs!$D$22&gt;=Inputs!$D$49*Inputs!$D$8,A281*Inputs!$D$20&lt;=Inputs!$D$47*Inputs!$D$8,C281&gt;=1),1,0)</f>
        <v>0</v>
      </c>
      <c r="AG281" s="39">
        <f t="shared" si="19"/>
        <v>-1</v>
      </c>
    </row>
    <row r="282" spans="1:33" x14ac:dyDescent="0.25">
      <c r="A282" s="35">
        <v>36</v>
      </c>
      <c r="B282" s="35">
        <v>23</v>
      </c>
      <c r="C282" s="35">
        <f>Inputs!$D$8-A282-Inputs!$D$22*B282</f>
        <v>38</v>
      </c>
      <c r="D282" s="35">
        <f>A282*Inputs!$D$20+C282*Inputs!$D$21+B282*Inputs!$D$22</f>
        <v>120</v>
      </c>
      <c r="E282" s="36">
        <f>MIN(Inputs!$E$15,Inputs!$D$15*(C282/Inputs!$D$43)^Inputs!$D$44)</f>
        <v>0.36849910497273691</v>
      </c>
      <c r="F282" s="36">
        <f>MIN(Inputs!$E$16,Inputs!$D$16*(B282/Inputs!$D$42)^Inputs!$D$44)</f>
        <v>0.41712800028621322</v>
      </c>
      <c r="G282" s="37">
        <f>Inputs!$D$26*(1+Inputs!$D$41*(B282-Inputs!$D$42))</f>
        <v>1.5449999999999999</v>
      </c>
      <c r="H282" s="35">
        <f>Inputs!$D$6*Inputs!$D$14*G282*Inputs!$D$29</f>
        <v>1941.18435</v>
      </c>
      <c r="I282" s="36">
        <f>H282/(A282*Inputs!$D$32)</f>
        <v>0.98039613636363632</v>
      </c>
      <c r="J282" s="38">
        <f>IF(I282&gt;=1,999,I282/(Inputs!$D$32*(1-I282))*60)</f>
        <v>54.556748490504461</v>
      </c>
      <c r="K282" s="37">
        <f>MIN(1,MAX(0,(J282-Inputs!$D$36)/(Inputs!$D$37-Inputs!$D$36)))</f>
        <v>1</v>
      </c>
      <c r="L282" s="35">
        <f>Inputs!$D$6*Inputs!$D$14*G282*(1-Inputs!$D$38*K282)</f>
        <v>7117.6759500000016</v>
      </c>
      <c r="M282" s="39">
        <f>L282*Inputs!$D$11</f>
        <v>153030.03292500004</v>
      </c>
      <c r="N282" s="39">
        <f>M282*(1-Inputs!$D$17)</f>
        <v>53560.511523750007</v>
      </c>
      <c r="O282" s="35">
        <f>Inputs!$D$6*E282*Inputs!$D$27*Inputs!$D$30</f>
        <v>525.72145910398501</v>
      </c>
      <c r="P282" s="36">
        <f>O282/(C282*Inputs!$D$33)</f>
        <v>0.34586938098946385</v>
      </c>
      <c r="Q282" s="38">
        <f>IF(P282&gt;=1,999,P282/(Inputs!$D$33*(1-P282))*60)</f>
        <v>0.79311999225622454</v>
      </c>
      <c r="R282" s="37">
        <f>MIN(1,MAX(0,(Q282-Inputs!$D$36)/(Inputs!$D$37-Inputs!$D$36)))</f>
        <v>0</v>
      </c>
      <c r="S282" s="35">
        <f>Inputs!$D$6*E282*Inputs!$D$27*(1-Inputs!$D$38*R282)</f>
        <v>4381.012159199875</v>
      </c>
      <c r="T282" s="39">
        <f>S282*Inputs!$D$12</f>
        <v>70096.194547198</v>
      </c>
      <c r="U282" s="39">
        <f>T282*(1-Inputs!$D$18)</f>
        <v>31543.287546239098</v>
      </c>
      <c r="V282" s="35">
        <f>Inputs!$D$6*F282*Inputs!$D$28*Inputs!$D$31</f>
        <v>703.29783062656929</v>
      </c>
      <c r="W282" s="36">
        <f>V282/(B282*Inputs!$D$34)</f>
        <v>0.87366190139946498</v>
      </c>
      <c r="X282" s="38">
        <f>IF(W282&gt;=1,999,W282/(Inputs!$D$34*(1-W282))*60)</f>
        <v>11.854746377182334</v>
      </c>
      <c r="Y282" s="37">
        <f>MIN(1,MAX(0,(X282-Inputs!$D$36)/(Inputs!$D$37-Inputs!$D$36)))</f>
        <v>0.45698309181215557</v>
      </c>
      <c r="Z282" s="35">
        <f>Inputs!$D$6*F282*Inputs!$D$28*(1-Inputs!$D$38*Y282)</f>
        <v>4297.4614071503011</v>
      </c>
      <c r="AA282" s="39">
        <f>Z282*Inputs!$D$13</f>
        <v>36528.421960777559</v>
      </c>
      <c r="AB282" s="39">
        <f>AA282*(1-Inputs!$D$19)</f>
        <v>21917.053176466536</v>
      </c>
      <c r="AC282" s="39">
        <f t="shared" si="16"/>
        <v>259654.64943297557</v>
      </c>
      <c r="AD282" s="39">
        <f t="shared" si="17"/>
        <v>107020.85224645564</v>
      </c>
      <c r="AE282" s="36">
        <f t="shared" si="18"/>
        <v>0.98039613636363632</v>
      </c>
      <c r="AF282" s="35">
        <f>IF(AND(AE282&lt;=Inputs!$D$35,C282&gt;=Inputs!$D$48*(A282+B282+C282),B282*Inputs!$D$22&lt;=Inputs!$D$50*Inputs!$D$8,B282*Inputs!$D$22&gt;=Inputs!$D$49*Inputs!$D$8,A282*Inputs!$D$20&lt;=Inputs!$D$47*Inputs!$D$8,C282&gt;=1),1,0)</f>
        <v>0</v>
      </c>
      <c r="AG282" s="39">
        <f t="shared" si="19"/>
        <v>-1</v>
      </c>
    </row>
    <row r="283" spans="1:33" x14ac:dyDescent="0.25">
      <c r="A283" s="35">
        <v>36</v>
      </c>
      <c r="B283" s="35">
        <v>24</v>
      </c>
      <c r="C283" s="35">
        <f>Inputs!$D$8-A283-Inputs!$D$22*B283</f>
        <v>36</v>
      </c>
      <c r="D283" s="35">
        <f>A283*Inputs!$D$20+C283*Inputs!$D$21+B283*Inputs!$D$22</f>
        <v>120</v>
      </c>
      <c r="E283" s="36">
        <f>MIN(Inputs!$E$15,Inputs!$D$15*(C283/Inputs!$D$43)^Inputs!$D$44)</f>
        <v>0.36257020206219398</v>
      </c>
      <c r="F283" s="36">
        <f>MIN(Inputs!$E$16,Inputs!$D$16*(B283/Inputs!$D$42)^Inputs!$D$44)</f>
        <v>0.42248798737570326</v>
      </c>
      <c r="G283" s="37">
        <f>Inputs!$D$26*(1+Inputs!$D$41*(B283-Inputs!$D$42))</f>
        <v>1.56</v>
      </c>
      <c r="H283" s="35">
        <f>Inputs!$D$6*Inputs!$D$14*G283*Inputs!$D$29</f>
        <v>1960.0308</v>
      </c>
      <c r="I283" s="36">
        <f>H283/(A283*Inputs!$D$32)</f>
        <v>0.98991454545454549</v>
      </c>
      <c r="J283" s="38">
        <f>IF(I283&gt;=1,999,I283/(Inputs!$D$32*(1-I283))*60)</f>
        <v>107.0756674369442</v>
      </c>
      <c r="K283" s="37">
        <f>MIN(1,MAX(0,(J283-Inputs!$D$36)/(Inputs!$D$37-Inputs!$D$36)))</f>
        <v>1</v>
      </c>
      <c r="L283" s="35">
        <f>Inputs!$D$6*Inputs!$D$14*G283*(1-Inputs!$D$38*K283)</f>
        <v>7186.7796000000017</v>
      </c>
      <c r="M283" s="39">
        <f>L283*Inputs!$D$11</f>
        <v>154515.76140000005</v>
      </c>
      <c r="N283" s="39">
        <f>M283*(1-Inputs!$D$17)</f>
        <v>54080.516490000016</v>
      </c>
      <c r="O283" s="35">
        <f>Inputs!$D$6*E283*Inputs!$D$27*Inputs!$D$30</f>
        <v>517.26295419324151</v>
      </c>
      <c r="P283" s="36">
        <f>O283/(C283*Inputs!$D$33)</f>
        <v>0.35921038485641771</v>
      </c>
      <c r="Q283" s="38">
        <f>IF(P283&gt;=1,999,P283/(Inputs!$D$33*(1-P283))*60)</f>
        <v>0.84086190623406665</v>
      </c>
      <c r="R283" s="37">
        <f>MIN(1,MAX(0,(Q283-Inputs!$D$36)/(Inputs!$D$37-Inputs!$D$36)))</f>
        <v>0</v>
      </c>
      <c r="S283" s="35">
        <f>Inputs!$D$6*E283*Inputs!$D$27*(1-Inputs!$D$38*R283)</f>
        <v>4310.5246182770125</v>
      </c>
      <c r="T283" s="39">
        <f>S283*Inputs!$D$12</f>
        <v>68968.393892432199</v>
      </c>
      <c r="U283" s="39">
        <f>T283*(1-Inputs!$D$18)</f>
        <v>31035.777251594485</v>
      </c>
      <c r="V283" s="35">
        <f>Inputs!$D$6*F283*Inputs!$D$28*Inputs!$D$31</f>
        <v>712.33502613882979</v>
      </c>
      <c r="W283" s="36">
        <f>V283/(B283*Inputs!$D$34)</f>
        <v>0.84801788826051161</v>
      </c>
      <c r="X283" s="38">
        <f>IF(W283&gt;=1,999,W283/(Inputs!$D$34*(1-W283))*60)</f>
        <v>9.5652372155190832</v>
      </c>
      <c r="Y283" s="37">
        <f>MIN(1,MAX(0,(X283-Inputs!$D$36)/(Inputs!$D$37-Inputs!$D$36)))</f>
        <v>0.30434914770127219</v>
      </c>
      <c r="Z283" s="35">
        <f>Inputs!$D$6*F283*Inputs!$D$28*(1-Inputs!$D$38*Y283)</f>
        <v>4729.0436538571339</v>
      </c>
      <c r="AA283" s="39">
        <f>Z283*Inputs!$D$13</f>
        <v>40196.87105778564</v>
      </c>
      <c r="AB283" s="39">
        <f>AA283*(1-Inputs!$D$19)</f>
        <v>24118.122634671385</v>
      </c>
      <c r="AC283" s="39">
        <f t="shared" si="16"/>
        <v>263681.02635021787</v>
      </c>
      <c r="AD283" s="39">
        <f t="shared" si="17"/>
        <v>109234.41637626589</v>
      </c>
      <c r="AE283" s="36">
        <f t="shared" si="18"/>
        <v>0.98991454545454549</v>
      </c>
      <c r="AF283" s="35">
        <f>IF(AND(AE283&lt;=Inputs!$D$35,C283&gt;=Inputs!$D$48*(A283+B283+C283),B283*Inputs!$D$22&lt;=Inputs!$D$50*Inputs!$D$8,B283*Inputs!$D$22&gt;=Inputs!$D$49*Inputs!$D$8,A283*Inputs!$D$20&lt;=Inputs!$D$47*Inputs!$D$8,C283&gt;=1),1,0)</f>
        <v>0</v>
      </c>
      <c r="AG283" s="39">
        <f t="shared" si="19"/>
        <v>-1</v>
      </c>
    </row>
    <row r="284" spans="1:33" x14ac:dyDescent="0.25">
      <c r="A284" s="35">
        <v>36</v>
      </c>
      <c r="B284" s="35">
        <v>25</v>
      </c>
      <c r="C284" s="35">
        <f>Inputs!$D$8-A284-Inputs!$D$22*B284</f>
        <v>34</v>
      </c>
      <c r="D284" s="35">
        <f>A284*Inputs!$D$20+C284*Inputs!$D$21+B284*Inputs!$D$22</f>
        <v>120</v>
      </c>
      <c r="E284" s="36">
        <f>MIN(Inputs!$E$15,Inputs!$D$15*(C284/Inputs!$D$43)^Inputs!$D$44)</f>
        <v>0.35640602201959876</v>
      </c>
      <c r="F284" s="36">
        <f>MIN(Inputs!$E$16,Inputs!$D$16*(B284/Inputs!$D$42)^Inputs!$D$44)</f>
        <v>0.42769383999647526</v>
      </c>
      <c r="G284" s="37">
        <f>Inputs!$D$26*(1+Inputs!$D$41*(B284-Inputs!$D$42))</f>
        <v>1.5750000000000002</v>
      </c>
      <c r="H284" s="35">
        <f>Inputs!$D$6*Inputs!$D$14*G284*Inputs!$D$29</f>
        <v>1978.8772500000005</v>
      </c>
      <c r="I284" s="36">
        <f>H284/(A284*Inputs!$D$32)</f>
        <v>0.99943295454545478</v>
      </c>
      <c r="J284" s="38">
        <f>IF(I284&gt;=1,999,I284/(Inputs!$D$32*(1-I284))*60)</f>
        <v>1922.7567863006582</v>
      </c>
      <c r="K284" s="37">
        <f>MIN(1,MAX(0,(J284-Inputs!$D$36)/(Inputs!$D$37-Inputs!$D$36)))</f>
        <v>1</v>
      </c>
      <c r="L284" s="35">
        <f>Inputs!$D$6*Inputs!$D$14*G284*(1-Inputs!$D$38*K284)</f>
        <v>7255.8832500000026</v>
      </c>
      <c r="M284" s="39">
        <f>L284*Inputs!$D$11</f>
        <v>156001.48987500006</v>
      </c>
      <c r="N284" s="39">
        <f>M284*(1-Inputs!$D$17)</f>
        <v>54600.521456250019</v>
      </c>
      <c r="O284" s="35">
        <f>Inputs!$D$6*E284*Inputs!$D$27*Inputs!$D$30</f>
        <v>508.46878975039266</v>
      </c>
      <c r="P284" s="36">
        <f>O284/(C284*Inputs!$D$33)</f>
        <v>0.37387411011058286</v>
      </c>
      <c r="Q284" s="38">
        <f>IF(P284&gt;=1,999,P284/(Inputs!$D$33*(1-P284))*60)</f>
        <v>0.89568435712652228</v>
      </c>
      <c r="R284" s="37">
        <f>MIN(1,MAX(0,(Q284-Inputs!$D$36)/(Inputs!$D$37-Inputs!$D$36)))</f>
        <v>0</v>
      </c>
      <c r="S284" s="35">
        <f>Inputs!$D$6*E284*Inputs!$D$27*(1-Inputs!$D$38*R284)</f>
        <v>4237.2399145866057</v>
      </c>
      <c r="T284" s="39">
        <f>S284*Inputs!$D$12</f>
        <v>67795.838633385691</v>
      </c>
      <c r="U284" s="39">
        <f>T284*(1-Inputs!$D$18)</f>
        <v>30508.127385023559</v>
      </c>
      <c r="V284" s="35">
        <f>Inputs!$D$6*F284*Inputs!$D$28*Inputs!$D$31</f>
        <v>721.1123435383771</v>
      </c>
      <c r="W284" s="36">
        <f>V284/(B284*Inputs!$D$34)</f>
        <v>0.82412839261528814</v>
      </c>
      <c r="X284" s="38">
        <f>IF(W284&gt;=1,999,W284/(Inputs!$D$34*(1-W284))*60)</f>
        <v>8.0330847668163621</v>
      </c>
      <c r="Y284" s="37">
        <f>MIN(1,MAX(0,(X284-Inputs!$D$36)/(Inputs!$D$37-Inputs!$D$36)))</f>
        <v>0.20220565112109082</v>
      </c>
      <c r="Z284" s="35">
        <f>Inputs!$D$6*F284*Inputs!$D$28*(1-Inputs!$D$38*Y284)</f>
        <v>5042.2807508299393</v>
      </c>
      <c r="AA284" s="39">
        <f>Z284*Inputs!$D$13</f>
        <v>42859.386382054487</v>
      </c>
      <c r="AB284" s="39">
        <f>AA284*(1-Inputs!$D$19)</f>
        <v>25715.631829232691</v>
      </c>
      <c r="AC284" s="39">
        <f t="shared" si="16"/>
        <v>266656.71489044023</v>
      </c>
      <c r="AD284" s="39">
        <f t="shared" si="17"/>
        <v>110824.28067050627</v>
      </c>
      <c r="AE284" s="36">
        <f t="shared" si="18"/>
        <v>0.99943295454545478</v>
      </c>
      <c r="AF284" s="35">
        <f>IF(AND(AE284&lt;=Inputs!$D$35,C284&gt;=Inputs!$D$48*(A284+B284+C284),B284*Inputs!$D$22&lt;=Inputs!$D$50*Inputs!$D$8,B284*Inputs!$D$22&gt;=Inputs!$D$49*Inputs!$D$8,A284*Inputs!$D$20&lt;=Inputs!$D$47*Inputs!$D$8,C284&gt;=1),1,0)</f>
        <v>0</v>
      </c>
      <c r="AG284" s="39">
        <f t="shared" si="19"/>
        <v>-1</v>
      </c>
    </row>
    <row r="285" spans="1:33" x14ac:dyDescent="0.25">
      <c r="A285" s="35">
        <v>36</v>
      </c>
      <c r="B285" s="35">
        <v>26</v>
      </c>
      <c r="C285" s="35">
        <f>Inputs!$D$8-A285-Inputs!$D$22*B285</f>
        <v>32</v>
      </c>
      <c r="D285" s="35">
        <f>A285*Inputs!$D$20+C285*Inputs!$D$21+B285*Inputs!$D$22</f>
        <v>120</v>
      </c>
      <c r="E285" s="36">
        <f>MIN(Inputs!$E$15,Inputs!$D$15*(C285/Inputs!$D$43)^Inputs!$D$44)</f>
        <v>0.34998251836560429</v>
      </c>
      <c r="F285" s="36">
        <f>MIN(Inputs!$E$16,Inputs!$D$16*(B285/Inputs!$D$42)^Inputs!$D$44)</f>
        <v>0.43275589945781112</v>
      </c>
      <c r="G285" s="37">
        <f>Inputs!$D$26*(1+Inputs!$D$41*(B285-Inputs!$D$42))</f>
        <v>1.59</v>
      </c>
      <c r="H285" s="35">
        <f>Inputs!$D$6*Inputs!$D$14*G285*Inputs!$D$29</f>
        <v>1997.7237</v>
      </c>
      <c r="I285" s="36">
        <f>H285/(A285*Inputs!$D$32)</f>
        <v>1.0089513636363636</v>
      </c>
      <c r="J285" s="38">
        <f>IF(I285&gt;=1,999,I285/(Inputs!$D$32*(1-I285))*60)</f>
        <v>999</v>
      </c>
      <c r="K285" s="37">
        <f>MIN(1,MAX(0,(J285-Inputs!$D$36)/(Inputs!$D$37-Inputs!$D$36)))</f>
        <v>1</v>
      </c>
      <c r="L285" s="35">
        <f>Inputs!$D$6*Inputs!$D$14*G285*(1-Inputs!$D$38*K285)</f>
        <v>7324.9869000000017</v>
      </c>
      <c r="M285" s="39">
        <f>L285*Inputs!$D$11</f>
        <v>157487.21835000004</v>
      </c>
      <c r="N285" s="39">
        <f>M285*(1-Inputs!$D$17)</f>
        <v>55120.526422500014</v>
      </c>
      <c r="O285" s="35">
        <f>Inputs!$D$6*E285*Inputs!$D$27*Inputs!$D$30</f>
        <v>499.30465972139962</v>
      </c>
      <c r="P285" s="36">
        <f>O285/(C285*Inputs!$D$33)</f>
        <v>0.39008176540734346</v>
      </c>
      <c r="Q285" s="38">
        <f>IF(P285&gt;=1,999,P285/(Inputs!$D$33*(1-P285))*60)</f>
        <v>0.95934604824825165</v>
      </c>
      <c r="R285" s="37">
        <f>MIN(1,MAX(0,(Q285-Inputs!$D$36)/(Inputs!$D$37-Inputs!$D$36)))</f>
        <v>0</v>
      </c>
      <c r="S285" s="35">
        <f>Inputs!$D$6*E285*Inputs!$D$27*(1-Inputs!$D$38*R285)</f>
        <v>4160.8721643449971</v>
      </c>
      <c r="T285" s="39">
        <f>S285*Inputs!$D$12</f>
        <v>66573.954629519954</v>
      </c>
      <c r="U285" s="39">
        <f>T285*(1-Inputs!$D$18)</f>
        <v>29958.279583283977</v>
      </c>
      <c r="V285" s="35">
        <f>Inputs!$D$6*F285*Inputs!$D$28*Inputs!$D$31</f>
        <v>729.64721876904355</v>
      </c>
      <c r="W285" s="36">
        <f>V285/(B285*Inputs!$D$34)</f>
        <v>0.80181013051543248</v>
      </c>
      <c r="X285" s="38">
        <f>IF(W285&gt;=1,999,W285/(Inputs!$D$34*(1-W285))*60)</f>
        <v>6.9354284146153136</v>
      </c>
      <c r="Y285" s="37">
        <f>MIN(1,MAX(0,(X285-Inputs!$D$36)/(Inputs!$D$37-Inputs!$D$36)))</f>
        <v>0.12902856097435425</v>
      </c>
      <c r="Z285" s="35">
        <f>Inputs!$D$6*F285*Inputs!$D$28*(1-Inputs!$D$38*Y285)</f>
        <v>5286.7832305655711</v>
      </c>
      <c r="AA285" s="39">
        <f>Z285*Inputs!$D$13</f>
        <v>44937.657459807357</v>
      </c>
      <c r="AB285" s="39">
        <f>AA285*(1-Inputs!$D$19)</f>
        <v>26962.594475884413</v>
      </c>
      <c r="AC285" s="39">
        <f t="shared" si="16"/>
        <v>268998.83043932734</v>
      </c>
      <c r="AD285" s="39">
        <f t="shared" si="17"/>
        <v>112041.4004816684</v>
      </c>
      <c r="AE285" s="36">
        <f t="shared" si="18"/>
        <v>1.0089513636363636</v>
      </c>
      <c r="AF285" s="35">
        <f>IF(AND(AE285&lt;=Inputs!$D$35,C285&gt;=Inputs!$D$48*(A285+B285+C285),B285*Inputs!$D$22&lt;=Inputs!$D$50*Inputs!$D$8,B285*Inputs!$D$22&gt;=Inputs!$D$49*Inputs!$D$8,A285*Inputs!$D$20&lt;=Inputs!$D$47*Inputs!$D$8,C285&gt;=1),1,0)</f>
        <v>0</v>
      </c>
      <c r="AG285" s="39">
        <f t="shared" si="19"/>
        <v>-1</v>
      </c>
    </row>
    <row r="286" spans="1:33" x14ac:dyDescent="0.25">
      <c r="A286" s="35">
        <v>36</v>
      </c>
      <c r="B286" s="35">
        <v>27</v>
      </c>
      <c r="C286" s="35">
        <f>Inputs!$D$8-A286-Inputs!$D$22*B286</f>
        <v>30</v>
      </c>
      <c r="D286" s="35">
        <f>A286*Inputs!$D$20+C286*Inputs!$D$21+B286*Inputs!$D$22</f>
        <v>120</v>
      </c>
      <c r="E286" s="36">
        <f>MIN(Inputs!$E$15,Inputs!$D$15*(C286/Inputs!$D$43)^Inputs!$D$44)</f>
        <v>0.3432714897427589</v>
      </c>
      <c r="F286" s="36">
        <f>MIN(Inputs!$E$16,Inputs!$D$16*(B286/Inputs!$D$42)^Inputs!$D$44)</f>
        <v>0.43768344678187454</v>
      </c>
      <c r="G286" s="37">
        <f>Inputs!$D$26*(1+Inputs!$D$41*(B286-Inputs!$D$42))</f>
        <v>1.605</v>
      </c>
      <c r="H286" s="35">
        <f>Inputs!$D$6*Inputs!$D$14*G286*Inputs!$D$29</f>
        <v>2016.57015</v>
      </c>
      <c r="I286" s="36">
        <f>H286/(A286*Inputs!$D$32)</f>
        <v>1.0184697727272727</v>
      </c>
      <c r="J286" s="38">
        <f>IF(I286&gt;=1,999,I286/(Inputs!$D$32*(1-I286))*60)</f>
        <v>999</v>
      </c>
      <c r="K286" s="37">
        <f>MIN(1,MAX(0,(J286-Inputs!$D$36)/(Inputs!$D$37-Inputs!$D$36)))</f>
        <v>1</v>
      </c>
      <c r="L286" s="35">
        <f>Inputs!$D$6*Inputs!$D$14*G286*(1-Inputs!$D$38*K286)</f>
        <v>7394.0905500000017</v>
      </c>
      <c r="M286" s="39">
        <f>L286*Inputs!$D$11</f>
        <v>158972.94682500005</v>
      </c>
      <c r="N286" s="39">
        <f>M286*(1-Inputs!$D$17)</f>
        <v>55640.531388750016</v>
      </c>
      <c r="O286" s="35">
        <f>Inputs!$D$6*E286*Inputs!$D$27*Inputs!$D$30</f>
        <v>489.73033047044544</v>
      </c>
      <c r="P286" s="36">
        <f>O286/(C286*Inputs!$D$33)</f>
        <v>0.40810860872537119</v>
      </c>
      <c r="Q286" s="38">
        <f>IF(P286&gt;=1,999,P286/(Inputs!$D$33*(1-P286))*60)</f>
        <v>1.0342487187890559</v>
      </c>
      <c r="R286" s="37">
        <f>MIN(1,MAX(0,(Q286-Inputs!$D$36)/(Inputs!$D$37-Inputs!$D$36)))</f>
        <v>0</v>
      </c>
      <c r="S286" s="35">
        <f>Inputs!$D$6*E286*Inputs!$D$27*(1-Inputs!$D$38*R286)</f>
        <v>4081.0860872537123</v>
      </c>
      <c r="T286" s="39">
        <f>S286*Inputs!$D$12</f>
        <v>65297.377396059397</v>
      </c>
      <c r="U286" s="39">
        <f>T286*(1-Inputs!$D$18)</f>
        <v>29383.819828226726</v>
      </c>
      <c r="V286" s="35">
        <f>Inputs!$D$6*F286*Inputs!$D$28*Inputs!$D$31</f>
        <v>737.95530007968603</v>
      </c>
      <c r="W286" s="36">
        <f>V286/(B286*Inputs!$D$34)</f>
        <v>0.78090507944940324</v>
      </c>
      <c r="X286" s="38">
        <f>IF(W286&gt;=1,999,W286/(Inputs!$D$34*(1-W286))*60)</f>
        <v>6.1101116290101798</v>
      </c>
      <c r="Y286" s="37">
        <f>MIN(1,MAX(0,(X286-Inputs!$D$36)/(Inputs!$D$37-Inputs!$D$36)))</f>
        <v>7.4007441934011986E-2</v>
      </c>
      <c r="Z286" s="35">
        <f>Inputs!$D$6*F286*Inputs!$D$28*(1-Inputs!$D$38*Y286)</f>
        <v>5487.5301328495489</v>
      </c>
      <c r="AA286" s="39">
        <f>Z286*Inputs!$D$13</f>
        <v>46644.006129221169</v>
      </c>
      <c r="AB286" s="39">
        <f>AA286*(1-Inputs!$D$19)</f>
        <v>27986.4036775327</v>
      </c>
      <c r="AC286" s="39">
        <f t="shared" si="16"/>
        <v>270914.33035028062</v>
      </c>
      <c r="AD286" s="39">
        <f t="shared" si="17"/>
        <v>113010.75489450943</v>
      </c>
      <c r="AE286" s="36">
        <f t="shared" si="18"/>
        <v>1.0184697727272727</v>
      </c>
      <c r="AF286" s="35">
        <f>IF(AND(AE286&lt;=Inputs!$D$35,C286&gt;=Inputs!$D$48*(A286+B286+C286),B286*Inputs!$D$22&lt;=Inputs!$D$50*Inputs!$D$8,B286*Inputs!$D$22&gt;=Inputs!$D$49*Inputs!$D$8,A286*Inputs!$D$20&lt;=Inputs!$D$47*Inputs!$D$8,C286&gt;=1),1,0)</f>
        <v>0</v>
      </c>
      <c r="AG286" s="39">
        <f t="shared" si="19"/>
        <v>-1</v>
      </c>
    </row>
    <row r="287" spans="1:33" x14ac:dyDescent="0.25">
      <c r="A287" s="35">
        <v>36</v>
      </c>
      <c r="B287" s="35">
        <v>28</v>
      </c>
      <c r="C287" s="35">
        <f>Inputs!$D$8-A287-Inputs!$D$22*B287</f>
        <v>28</v>
      </c>
      <c r="D287" s="35">
        <f>A287*Inputs!$D$20+C287*Inputs!$D$21+B287*Inputs!$D$22</f>
        <v>120</v>
      </c>
      <c r="E287" s="36">
        <f>MIN(Inputs!$E$15,Inputs!$D$15*(C287/Inputs!$D$43)^Inputs!$D$44)</f>
        <v>0.33623952833125714</v>
      </c>
      <c r="F287" s="36">
        <f>MIN(Inputs!$E$16,Inputs!$D$16*(B287/Inputs!$D$42)^Inputs!$D$44)</f>
        <v>0.44248484624799689</v>
      </c>
      <c r="G287" s="37">
        <f>Inputs!$D$26*(1+Inputs!$D$41*(B287-Inputs!$D$42))</f>
        <v>1.62</v>
      </c>
      <c r="H287" s="35">
        <f>Inputs!$D$6*Inputs!$D$14*G287*Inputs!$D$29</f>
        <v>2035.4166</v>
      </c>
      <c r="I287" s="36">
        <f>H287/(A287*Inputs!$D$32)</f>
        <v>1.0279881818181817</v>
      </c>
      <c r="J287" s="38">
        <f>IF(I287&gt;=1,999,I287/(Inputs!$D$32*(1-I287))*60)</f>
        <v>999</v>
      </c>
      <c r="K287" s="37">
        <f>MIN(1,MAX(0,(J287-Inputs!$D$36)/(Inputs!$D$37-Inputs!$D$36)))</f>
        <v>1</v>
      </c>
      <c r="L287" s="35">
        <f>Inputs!$D$6*Inputs!$D$14*G287*(1-Inputs!$D$38*K287)</f>
        <v>7463.1942000000017</v>
      </c>
      <c r="M287" s="39">
        <f>L287*Inputs!$D$11</f>
        <v>160458.67530000003</v>
      </c>
      <c r="N287" s="39">
        <f>M287*(1-Inputs!$D$17)</f>
        <v>56160.536355000011</v>
      </c>
      <c r="O287" s="35">
        <f>Inputs!$D$6*E287*Inputs!$D$27*Inputs!$D$30</f>
        <v>479.69814053095797</v>
      </c>
      <c r="P287" s="36">
        <f>O287/(C287*Inputs!$D$33)</f>
        <v>0.42830191118835531</v>
      </c>
      <c r="Q287" s="38">
        <f>IF(P287&gt;=1,999,P287/(Inputs!$D$33*(1-P287))*60)</f>
        <v>1.1237624882006552</v>
      </c>
      <c r="R287" s="37">
        <f>MIN(1,MAX(0,(Q287-Inputs!$D$36)/(Inputs!$D$37-Inputs!$D$36)))</f>
        <v>0</v>
      </c>
      <c r="S287" s="35">
        <f>Inputs!$D$6*E287*Inputs!$D$27*(1-Inputs!$D$38*R287)</f>
        <v>3997.4845044246499</v>
      </c>
      <c r="T287" s="39">
        <f>S287*Inputs!$D$12</f>
        <v>63959.752070794399</v>
      </c>
      <c r="U287" s="39">
        <f>T287*(1-Inputs!$D$18)</f>
        <v>28781.888431857478</v>
      </c>
      <c r="V287" s="35">
        <f>Inputs!$D$6*F287*Inputs!$D$28*Inputs!$D$31</f>
        <v>746.05069004674272</v>
      </c>
      <c r="W287" s="36">
        <f>V287/(B287*Inputs!$D$34)</f>
        <v>0.76127621433341097</v>
      </c>
      <c r="X287" s="38">
        <f>IF(W287&gt;=1,999,W287/(Inputs!$D$34*(1-W287))*60)</f>
        <v>5.4667570523531852</v>
      </c>
      <c r="Y287" s="37">
        <f>MIN(1,MAX(0,(X287-Inputs!$D$36)/(Inputs!$D$37-Inputs!$D$36)))</f>
        <v>3.111713682354568E-2</v>
      </c>
      <c r="Z287" s="35">
        <f>Inputs!$D$6*F287*Inputs!$D$28*(1-Inputs!$D$38*Y287)</f>
        <v>5658.4919801305723</v>
      </c>
      <c r="AA287" s="39">
        <f>Z287*Inputs!$D$13</f>
        <v>48097.181831109861</v>
      </c>
      <c r="AB287" s="39">
        <f>AA287*(1-Inputs!$D$19)</f>
        <v>28858.309098665915</v>
      </c>
      <c r="AC287" s="39">
        <f t="shared" si="16"/>
        <v>272515.60920190427</v>
      </c>
      <c r="AD287" s="39">
        <f t="shared" si="17"/>
        <v>113800.7338855234</v>
      </c>
      <c r="AE287" s="36">
        <f t="shared" si="18"/>
        <v>1.0279881818181817</v>
      </c>
      <c r="AF287" s="35">
        <f>IF(AND(AE287&lt;=Inputs!$D$35,C287&gt;=Inputs!$D$48*(A287+B287+C287),B287*Inputs!$D$22&lt;=Inputs!$D$50*Inputs!$D$8,B287*Inputs!$D$22&gt;=Inputs!$D$49*Inputs!$D$8,A287*Inputs!$D$20&lt;=Inputs!$D$47*Inputs!$D$8,C287&gt;=1),1,0)</f>
        <v>0</v>
      </c>
      <c r="AG287" s="39">
        <f t="shared" si="19"/>
        <v>-1</v>
      </c>
    </row>
    <row r="288" spans="1:33" x14ac:dyDescent="0.25">
      <c r="A288" s="35">
        <v>36</v>
      </c>
      <c r="B288" s="35">
        <v>29</v>
      </c>
      <c r="C288" s="35">
        <f>Inputs!$D$8-A288-Inputs!$D$22*B288</f>
        <v>26</v>
      </c>
      <c r="D288" s="35">
        <f>A288*Inputs!$D$20+C288*Inputs!$D$21+B288*Inputs!$D$22</f>
        <v>120</v>
      </c>
      <c r="E288" s="36">
        <f>MIN(Inputs!$E$15,Inputs!$D$15*(C288/Inputs!$D$43)^Inputs!$D$44)</f>
        <v>0.32884660514387515</v>
      </c>
      <c r="F288" s="36">
        <f>MIN(Inputs!$E$16,Inputs!$D$16*(B288/Inputs!$D$42)^Inputs!$D$44)</f>
        <v>0.44716766511947192</v>
      </c>
      <c r="G288" s="37">
        <f>Inputs!$D$26*(1+Inputs!$D$41*(B288-Inputs!$D$42))</f>
        <v>1.6350000000000002</v>
      </c>
      <c r="H288" s="35">
        <f>Inputs!$D$6*Inputs!$D$14*G288*Inputs!$D$29</f>
        <v>2054.2630500000005</v>
      </c>
      <c r="I288" s="36">
        <f>H288/(A288*Inputs!$D$32)</f>
        <v>1.0375065909090913</v>
      </c>
      <c r="J288" s="38">
        <f>IF(I288&gt;=1,999,I288/(Inputs!$D$32*(1-I288))*60)</f>
        <v>999</v>
      </c>
      <c r="K288" s="37">
        <f>MIN(1,MAX(0,(J288-Inputs!$D$36)/(Inputs!$D$37-Inputs!$D$36)))</f>
        <v>1</v>
      </c>
      <c r="L288" s="35">
        <f>Inputs!$D$6*Inputs!$D$14*G288*(1-Inputs!$D$38*K288)</f>
        <v>7532.2978500000027</v>
      </c>
      <c r="M288" s="39">
        <f>L288*Inputs!$D$11</f>
        <v>161944.40377500007</v>
      </c>
      <c r="N288" s="39">
        <f>M288*(1-Inputs!$D$17)</f>
        <v>56680.541321250021</v>
      </c>
      <c r="O288" s="35">
        <f>Inputs!$D$6*E288*Inputs!$D$27*Inputs!$D$30</f>
        <v>469.15098230814039</v>
      </c>
      <c r="P288" s="36">
        <f>O288/(C288*Inputs!$D$33)</f>
        <v>0.45110671375782729</v>
      </c>
      <c r="Q288" s="38">
        <f>IF(P288&gt;=1,999,P288/(Inputs!$D$33*(1-P288))*60)</f>
        <v>1.2327716290160586</v>
      </c>
      <c r="R288" s="37">
        <f>MIN(1,MAX(0,(Q288-Inputs!$D$36)/(Inputs!$D$37-Inputs!$D$36)))</f>
        <v>0</v>
      </c>
      <c r="S288" s="35">
        <f>Inputs!$D$6*E288*Inputs!$D$27*(1-Inputs!$D$38*R288)</f>
        <v>3909.5915192345033</v>
      </c>
      <c r="T288" s="39">
        <f>S288*Inputs!$D$12</f>
        <v>62553.464307752052</v>
      </c>
      <c r="U288" s="39">
        <f>T288*(1-Inputs!$D$18)</f>
        <v>28149.058938488422</v>
      </c>
      <c r="V288" s="35">
        <f>Inputs!$D$6*F288*Inputs!$D$28*Inputs!$D$31</f>
        <v>753.9461474393554</v>
      </c>
      <c r="W288" s="36">
        <f>V288/(B288*Inputs!$D$34)</f>
        <v>0.74280408614714821</v>
      </c>
      <c r="X288" s="38">
        <f>IF(W288&gt;=1,999,W288/(Inputs!$D$34*(1-W288))*60)</f>
        <v>4.9510056918075414</v>
      </c>
      <c r="Y288" s="37">
        <f>MIN(1,MAX(0,(X288-Inputs!$D$36)/(Inputs!$D$37-Inputs!$D$36)))</f>
        <v>0</v>
      </c>
      <c r="Z288" s="35">
        <f>Inputs!$D$6*F288*Inputs!$D$28*(1-Inputs!$D$38*Y288)</f>
        <v>5799.5857495335031</v>
      </c>
      <c r="AA288" s="39">
        <f>Z288*Inputs!$D$13</f>
        <v>49296.478871034778</v>
      </c>
      <c r="AB288" s="39">
        <f>AA288*(1-Inputs!$D$19)</f>
        <v>29577.887322620867</v>
      </c>
      <c r="AC288" s="39">
        <f t="shared" si="16"/>
        <v>273794.34695378691</v>
      </c>
      <c r="AD288" s="39">
        <f t="shared" si="17"/>
        <v>114407.48758235932</v>
      </c>
      <c r="AE288" s="36">
        <f t="shared" si="18"/>
        <v>1.0375065909090913</v>
      </c>
      <c r="AF288" s="35">
        <f>IF(AND(AE288&lt;=Inputs!$D$35,C288&gt;=Inputs!$D$48*(A288+B288+C288),B288*Inputs!$D$22&lt;=Inputs!$D$50*Inputs!$D$8,B288*Inputs!$D$22&gt;=Inputs!$D$49*Inputs!$D$8,A288*Inputs!$D$20&lt;=Inputs!$D$47*Inputs!$D$8,C288&gt;=1),1,0)</f>
        <v>0</v>
      </c>
      <c r="AG288" s="39">
        <f t="shared" si="19"/>
        <v>-1</v>
      </c>
    </row>
    <row r="289" spans="1:33" x14ac:dyDescent="0.25">
      <c r="A289" s="35">
        <v>36</v>
      </c>
      <c r="B289" s="35">
        <v>30</v>
      </c>
      <c r="C289" s="35">
        <f>Inputs!$D$8-A289-Inputs!$D$22*B289</f>
        <v>24</v>
      </c>
      <c r="D289" s="35">
        <f>A289*Inputs!$D$20+C289*Inputs!$D$21+B289*Inputs!$D$22</f>
        <v>120</v>
      </c>
      <c r="E289" s="36">
        <f>MIN(Inputs!$E$15,Inputs!$D$15*(C289/Inputs!$D$43)^Inputs!$D$44)</f>
        <v>0.32104412796367415</v>
      </c>
      <c r="F289" s="36">
        <f>MIN(Inputs!$E$16,Inputs!$D$16*(B289/Inputs!$D$42)^Inputs!$D$44)</f>
        <v>0.45173877418274222</v>
      </c>
      <c r="G289" s="37">
        <f>Inputs!$D$26*(1+Inputs!$D$41*(B289-Inputs!$D$42))</f>
        <v>1.6500000000000001</v>
      </c>
      <c r="H289" s="35">
        <f>Inputs!$D$6*Inputs!$D$14*G289*Inputs!$D$29</f>
        <v>2073.1095000000005</v>
      </c>
      <c r="I289" s="36">
        <f>H289/(A289*Inputs!$D$32)</f>
        <v>1.0470250000000003</v>
      </c>
      <c r="J289" s="38">
        <f>IF(I289&gt;=1,999,I289/(Inputs!$D$32*(1-I289))*60)</f>
        <v>999</v>
      </c>
      <c r="K289" s="37">
        <f>MIN(1,MAX(0,(J289-Inputs!$D$36)/(Inputs!$D$37-Inputs!$D$36)))</f>
        <v>1</v>
      </c>
      <c r="L289" s="35">
        <f>Inputs!$D$6*Inputs!$D$14*G289*(1-Inputs!$D$38*K289)</f>
        <v>7601.4015000000027</v>
      </c>
      <c r="M289" s="39">
        <f>L289*Inputs!$D$11</f>
        <v>163430.13225000005</v>
      </c>
      <c r="N289" s="39">
        <f>M289*(1-Inputs!$D$17)</f>
        <v>57200.546287500016</v>
      </c>
      <c r="O289" s="35">
        <f>Inputs!$D$6*E289*Inputs!$D$27*Inputs!$D$30</f>
        <v>458.01953142414351</v>
      </c>
      <c r="P289" s="36">
        <f>O289/(C289*Inputs!$D$33)</f>
        <v>0.47710367856681618</v>
      </c>
      <c r="Q289" s="38">
        <f>IF(P289&gt;=1,999,P289/(Inputs!$D$33*(1-P289))*60)</f>
        <v>1.3686375071232384</v>
      </c>
      <c r="R289" s="37">
        <f>MIN(1,MAX(0,(Q289-Inputs!$D$36)/(Inputs!$D$37-Inputs!$D$36)))</f>
        <v>0</v>
      </c>
      <c r="S289" s="35">
        <f>Inputs!$D$6*E289*Inputs!$D$27*(1-Inputs!$D$38*R289)</f>
        <v>3816.8294285345296</v>
      </c>
      <c r="T289" s="39">
        <f>S289*Inputs!$D$12</f>
        <v>61069.270856552474</v>
      </c>
      <c r="U289" s="39">
        <f>T289*(1-Inputs!$D$18)</f>
        <v>27481.17188544861</v>
      </c>
      <c r="V289" s="35">
        <f>Inputs!$D$6*F289*Inputs!$D$28*Inputs!$D$31</f>
        <v>761.65325673326424</v>
      </c>
      <c r="W289" s="36">
        <f>V289/(B289*Inputs!$D$34)</f>
        <v>0.72538405403168027</v>
      </c>
      <c r="X289" s="38">
        <f>IF(W289&gt;=1,999,W289/(Inputs!$D$34*(1-W289))*60)</f>
        <v>4.5281985239874629</v>
      </c>
      <c r="Y289" s="37">
        <f>MIN(1,MAX(0,(X289-Inputs!$D$36)/(Inputs!$D$37-Inputs!$D$36)))</f>
        <v>0</v>
      </c>
      <c r="Z289" s="35">
        <f>Inputs!$D$6*F289*Inputs!$D$28*(1-Inputs!$D$38*Y289)</f>
        <v>5858.8712056404938</v>
      </c>
      <c r="AA289" s="39">
        <f>Z289*Inputs!$D$13</f>
        <v>49800.405247944196</v>
      </c>
      <c r="AB289" s="39">
        <f>AA289*(1-Inputs!$D$19)</f>
        <v>29880.243148766516</v>
      </c>
      <c r="AC289" s="39">
        <f t="shared" si="16"/>
        <v>274299.80835449672</v>
      </c>
      <c r="AD289" s="39">
        <f t="shared" si="17"/>
        <v>114561.96132171515</v>
      </c>
      <c r="AE289" s="36">
        <f t="shared" si="18"/>
        <v>1.0470250000000003</v>
      </c>
      <c r="AF289" s="35">
        <f>IF(AND(AE289&lt;=Inputs!$D$35,C289&gt;=Inputs!$D$48*(A289+B289+C289),B289*Inputs!$D$22&lt;=Inputs!$D$50*Inputs!$D$8,B289*Inputs!$D$22&gt;=Inputs!$D$49*Inputs!$D$8,A289*Inputs!$D$20&lt;=Inputs!$D$47*Inputs!$D$8,C289&gt;=1),1,0)</f>
        <v>0</v>
      </c>
      <c r="AG289" s="39">
        <f t="shared" si="19"/>
        <v>-1</v>
      </c>
    </row>
    <row r="290" spans="1:33" x14ac:dyDescent="0.25">
      <c r="A290" s="35">
        <v>36</v>
      </c>
      <c r="B290" s="35">
        <v>31</v>
      </c>
      <c r="C290" s="35">
        <f>Inputs!$D$8-A290-Inputs!$D$22*B290</f>
        <v>22</v>
      </c>
      <c r="D290" s="35">
        <f>A290*Inputs!$D$20+C290*Inputs!$D$21+B290*Inputs!$D$22</f>
        <v>120</v>
      </c>
      <c r="E290" s="36">
        <f>MIN(Inputs!$E$15,Inputs!$D$15*(C290/Inputs!$D$43)^Inputs!$D$44)</f>
        <v>0.31277221277221301</v>
      </c>
      <c r="F290" s="36">
        <f>MIN(Inputs!$E$16,Inputs!$D$16*(B290/Inputs!$D$42)^Inputs!$D$44)</f>
        <v>0.45620443270573335</v>
      </c>
      <c r="G290" s="37">
        <f>Inputs!$D$26*(1+Inputs!$D$41*(B290-Inputs!$D$42))</f>
        <v>1.665</v>
      </c>
      <c r="H290" s="35">
        <f>Inputs!$D$6*Inputs!$D$14*G290*Inputs!$D$29</f>
        <v>2091.95595</v>
      </c>
      <c r="I290" s="36">
        <f>H290/(A290*Inputs!$D$32)</f>
        <v>1.0565434090909092</v>
      </c>
      <c r="J290" s="38">
        <f>IF(I290&gt;=1,999,I290/(Inputs!$D$32*(1-I290))*60)</f>
        <v>999</v>
      </c>
      <c r="K290" s="37">
        <f>MIN(1,MAX(0,(J290-Inputs!$D$36)/(Inputs!$D$37-Inputs!$D$36)))</f>
        <v>1</v>
      </c>
      <c r="L290" s="35">
        <f>Inputs!$D$6*Inputs!$D$14*G290*(1-Inputs!$D$38*K290)</f>
        <v>7670.5051500000018</v>
      </c>
      <c r="M290" s="39">
        <f>L290*Inputs!$D$11</f>
        <v>164915.86072500004</v>
      </c>
      <c r="N290" s="39">
        <f>M290*(1-Inputs!$D$17)</f>
        <v>57720.551253750011</v>
      </c>
      <c r="O290" s="35">
        <f>Inputs!$D$6*E290*Inputs!$D$27*Inputs!$D$30</f>
        <v>446.21835398475434</v>
      </c>
      <c r="P290" s="36">
        <f>O290/(C290*Inputs!$D$33)</f>
        <v>0.50706631134631175</v>
      </c>
      <c r="Q290" s="38">
        <f>IF(P290&gt;=1,999,P290/(Inputs!$D$33*(1-P290))*60)</f>
        <v>1.543005650713049</v>
      </c>
      <c r="R290" s="37">
        <f>MIN(1,MAX(0,(Q290-Inputs!$D$36)/(Inputs!$D$37-Inputs!$D$36)))</f>
        <v>0</v>
      </c>
      <c r="S290" s="35">
        <f>Inputs!$D$6*E290*Inputs!$D$27*(1-Inputs!$D$38*R290)</f>
        <v>3718.4862832062863</v>
      </c>
      <c r="T290" s="39">
        <f>S290*Inputs!$D$12</f>
        <v>59495.780531300581</v>
      </c>
      <c r="U290" s="39">
        <f>T290*(1-Inputs!$D$18)</f>
        <v>26773.101239085259</v>
      </c>
      <c r="V290" s="35">
        <f>Inputs!$D$6*F290*Inputs!$D$28*Inputs!$D$31</f>
        <v>769.18257135463637</v>
      </c>
      <c r="W290" s="36">
        <f>V290/(B290*Inputs!$D$34)</f>
        <v>0.70892402889828232</v>
      </c>
      <c r="X290" s="38">
        <f>IF(W290&gt;=1,999,W290/(Inputs!$D$34*(1-W290))*60)</f>
        <v>4.1751929252501148</v>
      </c>
      <c r="Y290" s="37">
        <f>MIN(1,MAX(0,(X290-Inputs!$D$36)/(Inputs!$D$37-Inputs!$D$36)))</f>
        <v>0</v>
      </c>
      <c r="Z290" s="35">
        <f>Inputs!$D$6*F290*Inputs!$D$28*(1-Inputs!$D$38*Y290)</f>
        <v>5916.7890104202797</v>
      </c>
      <c r="AA290" s="39">
        <f>Z290*Inputs!$D$13</f>
        <v>50292.706588572379</v>
      </c>
      <c r="AB290" s="39">
        <f>AA290*(1-Inputs!$D$19)</f>
        <v>30175.623953143426</v>
      </c>
      <c r="AC290" s="39">
        <f t="shared" si="16"/>
        <v>274704.34784487297</v>
      </c>
      <c r="AD290" s="39">
        <f t="shared" si="17"/>
        <v>114669.2764459787</v>
      </c>
      <c r="AE290" s="36">
        <f t="shared" si="18"/>
        <v>1.0565434090909092</v>
      </c>
      <c r="AF290" s="35">
        <f>IF(AND(AE290&lt;=Inputs!$D$35,C290&gt;=Inputs!$D$48*(A290+B290+C290),B290*Inputs!$D$22&lt;=Inputs!$D$50*Inputs!$D$8,B290*Inputs!$D$22&gt;=Inputs!$D$49*Inputs!$D$8,A290*Inputs!$D$20&lt;=Inputs!$D$47*Inputs!$D$8,C290&gt;=1),1,0)</f>
        <v>0</v>
      </c>
      <c r="AG290" s="39">
        <f t="shared" si="19"/>
        <v>-1</v>
      </c>
    </row>
    <row r="291" spans="1:33" x14ac:dyDescent="0.25">
      <c r="A291" s="35">
        <v>36</v>
      </c>
      <c r="B291" s="35">
        <v>32</v>
      </c>
      <c r="C291" s="35">
        <f>Inputs!$D$8-A291-Inputs!$D$22*B291</f>
        <v>20</v>
      </c>
      <c r="D291" s="35">
        <f>A291*Inputs!$D$20+C291*Inputs!$D$21+B291*Inputs!$D$22</f>
        <v>120</v>
      </c>
      <c r="E291" s="36">
        <f>MIN(Inputs!$E$15,Inputs!$D$15*(C291/Inputs!$D$43)^Inputs!$D$44)</f>
        <v>0.30395574554235194</v>
      </c>
      <c r="F291" s="36">
        <f>MIN(Inputs!$E$16,Inputs!$D$16*(B291/Inputs!$D$42)^Inputs!$D$44)</f>
        <v>0.46057036065052986</v>
      </c>
      <c r="G291" s="37">
        <f>Inputs!$D$26*(1+Inputs!$D$41*(B291-Inputs!$D$42))</f>
        <v>1.6800000000000002</v>
      </c>
      <c r="H291" s="35">
        <f>Inputs!$D$6*Inputs!$D$14*G291*Inputs!$D$29</f>
        <v>2110.8024000000005</v>
      </c>
      <c r="I291" s="36">
        <f>H291/(A291*Inputs!$D$32)</f>
        <v>1.0660618181818184</v>
      </c>
      <c r="J291" s="38">
        <f>IF(I291&gt;=1,999,I291/(Inputs!$D$32*(1-I291))*60)</f>
        <v>999</v>
      </c>
      <c r="K291" s="37">
        <f>MIN(1,MAX(0,(J291-Inputs!$D$36)/(Inputs!$D$37-Inputs!$D$36)))</f>
        <v>1</v>
      </c>
      <c r="L291" s="35">
        <f>Inputs!$D$6*Inputs!$D$14*G291*(1-Inputs!$D$38*K291)</f>
        <v>7739.6088000000027</v>
      </c>
      <c r="M291" s="39">
        <f>L291*Inputs!$D$11</f>
        <v>166401.58920000005</v>
      </c>
      <c r="N291" s="39">
        <f>M291*(1-Inputs!$D$17)</f>
        <v>58240.556220000013</v>
      </c>
      <c r="O291" s="35">
        <f>Inputs!$D$6*E291*Inputs!$D$27*Inputs!$D$30</f>
        <v>433.64028811246965</v>
      </c>
      <c r="P291" s="36">
        <f>O291/(C291*Inputs!$D$33)</f>
        <v>0.54205036014058705</v>
      </c>
      <c r="Q291" s="38">
        <f>IF(P291&gt;=1,999,P291/(Inputs!$D$33*(1-P291))*60)</f>
        <v>1.7754693299038049</v>
      </c>
      <c r="R291" s="37">
        <f>MIN(1,MAX(0,(Q291-Inputs!$D$36)/(Inputs!$D$37-Inputs!$D$36)))</f>
        <v>0</v>
      </c>
      <c r="S291" s="35">
        <f>Inputs!$D$6*E291*Inputs!$D$27*(1-Inputs!$D$38*R291)</f>
        <v>3613.6690676039138</v>
      </c>
      <c r="T291" s="39">
        <f>S291*Inputs!$D$12</f>
        <v>57818.705081662622</v>
      </c>
      <c r="U291" s="39">
        <f>T291*(1-Inputs!$D$18)</f>
        <v>26018.417286748176</v>
      </c>
      <c r="V291" s="35">
        <f>Inputs!$D$6*F291*Inputs!$D$28*Inputs!$D$31</f>
        <v>776.54373543410452</v>
      </c>
      <c r="W291" s="36">
        <f>V291/(B291*Inputs!$D$34)</f>
        <v>0.69334262092330756</v>
      </c>
      <c r="X291" s="38">
        <f>IF(W291&gt;=1,999,W291/(Inputs!$D$34*(1-W291))*60)</f>
        <v>3.8759457011369869</v>
      </c>
      <c r="Y291" s="37">
        <f>MIN(1,MAX(0,(X291-Inputs!$D$36)/(Inputs!$D$37-Inputs!$D$36)))</f>
        <v>0</v>
      </c>
      <c r="Z291" s="35">
        <f>Inputs!$D$6*F291*Inputs!$D$28*(1-Inputs!$D$38*Y291)</f>
        <v>5973.4133494931111</v>
      </c>
      <c r="AA291" s="39">
        <f>Z291*Inputs!$D$13</f>
        <v>50774.013470691447</v>
      </c>
      <c r="AB291" s="39">
        <f>AA291*(1-Inputs!$D$19)</f>
        <v>30464.408082414866</v>
      </c>
      <c r="AC291" s="39">
        <f t="shared" si="16"/>
        <v>274994.30775235413</v>
      </c>
      <c r="AD291" s="39">
        <f t="shared" si="17"/>
        <v>114723.38158916305</v>
      </c>
      <c r="AE291" s="36">
        <f t="shared" si="18"/>
        <v>1.0660618181818184</v>
      </c>
      <c r="AF291" s="35">
        <f>IF(AND(AE291&lt;=Inputs!$D$35,C291&gt;=Inputs!$D$48*(A291+B291+C291),B291*Inputs!$D$22&lt;=Inputs!$D$50*Inputs!$D$8,B291*Inputs!$D$22&gt;=Inputs!$D$49*Inputs!$D$8,A291*Inputs!$D$20&lt;=Inputs!$D$47*Inputs!$D$8,C291&gt;=1),1,0)</f>
        <v>0</v>
      </c>
      <c r="AG291" s="39">
        <f t="shared" si="19"/>
        <v>-1</v>
      </c>
    </row>
    <row r="292" spans="1:33" x14ac:dyDescent="0.25">
      <c r="A292" s="35">
        <v>36</v>
      </c>
      <c r="B292" s="35">
        <v>33</v>
      </c>
      <c r="C292" s="35">
        <f>Inputs!$D$8-A292-Inputs!$D$22*B292</f>
        <v>18</v>
      </c>
      <c r="D292" s="35">
        <f>A292*Inputs!$D$20+C292*Inputs!$D$21+B292*Inputs!$D$22</f>
        <v>120</v>
      </c>
      <c r="E292" s="36">
        <f>MIN(Inputs!$E$15,Inputs!$D$15*(C292/Inputs!$D$43)^Inputs!$D$44)</f>
        <v>0.29449851547238159</v>
      </c>
      <c r="F292" s="36">
        <f>MIN(Inputs!$E$16,Inputs!$D$16*(B292/Inputs!$D$42)^Inputs!$D$44)</f>
        <v>0.46484180038786721</v>
      </c>
      <c r="G292" s="37">
        <f>Inputs!$D$26*(1+Inputs!$D$41*(B292-Inputs!$D$42))</f>
        <v>1.6949999999999998</v>
      </c>
      <c r="H292" s="35">
        <f>Inputs!$D$6*Inputs!$D$14*G292*Inputs!$D$29</f>
        <v>2129.64885</v>
      </c>
      <c r="I292" s="36">
        <f>H292/(A292*Inputs!$D$32)</f>
        <v>1.0755802272727273</v>
      </c>
      <c r="J292" s="38">
        <f>IF(I292&gt;=1,999,I292/(Inputs!$D$32*(1-I292))*60)</f>
        <v>999</v>
      </c>
      <c r="K292" s="37">
        <f>MIN(1,MAX(0,(J292-Inputs!$D$36)/(Inputs!$D$37-Inputs!$D$36)))</f>
        <v>1</v>
      </c>
      <c r="L292" s="35">
        <f>Inputs!$D$6*Inputs!$D$14*G292*(1-Inputs!$D$38*K292)</f>
        <v>7808.71245</v>
      </c>
      <c r="M292" s="39">
        <f>L292*Inputs!$D$11</f>
        <v>167887.317675</v>
      </c>
      <c r="N292" s="39">
        <f>M292*(1-Inputs!$D$17)</f>
        <v>58760.561186249994</v>
      </c>
      <c r="O292" s="35">
        <f>Inputs!$D$6*E292*Inputs!$D$27*Inputs!$D$30</f>
        <v>420.14807408976606</v>
      </c>
      <c r="P292" s="36">
        <f>O292/(C292*Inputs!$D$33)</f>
        <v>0.58353899179134172</v>
      </c>
      <c r="Q292" s="38">
        <f>IF(P292&gt;=1,999,P292/(Inputs!$D$33*(1-P292))*60)</f>
        <v>2.1017777665477375</v>
      </c>
      <c r="R292" s="37">
        <f>MIN(1,MAX(0,(Q292-Inputs!$D$36)/(Inputs!$D$37-Inputs!$D$36)))</f>
        <v>0</v>
      </c>
      <c r="S292" s="35">
        <f>Inputs!$D$6*E292*Inputs!$D$27*(1-Inputs!$D$38*R292)</f>
        <v>3501.2339507480506</v>
      </c>
      <c r="T292" s="39">
        <f>S292*Inputs!$D$12</f>
        <v>56019.743211968809</v>
      </c>
      <c r="U292" s="39">
        <f>T292*(1-Inputs!$D$18)</f>
        <v>25208.88444538596</v>
      </c>
      <c r="V292" s="35">
        <f>Inputs!$D$6*F292*Inputs!$D$28*Inputs!$D$31</f>
        <v>783.74558786036266</v>
      </c>
      <c r="W292" s="36">
        <f>V292/(B292*Inputs!$D$34)</f>
        <v>0.67856760853711051</v>
      </c>
      <c r="X292" s="38">
        <f>IF(W292&gt;=1,999,W292/(Inputs!$D$34*(1-W292))*60)</f>
        <v>3.6189842355277744</v>
      </c>
      <c r="Y292" s="37">
        <f>MIN(1,MAX(0,(X292-Inputs!$D$36)/(Inputs!$D$37-Inputs!$D$36)))</f>
        <v>0</v>
      </c>
      <c r="Z292" s="35">
        <f>Inputs!$D$6*F292*Inputs!$D$28*(1-Inputs!$D$38*Y292)</f>
        <v>6028.812214310482</v>
      </c>
      <c r="AA292" s="39">
        <f>Z292*Inputs!$D$13</f>
        <v>51244.903821639098</v>
      </c>
      <c r="AB292" s="39">
        <f>AA292*(1-Inputs!$D$19)</f>
        <v>30746.942292983458</v>
      </c>
      <c r="AC292" s="39">
        <f t="shared" si="16"/>
        <v>275151.96470860788</v>
      </c>
      <c r="AD292" s="39">
        <f t="shared" si="17"/>
        <v>114716.38792461941</v>
      </c>
      <c r="AE292" s="36">
        <f t="shared" si="18"/>
        <v>1.0755802272727273</v>
      </c>
      <c r="AF292" s="35">
        <f>IF(AND(AE292&lt;=Inputs!$D$35,C292&gt;=Inputs!$D$48*(A292+B292+C292),B292*Inputs!$D$22&lt;=Inputs!$D$50*Inputs!$D$8,B292*Inputs!$D$22&gt;=Inputs!$D$49*Inputs!$D$8,A292*Inputs!$D$20&lt;=Inputs!$D$47*Inputs!$D$8,C292&gt;=1),1,0)</f>
        <v>0</v>
      </c>
      <c r="AG292" s="39">
        <f t="shared" si="19"/>
        <v>-1</v>
      </c>
    </row>
    <row r="293" spans="1:33" x14ac:dyDescent="0.25">
      <c r="A293" s="35">
        <v>37</v>
      </c>
      <c r="B293" s="35">
        <v>10</v>
      </c>
      <c r="C293" s="35">
        <f>Inputs!$D$8-A293-Inputs!$D$22*B293</f>
        <v>63</v>
      </c>
      <c r="D293" s="35">
        <f>A293*Inputs!$D$20+C293*Inputs!$D$21+B293*Inputs!$D$22</f>
        <v>120</v>
      </c>
      <c r="E293" s="36">
        <f>MIN(Inputs!$E$15,Inputs!$D$15*(C293/Inputs!$D$43)^Inputs!$D$44)</f>
        <v>0.4</v>
      </c>
      <c r="F293" s="36">
        <f>MIN(Inputs!$E$16,Inputs!$D$16*(B293/Inputs!$D$42)^Inputs!$D$44)</f>
        <v>0.32490095854249423</v>
      </c>
      <c r="G293" s="37">
        <f>Inputs!$D$26*(1+Inputs!$D$41*(B293-Inputs!$D$42))</f>
        <v>1.35</v>
      </c>
      <c r="H293" s="35">
        <f>Inputs!$D$6*Inputs!$D$14*G293*Inputs!$D$29</f>
        <v>1696.1805000000004</v>
      </c>
      <c r="I293" s="36">
        <f>H293/(A293*Inputs!$D$32)</f>
        <v>0.8335039312039314</v>
      </c>
      <c r="J293" s="38">
        <f>IF(I293&gt;=1,999,I293/(Inputs!$D$32*(1-I293))*60)</f>
        <v>5.4612521630919399</v>
      </c>
      <c r="K293" s="37">
        <f>MIN(1,MAX(0,(J293-Inputs!$D$36)/(Inputs!$D$37-Inputs!$D$36)))</f>
        <v>3.0750144206129329E-2</v>
      </c>
      <c r="L293" s="35">
        <f>Inputs!$D$6*Inputs!$D$14*G293*(1-Inputs!$D$38*K293)</f>
        <v>11151.396615076128</v>
      </c>
      <c r="M293" s="39">
        <f>L293*Inputs!$D$11</f>
        <v>239755.02722413675</v>
      </c>
      <c r="N293" s="39">
        <f>M293*(1-Inputs!$D$17)</f>
        <v>83914.259528447859</v>
      </c>
      <c r="O293" s="35">
        <f>Inputs!$D$6*E293*Inputs!$D$27*Inputs!$D$30</f>
        <v>570.66240000000005</v>
      </c>
      <c r="P293" s="36">
        <f>O293/(C293*Inputs!$D$33)</f>
        <v>0.22645333333333334</v>
      </c>
      <c r="Q293" s="38">
        <f>IF(P293&gt;=1,999,P293/(Inputs!$D$33*(1-P293))*60)</f>
        <v>0.43912024269167138</v>
      </c>
      <c r="R293" s="37">
        <f>MIN(1,MAX(0,(Q293-Inputs!$D$36)/(Inputs!$D$37-Inputs!$D$36)))</f>
        <v>0</v>
      </c>
      <c r="S293" s="35">
        <f>Inputs!$D$6*E293*Inputs!$D$27*(1-Inputs!$D$38*R293)</f>
        <v>4755.5200000000004</v>
      </c>
      <c r="T293" s="39">
        <f>S293*Inputs!$D$12</f>
        <v>76088.320000000007</v>
      </c>
      <c r="U293" s="39">
        <f>T293*(1-Inputs!$D$18)</f>
        <v>34239.743999999999</v>
      </c>
      <c r="V293" s="35">
        <f>Inputs!$D$6*F293*Inputs!$D$28*Inputs!$D$31</f>
        <v>547.7986113486553</v>
      </c>
      <c r="W293" s="36">
        <f>V293/(B293*Inputs!$D$34)</f>
        <v>1.5651388895675866</v>
      </c>
      <c r="X293" s="38">
        <f>IF(W293&gt;=1,999,W293/(Inputs!$D$34*(1-W293))*60)</f>
        <v>999</v>
      </c>
      <c r="Y293" s="37">
        <f>MIN(1,MAX(0,(X293-Inputs!$D$36)/(Inputs!$D$37-Inputs!$D$36)))</f>
        <v>1</v>
      </c>
      <c r="Z293" s="35">
        <f>Inputs!$D$6*F293*Inputs!$D$28*(1-Inputs!$D$38*Y293)</f>
        <v>2317.6095095520031</v>
      </c>
      <c r="AA293" s="39">
        <f>Z293*Inputs!$D$13</f>
        <v>19699.680831192025</v>
      </c>
      <c r="AB293" s="39">
        <f>AA293*(1-Inputs!$D$19)</f>
        <v>11819.808498715214</v>
      </c>
      <c r="AC293" s="39">
        <f t="shared" si="16"/>
        <v>335543.02805532876</v>
      </c>
      <c r="AD293" s="39">
        <f t="shared" si="17"/>
        <v>129973.81202716306</v>
      </c>
      <c r="AE293" s="36">
        <f t="shared" si="18"/>
        <v>1.5651388895675866</v>
      </c>
      <c r="AF293" s="35">
        <f>IF(AND(AE293&lt;=Inputs!$D$35,C293&gt;=Inputs!$D$48*(A293+B293+C293),B293*Inputs!$D$22&lt;=Inputs!$D$50*Inputs!$D$8,B293*Inputs!$D$22&gt;=Inputs!$D$49*Inputs!$D$8,A293*Inputs!$D$20&lt;=Inputs!$D$47*Inputs!$D$8,C293&gt;=1),1,0)</f>
        <v>0</v>
      </c>
      <c r="AG293" s="39">
        <f t="shared" si="19"/>
        <v>-1</v>
      </c>
    </row>
    <row r="294" spans="1:33" x14ac:dyDescent="0.25">
      <c r="A294" s="35">
        <v>37</v>
      </c>
      <c r="B294" s="35">
        <v>11</v>
      </c>
      <c r="C294" s="35">
        <f>Inputs!$D$8-A294-Inputs!$D$22*B294</f>
        <v>61</v>
      </c>
      <c r="D294" s="35">
        <f>A294*Inputs!$D$20+C294*Inputs!$D$21+B294*Inputs!$D$22</f>
        <v>120</v>
      </c>
      <c r="E294" s="36">
        <f>MIN(Inputs!$E$15,Inputs!$D$15*(C294/Inputs!$D$43)^Inputs!$D$44)</f>
        <v>0.4</v>
      </c>
      <c r="F294" s="36">
        <f>MIN(Inputs!$E$16,Inputs!$D$16*(B294/Inputs!$D$42)^Inputs!$D$44)</f>
        <v>0.33432495758166098</v>
      </c>
      <c r="G294" s="37">
        <f>Inputs!$D$26*(1+Inputs!$D$41*(B294-Inputs!$D$42))</f>
        <v>1.365</v>
      </c>
      <c r="H294" s="35">
        <f>Inputs!$D$6*Inputs!$D$14*G294*Inputs!$D$29</f>
        <v>1715.0269500000002</v>
      </c>
      <c r="I294" s="36">
        <f>H294/(A294*Inputs!$D$32)</f>
        <v>0.84276508599508604</v>
      </c>
      <c r="J294" s="38">
        <f>IF(I294&gt;=1,999,I294/(Inputs!$D$32*(1-I294))*60)</f>
        <v>5.8471752258794663</v>
      </c>
      <c r="K294" s="37">
        <f>MIN(1,MAX(0,(J294-Inputs!$D$36)/(Inputs!$D$37-Inputs!$D$36)))</f>
        <v>5.6478348391964417E-2</v>
      </c>
      <c r="L294" s="35">
        <f>Inputs!$D$6*Inputs!$D$14*G294*(1-Inputs!$D$38*K294)</f>
        <v>11142.927331248877</v>
      </c>
      <c r="M294" s="39">
        <f>L294*Inputs!$D$11</f>
        <v>239572.93762185084</v>
      </c>
      <c r="N294" s="39">
        <f>M294*(1-Inputs!$D$17)</f>
        <v>83850.52816764779</v>
      </c>
      <c r="O294" s="35">
        <f>Inputs!$D$6*E294*Inputs!$D$27*Inputs!$D$30</f>
        <v>570.66240000000005</v>
      </c>
      <c r="P294" s="36">
        <f>O294/(C294*Inputs!$D$33)</f>
        <v>0.23387803278688526</v>
      </c>
      <c r="Q294" s="38">
        <f>IF(P294&gt;=1,999,P294/(Inputs!$D$33*(1-P294))*60)</f>
        <v>0.45791279221046005</v>
      </c>
      <c r="R294" s="37">
        <f>MIN(1,MAX(0,(Q294-Inputs!$D$36)/(Inputs!$D$37-Inputs!$D$36)))</f>
        <v>0</v>
      </c>
      <c r="S294" s="35">
        <f>Inputs!$D$6*E294*Inputs!$D$27*(1-Inputs!$D$38*R294)</f>
        <v>4755.5200000000004</v>
      </c>
      <c r="T294" s="39">
        <f>S294*Inputs!$D$12</f>
        <v>76088.320000000007</v>
      </c>
      <c r="U294" s="39">
        <f>T294*(1-Inputs!$D$18)</f>
        <v>34239.743999999999</v>
      </c>
      <c r="V294" s="35">
        <f>Inputs!$D$6*F294*Inputs!$D$28*Inputs!$D$31</f>
        <v>563.68792608064427</v>
      </c>
      <c r="W294" s="36">
        <f>V294/(B294*Inputs!$D$34)</f>
        <v>1.4641244833263487</v>
      </c>
      <c r="X294" s="38">
        <f>IF(W294&gt;=1,999,W294/(Inputs!$D$34*(1-W294))*60)</f>
        <v>999</v>
      </c>
      <c r="Y294" s="37">
        <f>MIN(1,MAX(0,(X294-Inputs!$D$36)/(Inputs!$D$37-Inputs!$D$36)))</f>
        <v>1</v>
      </c>
      <c r="Z294" s="35">
        <f>Inputs!$D$6*F294*Inputs!$D$28*(1-Inputs!$D$38*Y294)</f>
        <v>2384.8335334181106</v>
      </c>
      <c r="AA294" s="39">
        <f>Z294*Inputs!$D$13</f>
        <v>20271.08503405394</v>
      </c>
      <c r="AB294" s="39">
        <f>AA294*(1-Inputs!$D$19)</f>
        <v>12162.651020432364</v>
      </c>
      <c r="AC294" s="39">
        <f t="shared" si="16"/>
        <v>335932.34265590477</v>
      </c>
      <c r="AD294" s="39">
        <f t="shared" si="17"/>
        <v>130252.92318808014</v>
      </c>
      <c r="AE294" s="36">
        <f t="shared" si="18"/>
        <v>1.4641244833263487</v>
      </c>
      <c r="AF294" s="35">
        <f>IF(AND(AE294&lt;=Inputs!$D$35,C294&gt;=Inputs!$D$48*(A294+B294+C294),B294*Inputs!$D$22&lt;=Inputs!$D$50*Inputs!$D$8,B294*Inputs!$D$22&gt;=Inputs!$D$49*Inputs!$D$8,A294*Inputs!$D$20&lt;=Inputs!$D$47*Inputs!$D$8,C294&gt;=1),1,0)</f>
        <v>0</v>
      </c>
      <c r="AG294" s="39">
        <f t="shared" si="19"/>
        <v>-1</v>
      </c>
    </row>
    <row r="295" spans="1:33" x14ac:dyDescent="0.25">
      <c r="A295" s="35">
        <v>37</v>
      </c>
      <c r="B295" s="35">
        <v>12</v>
      </c>
      <c r="C295" s="35">
        <f>Inputs!$D$8-A295-Inputs!$D$22*B295</f>
        <v>59</v>
      </c>
      <c r="D295" s="35">
        <f>A295*Inputs!$D$20+C295*Inputs!$D$21+B295*Inputs!$D$22</f>
        <v>120</v>
      </c>
      <c r="E295" s="36">
        <f>MIN(Inputs!$E$15,Inputs!$D$15*(C295/Inputs!$D$43)^Inputs!$D$44)</f>
        <v>0.4</v>
      </c>
      <c r="F295" s="36">
        <f>MIN(Inputs!$E$16,Inputs!$D$16*(B295/Inputs!$D$42)^Inputs!$D$44)</f>
        <v>0.34316688017763797</v>
      </c>
      <c r="G295" s="37">
        <f>Inputs!$D$26*(1+Inputs!$D$41*(B295-Inputs!$D$42))</f>
        <v>1.3800000000000001</v>
      </c>
      <c r="H295" s="35">
        <f>Inputs!$D$6*Inputs!$D$14*G295*Inputs!$D$29</f>
        <v>1733.8734000000004</v>
      </c>
      <c r="I295" s="36">
        <f>H295/(A295*Inputs!$D$32)</f>
        <v>0.85202624078624101</v>
      </c>
      <c r="J295" s="38">
        <f>IF(I295&gt;=1,999,I295/(Inputs!$D$32*(1-I295))*60)</f>
        <v>6.2814054106992137</v>
      </c>
      <c r="K295" s="37">
        <f>MIN(1,MAX(0,(J295-Inputs!$D$36)/(Inputs!$D$37-Inputs!$D$36)))</f>
        <v>8.5427027379947576E-2</v>
      </c>
      <c r="L295" s="35">
        <f>Inputs!$D$6*Inputs!$D$14*G295*(1-Inputs!$D$38*K295)</f>
        <v>11114.797048754514</v>
      </c>
      <c r="M295" s="39">
        <f>L295*Inputs!$D$11</f>
        <v>238968.13654822204</v>
      </c>
      <c r="N295" s="39">
        <f>M295*(1-Inputs!$D$17)</f>
        <v>83638.847791877706</v>
      </c>
      <c r="O295" s="35">
        <f>Inputs!$D$6*E295*Inputs!$D$27*Inputs!$D$30</f>
        <v>570.66240000000005</v>
      </c>
      <c r="P295" s="36">
        <f>O295/(C295*Inputs!$D$33)</f>
        <v>0.24180610169491529</v>
      </c>
      <c r="Q295" s="38">
        <f>IF(P295&gt;=1,999,P295/(Inputs!$D$33*(1-P295))*60)</f>
        <v>0.47838574453473742</v>
      </c>
      <c r="R295" s="37">
        <f>MIN(1,MAX(0,(Q295-Inputs!$D$36)/(Inputs!$D$37-Inputs!$D$36)))</f>
        <v>0</v>
      </c>
      <c r="S295" s="35">
        <f>Inputs!$D$6*E295*Inputs!$D$27*(1-Inputs!$D$38*R295)</f>
        <v>4755.5200000000004</v>
      </c>
      <c r="T295" s="39">
        <f>S295*Inputs!$D$12</f>
        <v>76088.320000000007</v>
      </c>
      <c r="U295" s="39">
        <f>T295*(1-Inputs!$D$18)</f>
        <v>34239.743999999999</v>
      </c>
      <c r="V295" s="35">
        <f>Inputs!$D$6*F295*Inputs!$D$28*Inputs!$D$31</f>
        <v>578.5958319897461</v>
      </c>
      <c r="W295" s="36">
        <f>V295/(B295*Inputs!$D$34)</f>
        <v>1.3776091237851098</v>
      </c>
      <c r="X295" s="38">
        <f>IF(W295&gt;=1,999,W295/(Inputs!$D$34*(1-W295))*60)</f>
        <v>999</v>
      </c>
      <c r="Y295" s="37">
        <f>MIN(1,MAX(0,(X295-Inputs!$D$36)/(Inputs!$D$37-Inputs!$D$36)))</f>
        <v>1</v>
      </c>
      <c r="Z295" s="35">
        <f>Inputs!$D$6*F295*Inputs!$D$28*(1-Inputs!$D$38*Y295)</f>
        <v>2447.9054430335414</v>
      </c>
      <c r="AA295" s="39">
        <f>Z295*Inputs!$D$13</f>
        <v>20807.1962657851</v>
      </c>
      <c r="AB295" s="39">
        <f>AA295*(1-Inputs!$D$19)</f>
        <v>12484.31775947106</v>
      </c>
      <c r="AC295" s="39">
        <f t="shared" si="16"/>
        <v>335863.65281400713</v>
      </c>
      <c r="AD295" s="39">
        <f t="shared" si="17"/>
        <v>130362.90955134876</v>
      </c>
      <c r="AE295" s="36">
        <f t="shared" si="18"/>
        <v>1.3776091237851098</v>
      </c>
      <c r="AF295" s="35">
        <f>IF(AND(AE295&lt;=Inputs!$D$35,C295&gt;=Inputs!$D$48*(A295+B295+C295),B295*Inputs!$D$22&lt;=Inputs!$D$50*Inputs!$D$8,B295*Inputs!$D$22&gt;=Inputs!$D$49*Inputs!$D$8,A295*Inputs!$D$20&lt;=Inputs!$D$47*Inputs!$D$8,C295&gt;=1),1,0)</f>
        <v>0</v>
      </c>
      <c r="AG295" s="39">
        <f t="shared" si="19"/>
        <v>-1</v>
      </c>
    </row>
    <row r="296" spans="1:33" x14ac:dyDescent="0.25">
      <c r="A296" s="35">
        <v>37</v>
      </c>
      <c r="B296" s="35">
        <v>13</v>
      </c>
      <c r="C296" s="35">
        <f>Inputs!$D$8-A296-Inputs!$D$22*B296</f>
        <v>57</v>
      </c>
      <c r="D296" s="35">
        <f>A296*Inputs!$D$20+C296*Inputs!$D$21+B296*Inputs!$D$22</f>
        <v>120</v>
      </c>
      <c r="E296" s="36">
        <f>MIN(Inputs!$E$15,Inputs!$D$15*(C296/Inputs!$D$43)^Inputs!$D$44)</f>
        <v>0.4</v>
      </c>
      <c r="F296" s="36">
        <f>MIN(Inputs!$E$16,Inputs!$D$16*(B296/Inputs!$D$42)^Inputs!$D$44)</f>
        <v>0.35150701637190523</v>
      </c>
      <c r="G296" s="37">
        <f>Inputs!$D$26*(1+Inputs!$D$41*(B296-Inputs!$D$42))</f>
        <v>1.395</v>
      </c>
      <c r="H296" s="35">
        <f>Inputs!$D$6*Inputs!$D$14*G296*Inputs!$D$29</f>
        <v>1752.7198500000002</v>
      </c>
      <c r="I296" s="36">
        <f>H296/(A296*Inputs!$D$32)</f>
        <v>0.86128739557739564</v>
      </c>
      <c r="J296" s="38">
        <f>IF(I296&gt;=1,999,I296/(Inputs!$D$32*(1-I296))*60)</f>
        <v>6.7736184006626727</v>
      </c>
      <c r="K296" s="37">
        <f>MIN(1,MAX(0,(J296-Inputs!$D$36)/(Inputs!$D$37-Inputs!$D$36)))</f>
        <v>0.11824122671084485</v>
      </c>
      <c r="L296" s="35">
        <f>Inputs!$D$6*Inputs!$D$14*G296*(1-Inputs!$D$38*K296)</f>
        <v>11063.067764566656</v>
      </c>
      <c r="M296" s="39">
        <f>L296*Inputs!$D$11</f>
        <v>237855.95693818311</v>
      </c>
      <c r="N296" s="39">
        <f>M296*(1-Inputs!$D$17)</f>
        <v>83249.584928364085</v>
      </c>
      <c r="O296" s="35">
        <f>Inputs!$D$6*E296*Inputs!$D$27*Inputs!$D$30</f>
        <v>570.66240000000005</v>
      </c>
      <c r="P296" s="36">
        <f>O296/(C296*Inputs!$D$33)</f>
        <v>0.25029052631578952</v>
      </c>
      <c r="Q296" s="38">
        <f>IF(P296&gt;=1,999,P296/(Inputs!$D$33*(1-P296))*60)</f>
        <v>0.50077503706699034</v>
      </c>
      <c r="R296" s="37">
        <f>MIN(1,MAX(0,(Q296-Inputs!$D$36)/(Inputs!$D$37-Inputs!$D$36)))</f>
        <v>0</v>
      </c>
      <c r="S296" s="35">
        <f>Inputs!$D$6*E296*Inputs!$D$27*(1-Inputs!$D$38*R296)</f>
        <v>4755.5200000000004</v>
      </c>
      <c r="T296" s="39">
        <f>S296*Inputs!$D$12</f>
        <v>76088.320000000007</v>
      </c>
      <c r="U296" s="39">
        <f>T296*(1-Inputs!$D$18)</f>
        <v>34239.743999999999</v>
      </c>
      <c r="V296" s="35">
        <f>Inputs!$D$6*F296*Inputs!$D$28*Inputs!$D$31</f>
        <v>592.65770193981814</v>
      </c>
      <c r="W296" s="36">
        <f>V296/(B296*Inputs!$D$34)</f>
        <v>1.3025443998677322</v>
      </c>
      <c r="X296" s="38">
        <f>IF(W296&gt;=1,999,W296/(Inputs!$D$34*(1-W296))*60)</f>
        <v>999</v>
      </c>
      <c r="Y296" s="37">
        <f>MIN(1,MAX(0,(X296-Inputs!$D$36)/(Inputs!$D$37-Inputs!$D$36)))</f>
        <v>1</v>
      </c>
      <c r="Z296" s="35">
        <f>Inputs!$D$6*F296*Inputs!$D$28*(1-Inputs!$D$38*Y296)</f>
        <v>2507.3979697453847</v>
      </c>
      <c r="AA296" s="39">
        <f>Z296*Inputs!$D$13</f>
        <v>21312.882742835769</v>
      </c>
      <c r="AB296" s="39">
        <f>AA296*(1-Inputs!$D$19)</f>
        <v>12787.729645701462</v>
      </c>
      <c r="AC296" s="39">
        <f t="shared" si="16"/>
        <v>335257.15968101891</v>
      </c>
      <c r="AD296" s="39">
        <f t="shared" si="17"/>
        <v>130277.05857406555</v>
      </c>
      <c r="AE296" s="36">
        <f t="shared" si="18"/>
        <v>1.3025443998677322</v>
      </c>
      <c r="AF296" s="35">
        <f>IF(AND(AE296&lt;=Inputs!$D$35,C296&gt;=Inputs!$D$48*(A296+B296+C296),B296*Inputs!$D$22&lt;=Inputs!$D$50*Inputs!$D$8,B296*Inputs!$D$22&gt;=Inputs!$D$49*Inputs!$D$8,A296*Inputs!$D$20&lt;=Inputs!$D$47*Inputs!$D$8,C296&gt;=1),1,0)</f>
        <v>0</v>
      </c>
      <c r="AG296" s="39">
        <f t="shared" si="19"/>
        <v>-1</v>
      </c>
    </row>
    <row r="297" spans="1:33" x14ac:dyDescent="0.25">
      <c r="A297" s="35">
        <v>37</v>
      </c>
      <c r="B297" s="35">
        <v>14</v>
      </c>
      <c r="C297" s="35">
        <f>Inputs!$D$8-A297-Inputs!$D$22*B297</f>
        <v>55</v>
      </c>
      <c r="D297" s="35">
        <f>A297*Inputs!$D$20+C297*Inputs!$D$21+B297*Inputs!$D$22</f>
        <v>120</v>
      </c>
      <c r="E297" s="36">
        <f>MIN(Inputs!$E$15,Inputs!$D$15*(C297/Inputs!$D$43)^Inputs!$D$44)</f>
        <v>0.4</v>
      </c>
      <c r="F297" s="36">
        <f>MIN(Inputs!$E$16,Inputs!$D$16*(B297/Inputs!$D$42)^Inputs!$D$44)</f>
        <v>0.35940937671625589</v>
      </c>
      <c r="G297" s="37">
        <f>Inputs!$D$26*(1+Inputs!$D$41*(B297-Inputs!$D$42))</f>
        <v>1.41</v>
      </c>
      <c r="H297" s="35">
        <f>Inputs!$D$6*Inputs!$D$14*G297*Inputs!$D$29</f>
        <v>1771.5663000000002</v>
      </c>
      <c r="I297" s="36">
        <f>H297/(A297*Inputs!$D$32)</f>
        <v>0.8705485503685505</v>
      </c>
      <c r="J297" s="38">
        <f>IF(I297&gt;=1,999,I297/(Inputs!$D$32*(1-I297))*60)</f>
        <v>7.3362587315828769</v>
      </c>
      <c r="K297" s="37">
        <f>MIN(1,MAX(0,(J297-Inputs!$D$36)/(Inputs!$D$37-Inputs!$D$36)))</f>
        <v>0.15575058210552511</v>
      </c>
      <c r="L297" s="35">
        <f>Inputs!$D$6*Inputs!$D$14*G297*(1-Inputs!$D$38*K297)</f>
        <v>10982.674552609406</v>
      </c>
      <c r="M297" s="39">
        <f>L297*Inputs!$D$11</f>
        <v>236127.50288110221</v>
      </c>
      <c r="N297" s="39">
        <f>M297*(1-Inputs!$D$17)</f>
        <v>82644.626008385763</v>
      </c>
      <c r="O297" s="35">
        <f>Inputs!$D$6*E297*Inputs!$D$27*Inputs!$D$30</f>
        <v>570.66240000000005</v>
      </c>
      <c r="P297" s="36">
        <f>O297/(C297*Inputs!$D$33)</f>
        <v>0.25939200000000001</v>
      </c>
      <c r="Q297" s="38">
        <f>IF(P297&gt;=1,999,P297/(Inputs!$D$33*(1-P297))*60)</f>
        <v>0.52536294503975123</v>
      </c>
      <c r="R297" s="37">
        <f>MIN(1,MAX(0,(Q297-Inputs!$D$36)/(Inputs!$D$37-Inputs!$D$36)))</f>
        <v>0</v>
      </c>
      <c r="S297" s="35">
        <f>Inputs!$D$6*E297*Inputs!$D$27*(1-Inputs!$D$38*R297)</f>
        <v>4755.5200000000004</v>
      </c>
      <c r="T297" s="39">
        <f>S297*Inputs!$D$12</f>
        <v>76088.320000000007</v>
      </c>
      <c r="U297" s="39">
        <f>T297*(1-Inputs!$D$18)</f>
        <v>34239.743999999999</v>
      </c>
      <c r="V297" s="35">
        <f>Inputs!$D$6*F297*Inputs!$D$28*Inputs!$D$31</f>
        <v>605.98146079368973</v>
      </c>
      <c r="W297" s="36">
        <f>V297/(B297*Inputs!$D$34)</f>
        <v>1.2366968587626321</v>
      </c>
      <c r="X297" s="38">
        <f>IF(W297&gt;=1,999,W297/(Inputs!$D$34*(1-W297))*60)</f>
        <v>999</v>
      </c>
      <c r="Y297" s="37">
        <f>MIN(1,MAX(0,(X297-Inputs!$D$36)/(Inputs!$D$37-Inputs!$D$36)))</f>
        <v>1</v>
      </c>
      <c r="Z297" s="35">
        <f>Inputs!$D$6*F297*Inputs!$D$28*(1-Inputs!$D$38*Y297)</f>
        <v>2563.7677187425338</v>
      </c>
      <c r="AA297" s="39">
        <f>Z297*Inputs!$D$13</f>
        <v>21792.025609311539</v>
      </c>
      <c r="AB297" s="39">
        <f>AA297*(1-Inputs!$D$19)</f>
        <v>13075.215365586922</v>
      </c>
      <c r="AC297" s="39">
        <f t="shared" si="16"/>
        <v>334007.84849041374</v>
      </c>
      <c r="AD297" s="39">
        <f t="shared" si="17"/>
        <v>129959.58537397269</v>
      </c>
      <c r="AE297" s="36">
        <f t="shared" si="18"/>
        <v>1.2366968587626321</v>
      </c>
      <c r="AF297" s="35">
        <f>IF(AND(AE297&lt;=Inputs!$D$35,C297&gt;=Inputs!$D$48*(A297+B297+C297),B297*Inputs!$D$22&lt;=Inputs!$D$50*Inputs!$D$8,B297*Inputs!$D$22&gt;=Inputs!$D$49*Inputs!$D$8,A297*Inputs!$D$20&lt;=Inputs!$D$47*Inputs!$D$8,C297&gt;=1),1,0)</f>
        <v>0</v>
      </c>
      <c r="AG297" s="39">
        <f t="shared" si="19"/>
        <v>-1</v>
      </c>
    </row>
    <row r="298" spans="1:33" x14ac:dyDescent="0.25">
      <c r="A298" s="35">
        <v>37</v>
      </c>
      <c r="B298" s="35">
        <v>15</v>
      </c>
      <c r="C298" s="35">
        <f>Inputs!$D$8-A298-Inputs!$D$22*B298</f>
        <v>53</v>
      </c>
      <c r="D298" s="35">
        <f>A298*Inputs!$D$20+C298*Inputs!$D$21+B298*Inputs!$D$22</f>
        <v>120</v>
      </c>
      <c r="E298" s="36">
        <f>MIN(Inputs!$E$15,Inputs!$D$15*(C298/Inputs!$D$43)^Inputs!$D$44)</f>
        <v>0.4</v>
      </c>
      <c r="F298" s="36">
        <f>MIN(Inputs!$E$16,Inputs!$D$16*(B298/Inputs!$D$42)^Inputs!$D$44)</f>
        <v>0.36692590185696072</v>
      </c>
      <c r="G298" s="37">
        <f>Inputs!$D$26*(1+Inputs!$D$41*(B298-Inputs!$D$42))</f>
        <v>1.4249999999999998</v>
      </c>
      <c r="H298" s="35">
        <f>Inputs!$D$6*Inputs!$D$14*G298*Inputs!$D$29</f>
        <v>1790.4127499999997</v>
      </c>
      <c r="I298" s="36">
        <f>H298/(A298*Inputs!$D$32)</f>
        <v>0.87980970515970502</v>
      </c>
      <c r="J298" s="38">
        <f>IF(I298&gt;=1,999,I298/(Inputs!$D$32*(1-I298))*60)</f>
        <v>7.9856065492152304</v>
      </c>
      <c r="K298" s="37">
        <f>MIN(1,MAX(0,(J298-Inputs!$D$36)/(Inputs!$D$37-Inputs!$D$36)))</f>
        <v>0.1990404366143487</v>
      </c>
      <c r="L298" s="35">
        <f>Inputs!$D$6*Inputs!$D$14*G298*(1-Inputs!$D$38*K298)</f>
        <v>10866.991393560309</v>
      </c>
      <c r="M298" s="39">
        <f>L298*Inputs!$D$11</f>
        <v>233640.31496154665</v>
      </c>
      <c r="N298" s="39">
        <f>M298*(1-Inputs!$D$17)</f>
        <v>81774.110236541324</v>
      </c>
      <c r="O298" s="35">
        <f>Inputs!$D$6*E298*Inputs!$D$27*Inputs!$D$30</f>
        <v>570.66240000000005</v>
      </c>
      <c r="P298" s="36">
        <f>O298/(C298*Inputs!$D$33)</f>
        <v>0.2691803773584906</v>
      </c>
      <c r="Q298" s="38">
        <f>IF(P298&gt;=1,999,P298/(Inputs!$D$33*(1-P298))*60)</f>
        <v>0.5524900447778458</v>
      </c>
      <c r="R298" s="37">
        <f>MIN(1,MAX(0,(Q298-Inputs!$D$36)/(Inputs!$D$37-Inputs!$D$36)))</f>
        <v>0</v>
      </c>
      <c r="S298" s="35">
        <f>Inputs!$D$6*E298*Inputs!$D$27*(1-Inputs!$D$38*R298)</f>
        <v>4755.5200000000004</v>
      </c>
      <c r="T298" s="39">
        <f>S298*Inputs!$D$12</f>
        <v>76088.320000000007</v>
      </c>
      <c r="U298" s="39">
        <f>T298*(1-Inputs!$D$18)</f>
        <v>34239.743999999999</v>
      </c>
      <c r="V298" s="35">
        <f>Inputs!$D$6*F298*Inputs!$D$28*Inputs!$D$31</f>
        <v>618.65468297412497</v>
      </c>
      <c r="W298" s="36">
        <f>V298/(B298*Inputs!$D$34)</f>
        <v>1.1783898723316666</v>
      </c>
      <c r="X298" s="38">
        <f>IF(W298&gt;=1,999,W298/(Inputs!$D$34*(1-W298))*60)</f>
        <v>999</v>
      </c>
      <c r="Y298" s="37">
        <f>MIN(1,MAX(0,(X298-Inputs!$D$36)/(Inputs!$D$37-Inputs!$D$36)))</f>
        <v>1</v>
      </c>
      <c r="Z298" s="35">
        <f>Inputs!$D$6*F298*Inputs!$D$28*(1-Inputs!$D$38*Y298)</f>
        <v>2617.3851971982212</v>
      </c>
      <c r="AA298" s="39">
        <f>Z298*Inputs!$D$13</f>
        <v>22247.774176184881</v>
      </c>
      <c r="AB298" s="39">
        <f>AA298*(1-Inputs!$D$19)</f>
        <v>13348.664505710929</v>
      </c>
      <c r="AC298" s="39">
        <f t="shared" si="16"/>
        <v>331976.40913773153</v>
      </c>
      <c r="AD298" s="39">
        <f t="shared" si="17"/>
        <v>129362.51874225224</v>
      </c>
      <c r="AE298" s="36">
        <f t="shared" si="18"/>
        <v>1.1783898723316666</v>
      </c>
      <c r="AF298" s="35">
        <f>IF(AND(AE298&lt;=Inputs!$D$35,C298&gt;=Inputs!$D$48*(A298+B298+C298),B298*Inputs!$D$22&lt;=Inputs!$D$50*Inputs!$D$8,B298*Inputs!$D$22&gt;=Inputs!$D$49*Inputs!$D$8,A298*Inputs!$D$20&lt;=Inputs!$D$47*Inputs!$D$8,C298&gt;=1),1,0)</f>
        <v>0</v>
      </c>
      <c r="AG298" s="39">
        <f t="shared" si="19"/>
        <v>-1</v>
      </c>
    </row>
    <row r="299" spans="1:33" x14ac:dyDescent="0.25">
      <c r="A299" s="35">
        <v>37</v>
      </c>
      <c r="B299" s="35">
        <v>16</v>
      </c>
      <c r="C299" s="35">
        <f>Inputs!$D$8-A299-Inputs!$D$22*B299</f>
        <v>51</v>
      </c>
      <c r="D299" s="35">
        <f>A299*Inputs!$D$20+C299*Inputs!$D$21+B299*Inputs!$D$22</f>
        <v>120</v>
      </c>
      <c r="E299" s="36">
        <f>MIN(Inputs!$E$15,Inputs!$D$15*(C299/Inputs!$D$43)^Inputs!$D$44)</f>
        <v>0.4</v>
      </c>
      <c r="F299" s="36">
        <f>MIN(Inputs!$E$16,Inputs!$D$16*(B299/Inputs!$D$42)^Inputs!$D$44)</f>
        <v>0.37409937912904856</v>
      </c>
      <c r="G299" s="37">
        <f>Inputs!$D$26*(1+Inputs!$D$41*(B299-Inputs!$D$42))</f>
        <v>1.44</v>
      </c>
      <c r="H299" s="35">
        <f>Inputs!$D$6*Inputs!$D$14*G299*Inputs!$D$29</f>
        <v>1809.2592000000002</v>
      </c>
      <c r="I299" s="36">
        <f>H299/(A299*Inputs!$D$32)</f>
        <v>0.88907085995085999</v>
      </c>
      <c r="J299" s="38">
        <f>IF(I299&gt;=1,999,I299/(Inputs!$D$32*(1-I299))*60)</f>
        <v>8.7433787294583425</v>
      </c>
      <c r="K299" s="37">
        <f>MIN(1,MAX(0,(J299-Inputs!$D$36)/(Inputs!$D$37-Inputs!$D$36)))</f>
        <v>0.2495585819638895</v>
      </c>
      <c r="L299" s="35">
        <f>Inputs!$D$6*Inputs!$D$14*G299*(1-Inputs!$D$38*K299)</f>
        <v>10707.179518928637</v>
      </c>
      <c r="M299" s="39">
        <f>L299*Inputs!$D$11</f>
        <v>230204.35965696568</v>
      </c>
      <c r="N299" s="39">
        <f>M299*(1-Inputs!$D$17)</f>
        <v>80571.525879937981</v>
      </c>
      <c r="O299" s="35">
        <f>Inputs!$D$6*E299*Inputs!$D$27*Inputs!$D$30</f>
        <v>570.66240000000005</v>
      </c>
      <c r="P299" s="36">
        <f>O299/(C299*Inputs!$D$33)</f>
        <v>0.27973647058823531</v>
      </c>
      <c r="Q299" s="38">
        <f>IF(P299&gt;=1,999,P299/(Inputs!$D$33*(1-P299))*60)</f>
        <v>0.5825710850930379</v>
      </c>
      <c r="R299" s="37">
        <f>MIN(1,MAX(0,(Q299-Inputs!$D$36)/(Inputs!$D$37-Inputs!$D$36)))</f>
        <v>0</v>
      </c>
      <c r="S299" s="35">
        <f>Inputs!$D$6*E299*Inputs!$D$27*(1-Inputs!$D$38*R299)</f>
        <v>4755.5200000000004</v>
      </c>
      <c r="T299" s="39">
        <f>S299*Inputs!$D$12</f>
        <v>76088.320000000007</v>
      </c>
      <c r="U299" s="39">
        <f>T299*(1-Inputs!$D$18)</f>
        <v>34239.743999999999</v>
      </c>
      <c r="V299" s="35">
        <f>Inputs!$D$6*F299*Inputs!$D$28*Inputs!$D$31</f>
        <v>630.74950998177405</v>
      </c>
      <c r="W299" s="36">
        <f>V299/(B299*Inputs!$D$34)</f>
        <v>1.1263384106817393</v>
      </c>
      <c r="X299" s="38">
        <f>IF(W299&gt;=1,999,W299/(Inputs!$D$34*(1-W299))*60)</f>
        <v>999</v>
      </c>
      <c r="Y299" s="37">
        <f>MIN(1,MAX(0,(X299-Inputs!$D$36)/(Inputs!$D$37-Inputs!$D$36)))</f>
        <v>1</v>
      </c>
      <c r="Z299" s="35">
        <f>Inputs!$D$6*F299*Inputs!$D$28*(1-Inputs!$D$38*Y299)</f>
        <v>2668.5556191536598</v>
      </c>
      <c r="AA299" s="39">
        <f>Z299*Inputs!$D$13</f>
        <v>22682.722762806108</v>
      </c>
      <c r="AB299" s="39">
        <f>AA299*(1-Inputs!$D$19)</f>
        <v>13609.633657683664</v>
      </c>
      <c r="AC299" s="39">
        <f t="shared" si="16"/>
        <v>328975.40241977177</v>
      </c>
      <c r="AD299" s="39">
        <f t="shared" si="17"/>
        <v>128420.90353762165</v>
      </c>
      <c r="AE299" s="36">
        <f t="shared" si="18"/>
        <v>1.1263384106817393</v>
      </c>
      <c r="AF299" s="35">
        <f>IF(AND(AE299&lt;=Inputs!$D$35,C299&gt;=Inputs!$D$48*(A299+B299+C299),B299*Inputs!$D$22&lt;=Inputs!$D$50*Inputs!$D$8,B299*Inputs!$D$22&gt;=Inputs!$D$49*Inputs!$D$8,A299*Inputs!$D$20&lt;=Inputs!$D$47*Inputs!$D$8,C299&gt;=1),1,0)</f>
        <v>0</v>
      </c>
      <c r="AG299" s="39">
        <f t="shared" si="19"/>
        <v>-1</v>
      </c>
    </row>
    <row r="300" spans="1:33" x14ac:dyDescent="0.25">
      <c r="A300" s="35">
        <v>37</v>
      </c>
      <c r="B300" s="35">
        <v>17</v>
      </c>
      <c r="C300" s="35">
        <f>Inputs!$D$8-A300-Inputs!$D$22*B300</f>
        <v>49</v>
      </c>
      <c r="D300" s="35">
        <f>A300*Inputs!$D$20+C300*Inputs!$D$21+B300*Inputs!$D$22</f>
        <v>120</v>
      </c>
      <c r="E300" s="36">
        <f>MIN(Inputs!$E$15,Inputs!$D$15*(C300/Inputs!$D$43)^Inputs!$D$44)</f>
        <v>0.39770420454194916</v>
      </c>
      <c r="F300" s="36">
        <f>MIN(Inputs!$E$16,Inputs!$D$16*(B300/Inputs!$D$42)^Inputs!$D$44)</f>
        <v>0.3809655184437048</v>
      </c>
      <c r="G300" s="37">
        <f>Inputs!$D$26*(1+Inputs!$D$41*(B300-Inputs!$D$42))</f>
        <v>1.4550000000000001</v>
      </c>
      <c r="H300" s="35">
        <f>Inputs!$D$6*Inputs!$D$14*G300*Inputs!$D$29</f>
        <v>1828.1056500000002</v>
      </c>
      <c r="I300" s="36">
        <f>H300/(A300*Inputs!$D$32)</f>
        <v>0.89833201474201485</v>
      </c>
      <c r="J300" s="38">
        <f>IF(I300&gt;=1,999,I300/(Inputs!$D$32*(1-I300))*60)</f>
        <v>9.6392050953893857</v>
      </c>
      <c r="K300" s="37">
        <f>MIN(1,MAX(0,(J300-Inputs!$D$36)/(Inputs!$D$37-Inputs!$D$36)))</f>
        <v>0.30928033969262569</v>
      </c>
      <c r="L300" s="35">
        <f>Inputs!$D$6*Inputs!$D$14*G300*(1-Inputs!$D$38*K300)</f>
        <v>10491.179590721977</v>
      </c>
      <c r="M300" s="39">
        <f>L300*Inputs!$D$11</f>
        <v>225560.36120052249</v>
      </c>
      <c r="N300" s="39">
        <f>M300*(1-Inputs!$D$17)</f>
        <v>78946.12642018286</v>
      </c>
      <c r="O300" s="35">
        <f>Inputs!$D$6*E300*Inputs!$D$27*Inputs!$D$30</f>
        <v>567.38708963499903</v>
      </c>
      <c r="P300" s="36">
        <f>O300/(C300*Inputs!$D$33)</f>
        <v>0.2894832089974485</v>
      </c>
      <c r="Q300" s="38">
        <f>IF(P300&gt;=1,999,P300/(Inputs!$D$33*(1-P300))*60)</f>
        <v>0.61113941147467321</v>
      </c>
      <c r="R300" s="37">
        <f>MIN(1,MAX(0,(Q300-Inputs!$D$36)/(Inputs!$D$37-Inputs!$D$36)))</f>
        <v>0</v>
      </c>
      <c r="S300" s="35">
        <f>Inputs!$D$6*E300*Inputs!$D$27*(1-Inputs!$D$38*R300)</f>
        <v>4728.2257469583255</v>
      </c>
      <c r="T300" s="39">
        <f>S300*Inputs!$D$12</f>
        <v>75651.611951333209</v>
      </c>
      <c r="U300" s="39">
        <f>T300*(1-Inputs!$D$18)</f>
        <v>34043.225378099938</v>
      </c>
      <c r="V300" s="35">
        <f>Inputs!$D$6*F300*Inputs!$D$28*Inputs!$D$31</f>
        <v>642.32615044097156</v>
      </c>
      <c r="W300" s="36">
        <f>V300/(B300*Inputs!$D$34)</f>
        <v>1.0795397486402882</v>
      </c>
      <c r="X300" s="38">
        <f>IF(W300&gt;=1,999,W300/(Inputs!$D$34*(1-W300))*60)</f>
        <v>999</v>
      </c>
      <c r="Y300" s="37">
        <f>MIN(1,MAX(0,(X300-Inputs!$D$36)/(Inputs!$D$37-Inputs!$D$36)))</f>
        <v>1</v>
      </c>
      <c r="Z300" s="35">
        <f>Inputs!$D$6*F300*Inputs!$D$28*(1-Inputs!$D$38*Y300)</f>
        <v>2717.5337134041106</v>
      </c>
      <c r="AA300" s="39">
        <f>Z300*Inputs!$D$13</f>
        <v>23099.03656393494</v>
      </c>
      <c r="AB300" s="39">
        <f>AA300*(1-Inputs!$D$19)</f>
        <v>13859.421938360963</v>
      </c>
      <c r="AC300" s="39">
        <f t="shared" si="16"/>
        <v>324311.00971579063</v>
      </c>
      <c r="AD300" s="39">
        <f t="shared" si="17"/>
        <v>126848.77373664375</v>
      </c>
      <c r="AE300" s="36">
        <f t="shared" si="18"/>
        <v>1.0795397486402882</v>
      </c>
      <c r="AF300" s="35">
        <f>IF(AND(AE300&lt;=Inputs!$D$35,C300&gt;=Inputs!$D$48*(A300+B300+C300),B300*Inputs!$D$22&lt;=Inputs!$D$50*Inputs!$D$8,B300*Inputs!$D$22&gt;=Inputs!$D$49*Inputs!$D$8,A300*Inputs!$D$20&lt;=Inputs!$D$47*Inputs!$D$8,C300&gt;=1),1,0)</f>
        <v>0</v>
      </c>
      <c r="AG300" s="39">
        <f t="shared" si="19"/>
        <v>-1</v>
      </c>
    </row>
    <row r="301" spans="1:33" x14ac:dyDescent="0.25">
      <c r="A301" s="35">
        <v>37</v>
      </c>
      <c r="B301" s="35">
        <v>18</v>
      </c>
      <c r="C301" s="35">
        <f>Inputs!$D$8-A301-Inputs!$D$22*B301</f>
        <v>47</v>
      </c>
      <c r="D301" s="35">
        <f>A301*Inputs!$D$20+C301*Inputs!$D$21+B301*Inputs!$D$22</f>
        <v>120</v>
      </c>
      <c r="E301" s="36">
        <f>MIN(Inputs!$E$15,Inputs!$D$15*(C301/Inputs!$D$43)^Inputs!$D$44)</f>
        <v>0.39276313309091065</v>
      </c>
      <c r="F301" s="36">
        <f>MIN(Inputs!$E$16,Inputs!$D$16*(B301/Inputs!$D$42)^Inputs!$D$44)</f>
        <v>0.38755446447890535</v>
      </c>
      <c r="G301" s="37">
        <f>Inputs!$D$26*(1+Inputs!$D$41*(B301-Inputs!$D$42))</f>
        <v>1.47</v>
      </c>
      <c r="H301" s="35">
        <f>Inputs!$D$6*Inputs!$D$14*G301*Inputs!$D$29</f>
        <v>1846.9521</v>
      </c>
      <c r="I301" s="36">
        <f>H301/(A301*Inputs!$D$32)</f>
        <v>0.90759316953316949</v>
      </c>
      <c r="J301" s="38">
        <f>IF(I301&gt;=1,999,I301/(Inputs!$D$32*(1-I301))*60)</f>
        <v>10.71459365599741</v>
      </c>
      <c r="K301" s="37">
        <f>MIN(1,MAX(0,(J301-Inputs!$D$36)/(Inputs!$D$37-Inputs!$D$36)))</f>
        <v>0.38097291039982734</v>
      </c>
      <c r="L301" s="35">
        <f>Inputs!$D$6*Inputs!$D$14*G301*(1-Inputs!$D$38*K301)</f>
        <v>10202.097849281783</v>
      </c>
      <c r="M301" s="39">
        <f>L301*Inputs!$D$11</f>
        <v>219345.10375955835</v>
      </c>
      <c r="N301" s="39">
        <f>M301*(1-Inputs!$D$17)</f>
        <v>76770.786315845413</v>
      </c>
      <c r="O301" s="35">
        <f>Inputs!$D$6*E301*Inputs!$D$27*Inputs!$D$30</f>
        <v>560.33788040294633</v>
      </c>
      <c r="P301" s="36">
        <f>O301/(C301*Inputs!$D$33)</f>
        <v>0.29805206404412038</v>
      </c>
      <c r="Q301" s="38">
        <f>IF(P301&gt;=1,999,P301/(Inputs!$D$33*(1-P301))*60)</f>
        <v>0.63691062138016075</v>
      </c>
      <c r="R301" s="37">
        <f>MIN(1,MAX(0,(Q301-Inputs!$D$36)/(Inputs!$D$37-Inputs!$D$36)))</f>
        <v>0</v>
      </c>
      <c r="S301" s="35">
        <f>Inputs!$D$6*E301*Inputs!$D$27*(1-Inputs!$D$38*R301)</f>
        <v>4669.4823366912196</v>
      </c>
      <c r="T301" s="39">
        <f>S301*Inputs!$D$12</f>
        <v>74711.717387059514</v>
      </c>
      <c r="U301" s="39">
        <f>T301*(1-Inputs!$D$18)</f>
        <v>33620.272824176776</v>
      </c>
      <c r="V301" s="35">
        <f>Inputs!$D$6*F301*Inputs!$D$28*Inputs!$D$31</f>
        <v>653.43542972572936</v>
      </c>
      <c r="W301" s="36">
        <f>V301/(B301*Inputs!$D$34)</f>
        <v>1.037199094802745</v>
      </c>
      <c r="X301" s="38">
        <f>IF(W301&gt;=1,999,W301/(Inputs!$D$34*(1-W301))*60)</f>
        <v>999</v>
      </c>
      <c r="Y301" s="37">
        <f>MIN(1,MAX(0,(X301-Inputs!$D$36)/(Inputs!$D$37-Inputs!$D$36)))</f>
        <v>1</v>
      </c>
      <c r="Z301" s="35">
        <f>Inputs!$D$6*F301*Inputs!$D$28*(1-Inputs!$D$38*Y301)</f>
        <v>2764.534510378086</v>
      </c>
      <c r="AA301" s="39">
        <f>Z301*Inputs!$D$13</f>
        <v>23498.543338213731</v>
      </c>
      <c r="AB301" s="39">
        <f>AA301*(1-Inputs!$D$19)</f>
        <v>14099.126002928238</v>
      </c>
      <c r="AC301" s="39">
        <f t="shared" si="16"/>
        <v>317555.36448483163</v>
      </c>
      <c r="AD301" s="39">
        <f t="shared" si="17"/>
        <v>124490.18514295043</v>
      </c>
      <c r="AE301" s="36">
        <f t="shared" si="18"/>
        <v>1.037199094802745</v>
      </c>
      <c r="AF301" s="35">
        <f>IF(AND(AE301&lt;=Inputs!$D$35,C301&gt;=Inputs!$D$48*(A301+B301+C301),B301*Inputs!$D$22&lt;=Inputs!$D$50*Inputs!$D$8,B301*Inputs!$D$22&gt;=Inputs!$D$49*Inputs!$D$8,A301*Inputs!$D$20&lt;=Inputs!$D$47*Inputs!$D$8,C301&gt;=1),1,0)</f>
        <v>0</v>
      </c>
      <c r="AG301" s="39">
        <f t="shared" si="19"/>
        <v>-1</v>
      </c>
    </row>
    <row r="302" spans="1:33" x14ac:dyDescent="0.25">
      <c r="A302" s="35">
        <v>37</v>
      </c>
      <c r="B302" s="35">
        <v>19</v>
      </c>
      <c r="C302" s="35">
        <f>Inputs!$D$8-A302-Inputs!$D$22*B302</f>
        <v>45</v>
      </c>
      <c r="D302" s="35">
        <f>A302*Inputs!$D$20+C302*Inputs!$D$21+B302*Inputs!$D$22</f>
        <v>120</v>
      </c>
      <c r="E302" s="36">
        <f>MIN(Inputs!$E$15,Inputs!$D$15*(C302/Inputs!$D$43)^Inputs!$D$44)</f>
        <v>0.38767260497069417</v>
      </c>
      <c r="F302" s="36">
        <f>MIN(Inputs!$E$16,Inputs!$D$16*(B302/Inputs!$D$42)^Inputs!$D$44)</f>
        <v>0.39389192072703005</v>
      </c>
      <c r="G302" s="37">
        <f>Inputs!$D$26*(1+Inputs!$D$41*(B302-Inputs!$D$42))</f>
        <v>1.4849999999999999</v>
      </c>
      <c r="H302" s="35">
        <f>Inputs!$D$6*Inputs!$D$14*G302*Inputs!$D$29</f>
        <v>1865.7985499999998</v>
      </c>
      <c r="I302" s="36">
        <f>H302/(A302*Inputs!$D$32)</f>
        <v>0.91685432432432423</v>
      </c>
      <c r="J302" s="38">
        <f>IF(I302&gt;=1,999,I302/(Inputs!$D$32*(1-I302))*60)</f>
        <v>12.029545846090546</v>
      </c>
      <c r="K302" s="37">
        <f>MIN(1,MAX(0,(J302-Inputs!$D$36)/(Inputs!$D$37-Inputs!$D$36)))</f>
        <v>0.46863638973936972</v>
      </c>
      <c r="L302" s="35">
        <f>Inputs!$D$6*Inputs!$D$14*G302*(1-Inputs!$D$38*K302)</f>
        <v>9815.5137106411476</v>
      </c>
      <c r="M302" s="39">
        <f>L302*Inputs!$D$11</f>
        <v>211033.54477878468</v>
      </c>
      <c r="N302" s="39">
        <f>M302*(1-Inputs!$D$17)</f>
        <v>73861.740672574626</v>
      </c>
      <c r="O302" s="35">
        <f>Inputs!$D$6*E302*Inputs!$D$27*Inputs!$D$30</f>
        <v>553.07544791707073</v>
      </c>
      <c r="P302" s="36">
        <f>O302/(C302*Inputs!$D$33)</f>
        <v>0.30726413773170597</v>
      </c>
      <c r="Q302" s="38">
        <f>IF(P302&gt;=1,999,P302/(Inputs!$D$33*(1-P302))*60)</f>
        <v>0.66532748151423926</v>
      </c>
      <c r="R302" s="37">
        <f>MIN(1,MAX(0,(Q302-Inputs!$D$36)/(Inputs!$D$37-Inputs!$D$36)))</f>
        <v>0</v>
      </c>
      <c r="S302" s="35">
        <f>Inputs!$D$6*E302*Inputs!$D$27*(1-Inputs!$D$38*R302)</f>
        <v>4608.9620659755892</v>
      </c>
      <c r="T302" s="39">
        <f>S302*Inputs!$D$12</f>
        <v>73743.393055609427</v>
      </c>
      <c r="U302" s="39">
        <f>T302*(1-Inputs!$D$18)</f>
        <v>33184.526875024239</v>
      </c>
      <c r="V302" s="35">
        <f>Inputs!$D$6*F302*Inputs!$D$28*Inputs!$D$31</f>
        <v>664.12068515796761</v>
      </c>
      <c r="W302" s="36">
        <f>V302/(B302*Inputs!$D$34)</f>
        <v>0.99867772204205651</v>
      </c>
      <c r="X302" s="38">
        <f>IF(W302&gt;=1,999,W302/(Inputs!$D$34*(1-W302))*60)</f>
        <v>1294.749671797274</v>
      </c>
      <c r="Y302" s="37">
        <f>MIN(1,MAX(0,(X302-Inputs!$D$36)/(Inputs!$D$37-Inputs!$D$36)))</f>
        <v>1</v>
      </c>
      <c r="Z302" s="35">
        <f>Inputs!$D$6*F302*Inputs!$D$28*(1-Inputs!$D$38*Y302)</f>
        <v>2809.7413602837091</v>
      </c>
      <c r="AA302" s="39">
        <f>Z302*Inputs!$D$13</f>
        <v>23882.801562411529</v>
      </c>
      <c r="AB302" s="39">
        <f>AA302*(1-Inputs!$D$19)</f>
        <v>14329.680937446918</v>
      </c>
      <c r="AC302" s="39">
        <f t="shared" si="16"/>
        <v>308659.73939680564</v>
      </c>
      <c r="AD302" s="39">
        <f t="shared" si="17"/>
        <v>121375.94848504578</v>
      </c>
      <c r="AE302" s="36">
        <f t="shared" si="18"/>
        <v>0.99867772204205651</v>
      </c>
      <c r="AF302" s="35">
        <f>IF(AND(AE302&lt;=Inputs!$D$35,C302&gt;=Inputs!$D$48*(A302+B302+C302),B302*Inputs!$D$22&lt;=Inputs!$D$50*Inputs!$D$8,B302*Inputs!$D$22&gt;=Inputs!$D$49*Inputs!$D$8,A302*Inputs!$D$20&lt;=Inputs!$D$47*Inputs!$D$8,C302&gt;=1),1,0)</f>
        <v>0</v>
      </c>
      <c r="AG302" s="39">
        <f t="shared" si="19"/>
        <v>-1</v>
      </c>
    </row>
    <row r="303" spans="1:33" x14ac:dyDescent="0.25">
      <c r="A303" s="35">
        <v>37</v>
      </c>
      <c r="B303" s="35">
        <v>20</v>
      </c>
      <c r="C303" s="35">
        <f>Inputs!$D$8-A303-Inputs!$D$22*B303</f>
        <v>43</v>
      </c>
      <c r="D303" s="35">
        <f>A303*Inputs!$D$20+C303*Inputs!$D$21+B303*Inputs!$D$22</f>
        <v>120</v>
      </c>
      <c r="E303" s="36">
        <f>MIN(Inputs!$E$15,Inputs!$D$15*(C303/Inputs!$D$43)^Inputs!$D$44)</f>
        <v>0.38242114286867052</v>
      </c>
      <c r="F303" s="36">
        <f>MIN(Inputs!$E$16,Inputs!$D$16*(B303/Inputs!$D$42)^Inputs!$D$44)</f>
        <v>0.4</v>
      </c>
      <c r="G303" s="37">
        <f>Inputs!$D$26*(1+Inputs!$D$41*(B303-Inputs!$D$42))</f>
        <v>1.5</v>
      </c>
      <c r="H303" s="35">
        <f>Inputs!$D$6*Inputs!$D$14*G303*Inputs!$D$29</f>
        <v>1884.645</v>
      </c>
      <c r="I303" s="36">
        <f>H303/(A303*Inputs!$D$32)</f>
        <v>0.92611547911547909</v>
      </c>
      <c r="J303" s="38">
        <f>IF(I303&gt;=1,999,I303/(Inputs!$D$32*(1-I303))*60)</f>
        <v>13.674146943143645</v>
      </c>
      <c r="K303" s="37">
        <f>MIN(1,MAX(0,(J303-Inputs!$D$36)/(Inputs!$D$37-Inputs!$D$36)))</f>
        <v>0.57827646287624301</v>
      </c>
      <c r="L303" s="35">
        <f>Inputs!$D$6*Inputs!$D$14*G303*(1-Inputs!$D$38*K303)</f>
        <v>9294.7624668678091</v>
      </c>
      <c r="M303" s="39">
        <f>L303*Inputs!$D$11</f>
        <v>199837.39303765789</v>
      </c>
      <c r="N303" s="39">
        <f>M303*(1-Inputs!$D$17)</f>
        <v>69943.087563180263</v>
      </c>
      <c r="O303" s="35">
        <f>Inputs!$D$6*E303*Inputs!$D$27*Inputs!$D$30</f>
        <v>545.58341800044604</v>
      </c>
      <c r="P303" s="36">
        <f>O303/(C303*Inputs!$D$33)</f>
        <v>0.31719966162816632</v>
      </c>
      <c r="Q303" s="38">
        <f>IF(P303&gt;=1,999,P303/(Inputs!$D$33*(1-P303))*60)</f>
        <v>0.69683546668534679</v>
      </c>
      <c r="R303" s="37">
        <f>MIN(1,MAX(0,(Q303-Inputs!$D$36)/(Inputs!$D$37-Inputs!$D$36)))</f>
        <v>0</v>
      </c>
      <c r="S303" s="35">
        <f>Inputs!$D$6*E303*Inputs!$D$27*(1-Inputs!$D$38*R303)</f>
        <v>4546.5284833370506</v>
      </c>
      <c r="T303" s="39">
        <f>S303*Inputs!$D$12</f>
        <v>72744.45573339281</v>
      </c>
      <c r="U303" s="39">
        <f>T303*(1-Inputs!$D$18)</f>
        <v>32735.00508002676</v>
      </c>
      <c r="V303" s="35">
        <f>Inputs!$D$6*F303*Inputs!$D$28*Inputs!$D$31</f>
        <v>674.41919999999993</v>
      </c>
      <c r="W303" s="36">
        <f>V303/(B303*Inputs!$D$34)</f>
        <v>0.96345599999999987</v>
      </c>
      <c r="X303" s="38">
        <f>IF(W303&gt;=1,999,W303/(Inputs!$D$34*(1-W303))*60)</f>
        <v>45.195896922691851</v>
      </c>
      <c r="Y303" s="37">
        <f>MIN(1,MAX(0,(X303-Inputs!$D$36)/(Inputs!$D$37-Inputs!$D$36)))</f>
        <v>1</v>
      </c>
      <c r="Z303" s="35">
        <f>Inputs!$D$6*F303*Inputs!$D$28*(1-Inputs!$D$38*Y303)</f>
        <v>2853.3119999999999</v>
      </c>
      <c r="AA303" s="39">
        <f>Z303*Inputs!$D$13</f>
        <v>24253.151999999998</v>
      </c>
      <c r="AB303" s="39">
        <f>AA303*(1-Inputs!$D$19)</f>
        <v>14551.891199999998</v>
      </c>
      <c r="AC303" s="39">
        <f t="shared" si="16"/>
        <v>296835.00077105069</v>
      </c>
      <c r="AD303" s="39">
        <f t="shared" si="17"/>
        <v>117229.98384320702</v>
      </c>
      <c r="AE303" s="36">
        <f t="shared" si="18"/>
        <v>0.96345599999999987</v>
      </c>
      <c r="AF303" s="35">
        <f>IF(AND(AE303&lt;=Inputs!$D$35,C303&gt;=Inputs!$D$48*(A303+B303+C303),B303*Inputs!$D$22&lt;=Inputs!$D$50*Inputs!$D$8,B303*Inputs!$D$22&gt;=Inputs!$D$49*Inputs!$D$8,A303*Inputs!$D$20&lt;=Inputs!$D$47*Inputs!$D$8,C303&gt;=1),1,0)</f>
        <v>0</v>
      </c>
      <c r="AG303" s="39">
        <f t="shared" si="19"/>
        <v>-1</v>
      </c>
    </row>
    <row r="304" spans="1:33" x14ac:dyDescent="0.25">
      <c r="A304" s="35">
        <v>37</v>
      </c>
      <c r="B304" s="35">
        <v>21</v>
      </c>
      <c r="C304" s="35">
        <f>Inputs!$D$8-A304-Inputs!$D$22*B304</f>
        <v>41</v>
      </c>
      <c r="D304" s="35">
        <f>A304*Inputs!$D$20+C304*Inputs!$D$21+B304*Inputs!$D$22</f>
        <v>120</v>
      </c>
      <c r="E304" s="36">
        <f>MIN(Inputs!$E$15,Inputs!$D$15*(C304/Inputs!$D$43)^Inputs!$D$44)</f>
        <v>0.37699580304543617</v>
      </c>
      <c r="F304" s="36">
        <f>MIN(Inputs!$E$16,Inputs!$D$16*(B304/Inputs!$D$42)^Inputs!$D$44)</f>
        <v>0.40589787816896217</v>
      </c>
      <c r="G304" s="37">
        <f>Inputs!$D$26*(1+Inputs!$D$41*(B304-Inputs!$D$42))</f>
        <v>1.5150000000000001</v>
      </c>
      <c r="H304" s="35">
        <f>Inputs!$D$6*Inputs!$D$14*G304*Inputs!$D$29</f>
        <v>1903.4914500000004</v>
      </c>
      <c r="I304" s="36">
        <f>H304/(A304*Inputs!$D$32)</f>
        <v>0.93537663390663417</v>
      </c>
      <c r="J304" s="38">
        <f>IF(I304&gt;=1,999,I304/(Inputs!$D$32*(1-I304))*60)</f>
        <v>15.790122598665535</v>
      </c>
      <c r="K304" s="37">
        <f>MIN(1,MAX(0,(J304-Inputs!$D$36)/(Inputs!$D$37-Inputs!$D$36)))</f>
        <v>0.71934150657770235</v>
      </c>
      <c r="L304" s="35">
        <f>Inputs!$D$6*Inputs!$D$14*G304*(1-Inputs!$D$38*K304)</f>
        <v>8582.1617777976771</v>
      </c>
      <c r="M304" s="39">
        <f>L304*Inputs!$D$11</f>
        <v>184516.47822265007</v>
      </c>
      <c r="N304" s="39">
        <f>M304*(1-Inputs!$D$17)</f>
        <v>64580.767377927521</v>
      </c>
      <c r="O304" s="35">
        <f>Inputs!$D$6*E304*Inputs!$D$27*Inputs!$D$30</f>
        <v>537.84332438958984</v>
      </c>
      <c r="P304" s="36">
        <f>O304/(C304*Inputs!$D$33)</f>
        <v>0.3279532465790182</v>
      </c>
      <c r="Q304" s="38">
        <f>IF(P304&gt;=1,999,P304/(Inputs!$D$33*(1-P304))*60)</f>
        <v>0.73198756985940516</v>
      </c>
      <c r="R304" s="37">
        <f>MIN(1,MAX(0,(Q304-Inputs!$D$36)/(Inputs!$D$37-Inputs!$D$36)))</f>
        <v>0</v>
      </c>
      <c r="S304" s="35">
        <f>Inputs!$D$6*E304*Inputs!$D$27*(1-Inputs!$D$38*R304)</f>
        <v>4482.027703246582</v>
      </c>
      <c r="T304" s="39">
        <f>S304*Inputs!$D$12</f>
        <v>71712.443251945311</v>
      </c>
      <c r="U304" s="39">
        <f>T304*(1-Inputs!$D$18)</f>
        <v>32270.599463375387</v>
      </c>
      <c r="V304" s="35">
        <f>Inputs!$D$6*F304*Inputs!$D$28*Inputs!$D$31</f>
        <v>684.36330569102222</v>
      </c>
      <c r="W304" s="36">
        <f>V304/(B304*Inputs!$D$34)</f>
        <v>0.93110653835513224</v>
      </c>
      <c r="X304" s="38">
        <f>IF(W304&gt;=1,999,W304/(Inputs!$D$34*(1-W304))*60)</f>
        <v>23.16885520150278</v>
      </c>
      <c r="Y304" s="37">
        <f>MIN(1,MAX(0,(X304-Inputs!$D$36)/(Inputs!$D$37-Inputs!$D$36)))</f>
        <v>1</v>
      </c>
      <c r="Z304" s="35">
        <f>Inputs!$D$6*F304*Inputs!$D$28*(1-Inputs!$D$38*Y304)</f>
        <v>2895.3832163850943</v>
      </c>
      <c r="AA304" s="39">
        <f>Z304*Inputs!$D$13</f>
        <v>24610.757339273303</v>
      </c>
      <c r="AB304" s="39">
        <f>AA304*(1-Inputs!$D$19)</f>
        <v>14766.454403563981</v>
      </c>
      <c r="AC304" s="39">
        <f t="shared" si="16"/>
        <v>280839.67881386867</v>
      </c>
      <c r="AD304" s="39">
        <f t="shared" si="17"/>
        <v>111617.82124486689</v>
      </c>
      <c r="AE304" s="36">
        <f t="shared" si="18"/>
        <v>0.93537663390663417</v>
      </c>
      <c r="AF304" s="35">
        <f>IF(AND(AE304&lt;=Inputs!$D$35,C304&gt;=Inputs!$D$48*(A304+B304+C304),B304*Inputs!$D$22&lt;=Inputs!$D$50*Inputs!$D$8,B304*Inputs!$D$22&gt;=Inputs!$D$49*Inputs!$D$8,A304*Inputs!$D$20&lt;=Inputs!$D$47*Inputs!$D$8,C304&gt;=1),1,0)</f>
        <v>0</v>
      </c>
      <c r="AG304" s="39">
        <f t="shared" si="19"/>
        <v>-1</v>
      </c>
    </row>
    <row r="305" spans="1:33" x14ac:dyDescent="0.25">
      <c r="A305" s="35">
        <v>37</v>
      </c>
      <c r="B305" s="35">
        <v>22</v>
      </c>
      <c r="C305" s="35">
        <f>Inputs!$D$8-A305-Inputs!$D$22*B305</f>
        <v>39</v>
      </c>
      <c r="D305" s="35">
        <f>A305*Inputs!$D$20+C305*Inputs!$D$21+B305*Inputs!$D$22</f>
        <v>120</v>
      </c>
      <c r="E305" s="36">
        <f>MIN(Inputs!$E$15,Inputs!$D$15*(C305/Inputs!$D$43)^Inputs!$D$44)</f>
        <v>0.37138190575462604</v>
      </c>
      <c r="F305" s="36">
        <f>MIN(Inputs!$E$16,Inputs!$D$16*(B305/Inputs!$D$42)^Inputs!$D$44)</f>
        <v>0.41160230376843804</v>
      </c>
      <c r="G305" s="37">
        <f>Inputs!$D$26*(1+Inputs!$D$41*(B305-Inputs!$D$42))</f>
        <v>1.53</v>
      </c>
      <c r="H305" s="35">
        <f>Inputs!$D$6*Inputs!$D$14*G305*Inputs!$D$29</f>
        <v>1922.3379</v>
      </c>
      <c r="I305" s="36">
        <f>H305/(A305*Inputs!$D$32)</f>
        <v>0.94463778869778869</v>
      </c>
      <c r="J305" s="38">
        <f>IF(I305&gt;=1,999,I305/(Inputs!$D$32*(1-I305))*60)</f>
        <v>18.614031612308761</v>
      </c>
      <c r="K305" s="37">
        <f>MIN(1,MAX(0,(J305-Inputs!$D$36)/(Inputs!$D$37-Inputs!$D$36)))</f>
        <v>0.90760210748725068</v>
      </c>
      <c r="L305" s="35">
        <f>Inputs!$D$6*Inputs!$D$14*G305*(1-Inputs!$D$38*K305)</f>
        <v>7581.4322119721537</v>
      </c>
      <c r="M305" s="39">
        <f>L305*Inputs!$D$11</f>
        <v>163000.79255740129</v>
      </c>
      <c r="N305" s="39">
        <f>M305*(1-Inputs!$D$17)</f>
        <v>57050.277395090452</v>
      </c>
      <c r="O305" s="35">
        <f>Inputs!$D$6*E305*Inputs!$D$27*Inputs!$D$30</f>
        <v>529.8342241362717</v>
      </c>
      <c r="P305" s="36">
        <f>O305/(C305*Inputs!$D$33)</f>
        <v>0.33963732316427675</v>
      </c>
      <c r="Q305" s="38">
        <f>IF(P305&gt;=1,999,P305/(Inputs!$D$33*(1-P305))*60)</f>
        <v>0.77147907145144612</v>
      </c>
      <c r="R305" s="37">
        <f>MIN(1,MAX(0,(Q305-Inputs!$D$36)/(Inputs!$D$37-Inputs!$D$36)))</f>
        <v>0</v>
      </c>
      <c r="S305" s="35">
        <f>Inputs!$D$6*E305*Inputs!$D$27*(1-Inputs!$D$38*R305)</f>
        <v>4415.2852011355981</v>
      </c>
      <c r="T305" s="39">
        <f>S305*Inputs!$D$12</f>
        <v>70644.563218169569</v>
      </c>
      <c r="U305" s="39">
        <f>T305*(1-Inputs!$D$18)</f>
        <v>31790.053448176302</v>
      </c>
      <c r="V305" s="35">
        <f>Inputs!$D$6*F305*Inputs!$D$28*Inputs!$D$31</f>
        <v>693.98124106416742</v>
      </c>
      <c r="W305" s="36">
        <f>V305/(B305*Inputs!$D$34)</f>
        <v>0.90127433904437326</v>
      </c>
      <c r="X305" s="38">
        <f>IF(W305&gt;=1,999,W305/(Inputs!$D$34*(1-W305))*60)</f>
        <v>15.649849381818807</v>
      </c>
      <c r="Y305" s="37">
        <f>MIN(1,MAX(0,(X305-Inputs!$D$36)/(Inputs!$D$37-Inputs!$D$36)))</f>
        <v>0.70998995878792048</v>
      </c>
      <c r="Z305" s="35">
        <f>Inputs!$D$6*F305*Inputs!$D$28*(1-Inputs!$D$38*Y305)</f>
        <v>3632.749002537963</v>
      </c>
      <c r="AA305" s="39">
        <f>Z305*Inputs!$D$13</f>
        <v>30878.366521572687</v>
      </c>
      <c r="AB305" s="39">
        <f>AA305*(1-Inputs!$D$19)</f>
        <v>18527.019912943611</v>
      </c>
      <c r="AC305" s="39">
        <f t="shared" si="16"/>
        <v>264523.72229714354</v>
      </c>
      <c r="AD305" s="39">
        <f t="shared" si="17"/>
        <v>107367.35075621036</v>
      </c>
      <c r="AE305" s="36">
        <f t="shared" si="18"/>
        <v>0.94463778869778869</v>
      </c>
      <c r="AF305" s="35">
        <f>IF(AND(AE305&lt;=Inputs!$D$35,C305&gt;=Inputs!$D$48*(A305+B305+C305),B305*Inputs!$D$22&lt;=Inputs!$D$50*Inputs!$D$8,B305*Inputs!$D$22&gt;=Inputs!$D$49*Inputs!$D$8,A305*Inputs!$D$20&lt;=Inputs!$D$47*Inputs!$D$8,C305&gt;=1),1,0)</f>
        <v>0</v>
      </c>
      <c r="AG305" s="39">
        <f t="shared" si="19"/>
        <v>-1</v>
      </c>
    </row>
    <row r="306" spans="1:33" x14ac:dyDescent="0.25">
      <c r="A306" s="35">
        <v>37</v>
      </c>
      <c r="B306" s="35">
        <v>23</v>
      </c>
      <c r="C306" s="35">
        <f>Inputs!$D$8-A306-Inputs!$D$22*B306</f>
        <v>37</v>
      </c>
      <c r="D306" s="35">
        <f>A306*Inputs!$D$20+C306*Inputs!$D$21+B306*Inputs!$D$22</f>
        <v>120</v>
      </c>
      <c r="E306" s="36">
        <f>MIN(Inputs!$E$15,Inputs!$D$15*(C306/Inputs!$D$43)^Inputs!$D$44)</f>
        <v>0.36556269939951974</v>
      </c>
      <c r="F306" s="36">
        <f>MIN(Inputs!$E$16,Inputs!$D$16*(B306/Inputs!$D$42)^Inputs!$D$44)</f>
        <v>0.41712800028621322</v>
      </c>
      <c r="G306" s="37">
        <f>Inputs!$D$26*(1+Inputs!$D$41*(B306-Inputs!$D$42))</f>
        <v>1.5449999999999999</v>
      </c>
      <c r="H306" s="35">
        <f>Inputs!$D$6*Inputs!$D$14*G306*Inputs!$D$29</f>
        <v>1941.18435</v>
      </c>
      <c r="I306" s="36">
        <f>H306/(A306*Inputs!$D$32)</f>
        <v>0.95389894348894344</v>
      </c>
      <c r="J306" s="38">
        <f>IF(I306&gt;=1,999,I306/(Inputs!$D$32*(1-I306))*60)</f>
        <v>22.572520198340598</v>
      </c>
      <c r="K306" s="37">
        <f>MIN(1,MAX(0,(J306-Inputs!$D$36)/(Inputs!$D$37-Inputs!$D$36)))</f>
        <v>1</v>
      </c>
      <c r="L306" s="35">
        <f>Inputs!$D$6*Inputs!$D$14*G306*(1-Inputs!$D$38*K306)</f>
        <v>7117.6759500000016</v>
      </c>
      <c r="M306" s="39">
        <f>L306*Inputs!$D$11</f>
        <v>153030.03292500004</v>
      </c>
      <c r="N306" s="39">
        <f>M306*(1-Inputs!$D$17)</f>
        <v>53560.511523750007</v>
      </c>
      <c r="O306" s="35">
        <f>Inputs!$D$6*E306*Inputs!$D$27*Inputs!$D$30</f>
        <v>521.5322184745213</v>
      </c>
      <c r="P306" s="36">
        <f>O306/(C306*Inputs!$D$33)</f>
        <v>0.35238663410440629</v>
      </c>
      <c r="Q306" s="38">
        <f>IF(P306&gt;=1,999,P306/(Inputs!$D$33*(1-P306))*60)</f>
        <v>0.81619679116046151</v>
      </c>
      <c r="R306" s="37">
        <f>MIN(1,MAX(0,(Q306-Inputs!$D$36)/(Inputs!$D$37-Inputs!$D$36)))</f>
        <v>0</v>
      </c>
      <c r="S306" s="35">
        <f>Inputs!$D$6*E306*Inputs!$D$27*(1-Inputs!$D$38*R306)</f>
        <v>4346.101820621011</v>
      </c>
      <c r="T306" s="39">
        <f>S306*Inputs!$D$12</f>
        <v>69537.629129936176</v>
      </c>
      <c r="U306" s="39">
        <f>T306*(1-Inputs!$D$18)</f>
        <v>31291.933108471276</v>
      </c>
      <c r="V306" s="35">
        <f>Inputs!$D$6*F306*Inputs!$D$28*Inputs!$D$31</f>
        <v>703.29783062656929</v>
      </c>
      <c r="W306" s="36">
        <f>V306/(B306*Inputs!$D$34)</f>
        <v>0.87366190139946498</v>
      </c>
      <c r="X306" s="38">
        <f>IF(W306&gt;=1,999,W306/(Inputs!$D$34*(1-W306))*60)</f>
        <v>11.854746377182334</v>
      </c>
      <c r="Y306" s="37">
        <f>MIN(1,MAX(0,(X306-Inputs!$D$36)/(Inputs!$D$37-Inputs!$D$36)))</f>
        <v>0.45698309181215557</v>
      </c>
      <c r="Z306" s="35">
        <f>Inputs!$D$6*F306*Inputs!$D$28*(1-Inputs!$D$38*Y306)</f>
        <v>4297.4614071503011</v>
      </c>
      <c r="AA306" s="39">
        <f>Z306*Inputs!$D$13</f>
        <v>36528.421960777559</v>
      </c>
      <c r="AB306" s="39">
        <f>AA306*(1-Inputs!$D$19)</f>
        <v>21917.053176466536</v>
      </c>
      <c r="AC306" s="39">
        <f t="shared" si="16"/>
        <v>259096.08401571377</v>
      </c>
      <c r="AD306" s="39">
        <f t="shared" si="17"/>
        <v>106769.49780868781</v>
      </c>
      <c r="AE306" s="36">
        <f t="shared" si="18"/>
        <v>0.95389894348894344</v>
      </c>
      <c r="AF306" s="35">
        <f>IF(AND(AE306&lt;=Inputs!$D$35,C306&gt;=Inputs!$D$48*(A306+B306+C306),B306*Inputs!$D$22&lt;=Inputs!$D$50*Inputs!$D$8,B306*Inputs!$D$22&gt;=Inputs!$D$49*Inputs!$D$8,A306*Inputs!$D$20&lt;=Inputs!$D$47*Inputs!$D$8,C306&gt;=1),1,0)</f>
        <v>0</v>
      </c>
      <c r="AG306" s="39">
        <f t="shared" si="19"/>
        <v>-1</v>
      </c>
    </row>
    <row r="307" spans="1:33" x14ac:dyDescent="0.25">
      <c r="A307" s="35">
        <v>37</v>
      </c>
      <c r="B307" s="35">
        <v>24</v>
      </c>
      <c r="C307" s="35">
        <f>Inputs!$D$8-A307-Inputs!$D$22*B307</f>
        <v>35</v>
      </c>
      <c r="D307" s="35">
        <f>A307*Inputs!$D$20+C307*Inputs!$D$21+B307*Inputs!$D$22</f>
        <v>120</v>
      </c>
      <c r="E307" s="36">
        <f>MIN(Inputs!$E$15,Inputs!$D$15*(C307/Inputs!$D$43)^Inputs!$D$44)</f>
        <v>0.3595189375764975</v>
      </c>
      <c r="F307" s="36">
        <f>MIN(Inputs!$E$16,Inputs!$D$16*(B307/Inputs!$D$42)^Inputs!$D$44)</f>
        <v>0.42248798737570326</v>
      </c>
      <c r="G307" s="37">
        <f>Inputs!$D$26*(1+Inputs!$D$41*(B307-Inputs!$D$42))</f>
        <v>1.56</v>
      </c>
      <c r="H307" s="35">
        <f>Inputs!$D$6*Inputs!$D$14*G307*Inputs!$D$29</f>
        <v>1960.0308</v>
      </c>
      <c r="I307" s="36">
        <f>H307/(A307*Inputs!$D$32)</f>
        <v>0.9631600982800983</v>
      </c>
      <c r="J307" s="38">
        <f>IF(I307&gt;=1,999,I307/(Inputs!$D$32*(1-I307))*60)</f>
        <v>28.521251636429621</v>
      </c>
      <c r="K307" s="37">
        <f>MIN(1,MAX(0,(J307-Inputs!$D$36)/(Inputs!$D$37-Inputs!$D$36)))</f>
        <v>1</v>
      </c>
      <c r="L307" s="35">
        <f>Inputs!$D$6*Inputs!$D$14*G307*(1-Inputs!$D$38*K307)</f>
        <v>7186.7796000000017</v>
      </c>
      <c r="M307" s="39">
        <f>L307*Inputs!$D$11</f>
        <v>154515.76140000005</v>
      </c>
      <c r="N307" s="39">
        <f>M307*(1-Inputs!$D$17)</f>
        <v>54080.516490000016</v>
      </c>
      <c r="O307" s="35">
        <f>Inputs!$D$6*E307*Inputs!$D$27*Inputs!$D$30</f>
        <v>512.90984940713565</v>
      </c>
      <c r="P307" s="36">
        <f>O307/(C307*Inputs!$D$33)</f>
        <v>0.36636417814795402</v>
      </c>
      <c r="Q307" s="38">
        <f>IF(P307&gt;=1,999,P307/(Inputs!$D$33*(1-P307))*60)</f>
        <v>0.86729040289368331</v>
      </c>
      <c r="R307" s="37">
        <f>MIN(1,MAX(0,(Q307-Inputs!$D$36)/(Inputs!$D$37-Inputs!$D$36)))</f>
        <v>0</v>
      </c>
      <c r="S307" s="35">
        <f>Inputs!$D$6*E307*Inputs!$D$27*(1-Inputs!$D$38*R307)</f>
        <v>4274.2487450594635</v>
      </c>
      <c r="T307" s="39">
        <f>S307*Inputs!$D$12</f>
        <v>68387.979920951417</v>
      </c>
      <c r="U307" s="39">
        <f>T307*(1-Inputs!$D$18)</f>
        <v>30774.590964428135</v>
      </c>
      <c r="V307" s="35">
        <f>Inputs!$D$6*F307*Inputs!$D$28*Inputs!$D$31</f>
        <v>712.33502613882979</v>
      </c>
      <c r="W307" s="36">
        <f>V307/(B307*Inputs!$D$34)</f>
        <v>0.84801788826051161</v>
      </c>
      <c r="X307" s="38">
        <f>IF(W307&gt;=1,999,W307/(Inputs!$D$34*(1-W307))*60)</f>
        <v>9.5652372155190832</v>
      </c>
      <c r="Y307" s="37">
        <f>MIN(1,MAX(0,(X307-Inputs!$D$36)/(Inputs!$D$37-Inputs!$D$36)))</f>
        <v>0.30434914770127219</v>
      </c>
      <c r="Z307" s="35">
        <f>Inputs!$D$6*F307*Inputs!$D$28*(1-Inputs!$D$38*Y307)</f>
        <v>4729.0436538571339</v>
      </c>
      <c r="AA307" s="39">
        <f>Z307*Inputs!$D$13</f>
        <v>40196.87105778564</v>
      </c>
      <c r="AB307" s="39">
        <f>AA307*(1-Inputs!$D$19)</f>
        <v>24118.122634671385</v>
      </c>
      <c r="AC307" s="39">
        <f t="shared" si="16"/>
        <v>263100.61237873707</v>
      </c>
      <c r="AD307" s="39">
        <f t="shared" si="17"/>
        <v>108973.23008909954</v>
      </c>
      <c r="AE307" s="36">
        <f t="shared" si="18"/>
        <v>0.9631600982800983</v>
      </c>
      <c r="AF307" s="35">
        <f>IF(AND(AE307&lt;=Inputs!$D$35,C307&gt;=Inputs!$D$48*(A307+B307+C307),B307*Inputs!$D$22&lt;=Inputs!$D$50*Inputs!$D$8,B307*Inputs!$D$22&gt;=Inputs!$D$49*Inputs!$D$8,A307*Inputs!$D$20&lt;=Inputs!$D$47*Inputs!$D$8,C307&gt;=1),1,0)</f>
        <v>0</v>
      </c>
      <c r="AG307" s="39">
        <f t="shared" si="19"/>
        <v>-1</v>
      </c>
    </row>
    <row r="308" spans="1:33" x14ac:dyDescent="0.25">
      <c r="A308" s="35">
        <v>37</v>
      </c>
      <c r="B308" s="35">
        <v>25</v>
      </c>
      <c r="C308" s="35">
        <f>Inputs!$D$8-A308-Inputs!$D$22*B308</f>
        <v>33</v>
      </c>
      <c r="D308" s="35">
        <f>A308*Inputs!$D$20+C308*Inputs!$D$21+B308*Inputs!$D$22</f>
        <v>120</v>
      </c>
      <c r="E308" s="36">
        <f>MIN(Inputs!$E$15,Inputs!$D$15*(C308/Inputs!$D$43)^Inputs!$D$44)</f>
        <v>0.35322833999035824</v>
      </c>
      <c r="F308" s="36">
        <f>MIN(Inputs!$E$16,Inputs!$D$16*(B308/Inputs!$D$42)^Inputs!$D$44)</f>
        <v>0.42769383999647526</v>
      </c>
      <c r="G308" s="37">
        <f>Inputs!$D$26*(1+Inputs!$D$41*(B308-Inputs!$D$42))</f>
        <v>1.5750000000000002</v>
      </c>
      <c r="H308" s="35">
        <f>Inputs!$D$6*Inputs!$D$14*G308*Inputs!$D$29</f>
        <v>1978.8772500000005</v>
      </c>
      <c r="I308" s="36">
        <f>H308/(A308*Inputs!$D$32)</f>
        <v>0.97242125307125327</v>
      </c>
      <c r="J308" s="38">
        <f>IF(I308&gt;=1,999,I308/(Inputs!$D$32*(1-I308))*60)</f>
        <v>38.465242380642394</v>
      </c>
      <c r="K308" s="37">
        <f>MIN(1,MAX(0,(J308-Inputs!$D$36)/(Inputs!$D$37-Inputs!$D$36)))</f>
        <v>1</v>
      </c>
      <c r="L308" s="35">
        <f>Inputs!$D$6*Inputs!$D$14*G308*(1-Inputs!$D$38*K308)</f>
        <v>7255.8832500000026</v>
      </c>
      <c r="M308" s="39">
        <f>L308*Inputs!$D$11</f>
        <v>156001.48987500006</v>
      </c>
      <c r="N308" s="39">
        <f>M308*(1-Inputs!$D$17)</f>
        <v>54600.521456250019</v>
      </c>
      <c r="O308" s="35">
        <f>Inputs!$D$6*E308*Inputs!$D$27*Inputs!$D$30</f>
        <v>503.93533061728459</v>
      </c>
      <c r="P308" s="36">
        <f>O308/(C308*Inputs!$D$33)</f>
        <v>0.38176918986157926</v>
      </c>
      <c r="Q308" s="38">
        <f>IF(P308&gt;=1,999,P308/(Inputs!$D$33*(1-P308))*60)</f>
        <v>0.92627830156855617</v>
      </c>
      <c r="R308" s="37">
        <f>MIN(1,MAX(0,(Q308-Inputs!$D$36)/(Inputs!$D$37-Inputs!$D$36)))</f>
        <v>0</v>
      </c>
      <c r="S308" s="35">
        <f>Inputs!$D$6*E308*Inputs!$D$27*(1-Inputs!$D$38*R308)</f>
        <v>4199.461088477372</v>
      </c>
      <c r="T308" s="39">
        <f>S308*Inputs!$D$12</f>
        <v>67191.377415637951</v>
      </c>
      <c r="U308" s="39">
        <f>T308*(1-Inputs!$D$18)</f>
        <v>30236.119837037077</v>
      </c>
      <c r="V308" s="35">
        <f>Inputs!$D$6*F308*Inputs!$D$28*Inputs!$D$31</f>
        <v>721.1123435383771</v>
      </c>
      <c r="W308" s="36">
        <f>V308/(B308*Inputs!$D$34)</f>
        <v>0.82412839261528814</v>
      </c>
      <c r="X308" s="38">
        <f>IF(W308&gt;=1,999,W308/(Inputs!$D$34*(1-W308))*60)</f>
        <v>8.0330847668163621</v>
      </c>
      <c r="Y308" s="37">
        <f>MIN(1,MAX(0,(X308-Inputs!$D$36)/(Inputs!$D$37-Inputs!$D$36)))</f>
        <v>0.20220565112109082</v>
      </c>
      <c r="Z308" s="35">
        <f>Inputs!$D$6*F308*Inputs!$D$28*(1-Inputs!$D$38*Y308)</f>
        <v>5042.2807508299393</v>
      </c>
      <c r="AA308" s="39">
        <f>Z308*Inputs!$D$13</f>
        <v>42859.386382054487</v>
      </c>
      <c r="AB308" s="39">
        <f>AA308*(1-Inputs!$D$19)</f>
        <v>25715.631829232691</v>
      </c>
      <c r="AC308" s="39">
        <f t="shared" si="16"/>
        <v>266052.25367269252</v>
      </c>
      <c r="AD308" s="39">
        <f t="shared" si="17"/>
        <v>110552.27312251979</v>
      </c>
      <c r="AE308" s="36">
        <f t="shared" si="18"/>
        <v>0.97242125307125327</v>
      </c>
      <c r="AF308" s="35">
        <f>IF(AND(AE308&lt;=Inputs!$D$35,C308&gt;=Inputs!$D$48*(A308+B308+C308),B308*Inputs!$D$22&lt;=Inputs!$D$50*Inputs!$D$8,B308*Inputs!$D$22&gt;=Inputs!$D$49*Inputs!$D$8,A308*Inputs!$D$20&lt;=Inputs!$D$47*Inputs!$D$8,C308&gt;=1),1,0)</f>
        <v>0</v>
      </c>
      <c r="AG308" s="39">
        <f t="shared" si="19"/>
        <v>-1</v>
      </c>
    </row>
    <row r="309" spans="1:33" x14ac:dyDescent="0.25">
      <c r="A309" s="35">
        <v>37</v>
      </c>
      <c r="B309" s="35">
        <v>26</v>
      </c>
      <c r="C309" s="35">
        <f>Inputs!$D$8-A309-Inputs!$D$22*B309</f>
        <v>31</v>
      </c>
      <c r="D309" s="35">
        <f>A309*Inputs!$D$20+C309*Inputs!$D$21+B309*Inputs!$D$22</f>
        <v>120</v>
      </c>
      <c r="E309" s="36">
        <f>MIN(Inputs!$E$15,Inputs!$D$15*(C309/Inputs!$D$43)^Inputs!$D$44)</f>
        <v>0.34666489615699225</v>
      </c>
      <c r="F309" s="36">
        <f>MIN(Inputs!$E$16,Inputs!$D$16*(B309/Inputs!$D$42)^Inputs!$D$44)</f>
        <v>0.43275589945781112</v>
      </c>
      <c r="G309" s="37">
        <f>Inputs!$D$26*(1+Inputs!$D$41*(B309-Inputs!$D$42))</f>
        <v>1.59</v>
      </c>
      <c r="H309" s="35">
        <f>Inputs!$D$6*Inputs!$D$14*G309*Inputs!$D$29</f>
        <v>1997.7237</v>
      </c>
      <c r="I309" s="36">
        <f>H309/(A309*Inputs!$D$32)</f>
        <v>0.9816824078624079</v>
      </c>
      <c r="J309" s="38">
        <f>IF(I309&gt;=1,999,I309/(Inputs!$D$32*(1-I309))*60)</f>
        <v>58.464357928618185</v>
      </c>
      <c r="K309" s="37">
        <f>MIN(1,MAX(0,(J309-Inputs!$D$36)/(Inputs!$D$37-Inputs!$D$36)))</f>
        <v>1</v>
      </c>
      <c r="L309" s="35">
        <f>Inputs!$D$6*Inputs!$D$14*G309*(1-Inputs!$D$38*K309)</f>
        <v>7324.9869000000017</v>
      </c>
      <c r="M309" s="39">
        <f>L309*Inputs!$D$11</f>
        <v>157487.21835000004</v>
      </c>
      <c r="N309" s="39">
        <f>M309*(1-Inputs!$D$17)</f>
        <v>55120.526422500014</v>
      </c>
      <c r="O309" s="35">
        <f>Inputs!$D$6*E309*Inputs!$D$27*Inputs!$D$30</f>
        <v>494.57155409174993</v>
      </c>
      <c r="P309" s="36">
        <f>O309/(C309*Inputs!$D$33)</f>
        <v>0.39884802749334675</v>
      </c>
      <c r="Q309" s="38">
        <f>IF(P309&gt;=1,999,P309/(Inputs!$D$33*(1-P309))*60)</f>
        <v>0.9952093124561755</v>
      </c>
      <c r="R309" s="37">
        <f>MIN(1,MAX(0,(Q309-Inputs!$D$36)/(Inputs!$D$37-Inputs!$D$36)))</f>
        <v>0</v>
      </c>
      <c r="S309" s="35">
        <f>Inputs!$D$6*E309*Inputs!$D$27*(1-Inputs!$D$38*R309)</f>
        <v>4121.4296174312494</v>
      </c>
      <c r="T309" s="39">
        <f>S309*Inputs!$D$12</f>
        <v>65942.873878899991</v>
      </c>
      <c r="U309" s="39">
        <f>T309*(1-Inputs!$D$18)</f>
        <v>29674.293245504992</v>
      </c>
      <c r="V309" s="35">
        <f>Inputs!$D$6*F309*Inputs!$D$28*Inputs!$D$31</f>
        <v>729.64721876904355</v>
      </c>
      <c r="W309" s="36">
        <f>V309/(B309*Inputs!$D$34)</f>
        <v>0.80181013051543248</v>
      </c>
      <c r="X309" s="38">
        <f>IF(W309&gt;=1,999,W309/(Inputs!$D$34*(1-W309))*60)</f>
        <v>6.9354284146153136</v>
      </c>
      <c r="Y309" s="37">
        <f>MIN(1,MAX(0,(X309-Inputs!$D$36)/(Inputs!$D$37-Inputs!$D$36)))</f>
        <v>0.12902856097435425</v>
      </c>
      <c r="Z309" s="35">
        <f>Inputs!$D$6*F309*Inputs!$D$28*(1-Inputs!$D$38*Y309)</f>
        <v>5286.7832305655711</v>
      </c>
      <c r="AA309" s="39">
        <f>Z309*Inputs!$D$13</f>
        <v>44937.657459807357</v>
      </c>
      <c r="AB309" s="39">
        <f>AA309*(1-Inputs!$D$19)</f>
        <v>26962.594475884413</v>
      </c>
      <c r="AC309" s="39">
        <f t="shared" si="16"/>
        <v>268367.74968870741</v>
      </c>
      <c r="AD309" s="39">
        <f t="shared" si="17"/>
        <v>111757.41414388941</v>
      </c>
      <c r="AE309" s="36">
        <f t="shared" si="18"/>
        <v>0.9816824078624079</v>
      </c>
      <c r="AF309" s="35">
        <f>IF(AND(AE309&lt;=Inputs!$D$35,C309&gt;=Inputs!$D$48*(A309+B309+C309),B309*Inputs!$D$22&lt;=Inputs!$D$50*Inputs!$D$8,B309*Inputs!$D$22&gt;=Inputs!$D$49*Inputs!$D$8,A309*Inputs!$D$20&lt;=Inputs!$D$47*Inputs!$D$8,C309&gt;=1),1,0)</f>
        <v>0</v>
      </c>
      <c r="AG309" s="39">
        <f t="shared" si="19"/>
        <v>-1</v>
      </c>
    </row>
    <row r="310" spans="1:33" x14ac:dyDescent="0.25">
      <c r="A310" s="35">
        <v>37</v>
      </c>
      <c r="B310" s="35">
        <v>27</v>
      </c>
      <c r="C310" s="35">
        <f>Inputs!$D$8-A310-Inputs!$D$22*B310</f>
        <v>29</v>
      </c>
      <c r="D310" s="35">
        <f>A310*Inputs!$D$20+C310*Inputs!$D$21+B310*Inputs!$D$22</f>
        <v>120</v>
      </c>
      <c r="E310" s="36">
        <f>MIN(Inputs!$E$15,Inputs!$D$15*(C310/Inputs!$D$43)^Inputs!$D$44)</f>
        <v>0.33979795258455459</v>
      </c>
      <c r="F310" s="36">
        <f>MIN(Inputs!$E$16,Inputs!$D$16*(B310/Inputs!$D$42)^Inputs!$D$44)</f>
        <v>0.43768344678187454</v>
      </c>
      <c r="G310" s="37">
        <f>Inputs!$D$26*(1+Inputs!$D$41*(B310-Inputs!$D$42))</f>
        <v>1.605</v>
      </c>
      <c r="H310" s="35">
        <f>Inputs!$D$6*Inputs!$D$14*G310*Inputs!$D$29</f>
        <v>2016.57015</v>
      </c>
      <c r="I310" s="36">
        <f>H310/(A310*Inputs!$D$32)</f>
        <v>0.99094356265356265</v>
      </c>
      <c r="J310" s="38">
        <f>IF(I310&gt;=1,999,I310/(Inputs!$D$32*(1-I310))*60)</f>
        <v>119.36584991689611</v>
      </c>
      <c r="K310" s="37">
        <f>MIN(1,MAX(0,(J310-Inputs!$D$36)/(Inputs!$D$37-Inputs!$D$36)))</f>
        <v>1</v>
      </c>
      <c r="L310" s="35">
        <f>Inputs!$D$6*Inputs!$D$14*G310*(1-Inputs!$D$38*K310)</f>
        <v>7394.0905500000017</v>
      </c>
      <c r="M310" s="39">
        <f>L310*Inputs!$D$11</f>
        <v>158972.94682500005</v>
      </c>
      <c r="N310" s="39">
        <f>M310*(1-Inputs!$D$17)</f>
        <v>55640.531388750016</v>
      </c>
      <c r="O310" s="35">
        <f>Inputs!$D$6*E310*Inputs!$D$27*Inputs!$D$30</f>
        <v>484.77478784247035</v>
      </c>
      <c r="P310" s="36">
        <f>O310/(C310*Inputs!$D$33)</f>
        <v>0.41790929986419856</v>
      </c>
      <c r="Q310" s="38">
        <f>IF(P310&gt;=1,999,P310/(Inputs!$D$33*(1-P310))*60)</f>
        <v>1.0769179951681944</v>
      </c>
      <c r="R310" s="37">
        <f>MIN(1,MAX(0,(Q310-Inputs!$D$36)/(Inputs!$D$37-Inputs!$D$36)))</f>
        <v>0</v>
      </c>
      <c r="S310" s="35">
        <f>Inputs!$D$6*E310*Inputs!$D$27*(1-Inputs!$D$38*R310)</f>
        <v>4039.7898986872528</v>
      </c>
      <c r="T310" s="39">
        <f>S310*Inputs!$D$12</f>
        <v>64636.638378996046</v>
      </c>
      <c r="U310" s="39">
        <f>T310*(1-Inputs!$D$18)</f>
        <v>29086.487270548219</v>
      </c>
      <c r="V310" s="35">
        <f>Inputs!$D$6*F310*Inputs!$D$28*Inputs!$D$31</f>
        <v>737.95530007968603</v>
      </c>
      <c r="W310" s="36">
        <f>V310/(B310*Inputs!$D$34)</f>
        <v>0.78090507944940324</v>
      </c>
      <c r="X310" s="38">
        <f>IF(W310&gt;=1,999,W310/(Inputs!$D$34*(1-W310))*60)</f>
        <v>6.1101116290101798</v>
      </c>
      <c r="Y310" s="37">
        <f>MIN(1,MAX(0,(X310-Inputs!$D$36)/(Inputs!$D$37-Inputs!$D$36)))</f>
        <v>7.4007441934011986E-2</v>
      </c>
      <c r="Z310" s="35">
        <f>Inputs!$D$6*F310*Inputs!$D$28*(1-Inputs!$D$38*Y310)</f>
        <v>5487.5301328495489</v>
      </c>
      <c r="AA310" s="39">
        <f>Z310*Inputs!$D$13</f>
        <v>46644.006129221169</v>
      </c>
      <c r="AB310" s="39">
        <f>AA310*(1-Inputs!$D$19)</f>
        <v>27986.4036775327</v>
      </c>
      <c r="AC310" s="39">
        <f t="shared" si="16"/>
        <v>270253.59133321728</v>
      </c>
      <c r="AD310" s="39">
        <f t="shared" si="17"/>
        <v>112713.42233683093</v>
      </c>
      <c r="AE310" s="36">
        <f t="shared" si="18"/>
        <v>0.99094356265356265</v>
      </c>
      <c r="AF310" s="35">
        <f>IF(AND(AE310&lt;=Inputs!$D$35,C310&gt;=Inputs!$D$48*(A310+B310+C310),B310*Inputs!$D$22&lt;=Inputs!$D$50*Inputs!$D$8,B310*Inputs!$D$22&gt;=Inputs!$D$49*Inputs!$D$8,A310*Inputs!$D$20&lt;=Inputs!$D$47*Inputs!$D$8,C310&gt;=1),1,0)</f>
        <v>0</v>
      </c>
      <c r="AG310" s="39">
        <f t="shared" si="19"/>
        <v>-1</v>
      </c>
    </row>
    <row r="311" spans="1:33" x14ac:dyDescent="0.25">
      <c r="A311" s="35">
        <v>37</v>
      </c>
      <c r="B311" s="35">
        <v>28</v>
      </c>
      <c r="C311" s="35">
        <f>Inputs!$D$8-A311-Inputs!$D$22*B311</f>
        <v>27</v>
      </c>
      <c r="D311" s="35">
        <f>A311*Inputs!$D$20+C311*Inputs!$D$21+B311*Inputs!$D$22</f>
        <v>120</v>
      </c>
      <c r="E311" s="36">
        <f>MIN(Inputs!$E$15,Inputs!$D$15*(C311/Inputs!$D$43)^Inputs!$D$44)</f>
        <v>0.33259099594532748</v>
      </c>
      <c r="F311" s="36">
        <f>MIN(Inputs!$E$16,Inputs!$D$16*(B311/Inputs!$D$42)^Inputs!$D$44)</f>
        <v>0.44248484624799689</v>
      </c>
      <c r="G311" s="37">
        <f>Inputs!$D$26*(1+Inputs!$D$41*(B311-Inputs!$D$42))</f>
        <v>1.62</v>
      </c>
      <c r="H311" s="35">
        <f>Inputs!$D$6*Inputs!$D$14*G311*Inputs!$D$29</f>
        <v>2035.4166</v>
      </c>
      <c r="I311" s="36">
        <f>H311/(A311*Inputs!$D$32)</f>
        <v>1.0002047174447175</v>
      </c>
      <c r="J311" s="38">
        <f>IF(I311&gt;=1,999,I311/(Inputs!$D$32*(1-I311))*60)</f>
        <v>999</v>
      </c>
      <c r="K311" s="37">
        <f>MIN(1,MAX(0,(J311-Inputs!$D$36)/(Inputs!$D$37-Inputs!$D$36)))</f>
        <v>1</v>
      </c>
      <c r="L311" s="35">
        <f>Inputs!$D$6*Inputs!$D$14*G311*(1-Inputs!$D$38*K311)</f>
        <v>7463.1942000000017</v>
      </c>
      <c r="M311" s="39">
        <f>L311*Inputs!$D$11</f>
        <v>160458.67530000003</v>
      </c>
      <c r="N311" s="39">
        <f>M311*(1-Inputs!$D$17)</f>
        <v>56160.536355000011</v>
      </c>
      <c r="O311" s="35">
        <f>Inputs!$D$6*E311*Inputs!$D$27*Inputs!$D$30</f>
        <v>474.49293991137716</v>
      </c>
      <c r="P311" s="36">
        <f>O311/(C311*Inputs!$D$33)</f>
        <v>0.43934531473275662</v>
      </c>
      <c r="Q311" s="38">
        <f>IF(P311&gt;=1,999,P311/(Inputs!$D$33*(1-P311))*60)</f>
        <v>1.1754436187133714</v>
      </c>
      <c r="R311" s="37">
        <f>MIN(1,MAX(0,(Q311-Inputs!$D$36)/(Inputs!$D$37-Inputs!$D$36)))</f>
        <v>0</v>
      </c>
      <c r="S311" s="35">
        <f>Inputs!$D$6*E311*Inputs!$D$27*(1-Inputs!$D$38*R311)</f>
        <v>3954.1078325948097</v>
      </c>
      <c r="T311" s="39">
        <f>S311*Inputs!$D$12</f>
        <v>63265.725321516955</v>
      </c>
      <c r="U311" s="39">
        <f>T311*(1-Inputs!$D$18)</f>
        <v>28469.576394682626</v>
      </c>
      <c r="V311" s="35">
        <f>Inputs!$D$6*F311*Inputs!$D$28*Inputs!$D$31</f>
        <v>746.05069004674272</v>
      </c>
      <c r="W311" s="36">
        <f>V311/(B311*Inputs!$D$34)</f>
        <v>0.76127621433341097</v>
      </c>
      <c r="X311" s="38">
        <f>IF(W311&gt;=1,999,W311/(Inputs!$D$34*(1-W311))*60)</f>
        <v>5.4667570523531852</v>
      </c>
      <c r="Y311" s="37">
        <f>MIN(1,MAX(0,(X311-Inputs!$D$36)/(Inputs!$D$37-Inputs!$D$36)))</f>
        <v>3.111713682354568E-2</v>
      </c>
      <c r="Z311" s="35">
        <f>Inputs!$D$6*F311*Inputs!$D$28*(1-Inputs!$D$38*Y311)</f>
        <v>5658.4919801305723</v>
      </c>
      <c r="AA311" s="39">
        <f>Z311*Inputs!$D$13</f>
        <v>48097.181831109861</v>
      </c>
      <c r="AB311" s="39">
        <f>AA311*(1-Inputs!$D$19)</f>
        <v>28858.309098665915</v>
      </c>
      <c r="AC311" s="39">
        <f t="shared" si="16"/>
        <v>271821.58245262684</v>
      </c>
      <c r="AD311" s="39">
        <f t="shared" si="17"/>
        <v>113488.42184834855</v>
      </c>
      <c r="AE311" s="36">
        <f t="shared" si="18"/>
        <v>1.0002047174447175</v>
      </c>
      <c r="AF311" s="35">
        <f>IF(AND(AE311&lt;=Inputs!$D$35,C311&gt;=Inputs!$D$48*(A311+B311+C311),B311*Inputs!$D$22&lt;=Inputs!$D$50*Inputs!$D$8,B311*Inputs!$D$22&gt;=Inputs!$D$49*Inputs!$D$8,A311*Inputs!$D$20&lt;=Inputs!$D$47*Inputs!$D$8,C311&gt;=1),1,0)</f>
        <v>0</v>
      </c>
      <c r="AG311" s="39">
        <f t="shared" si="19"/>
        <v>-1</v>
      </c>
    </row>
    <row r="312" spans="1:33" x14ac:dyDescent="0.25">
      <c r="A312" s="35">
        <v>37</v>
      </c>
      <c r="B312" s="35">
        <v>29</v>
      </c>
      <c r="C312" s="35">
        <f>Inputs!$D$8-A312-Inputs!$D$22*B312</f>
        <v>25</v>
      </c>
      <c r="D312" s="35">
        <f>A312*Inputs!$D$20+C312*Inputs!$D$21+B312*Inputs!$D$22</f>
        <v>120</v>
      </c>
      <c r="E312" s="36">
        <f>MIN(Inputs!$E$15,Inputs!$D$15*(C312/Inputs!$D$43)^Inputs!$D$44)</f>
        <v>0.32500000000000001</v>
      </c>
      <c r="F312" s="36">
        <f>MIN(Inputs!$E$16,Inputs!$D$16*(B312/Inputs!$D$42)^Inputs!$D$44)</f>
        <v>0.44716766511947192</v>
      </c>
      <c r="G312" s="37">
        <f>Inputs!$D$26*(1+Inputs!$D$41*(B312-Inputs!$D$42))</f>
        <v>1.6350000000000002</v>
      </c>
      <c r="H312" s="35">
        <f>Inputs!$D$6*Inputs!$D$14*G312*Inputs!$D$29</f>
        <v>2054.2630500000005</v>
      </c>
      <c r="I312" s="36">
        <f>H312/(A312*Inputs!$D$32)</f>
        <v>1.0094658722358725</v>
      </c>
      <c r="J312" s="38">
        <f>IF(I312&gt;=1,999,I312/(Inputs!$D$32*(1-I312))*60)</f>
        <v>999</v>
      </c>
      <c r="K312" s="37">
        <f>MIN(1,MAX(0,(J312-Inputs!$D$36)/(Inputs!$D$37-Inputs!$D$36)))</f>
        <v>1</v>
      </c>
      <c r="L312" s="35">
        <f>Inputs!$D$6*Inputs!$D$14*G312*(1-Inputs!$D$38*K312)</f>
        <v>7532.2978500000027</v>
      </c>
      <c r="M312" s="39">
        <f>L312*Inputs!$D$11</f>
        <v>161944.40377500007</v>
      </c>
      <c r="N312" s="39">
        <f>M312*(1-Inputs!$D$17)</f>
        <v>56680.541321250021</v>
      </c>
      <c r="O312" s="35">
        <f>Inputs!$D$6*E312*Inputs!$D$27*Inputs!$D$30</f>
        <v>463.66320000000002</v>
      </c>
      <c r="P312" s="36">
        <f>O312/(C312*Inputs!$D$33)</f>
        <v>0.4636632</v>
      </c>
      <c r="Q312" s="38">
        <f>IF(P312&gt;=1,999,P312/(Inputs!$D$33*(1-P312))*60)</f>
        <v>1.296750101801704</v>
      </c>
      <c r="R312" s="37">
        <f>MIN(1,MAX(0,(Q312-Inputs!$D$36)/(Inputs!$D$37-Inputs!$D$36)))</f>
        <v>0</v>
      </c>
      <c r="S312" s="35">
        <f>Inputs!$D$6*E312*Inputs!$D$27*(1-Inputs!$D$38*R312)</f>
        <v>3863.86</v>
      </c>
      <c r="T312" s="39">
        <f>S312*Inputs!$D$12</f>
        <v>61821.760000000002</v>
      </c>
      <c r="U312" s="39">
        <f>T312*(1-Inputs!$D$18)</f>
        <v>27819.791999999998</v>
      </c>
      <c r="V312" s="35">
        <f>Inputs!$D$6*F312*Inputs!$D$28*Inputs!$D$31</f>
        <v>753.9461474393554</v>
      </c>
      <c r="W312" s="36">
        <f>V312/(B312*Inputs!$D$34)</f>
        <v>0.74280408614714821</v>
      </c>
      <c r="X312" s="38">
        <f>IF(W312&gt;=1,999,W312/(Inputs!$D$34*(1-W312))*60)</f>
        <v>4.9510056918075414</v>
      </c>
      <c r="Y312" s="37">
        <f>MIN(1,MAX(0,(X312-Inputs!$D$36)/(Inputs!$D$37-Inputs!$D$36)))</f>
        <v>0</v>
      </c>
      <c r="Z312" s="35">
        <f>Inputs!$D$6*F312*Inputs!$D$28*(1-Inputs!$D$38*Y312)</f>
        <v>5799.5857495335031</v>
      </c>
      <c r="AA312" s="39">
        <f>Z312*Inputs!$D$13</f>
        <v>49296.478871034778</v>
      </c>
      <c r="AB312" s="39">
        <f>AA312*(1-Inputs!$D$19)</f>
        <v>29577.887322620867</v>
      </c>
      <c r="AC312" s="39">
        <f t="shared" si="16"/>
        <v>273062.64264603483</v>
      </c>
      <c r="AD312" s="39">
        <f t="shared" si="17"/>
        <v>114078.22064387088</v>
      </c>
      <c r="AE312" s="36">
        <f t="shared" si="18"/>
        <v>1.0094658722358725</v>
      </c>
      <c r="AF312" s="35">
        <f>IF(AND(AE312&lt;=Inputs!$D$35,C312&gt;=Inputs!$D$48*(A312+B312+C312),B312*Inputs!$D$22&lt;=Inputs!$D$50*Inputs!$D$8,B312*Inputs!$D$22&gt;=Inputs!$D$49*Inputs!$D$8,A312*Inputs!$D$20&lt;=Inputs!$D$47*Inputs!$D$8,C312&gt;=1),1,0)</f>
        <v>0</v>
      </c>
      <c r="AG312" s="39">
        <f t="shared" si="19"/>
        <v>-1</v>
      </c>
    </row>
    <row r="313" spans="1:33" x14ac:dyDescent="0.25">
      <c r="A313" s="35">
        <v>37</v>
      </c>
      <c r="B313" s="35">
        <v>30</v>
      </c>
      <c r="C313" s="35">
        <f>Inputs!$D$8-A313-Inputs!$D$22*B313</f>
        <v>23</v>
      </c>
      <c r="D313" s="35">
        <f>A313*Inputs!$D$20+C313*Inputs!$D$21+B313*Inputs!$D$22</f>
        <v>120</v>
      </c>
      <c r="E313" s="36">
        <f>MIN(Inputs!$E$15,Inputs!$D$15*(C313/Inputs!$D$43)^Inputs!$D$44)</f>
        <v>0.31697113078396583</v>
      </c>
      <c r="F313" s="36">
        <f>MIN(Inputs!$E$16,Inputs!$D$16*(B313/Inputs!$D$42)^Inputs!$D$44)</f>
        <v>0.45173877418274222</v>
      </c>
      <c r="G313" s="37">
        <f>Inputs!$D$26*(1+Inputs!$D$41*(B313-Inputs!$D$42))</f>
        <v>1.6500000000000001</v>
      </c>
      <c r="H313" s="35">
        <f>Inputs!$D$6*Inputs!$D$14*G313*Inputs!$D$29</f>
        <v>2073.1095000000005</v>
      </c>
      <c r="I313" s="36">
        <f>H313/(A313*Inputs!$D$32)</f>
        <v>1.0187270270270272</v>
      </c>
      <c r="J313" s="38">
        <f>IF(I313&gt;=1,999,I313/(Inputs!$D$32*(1-I313))*60)</f>
        <v>999</v>
      </c>
      <c r="K313" s="37">
        <f>MIN(1,MAX(0,(J313-Inputs!$D$36)/(Inputs!$D$37-Inputs!$D$36)))</f>
        <v>1</v>
      </c>
      <c r="L313" s="35">
        <f>Inputs!$D$6*Inputs!$D$14*G313*(1-Inputs!$D$38*K313)</f>
        <v>7601.4015000000027</v>
      </c>
      <c r="M313" s="39">
        <f>L313*Inputs!$D$11</f>
        <v>163430.13225000005</v>
      </c>
      <c r="N313" s="39">
        <f>M313*(1-Inputs!$D$17)</f>
        <v>57200.546287500016</v>
      </c>
      <c r="O313" s="35">
        <f>Inputs!$D$6*E313*Inputs!$D$27*Inputs!$D$30</f>
        <v>452.20876555972956</v>
      </c>
      <c r="P313" s="36">
        <f>O313/(C313*Inputs!$D$33)</f>
        <v>0.49153126691274951</v>
      </c>
      <c r="Q313" s="38">
        <f>IF(P313&gt;=1,999,P313/(Inputs!$D$33*(1-P313))*60)</f>
        <v>1.4500339005950402</v>
      </c>
      <c r="R313" s="37">
        <f>MIN(1,MAX(0,(Q313-Inputs!$D$36)/(Inputs!$D$37-Inputs!$D$36)))</f>
        <v>0</v>
      </c>
      <c r="S313" s="35">
        <f>Inputs!$D$6*E313*Inputs!$D$27*(1-Inputs!$D$38*R313)</f>
        <v>3768.4063796644132</v>
      </c>
      <c r="T313" s="39">
        <f>S313*Inputs!$D$12</f>
        <v>60294.502074630611</v>
      </c>
      <c r="U313" s="39">
        <f>T313*(1-Inputs!$D$18)</f>
        <v>27132.525933583773</v>
      </c>
      <c r="V313" s="35">
        <f>Inputs!$D$6*F313*Inputs!$D$28*Inputs!$D$31</f>
        <v>761.65325673326424</v>
      </c>
      <c r="W313" s="36">
        <f>V313/(B313*Inputs!$D$34)</f>
        <v>0.72538405403168027</v>
      </c>
      <c r="X313" s="38">
        <f>IF(W313&gt;=1,999,W313/(Inputs!$D$34*(1-W313))*60)</f>
        <v>4.5281985239874629</v>
      </c>
      <c r="Y313" s="37">
        <f>MIN(1,MAX(0,(X313-Inputs!$D$36)/(Inputs!$D$37-Inputs!$D$36)))</f>
        <v>0</v>
      </c>
      <c r="Z313" s="35">
        <f>Inputs!$D$6*F313*Inputs!$D$28*(1-Inputs!$D$38*Y313)</f>
        <v>5858.8712056404938</v>
      </c>
      <c r="AA313" s="39">
        <f>Z313*Inputs!$D$13</f>
        <v>49800.405247944196</v>
      </c>
      <c r="AB313" s="39">
        <f>AA313*(1-Inputs!$D$19)</f>
        <v>29880.243148766516</v>
      </c>
      <c r="AC313" s="39">
        <f t="shared" si="16"/>
        <v>273525.03957257484</v>
      </c>
      <c r="AD313" s="39">
        <f t="shared" si="17"/>
        <v>114213.3153698503</v>
      </c>
      <c r="AE313" s="36">
        <f t="shared" si="18"/>
        <v>1.0187270270270272</v>
      </c>
      <c r="AF313" s="35">
        <f>IF(AND(AE313&lt;=Inputs!$D$35,C313&gt;=Inputs!$D$48*(A313+B313+C313),B313*Inputs!$D$22&lt;=Inputs!$D$50*Inputs!$D$8,B313*Inputs!$D$22&gt;=Inputs!$D$49*Inputs!$D$8,A313*Inputs!$D$20&lt;=Inputs!$D$47*Inputs!$D$8,C313&gt;=1),1,0)</f>
        <v>0</v>
      </c>
      <c r="AG313" s="39">
        <f t="shared" si="19"/>
        <v>-1</v>
      </c>
    </row>
    <row r="314" spans="1:33" x14ac:dyDescent="0.25">
      <c r="A314" s="35">
        <v>37</v>
      </c>
      <c r="B314" s="35">
        <v>31</v>
      </c>
      <c r="C314" s="35">
        <f>Inputs!$D$8-A314-Inputs!$D$22*B314</f>
        <v>21</v>
      </c>
      <c r="D314" s="35">
        <f>A314*Inputs!$D$20+C314*Inputs!$D$21+B314*Inputs!$D$22</f>
        <v>120</v>
      </c>
      <c r="E314" s="36">
        <f>MIN(Inputs!$E$15,Inputs!$D$15*(C314/Inputs!$D$43)^Inputs!$D$44)</f>
        <v>0.30843748043226404</v>
      </c>
      <c r="F314" s="36">
        <f>MIN(Inputs!$E$16,Inputs!$D$16*(B314/Inputs!$D$42)^Inputs!$D$44)</f>
        <v>0.45620443270573335</v>
      </c>
      <c r="G314" s="37">
        <f>Inputs!$D$26*(1+Inputs!$D$41*(B314-Inputs!$D$42))</f>
        <v>1.665</v>
      </c>
      <c r="H314" s="35">
        <f>Inputs!$D$6*Inputs!$D$14*G314*Inputs!$D$29</f>
        <v>2091.95595</v>
      </c>
      <c r="I314" s="36">
        <f>H314/(A314*Inputs!$D$32)</f>
        <v>1.0279881818181817</v>
      </c>
      <c r="J314" s="38">
        <f>IF(I314&gt;=1,999,I314/(Inputs!$D$32*(1-I314))*60)</f>
        <v>999</v>
      </c>
      <c r="K314" s="37">
        <f>MIN(1,MAX(0,(J314-Inputs!$D$36)/(Inputs!$D$37-Inputs!$D$36)))</f>
        <v>1</v>
      </c>
      <c r="L314" s="35">
        <f>Inputs!$D$6*Inputs!$D$14*G314*(1-Inputs!$D$38*K314)</f>
        <v>7670.5051500000018</v>
      </c>
      <c r="M314" s="39">
        <f>L314*Inputs!$D$11</f>
        <v>164915.86072500004</v>
      </c>
      <c r="N314" s="39">
        <f>M314*(1-Inputs!$D$17)</f>
        <v>57720.551253750011</v>
      </c>
      <c r="O314" s="35">
        <f>Inputs!$D$6*E314*Inputs!$D$27*Inputs!$D$30</f>
        <v>440.03418208357215</v>
      </c>
      <c r="P314" s="36">
        <f>O314/(C314*Inputs!$D$33)</f>
        <v>0.52385021676615728</v>
      </c>
      <c r="Q314" s="38">
        <f>IF(P314&gt;=1,999,P314/(Inputs!$D$33*(1-P314))*60)</f>
        <v>1.6502692069132636</v>
      </c>
      <c r="R314" s="37">
        <f>MIN(1,MAX(0,(Q314-Inputs!$D$36)/(Inputs!$D$37-Inputs!$D$36)))</f>
        <v>0</v>
      </c>
      <c r="S314" s="35">
        <f>Inputs!$D$6*E314*Inputs!$D$27*(1-Inputs!$D$38*R314)</f>
        <v>3666.9515173631012</v>
      </c>
      <c r="T314" s="39">
        <f>S314*Inputs!$D$12</f>
        <v>58671.224277809619</v>
      </c>
      <c r="U314" s="39">
        <f>T314*(1-Inputs!$D$18)</f>
        <v>26402.050925014326</v>
      </c>
      <c r="V314" s="35">
        <f>Inputs!$D$6*F314*Inputs!$D$28*Inputs!$D$31</f>
        <v>769.18257135463637</v>
      </c>
      <c r="W314" s="36">
        <f>V314/(B314*Inputs!$D$34)</f>
        <v>0.70892402889828232</v>
      </c>
      <c r="X314" s="38">
        <f>IF(W314&gt;=1,999,W314/(Inputs!$D$34*(1-W314))*60)</f>
        <v>4.1751929252501148</v>
      </c>
      <c r="Y314" s="37">
        <f>MIN(1,MAX(0,(X314-Inputs!$D$36)/(Inputs!$D$37-Inputs!$D$36)))</f>
        <v>0</v>
      </c>
      <c r="Z314" s="35">
        <f>Inputs!$D$6*F314*Inputs!$D$28*(1-Inputs!$D$38*Y314)</f>
        <v>5916.7890104202797</v>
      </c>
      <c r="AA314" s="39">
        <f>Z314*Inputs!$D$13</f>
        <v>50292.706588572379</v>
      </c>
      <c r="AB314" s="39">
        <f>AA314*(1-Inputs!$D$19)</f>
        <v>30175.623953143426</v>
      </c>
      <c r="AC314" s="39">
        <f t="shared" si="16"/>
        <v>273879.791591382</v>
      </c>
      <c r="AD314" s="39">
        <f t="shared" si="17"/>
        <v>114298.22613190777</v>
      </c>
      <c r="AE314" s="36">
        <f t="shared" si="18"/>
        <v>1.0279881818181817</v>
      </c>
      <c r="AF314" s="35">
        <f>IF(AND(AE314&lt;=Inputs!$D$35,C314&gt;=Inputs!$D$48*(A314+B314+C314),B314*Inputs!$D$22&lt;=Inputs!$D$50*Inputs!$D$8,B314*Inputs!$D$22&gt;=Inputs!$D$49*Inputs!$D$8,A314*Inputs!$D$20&lt;=Inputs!$D$47*Inputs!$D$8,C314&gt;=1),1,0)</f>
        <v>0</v>
      </c>
      <c r="AG314" s="39">
        <f t="shared" si="19"/>
        <v>-1</v>
      </c>
    </row>
    <row r="315" spans="1:33" x14ac:dyDescent="0.25">
      <c r="A315" s="35">
        <v>37</v>
      </c>
      <c r="B315" s="35">
        <v>32</v>
      </c>
      <c r="C315" s="35">
        <f>Inputs!$D$8-A315-Inputs!$D$22*B315</f>
        <v>19</v>
      </c>
      <c r="D315" s="35">
        <f>A315*Inputs!$D$20+C315*Inputs!$D$21+B315*Inputs!$D$22</f>
        <v>120</v>
      </c>
      <c r="E315" s="36">
        <f>MIN(Inputs!$E$15,Inputs!$D$15*(C315/Inputs!$D$43)^Inputs!$D$44)</f>
        <v>0.29931428106923352</v>
      </c>
      <c r="F315" s="36">
        <f>MIN(Inputs!$E$16,Inputs!$D$16*(B315/Inputs!$D$42)^Inputs!$D$44)</f>
        <v>0.46057036065052986</v>
      </c>
      <c r="G315" s="37">
        <f>Inputs!$D$26*(1+Inputs!$D$41*(B315-Inputs!$D$42))</f>
        <v>1.6800000000000002</v>
      </c>
      <c r="H315" s="35">
        <f>Inputs!$D$6*Inputs!$D$14*G315*Inputs!$D$29</f>
        <v>2110.8024000000005</v>
      </c>
      <c r="I315" s="36">
        <f>H315/(A315*Inputs!$D$32)</f>
        <v>1.0372493366093369</v>
      </c>
      <c r="J315" s="38">
        <f>IF(I315&gt;=1,999,I315/(Inputs!$D$32*(1-I315))*60)</f>
        <v>999</v>
      </c>
      <c r="K315" s="37">
        <f>MIN(1,MAX(0,(J315-Inputs!$D$36)/(Inputs!$D$37-Inputs!$D$36)))</f>
        <v>1</v>
      </c>
      <c r="L315" s="35">
        <f>Inputs!$D$6*Inputs!$D$14*G315*(1-Inputs!$D$38*K315)</f>
        <v>7739.6088000000027</v>
      </c>
      <c r="M315" s="39">
        <f>L315*Inputs!$D$11</f>
        <v>166401.58920000005</v>
      </c>
      <c r="N315" s="39">
        <f>M315*(1-Inputs!$D$17)</f>
        <v>58240.556220000013</v>
      </c>
      <c r="O315" s="35">
        <f>Inputs!$D$6*E315*Inputs!$D$27*Inputs!$D$30</f>
        <v>427.01851497310844</v>
      </c>
      <c r="P315" s="36">
        <f>O315/(C315*Inputs!$D$33)</f>
        <v>0.56186646706987953</v>
      </c>
      <c r="Q315" s="38">
        <f>IF(P315&gt;=1,999,P315/(Inputs!$D$33*(1-P315))*60)</f>
        <v>1.9236137781292366</v>
      </c>
      <c r="R315" s="37">
        <f>MIN(1,MAX(0,(Q315-Inputs!$D$36)/(Inputs!$D$37-Inputs!$D$36)))</f>
        <v>0</v>
      </c>
      <c r="S315" s="35">
        <f>Inputs!$D$6*E315*Inputs!$D$27*(1-Inputs!$D$38*R315)</f>
        <v>3558.4876247759039</v>
      </c>
      <c r="T315" s="39">
        <f>S315*Inputs!$D$12</f>
        <v>56935.801996414462</v>
      </c>
      <c r="U315" s="39">
        <f>T315*(1-Inputs!$D$18)</f>
        <v>25621.110898386505</v>
      </c>
      <c r="V315" s="35">
        <f>Inputs!$D$6*F315*Inputs!$D$28*Inputs!$D$31</f>
        <v>776.54373543410452</v>
      </c>
      <c r="W315" s="36">
        <f>V315/(B315*Inputs!$D$34)</f>
        <v>0.69334262092330756</v>
      </c>
      <c r="X315" s="38">
        <f>IF(W315&gt;=1,999,W315/(Inputs!$D$34*(1-W315))*60)</f>
        <v>3.8759457011369869</v>
      </c>
      <c r="Y315" s="37">
        <f>MIN(1,MAX(0,(X315-Inputs!$D$36)/(Inputs!$D$37-Inputs!$D$36)))</f>
        <v>0</v>
      </c>
      <c r="Z315" s="35">
        <f>Inputs!$D$6*F315*Inputs!$D$28*(1-Inputs!$D$38*Y315)</f>
        <v>5973.4133494931111</v>
      </c>
      <c r="AA315" s="39">
        <f>Z315*Inputs!$D$13</f>
        <v>50774.013470691447</v>
      </c>
      <c r="AB315" s="39">
        <f>AA315*(1-Inputs!$D$19)</f>
        <v>30464.408082414866</v>
      </c>
      <c r="AC315" s="39">
        <f t="shared" si="16"/>
        <v>274111.40466710593</v>
      </c>
      <c r="AD315" s="39">
        <f t="shared" si="17"/>
        <v>114326.07520080138</v>
      </c>
      <c r="AE315" s="36">
        <f t="shared" si="18"/>
        <v>1.0372493366093369</v>
      </c>
      <c r="AF315" s="35">
        <f>IF(AND(AE315&lt;=Inputs!$D$35,C315&gt;=Inputs!$D$48*(A315+B315+C315),B315*Inputs!$D$22&lt;=Inputs!$D$50*Inputs!$D$8,B315*Inputs!$D$22&gt;=Inputs!$D$49*Inputs!$D$8,A315*Inputs!$D$20&lt;=Inputs!$D$47*Inputs!$D$8,C315&gt;=1),1,0)</f>
        <v>0</v>
      </c>
      <c r="AG315" s="39">
        <f t="shared" si="19"/>
        <v>-1</v>
      </c>
    </row>
    <row r="316" spans="1:33" x14ac:dyDescent="0.25">
      <c r="A316" s="35">
        <v>37</v>
      </c>
      <c r="B316" s="35">
        <v>33</v>
      </c>
      <c r="C316" s="35">
        <f>Inputs!$D$8-A316-Inputs!$D$22*B316</f>
        <v>17</v>
      </c>
      <c r="D316" s="35">
        <f>A316*Inputs!$D$20+C316*Inputs!$D$21+B316*Inputs!$D$22</f>
        <v>120</v>
      </c>
      <c r="E316" s="36">
        <f>MIN(Inputs!$E$15,Inputs!$D$15*(C316/Inputs!$D$43)^Inputs!$D$44)</f>
        <v>0.28949164546121231</v>
      </c>
      <c r="F316" s="36">
        <f>MIN(Inputs!$E$16,Inputs!$D$16*(B316/Inputs!$D$42)^Inputs!$D$44)</f>
        <v>0.46484180038786721</v>
      </c>
      <c r="G316" s="37">
        <f>Inputs!$D$26*(1+Inputs!$D$41*(B316-Inputs!$D$42))</f>
        <v>1.6949999999999998</v>
      </c>
      <c r="H316" s="35">
        <f>Inputs!$D$6*Inputs!$D$14*G316*Inputs!$D$29</f>
        <v>2129.64885</v>
      </c>
      <c r="I316" s="36">
        <f>H316/(A316*Inputs!$D$32)</f>
        <v>1.0465104914004915</v>
      </c>
      <c r="J316" s="38">
        <f>IF(I316&gt;=1,999,I316/(Inputs!$D$32*(1-I316))*60)</f>
        <v>999</v>
      </c>
      <c r="K316" s="37">
        <f>MIN(1,MAX(0,(J316-Inputs!$D$36)/(Inputs!$D$37-Inputs!$D$36)))</f>
        <v>1</v>
      </c>
      <c r="L316" s="35">
        <f>Inputs!$D$6*Inputs!$D$14*G316*(1-Inputs!$D$38*K316)</f>
        <v>7808.71245</v>
      </c>
      <c r="M316" s="39">
        <f>L316*Inputs!$D$11</f>
        <v>167887.317675</v>
      </c>
      <c r="N316" s="39">
        <f>M316*(1-Inputs!$D$17)</f>
        <v>58760.561186249994</v>
      </c>
      <c r="O316" s="35">
        <f>Inputs!$D$6*E316*Inputs!$D$27*Inputs!$D$30</f>
        <v>413.00499294711136</v>
      </c>
      <c r="P316" s="36">
        <f>O316/(C316*Inputs!$D$33)</f>
        <v>0.60736028374575202</v>
      </c>
      <c r="Q316" s="38">
        <f>IF(P316&gt;=1,999,P316/(Inputs!$D$33*(1-P316))*60)</f>
        <v>2.3202961593133828</v>
      </c>
      <c r="R316" s="37">
        <f>MIN(1,MAX(0,(Q316-Inputs!$D$36)/(Inputs!$D$37-Inputs!$D$36)))</f>
        <v>0</v>
      </c>
      <c r="S316" s="35">
        <f>Inputs!$D$6*E316*Inputs!$D$27*(1-Inputs!$D$38*R316)</f>
        <v>3441.7082745592616</v>
      </c>
      <c r="T316" s="39">
        <f>S316*Inputs!$D$12</f>
        <v>55067.332392948185</v>
      </c>
      <c r="U316" s="39">
        <f>T316*(1-Inputs!$D$18)</f>
        <v>24780.299576826681</v>
      </c>
      <c r="V316" s="35">
        <f>Inputs!$D$6*F316*Inputs!$D$28*Inputs!$D$31</f>
        <v>783.74558786036266</v>
      </c>
      <c r="W316" s="36">
        <f>V316/(B316*Inputs!$D$34)</f>
        <v>0.67856760853711051</v>
      </c>
      <c r="X316" s="38">
        <f>IF(W316&gt;=1,999,W316/(Inputs!$D$34*(1-W316))*60)</f>
        <v>3.6189842355277744</v>
      </c>
      <c r="Y316" s="37">
        <f>MIN(1,MAX(0,(X316-Inputs!$D$36)/(Inputs!$D$37-Inputs!$D$36)))</f>
        <v>0</v>
      </c>
      <c r="Z316" s="35">
        <f>Inputs!$D$6*F316*Inputs!$D$28*(1-Inputs!$D$38*Y316)</f>
        <v>6028.812214310482</v>
      </c>
      <c r="AA316" s="39">
        <f>Z316*Inputs!$D$13</f>
        <v>51244.903821639098</v>
      </c>
      <c r="AB316" s="39">
        <f>AA316*(1-Inputs!$D$19)</f>
        <v>30746.942292983458</v>
      </c>
      <c r="AC316" s="39">
        <f t="shared" si="16"/>
        <v>274199.55388958729</v>
      </c>
      <c r="AD316" s="39">
        <f t="shared" si="17"/>
        <v>114287.80305606013</v>
      </c>
      <c r="AE316" s="36">
        <f t="shared" si="18"/>
        <v>1.0465104914004915</v>
      </c>
      <c r="AF316" s="35">
        <f>IF(AND(AE316&lt;=Inputs!$D$35,C316&gt;=Inputs!$D$48*(A316+B316+C316),B316*Inputs!$D$22&lt;=Inputs!$D$50*Inputs!$D$8,B316*Inputs!$D$22&gt;=Inputs!$D$49*Inputs!$D$8,A316*Inputs!$D$20&lt;=Inputs!$D$47*Inputs!$D$8,C316&gt;=1),1,0)</f>
        <v>0</v>
      </c>
      <c r="AG316" s="39">
        <f t="shared" si="19"/>
        <v>-1</v>
      </c>
    </row>
    <row r="317" spans="1:33" x14ac:dyDescent="0.25">
      <c r="A317" s="35">
        <v>38</v>
      </c>
      <c r="B317" s="35">
        <v>10</v>
      </c>
      <c r="C317" s="35">
        <f>Inputs!$D$8-A317-Inputs!$D$22*B317</f>
        <v>62</v>
      </c>
      <c r="D317" s="35">
        <f>A317*Inputs!$D$20+C317*Inputs!$D$21+B317*Inputs!$D$22</f>
        <v>120</v>
      </c>
      <c r="E317" s="36">
        <f>MIN(Inputs!$E$15,Inputs!$D$15*(C317/Inputs!$D$43)^Inputs!$D$44)</f>
        <v>0.4</v>
      </c>
      <c r="F317" s="36">
        <f>MIN(Inputs!$E$16,Inputs!$D$16*(B317/Inputs!$D$42)^Inputs!$D$44)</f>
        <v>0.32490095854249423</v>
      </c>
      <c r="G317" s="37">
        <f>Inputs!$D$26*(1+Inputs!$D$41*(B317-Inputs!$D$42))</f>
        <v>1.35</v>
      </c>
      <c r="H317" s="35">
        <f>Inputs!$D$6*Inputs!$D$14*G317*Inputs!$D$29</f>
        <v>1696.1805000000004</v>
      </c>
      <c r="I317" s="36">
        <f>H317/(A317*Inputs!$D$32)</f>
        <v>0.81156961722488052</v>
      </c>
      <c r="J317" s="38">
        <f>IF(I317&gt;=1,999,I317/(Inputs!$D$32*(1-I317))*60)</f>
        <v>4.6985452149340734</v>
      </c>
      <c r="K317" s="37">
        <f>MIN(1,MAX(0,(J317-Inputs!$D$36)/(Inputs!$D$37-Inputs!$D$36)))</f>
        <v>0</v>
      </c>
      <c r="L317" s="35">
        <f>Inputs!$D$6*Inputs!$D$14*G317*(1-Inputs!$D$38*K317)</f>
        <v>11307.870000000003</v>
      </c>
      <c r="M317" s="39">
        <f>L317*Inputs!$D$11</f>
        <v>243119.20500000005</v>
      </c>
      <c r="N317" s="39">
        <f>M317*(1-Inputs!$D$17)</f>
        <v>85091.721750000012</v>
      </c>
      <c r="O317" s="35">
        <f>Inputs!$D$6*E317*Inputs!$D$27*Inputs!$D$30</f>
        <v>570.66240000000005</v>
      </c>
      <c r="P317" s="36">
        <f>O317/(C317*Inputs!$D$33)</f>
        <v>0.23010580645161291</v>
      </c>
      <c r="Q317" s="38">
        <f>IF(P317&gt;=1,999,P317/(Inputs!$D$33*(1-P317))*60)</f>
        <v>0.44831966855939992</v>
      </c>
      <c r="R317" s="37">
        <f>MIN(1,MAX(0,(Q317-Inputs!$D$36)/(Inputs!$D$37-Inputs!$D$36)))</f>
        <v>0</v>
      </c>
      <c r="S317" s="35">
        <f>Inputs!$D$6*E317*Inputs!$D$27*(1-Inputs!$D$38*R317)</f>
        <v>4755.5200000000004</v>
      </c>
      <c r="T317" s="39">
        <f>S317*Inputs!$D$12</f>
        <v>76088.320000000007</v>
      </c>
      <c r="U317" s="39">
        <f>T317*(1-Inputs!$D$18)</f>
        <v>34239.743999999999</v>
      </c>
      <c r="V317" s="35">
        <f>Inputs!$D$6*F317*Inputs!$D$28*Inputs!$D$31</f>
        <v>547.7986113486553</v>
      </c>
      <c r="W317" s="36">
        <f>V317/(B317*Inputs!$D$34)</f>
        <v>1.5651388895675866</v>
      </c>
      <c r="X317" s="38">
        <f>IF(W317&gt;=1,999,W317/(Inputs!$D$34*(1-W317))*60)</f>
        <v>999</v>
      </c>
      <c r="Y317" s="37">
        <f>MIN(1,MAX(0,(X317-Inputs!$D$36)/(Inputs!$D$37-Inputs!$D$36)))</f>
        <v>1</v>
      </c>
      <c r="Z317" s="35">
        <f>Inputs!$D$6*F317*Inputs!$D$28*(1-Inputs!$D$38*Y317)</f>
        <v>2317.6095095520031</v>
      </c>
      <c r="AA317" s="39">
        <f>Z317*Inputs!$D$13</f>
        <v>19699.680831192025</v>
      </c>
      <c r="AB317" s="39">
        <f>AA317*(1-Inputs!$D$19)</f>
        <v>11819.808498715214</v>
      </c>
      <c r="AC317" s="39">
        <f t="shared" si="16"/>
        <v>338907.20583119203</v>
      </c>
      <c r="AD317" s="39">
        <f t="shared" si="17"/>
        <v>131151.27424871523</v>
      </c>
      <c r="AE317" s="36">
        <f t="shared" si="18"/>
        <v>1.5651388895675866</v>
      </c>
      <c r="AF317" s="35">
        <f>IF(AND(AE317&lt;=Inputs!$D$35,C317&gt;=Inputs!$D$48*(A317+B317+C317),B317*Inputs!$D$22&lt;=Inputs!$D$50*Inputs!$D$8,B317*Inputs!$D$22&gt;=Inputs!$D$49*Inputs!$D$8,A317*Inputs!$D$20&lt;=Inputs!$D$47*Inputs!$D$8,C317&gt;=1),1,0)</f>
        <v>0</v>
      </c>
      <c r="AG317" s="39">
        <f t="shared" si="19"/>
        <v>-1</v>
      </c>
    </row>
    <row r="318" spans="1:33" x14ac:dyDescent="0.25">
      <c r="A318" s="35">
        <v>38</v>
      </c>
      <c r="B318" s="35">
        <v>11</v>
      </c>
      <c r="C318" s="35">
        <f>Inputs!$D$8-A318-Inputs!$D$22*B318</f>
        <v>60</v>
      </c>
      <c r="D318" s="35">
        <f>A318*Inputs!$D$20+C318*Inputs!$D$21+B318*Inputs!$D$22</f>
        <v>120</v>
      </c>
      <c r="E318" s="36">
        <f>MIN(Inputs!$E$15,Inputs!$D$15*(C318/Inputs!$D$43)^Inputs!$D$44)</f>
        <v>0.4</v>
      </c>
      <c r="F318" s="36">
        <f>MIN(Inputs!$E$16,Inputs!$D$16*(B318/Inputs!$D$42)^Inputs!$D$44)</f>
        <v>0.33432495758166098</v>
      </c>
      <c r="G318" s="37">
        <f>Inputs!$D$26*(1+Inputs!$D$41*(B318-Inputs!$D$42))</f>
        <v>1.365</v>
      </c>
      <c r="H318" s="35">
        <f>Inputs!$D$6*Inputs!$D$14*G318*Inputs!$D$29</f>
        <v>1715.0269500000002</v>
      </c>
      <c r="I318" s="36">
        <f>H318/(A318*Inputs!$D$32)</f>
        <v>0.82058705741626803</v>
      </c>
      <c r="J318" s="38">
        <f>IF(I318&gt;=1,999,I318/(Inputs!$D$32*(1-I318))*60)</f>
        <v>4.9895278898285937</v>
      </c>
      <c r="K318" s="37">
        <f>MIN(1,MAX(0,(J318-Inputs!$D$36)/(Inputs!$D$37-Inputs!$D$36)))</f>
        <v>0</v>
      </c>
      <c r="L318" s="35">
        <f>Inputs!$D$6*Inputs!$D$14*G318*(1-Inputs!$D$38*K318)</f>
        <v>11433.513000000001</v>
      </c>
      <c r="M318" s="39">
        <f>L318*Inputs!$D$11</f>
        <v>245820.5295</v>
      </c>
      <c r="N318" s="39">
        <f>M318*(1-Inputs!$D$17)</f>
        <v>86037.185324999999</v>
      </c>
      <c r="O318" s="35">
        <f>Inputs!$D$6*E318*Inputs!$D$27*Inputs!$D$30</f>
        <v>570.66240000000005</v>
      </c>
      <c r="P318" s="36">
        <f>O318/(C318*Inputs!$D$33)</f>
        <v>0.23777600000000002</v>
      </c>
      <c r="Q318" s="38">
        <f>IF(P318&gt;=1,999,P318/(Inputs!$D$33*(1-P318))*60)</f>
        <v>0.46792543924095809</v>
      </c>
      <c r="R318" s="37">
        <f>MIN(1,MAX(0,(Q318-Inputs!$D$36)/(Inputs!$D$37-Inputs!$D$36)))</f>
        <v>0</v>
      </c>
      <c r="S318" s="35">
        <f>Inputs!$D$6*E318*Inputs!$D$27*(1-Inputs!$D$38*R318)</f>
        <v>4755.5200000000004</v>
      </c>
      <c r="T318" s="39">
        <f>S318*Inputs!$D$12</f>
        <v>76088.320000000007</v>
      </c>
      <c r="U318" s="39">
        <f>T318*(1-Inputs!$D$18)</f>
        <v>34239.743999999999</v>
      </c>
      <c r="V318" s="35">
        <f>Inputs!$D$6*F318*Inputs!$D$28*Inputs!$D$31</f>
        <v>563.68792608064427</v>
      </c>
      <c r="W318" s="36">
        <f>V318/(B318*Inputs!$D$34)</f>
        <v>1.4641244833263487</v>
      </c>
      <c r="X318" s="38">
        <f>IF(W318&gt;=1,999,W318/(Inputs!$D$34*(1-W318))*60)</f>
        <v>999</v>
      </c>
      <c r="Y318" s="37">
        <f>MIN(1,MAX(0,(X318-Inputs!$D$36)/(Inputs!$D$37-Inputs!$D$36)))</f>
        <v>1</v>
      </c>
      <c r="Z318" s="35">
        <f>Inputs!$D$6*F318*Inputs!$D$28*(1-Inputs!$D$38*Y318)</f>
        <v>2384.8335334181106</v>
      </c>
      <c r="AA318" s="39">
        <f>Z318*Inputs!$D$13</f>
        <v>20271.08503405394</v>
      </c>
      <c r="AB318" s="39">
        <f>AA318*(1-Inputs!$D$19)</f>
        <v>12162.651020432364</v>
      </c>
      <c r="AC318" s="39">
        <f t="shared" si="16"/>
        <v>342179.93453405396</v>
      </c>
      <c r="AD318" s="39">
        <f t="shared" si="17"/>
        <v>132439.58034543236</v>
      </c>
      <c r="AE318" s="36">
        <f t="shared" si="18"/>
        <v>1.4641244833263487</v>
      </c>
      <c r="AF318" s="35">
        <f>IF(AND(AE318&lt;=Inputs!$D$35,C318&gt;=Inputs!$D$48*(A318+B318+C318),B318*Inputs!$D$22&lt;=Inputs!$D$50*Inputs!$D$8,B318*Inputs!$D$22&gt;=Inputs!$D$49*Inputs!$D$8,A318*Inputs!$D$20&lt;=Inputs!$D$47*Inputs!$D$8,C318&gt;=1),1,0)</f>
        <v>0</v>
      </c>
      <c r="AG318" s="39">
        <f t="shared" si="19"/>
        <v>-1</v>
      </c>
    </row>
    <row r="319" spans="1:33" x14ac:dyDescent="0.25">
      <c r="A319" s="35">
        <v>38</v>
      </c>
      <c r="B319" s="35">
        <v>12</v>
      </c>
      <c r="C319" s="35">
        <f>Inputs!$D$8-A319-Inputs!$D$22*B319</f>
        <v>58</v>
      </c>
      <c r="D319" s="35">
        <f>A319*Inputs!$D$20+C319*Inputs!$D$21+B319*Inputs!$D$22</f>
        <v>120</v>
      </c>
      <c r="E319" s="36">
        <f>MIN(Inputs!$E$15,Inputs!$D$15*(C319/Inputs!$D$43)^Inputs!$D$44)</f>
        <v>0.4</v>
      </c>
      <c r="F319" s="36">
        <f>MIN(Inputs!$E$16,Inputs!$D$16*(B319/Inputs!$D$42)^Inputs!$D$44)</f>
        <v>0.34316688017763797</v>
      </c>
      <c r="G319" s="37">
        <f>Inputs!$D$26*(1+Inputs!$D$41*(B319-Inputs!$D$42))</f>
        <v>1.3800000000000001</v>
      </c>
      <c r="H319" s="35">
        <f>Inputs!$D$6*Inputs!$D$14*G319*Inputs!$D$29</f>
        <v>1733.8734000000004</v>
      </c>
      <c r="I319" s="36">
        <f>H319/(A319*Inputs!$D$32)</f>
        <v>0.82960449760765564</v>
      </c>
      <c r="J319" s="38">
        <f>IF(I319&gt;=1,999,I319/(Inputs!$D$32*(1-I319))*60)</f>
        <v>5.3113085474251474</v>
      </c>
      <c r="K319" s="37">
        <f>MIN(1,MAX(0,(J319-Inputs!$D$36)/(Inputs!$D$37-Inputs!$D$36)))</f>
        <v>2.0753903161676489E-2</v>
      </c>
      <c r="L319" s="35">
        <f>Inputs!$D$6*Inputs!$D$14*G319*(1-Inputs!$D$38*K319)</f>
        <v>11451.202078085382</v>
      </c>
      <c r="M319" s="39">
        <f>L319*Inputs!$D$11</f>
        <v>246200.84467883571</v>
      </c>
      <c r="N319" s="39">
        <f>M319*(1-Inputs!$D$17)</f>
        <v>86170.295637592499</v>
      </c>
      <c r="O319" s="35">
        <f>Inputs!$D$6*E319*Inputs!$D$27*Inputs!$D$30</f>
        <v>570.66240000000005</v>
      </c>
      <c r="P319" s="36">
        <f>O319/(C319*Inputs!$D$33)</f>
        <v>0.24597517241379313</v>
      </c>
      <c r="Q319" s="38">
        <f>IF(P319&gt;=1,999,P319/(Inputs!$D$33*(1-P319))*60)</f>
        <v>0.48932441628191153</v>
      </c>
      <c r="R319" s="37">
        <f>MIN(1,MAX(0,(Q319-Inputs!$D$36)/(Inputs!$D$37-Inputs!$D$36)))</f>
        <v>0</v>
      </c>
      <c r="S319" s="35">
        <f>Inputs!$D$6*E319*Inputs!$D$27*(1-Inputs!$D$38*R319)</f>
        <v>4755.5200000000004</v>
      </c>
      <c r="T319" s="39">
        <f>S319*Inputs!$D$12</f>
        <v>76088.320000000007</v>
      </c>
      <c r="U319" s="39">
        <f>T319*(1-Inputs!$D$18)</f>
        <v>34239.743999999999</v>
      </c>
      <c r="V319" s="35">
        <f>Inputs!$D$6*F319*Inputs!$D$28*Inputs!$D$31</f>
        <v>578.5958319897461</v>
      </c>
      <c r="W319" s="36">
        <f>V319/(B319*Inputs!$D$34)</f>
        <v>1.3776091237851098</v>
      </c>
      <c r="X319" s="38">
        <f>IF(W319&gt;=1,999,W319/(Inputs!$D$34*(1-W319))*60)</f>
        <v>999</v>
      </c>
      <c r="Y319" s="37">
        <f>MIN(1,MAX(0,(X319-Inputs!$D$36)/(Inputs!$D$37-Inputs!$D$36)))</f>
        <v>1</v>
      </c>
      <c r="Z319" s="35">
        <f>Inputs!$D$6*F319*Inputs!$D$28*(1-Inputs!$D$38*Y319)</f>
        <v>2447.9054430335414</v>
      </c>
      <c r="AA319" s="39">
        <f>Z319*Inputs!$D$13</f>
        <v>20807.1962657851</v>
      </c>
      <c r="AB319" s="39">
        <f>AA319*(1-Inputs!$D$19)</f>
        <v>12484.31775947106</v>
      </c>
      <c r="AC319" s="39">
        <f t="shared" si="16"/>
        <v>343096.3609446208</v>
      </c>
      <c r="AD319" s="39">
        <f t="shared" si="17"/>
        <v>132894.35739706358</v>
      </c>
      <c r="AE319" s="36">
        <f t="shared" si="18"/>
        <v>1.3776091237851098</v>
      </c>
      <c r="AF319" s="35">
        <f>IF(AND(AE319&lt;=Inputs!$D$35,C319&gt;=Inputs!$D$48*(A319+B319+C319),B319*Inputs!$D$22&lt;=Inputs!$D$50*Inputs!$D$8,B319*Inputs!$D$22&gt;=Inputs!$D$49*Inputs!$D$8,A319*Inputs!$D$20&lt;=Inputs!$D$47*Inputs!$D$8,C319&gt;=1),1,0)</f>
        <v>0</v>
      </c>
      <c r="AG319" s="39">
        <f t="shared" si="19"/>
        <v>-1</v>
      </c>
    </row>
    <row r="320" spans="1:33" x14ac:dyDescent="0.25">
      <c r="A320" s="35">
        <v>38</v>
      </c>
      <c r="B320" s="35">
        <v>13</v>
      </c>
      <c r="C320" s="35">
        <f>Inputs!$D$8-A320-Inputs!$D$22*B320</f>
        <v>56</v>
      </c>
      <c r="D320" s="35">
        <f>A320*Inputs!$D$20+C320*Inputs!$D$21+B320*Inputs!$D$22</f>
        <v>120</v>
      </c>
      <c r="E320" s="36">
        <f>MIN(Inputs!$E$15,Inputs!$D$15*(C320/Inputs!$D$43)^Inputs!$D$44)</f>
        <v>0.4</v>
      </c>
      <c r="F320" s="36">
        <f>MIN(Inputs!$E$16,Inputs!$D$16*(B320/Inputs!$D$42)^Inputs!$D$44)</f>
        <v>0.35150701637190523</v>
      </c>
      <c r="G320" s="37">
        <f>Inputs!$D$26*(1+Inputs!$D$41*(B320-Inputs!$D$42))</f>
        <v>1.395</v>
      </c>
      <c r="H320" s="35">
        <f>Inputs!$D$6*Inputs!$D$14*G320*Inputs!$D$29</f>
        <v>1752.7198500000002</v>
      </c>
      <c r="I320" s="36">
        <f>H320/(A320*Inputs!$D$32)</f>
        <v>0.83862193779904315</v>
      </c>
      <c r="J320" s="38">
        <f>IF(I320&gt;=1,999,I320/(Inputs!$D$32*(1-I320))*60)</f>
        <v>5.6690499520408162</v>
      </c>
      <c r="K320" s="37">
        <f>MIN(1,MAX(0,(J320-Inputs!$D$36)/(Inputs!$D$37-Inputs!$D$36)))</f>
        <v>4.4603330136054414E-2</v>
      </c>
      <c r="L320" s="35">
        <f>Inputs!$D$6*Inputs!$D$14*G320*(1-Inputs!$D$38*K320)</f>
        <v>11450.267573683304</v>
      </c>
      <c r="M320" s="39">
        <f>L320*Inputs!$D$11</f>
        <v>246180.75283419105</v>
      </c>
      <c r="N320" s="39">
        <f>M320*(1-Inputs!$D$17)</f>
        <v>86163.263491966864</v>
      </c>
      <c r="O320" s="35">
        <f>Inputs!$D$6*E320*Inputs!$D$27*Inputs!$D$30</f>
        <v>570.66240000000005</v>
      </c>
      <c r="P320" s="36">
        <f>O320/(C320*Inputs!$D$33)</f>
        <v>0.25476000000000004</v>
      </c>
      <c r="Q320" s="38">
        <f>IF(P320&gt;=1,999,P320/(Inputs!$D$33*(1-P320))*60)</f>
        <v>0.51277440824432408</v>
      </c>
      <c r="R320" s="37">
        <f>MIN(1,MAX(0,(Q320-Inputs!$D$36)/(Inputs!$D$37-Inputs!$D$36)))</f>
        <v>0</v>
      </c>
      <c r="S320" s="35">
        <f>Inputs!$D$6*E320*Inputs!$D$27*(1-Inputs!$D$38*R320)</f>
        <v>4755.5200000000004</v>
      </c>
      <c r="T320" s="39">
        <f>S320*Inputs!$D$12</f>
        <v>76088.320000000007</v>
      </c>
      <c r="U320" s="39">
        <f>T320*(1-Inputs!$D$18)</f>
        <v>34239.743999999999</v>
      </c>
      <c r="V320" s="35">
        <f>Inputs!$D$6*F320*Inputs!$D$28*Inputs!$D$31</f>
        <v>592.65770193981814</v>
      </c>
      <c r="W320" s="36">
        <f>V320/(B320*Inputs!$D$34)</f>
        <v>1.3025443998677322</v>
      </c>
      <c r="X320" s="38">
        <f>IF(W320&gt;=1,999,W320/(Inputs!$D$34*(1-W320))*60)</f>
        <v>999</v>
      </c>
      <c r="Y320" s="37">
        <f>MIN(1,MAX(0,(X320-Inputs!$D$36)/(Inputs!$D$37-Inputs!$D$36)))</f>
        <v>1</v>
      </c>
      <c r="Z320" s="35">
        <f>Inputs!$D$6*F320*Inputs!$D$28*(1-Inputs!$D$38*Y320)</f>
        <v>2507.3979697453847</v>
      </c>
      <c r="AA320" s="39">
        <f>Z320*Inputs!$D$13</f>
        <v>21312.882742835769</v>
      </c>
      <c r="AB320" s="39">
        <f>AA320*(1-Inputs!$D$19)</f>
        <v>12787.729645701462</v>
      </c>
      <c r="AC320" s="39">
        <f t="shared" si="16"/>
        <v>343581.95557702682</v>
      </c>
      <c r="AD320" s="39">
        <f t="shared" si="17"/>
        <v>133190.73713766833</v>
      </c>
      <c r="AE320" s="36">
        <f t="shared" si="18"/>
        <v>1.3025443998677322</v>
      </c>
      <c r="AF320" s="35">
        <f>IF(AND(AE320&lt;=Inputs!$D$35,C320&gt;=Inputs!$D$48*(A320+B320+C320),B320*Inputs!$D$22&lt;=Inputs!$D$50*Inputs!$D$8,B320*Inputs!$D$22&gt;=Inputs!$D$49*Inputs!$D$8,A320*Inputs!$D$20&lt;=Inputs!$D$47*Inputs!$D$8,C320&gt;=1),1,0)</f>
        <v>0</v>
      </c>
      <c r="AG320" s="39">
        <f t="shared" si="19"/>
        <v>-1</v>
      </c>
    </row>
    <row r="321" spans="1:33" x14ac:dyDescent="0.25">
      <c r="A321" s="35">
        <v>38</v>
      </c>
      <c r="B321" s="35">
        <v>14</v>
      </c>
      <c r="C321" s="35">
        <f>Inputs!$D$8-A321-Inputs!$D$22*B321</f>
        <v>54</v>
      </c>
      <c r="D321" s="35">
        <f>A321*Inputs!$D$20+C321*Inputs!$D$21+B321*Inputs!$D$22</f>
        <v>120</v>
      </c>
      <c r="E321" s="36">
        <f>MIN(Inputs!$E$15,Inputs!$D$15*(C321/Inputs!$D$43)^Inputs!$D$44)</f>
        <v>0.4</v>
      </c>
      <c r="F321" s="36">
        <f>MIN(Inputs!$E$16,Inputs!$D$16*(B321/Inputs!$D$42)^Inputs!$D$44)</f>
        <v>0.35940937671625589</v>
      </c>
      <c r="G321" s="37">
        <f>Inputs!$D$26*(1+Inputs!$D$41*(B321-Inputs!$D$42))</f>
        <v>1.41</v>
      </c>
      <c r="H321" s="35">
        <f>Inputs!$D$6*Inputs!$D$14*G321*Inputs!$D$29</f>
        <v>1771.5663000000002</v>
      </c>
      <c r="I321" s="36">
        <f>H321/(A321*Inputs!$D$32)</f>
        <v>0.84763937799043076</v>
      </c>
      <c r="J321" s="38">
        <f>IF(I321&gt;=1,999,I321/(Inputs!$D$32*(1-I321))*60)</f>
        <v>6.0691370976695742</v>
      </c>
      <c r="K321" s="37">
        <f>MIN(1,MAX(0,(J321-Inputs!$D$36)/(Inputs!$D$37-Inputs!$D$36)))</f>
        <v>7.1275806511304954E-2</v>
      </c>
      <c r="L321" s="35">
        <f>Inputs!$D$6*Inputs!$D$14*G321*(1-Inputs!$D$38*K321)</f>
        <v>11431.632549537755</v>
      </c>
      <c r="M321" s="39">
        <f>L321*Inputs!$D$11</f>
        <v>245780.09981506172</v>
      </c>
      <c r="N321" s="39">
        <f>M321*(1-Inputs!$D$17)</f>
        <v>86023.0349352716</v>
      </c>
      <c r="O321" s="35">
        <f>Inputs!$D$6*E321*Inputs!$D$27*Inputs!$D$30</f>
        <v>570.66240000000005</v>
      </c>
      <c r="P321" s="36">
        <f>O321/(C321*Inputs!$D$33)</f>
        <v>0.26419555555555557</v>
      </c>
      <c r="Q321" s="38">
        <f>IF(P321&gt;=1,999,P321/(Inputs!$D$33*(1-P321))*60)</f>
        <v>0.53858513131508379</v>
      </c>
      <c r="R321" s="37">
        <f>MIN(1,MAX(0,(Q321-Inputs!$D$36)/(Inputs!$D$37-Inputs!$D$36)))</f>
        <v>0</v>
      </c>
      <c r="S321" s="35">
        <f>Inputs!$D$6*E321*Inputs!$D$27*(1-Inputs!$D$38*R321)</f>
        <v>4755.5200000000004</v>
      </c>
      <c r="T321" s="39">
        <f>S321*Inputs!$D$12</f>
        <v>76088.320000000007</v>
      </c>
      <c r="U321" s="39">
        <f>T321*(1-Inputs!$D$18)</f>
        <v>34239.743999999999</v>
      </c>
      <c r="V321" s="35">
        <f>Inputs!$D$6*F321*Inputs!$D$28*Inputs!$D$31</f>
        <v>605.98146079368973</v>
      </c>
      <c r="W321" s="36">
        <f>V321/(B321*Inputs!$D$34)</f>
        <v>1.2366968587626321</v>
      </c>
      <c r="X321" s="38">
        <f>IF(W321&gt;=1,999,W321/(Inputs!$D$34*(1-W321))*60)</f>
        <v>999</v>
      </c>
      <c r="Y321" s="37">
        <f>MIN(1,MAX(0,(X321-Inputs!$D$36)/(Inputs!$D$37-Inputs!$D$36)))</f>
        <v>1</v>
      </c>
      <c r="Z321" s="35">
        <f>Inputs!$D$6*F321*Inputs!$D$28*(1-Inputs!$D$38*Y321)</f>
        <v>2563.7677187425338</v>
      </c>
      <c r="AA321" s="39">
        <f>Z321*Inputs!$D$13</f>
        <v>21792.025609311539</v>
      </c>
      <c r="AB321" s="39">
        <f>AA321*(1-Inputs!$D$19)</f>
        <v>13075.215365586922</v>
      </c>
      <c r="AC321" s="39">
        <f t="shared" si="16"/>
        <v>343660.44542437326</v>
      </c>
      <c r="AD321" s="39">
        <f t="shared" si="17"/>
        <v>133337.99430085853</v>
      </c>
      <c r="AE321" s="36">
        <f t="shared" si="18"/>
        <v>1.2366968587626321</v>
      </c>
      <c r="AF321" s="35">
        <f>IF(AND(AE321&lt;=Inputs!$D$35,C321&gt;=Inputs!$D$48*(A321+B321+C321),B321*Inputs!$D$22&lt;=Inputs!$D$50*Inputs!$D$8,B321*Inputs!$D$22&gt;=Inputs!$D$49*Inputs!$D$8,A321*Inputs!$D$20&lt;=Inputs!$D$47*Inputs!$D$8,C321&gt;=1),1,0)</f>
        <v>0</v>
      </c>
      <c r="AG321" s="39">
        <f t="shared" si="19"/>
        <v>-1</v>
      </c>
    </row>
    <row r="322" spans="1:33" x14ac:dyDescent="0.25">
      <c r="A322" s="35">
        <v>38</v>
      </c>
      <c r="B322" s="35">
        <v>15</v>
      </c>
      <c r="C322" s="35">
        <f>Inputs!$D$8-A322-Inputs!$D$22*B322</f>
        <v>52</v>
      </c>
      <c r="D322" s="35">
        <f>A322*Inputs!$D$20+C322*Inputs!$D$21+B322*Inputs!$D$22</f>
        <v>120</v>
      </c>
      <c r="E322" s="36">
        <f>MIN(Inputs!$E$15,Inputs!$D$15*(C322/Inputs!$D$43)^Inputs!$D$44)</f>
        <v>0.4</v>
      </c>
      <c r="F322" s="36">
        <f>MIN(Inputs!$E$16,Inputs!$D$16*(B322/Inputs!$D$42)^Inputs!$D$44)</f>
        <v>0.36692590185696072</v>
      </c>
      <c r="G322" s="37">
        <f>Inputs!$D$26*(1+Inputs!$D$41*(B322-Inputs!$D$42))</f>
        <v>1.4249999999999998</v>
      </c>
      <c r="H322" s="35">
        <f>Inputs!$D$6*Inputs!$D$14*G322*Inputs!$D$29</f>
        <v>1790.4127499999997</v>
      </c>
      <c r="I322" s="36">
        <f>H322/(A322*Inputs!$D$32)</f>
        <v>0.85665681818181805</v>
      </c>
      <c r="J322" s="38">
        <f>IF(I322&gt;=1,999,I322/(Inputs!$D$32*(1-I322))*60)</f>
        <v>6.519561648416424</v>
      </c>
      <c r="K322" s="37">
        <f>MIN(1,MAX(0,(J322-Inputs!$D$36)/(Inputs!$D$37-Inputs!$D$36)))</f>
        <v>0.10130410989442827</v>
      </c>
      <c r="L322" s="35">
        <f>Inputs!$D$6*Inputs!$D$14*G322*(1-Inputs!$D$38*K322)</f>
        <v>11391.956490052842</v>
      </c>
      <c r="M322" s="39">
        <f>L322*Inputs!$D$11</f>
        <v>244927.06453613611</v>
      </c>
      <c r="N322" s="39">
        <f>M322*(1-Inputs!$D$17)</f>
        <v>85724.47258764763</v>
      </c>
      <c r="O322" s="35">
        <f>Inputs!$D$6*E322*Inputs!$D$27*Inputs!$D$30</f>
        <v>570.66240000000005</v>
      </c>
      <c r="P322" s="36">
        <f>O322/(C322*Inputs!$D$33)</f>
        <v>0.27435692307692311</v>
      </c>
      <c r="Q322" s="38">
        <f>IF(P322&gt;=1,999,P322/(Inputs!$D$33*(1-P322))*60)</f>
        <v>0.56713196570469071</v>
      </c>
      <c r="R322" s="37">
        <f>MIN(1,MAX(0,(Q322-Inputs!$D$36)/(Inputs!$D$37-Inputs!$D$36)))</f>
        <v>0</v>
      </c>
      <c r="S322" s="35">
        <f>Inputs!$D$6*E322*Inputs!$D$27*(1-Inputs!$D$38*R322)</f>
        <v>4755.5200000000004</v>
      </c>
      <c r="T322" s="39">
        <f>S322*Inputs!$D$12</f>
        <v>76088.320000000007</v>
      </c>
      <c r="U322" s="39">
        <f>T322*(1-Inputs!$D$18)</f>
        <v>34239.743999999999</v>
      </c>
      <c r="V322" s="35">
        <f>Inputs!$D$6*F322*Inputs!$D$28*Inputs!$D$31</f>
        <v>618.65468297412497</v>
      </c>
      <c r="W322" s="36">
        <f>V322/(B322*Inputs!$D$34)</f>
        <v>1.1783898723316666</v>
      </c>
      <c r="X322" s="38">
        <f>IF(W322&gt;=1,999,W322/(Inputs!$D$34*(1-W322))*60)</f>
        <v>999</v>
      </c>
      <c r="Y322" s="37">
        <f>MIN(1,MAX(0,(X322-Inputs!$D$36)/(Inputs!$D$37-Inputs!$D$36)))</f>
        <v>1</v>
      </c>
      <c r="Z322" s="35">
        <f>Inputs!$D$6*F322*Inputs!$D$28*(1-Inputs!$D$38*Y322)</f>
        <v>2617.3851971982212</v>
      </c>
      <c r="AA322" s="39">
        <f>Z322*Inputs!$D$13</f>
        <v>22247.774176184881</v>
      </c>
      <c r="AB322" s="39">
        <f>AA322*(1-Inputs!$D$19)</f>
        <v>13348.664505710929</v>
      </c>
      <c r="AC322" s="39">
        <f t="shared" si="16"/>
        <v>343263.15871232102</v>
      </c>
      <c r="AD322" s="39">
        <f t="shared" si="17"/>
        <v>133312.88109335856</v>
      </c>
      <c r="AE322" s="36">
        <f t="shared" si="18"/>
        <v>1.1783898723316666</v>
      </c>
      <c r="AF322" s="35">
        <f>IF(AND(AE322&lt;=Inputs!$D$35,C322&gt;=Inputs!$D$48*(A322+B322+C322),B322*Inputs!$D$22&lt;=Inputs!$D$50*Inputs!$D$8,B322*Inputs!$D$22&gt;=Inputs!$D$49*Inputs!$D$8,A322*Inputs!$D$20&lt;=Inputs!$D$47*Inputs!$D$8,C322&gt;=1),1,0)</f>
        <v>0</v>
      </c>
      <c r="AG322" s="39">
        <f t="shared" si="19"/>
        <v>-1</v>
      </c>
    </row>
    <row r="323" spans="1:33" x14ac:dyDescent="0.25">
      <c r="A323" s="35">
        <v>38</v>
      </c>
      <c r="B323" s="35">
        <v>16</v>
      </c>
      <c r="C323" s="35">
        <f>Inputs!$D$8-A323-Inputs!$D$22*B323</f>
        <v>50</v>
      </c>
      <c r="D323" s="35">
        <f>A323*Inputs!$D$20+C323*Inputs!$D$21+B323*Inputs!$D$22</f>
        <v>120</v>
      </c>
      <c r="E323" s="36">
        <f>MIN(Inputs!$E$15,Inputs!$D$15*(C323/Inputs!$D$43)^Inputs!$D$44)</f>
        <v>0.4</v>
      </c>
      <c r="F323" s="36">
        <f>MIN(Inputs!$E$16,Inputs!$D$16*(B323/Inputs!$D$42)^Inputs!$D$44)</f>
        <v>0.37409937912904856</v>
      </c>
      <c r="G323" s="37">
        <f>Inputs!$D$26*(1+Inputs!$D$41*(B323-Inputs!$D$42))</f>
        <v>1.44</v>
      </c>
      <c r="H323" s="35">
        <f>Inputs!$D$6*Inputs!$D$14*G323*Inputs!$D$29</f>
        <v>1809.2592000000002</v>
      </c>
      <c r="I323" s="36">
        <f>H323/(A323*Inputs!$D$32)</f>
        <v>0.86567425837320588</v>
      </c>
      <c r="J323" s="38">
        <f>IF(I323&gt;=1,999,I323/(Inputs!$D$32*(1-I323))*60)</f>
        <v>7.030461226479769</v>
      </c>
      <c r="K323" s="37">
        <f>MIN(1,MAX(0,(J323-Inputs!$D$36)/(Inputs!$D$37-Inputs!$D$36)))</f>
        <v>0.13536408176531795</v>
      </c>
      <c r="L323" s="35">
        <f>Inputs!$D$6*Inputs!$D$14*G323*(1-Inputs!$D$38*K323)</f>
        <v>11327.001869149639</v>
      </c>
      <c r="M323" s="39">
        <f>L323*Inputs!$D$11</f>
        <v>243530.54018671723</v>
      </c>
      <c r="N323" s="39">
        <f>M323*(1-Inputs!$D$17)</f>
        <v>85235.68906535102</v>
      </c>
      <c r="O323" s="35">
        <f>Inputs!$D$6*E323*Inputs!$D$27*Inputs!$D$30</f>
        <v>570.66240000000005</v>
      </c>
      <c r="P323" s="36">
        <f>O323/(C323*Inputs!$D$33)</f>
        <v>0.28533120000000001</v>
      </c>
      <c r="Q323" s="38">
        <f>IF(P323&gt;=1,999,P323/(Inputs!$D$33*(1-P323))*60)</f>
        <v>0.59887433171841276</v>
      </c>
      <c r="R323" s="37">
        <f>MIN(1,MAX(0,(Q323-Inputs!$D$36)/(Inputs!$D$37-Inputs!$D$36)))</f>
        <v>0</v>
      </c>
      <c r="S323" s="35">
        <f>Inputs!$D$6*E323*Inputs!$D$27*(1-Inputs!$D$38*R323)</f>
        <v>4755.5200000000004</v>
      </c>
      <c r="T323" s="39">
        <f>S323*Inputs!$D$12</f>
        <v>76088.320000000007</v>
      </c>
      <c r="U323" s="39">
        <f>T323*(1-Inputs!$D$18)</f>
        <v>34239.743999999999</v>
      </c>
      <c r="V323" s="35">
        <f>Inputs!$D$6*F323*Inputs!$D$28*Inputs!$D$31</f>
        <v>630.74950998177405</v>
      </c>
      <c r="W323" s="36">
        <f>V323/(B323*Inputs!$D$34)</f>
        <v>1.1263384106817393</v>
      </c>
      <c r="X323" s="38">
        <f>IF(W323&gt;=1,999,W323/(Inputs!$D$34*(1-W323))*60)</f>
        <v>999</v>
      </c>
      <c r="Y323" s="37">
        <f>MIN(1,MAX(0,(X323-Inputs!$D$36)/(Inputs!$D$37-Inputs!$D$36)))</f>
        <v>1</v>
      </c>
      <c r="Z323" s="35">
        <f>Inputs!$D$6*F323*Inputs!$D$28*(1-Inputs!$D$38*Y323)</f>
        <v>2668.5556191536598</v>
      </c>
      <c r="AA323" s="39">
        <f>Z323*Inputs!$D$13</f>
        <v>22682.722762806108</v>
      </c>
      <c r="AB323" s="39">
        <f>AA323*(1-Inputs!$D$19)</f>
        <v>13609.633657683664</v>
      </c>
      <c r="AC323" s="39">
        <f t="shared" si="16"/>
        <v>342301.58294952335</v>
      </c>
      <c r="AD323" s="39">
        <f t="shared" si="17"/>
        <v>133085.06672303469</v>
      </c>
      <c r="AE323" s="36">
        <f t="shared" si="18"/>
        <v>1.1263384106817393</v>
      </c>
      <c r="AF323" s="35">
        <f>IF(AND(AE323&lt;=Inputs!$D$35,C323&gt;=Inputs!$D$48*(A323+B323+C323),B323*Inputs!$D$22&lt;=Inputs!$D$50*Inputs!$D$8,B323*Inputs!$D$22&gt;=Inputs!$D$49*Inputs!$D$8,A323*Inputs!$D$20&lt;=Inputs!$D$47*Inputs!$D$8,C323&gt;=1),1,0)</f>
        <v>0</v>
      </c>
      <c r="AG323" s="39">
        <f t="shared" si="19"/>
        <v>-1</v>
      </c>
    </row>
    <row r="324" spans="1:33" x14ac:dyDescent="0.25">
      <c r="A324" s="35">
        <v>38</v>
      </c>
      <c r="B324" s="35">
        <v>17</v>
      </c>
      <c r="C324" s="35">
        <f>Inputs!$D$8-A324-Inputs!$D$22*B324</f>
        <v>48</v>
      </c>
      <c r="D324" s="35">
        <f>A324*Inputs!$D$20+C324*Inputs!$D$21+B324*Inputs!$D$22</f>
        <v>120</v>
      </c>
      <c r="E324" s="36">
        <f>MIN(Inputs!$E$15,Inputs!$D$15*(C324/Inputs!$D$43)^Inputs!$D$44)</f>
        <v>0.39525168457966786</v>
      </c>
      <c r="F324" s="36">
        <f>MIN(Inputs!$E$16,Inputs!$D$16*(B324/Inputs!$D$42)^Inputs!$D$44)</f>
        <v>0.3809655184437048</v>
      </c>
      <c r="G324" s="37">
        <f>Inputs!$D$26*(1+Inputs!$D$41*(B324-Inputs!$D$42))</f>
        <v>1.4550000000000001</v>
      </c>
      <c r="H324" s="35">
        <f>Inputs!$D$6*Inputs!$D$14*G324*Inputs!$D$29</f>
        <v>1828.1056500000002</v>
      </c>
      <c r="I324" s="36">
        <f>H324/(A324*Inputs!$D$32)</f>
        <v>0.87469169856459339</v>
      </c>
      <c r="J324" s="38">
        <f>IF(I324&gt;=1,999,I324/(Inputs!$D$32*(1-I324))*60)</f>
        <v>7.6148915496927465</v>
      </c>
      <c r="K324" s="37">
        <f>MIN(1,MAX(0,(J324-Inputs!$D$36)/(Inputs!$D$37-Inputs!$D$36)))</f>
        <v>0.17432610331284976</v>
      </c>
      <c r="L324" s="35">
        <f>Inputs!$D$6*Inputs!$D$14*G324*(1-Inputs!$D$38*K324)</f>
        <v>11231.311396773888</v>
      </c>
      <c r="M324" s="39">
        <f>L324*Inputs!$D$11</f>
        <v>241473.1950306386</v>
      </c>
      <c r="N324" s="39">
        <f>M324*(1-Inputs!$D$17)</f>
        <v>84515.61826072351</v>
      </c>
      <c r="O324" s="35">
        <f>Inputs!$D$6*E324*Inputs!$D$27*Inputs!$D$30</f>
        <v>563.88818731569074</v>
      </c>
      <c r="P324" s="36">
        <f>O324/(C324*Inputs!$D$33)</f>
        <v>0.29369176422692228</v>
      </c>
      <c r="Q324" s="38">
        <f>IF(P324&gt;=1,999,P324/(Inputs!$D$33*(1-P324))*60)</f>
        <v>0.62371868828373556</v>
      </c>
      <c r="R324" s="37">
        <f>MIN(1,MAX(0,(Q324-Inputs!$D$36)/(Inputs!$D$37-Inputs!$D$36)))</f>
        <v>0</v>
      </c>
      <c r="S324" s="35">
        <f>Inputs!$D$6*E324*Inputs!$D$27*(1-Inputs!$D$38*R324)</f>
        <v>4699.0682276307562</v>
      </c>
      <c r="T324" s="39">
        <f>S324*Inputs!$D$12</f>
        <v>75185.091642092098</v>
      </c>
      <c r="U324" s="39">
        <f>T324*(1-Inputs!$D$18)</f>
        <v>33833.291238941441</v>
      </c>
      <c r="V324" s="35">
        <f>Inputs!$D$6*F324*Inputs!$D$28*Inputs!$D$31</f>
        <v>642.32615044097156</v>
      </c>
      <c r="W324" s="36">
        <f>V324/(B324*Inputs!$D$34)</f>
        <v>1.0795397486402882</v>
      </c>
      <c r="X324" s="38">
        <f>IF(W324&gt;=1,999,W324/(Inputs!$D$34*(1-W324))*60)</f>
        <v>999</v>
      </c>
      <c r="Y324" s="37">
        <f>MIN(1,MAX(0,(X324-Inputs!$D$36)/(Inputs!$D$37-Inputs!$D$36)))</f>
        <v>1</v>
      </c>
      <c r="Z324" s="35">
        <f>Inputs!$D$6*F324*Inputs!$D$28*(1-Inputs!$D$38*Y324)</f>
        <v>2717.5337134041106</v>
      </c>
      <c r="AA324" s="39">
        <f>Z324*Inputs!$D$13</f>
        <v>23099.03656393494</v>
      </c>
      <c r="AB324" s="39">
        <f>AA324*(1-Inputs!$D$19)</f>
        <v>13859.421938360963</v>
      </c>
      <c r="AC324" s="39">
        <f t="shared" si="16"/>
        <v>339757.32323666563</v>
      </c>
      <c r="AD324" s="39">
        <f t="shared" si="17"/>
        <v>132208.33143802593</v>
      </c>
      <c r="AE324" s="36">
        <f t="shared" si="18"/>
        <v>1.0795397486402882</v>
      </c>
      <c r="AF324" s="35">
        <f>IF(AND(AE324&lt;=Inputs!$D$35,C324&gt;=Inputs!$D$48*(A324+B324+C324),B324*Inputs!$D$22&lt;=Inputs!$D$50*Inputs!$D$8,B324*Inputs!$D$22&gt;=Inputs!$D$49*Inputs!$D$8,A324*Inputs!$D$20&lt;=Inputs!$D$47*Inputs!$D$8,C324&gt;=1),1,0)</f>
        <v>0</v>
      </c>
      <c r="AG324" s="39">
        <f t="shared" si="19"/>
        <v>-1</v>
      </c>
    </row>
    <row r="325" spans="1:33" x14ac:dyDescent="0.25">
      <c r="A325" s="35">
        <v>38</v>
      </c>
      <c r="B325" s="35">
        <v>18</v>
      </c>
      <c r="C325" s="35">
        <f>Inputs!$D$8-A325-Inputs!$D$22*B325</f>
        <v>46</v>
      </c>
      <c r="D325" s="35">
        <f>A325*Inputs!$D$20+C325*Inputs!$D$21+B325*Inputs!$D$22</f>
        <v>120</v>
      </c>
      <c r="E325" s="36">
        <f>MIN(Inputs!$E$15,Inputs!$D$15*(C325/Inputs!$D$43)^Inputs!$D$44)</f>
        <v>0.39023723685630041</v>
      </c>
      <c r="F325" s="36">
        <f>MIN(Inputs!$E$16,Inputs!$D$16*(B325/Inputs!$D$42)^Inputs!$D$44)</f>
        <v>0.38755446447890535</v>
      </c>
      <c r="G325" s="37">
        <f>Inputs!$D$26*(1+Inputs!$D$41*(B325-Inputs!$D$42))</f>
        <v>1.47</v>
      </c>
      <c r="H325" s="35">
        <f>Inputs!$D$6*Inputs!$D$14*G325*Inputs!$D$29</f>
        <v>1846.9521</v>
      </c>
      <c r="I325" s="36">
        <f>H325/(A325*Inputs!$D$32)</f>
        <v>0.88370913875598089</v>
      </c>
      <c r="J325" s="38">
        <f>IF(I325&gt;=1,999,I325/(Inputs!$D$32*(1-I325))*60)</f>
        <v>8.2899578081671859</v>
      </c>
      <c r="K325" s="37">
        <f>MIN(1,MAX(0,(J325-Inputs!$D$36)/(Inputs!$D$37-Inputs!$D$36)))</f>
        <v>0.21933052054447905</v>
      </c>
      <c r="L325" s="35">
        <f>Inputs!$D$6*Inputs!$D$14*G325*(1-Inputs!$D$38*K325)</f>
        <v>11097.735103458845</v>
      </c>
      <c r="M325" s="39">
        <f>L325*Inputs!$D$11</f>
        <v>238601.30472436515</v>
      </c>
      <c r="N325" s="39">
        <f>M325*(1-Inputs!$D$17)</f>
        <v>83510.456653527799</v>
      </c>
      <c r="O325" s="35">
        <f>Inputs!$D$6*E325*Inputs!$D$27*Inputs!$D$30</f>
        <v>556.73429538446214</v>
      </c>
      <c r="P325" s="36">
        <f>O325/(C325*Inputs!$D$33)</f>
        <v>0.30257298662199028</v>
      </c>
      <c r="Q325" s="38">
        <f>IF(P325&gt;=1,999,P325/(Inputs!$D$33*(1-P325))*60)</f>
        <v>0.65076269090109196</v>
      </c>
      <c r="R325" s="37">
        <f>MIN(1,MAX(0,(Q325-Inputs!$D$36)/(Inputs!$D$37-Inputs!$D$36)))</f>
        <v>0</v>
      </c>
      <c r="S325" s="35">
        <f>Inputs!$D$6*E325*Inputs!$D$27*(1-Inputs!$D$38*R325)</f>
        <v>4639.4524615371847</v>
      </c>
      <c r="T325" s="39">
        <f>S325*Inputs!$D$12</f>
        <v>74231.239384594955</v>
      </c>
      <c r="U325" s="39">
        <f>T325*(1-Inputs!$D$18)</f>
        <v>33404.05772306773</v>
      </c>
      <c r="V325" s="35">
        <f>Inputs!$D$6*F325*Inputs!$D$28*Inputs!$D$31</f>
        <v>653.43542972572936</v>
      </c>
      <c r="W325" s="36">
        <f>V325/(B325*Inputs!$D$34)</f>
        <v>1.037199094802745</v>
      </c>
      <c r="X325" s="38">
        <f>IF(W325&gt;=1,999,W325/(Inputs!$D$34*(1-W325))*60)</f>
        <v>999</v>
      </c>
      <c r="Y325" s="37">
        <f>MIN(1,MAX(0,(X325-Inputs!$D$36)/(Inputs!$D$37-Inputs!$D$36)))</f>
        <v>1</v>
      </c>
      <c r="Z325" s="35">
        <f>Inputs!$D$6*F325*Inputs!$D$28*(1-Inputs!$D$38*Y325)</f>
        <v>2764.534510378086</v>
      </c>
      <c r="AA325" s="39">
        <f>Z325*Inputs!$D$13</f>
        <v>23498.543338213731</v>
      </c>
      <c r="AB325" s="39">
        <f>AA325*(1-Inputs!$D$19)</f>
        <v>14099.126002928238</v>
      </c>
      <c r="AC325" s="39">
        <f t="shared" ref="AC325:AC388" si="20">M325+T325+AA325</f>
        <v>336331.08744717384</v>
      </c>
      <c r="AD325" s="39">
        <f t="shared" ref="AD325:AD388" si="21">N325+U325+AB325</f>
        <v>131013.64037952377</v>
      </c>
      <c r="AE325" s="36">
        <f t="shared" ref="AE325:AE388" si="22">MAX(I325,P325,W325)</f>
        <v>1.037199094802745</v>
      </c>
      <c r="AF325" s="35">
        <f>IF(AND(AE325&lt;=Inputs!$D$35,C325&gt;=Inputs!$D$48*(A325+B325+C325),B325*Inputs!$D$22&lt;=Inputs!$D$50*Inputs!$D$8,B325*Inputs!$D$22&gt;=Inputs!$D$49*Inputs!$D$8,A325*Inputs!$D$20&lt;=Inputs!$D$47*Inputs!$D$8,C325&gt;=1),1,0)</f>
        <v>0</v>
      </c>
      <c r="AG325" s="39">
        <f t="shared" ref="AG325:AG388" si="23">IF(AF325=1,AD325,-1)</f>
        <v>-1</v>
      </c>
    </row>
    <row r="326" spans="1:33" x14ac:dyDescent="0.25">
      <c r="A326" s="35">
        <v>38</v>
      </c>
      <c r="B326" s="35">
        <v>19</v>
      </c>
      <c r="C326" s="35">
        <f>Inputs!$D$8-A326-Inputs!$D$22*B326</f>
        <v>44</v>
      </c>
      <c r="D326" s="35">
        <f>A326*Inputs!$D$20+C326*Inputs!$D$21+B326*Inputs!$D$22</f>
        <v>120</v>
      </c>
      <c r="E326" s="36">
        <f>MIN(Inputs!$E$15,Inputs!$D$15*(C326/Inputs!$D$43)^Inputs!$D$44)</f>
        <v>0.38506776240403751</v>
      </c>
      <c r="F326" s="36">
        <f>MIN(Inputs!$E$16,Inputs!$D$16*(B326/Inputs!$D$42)^Inputs!$D$44)</f>
        <v>0.39389192072703005</v>
      </c>
      <c r="G326" s="37">
        <f>Inputs!$D$26*(1+Inputs!$D$41*(B326-Inputs!$D$42))</f>
        <v>1.4849999999999999</v>
      </c>
      <c r="H326" s="35">
        <f>Inputs!$D$6*Inputs!$D$14*G326*Inputs!$D$29</f>
        <v>1865.7985499999998</v>
      </c>
      <c r="I326" s="36">
        <f>H326/(A326*Inputs!$D$32)</f>
        <v>0.89272657894736829</v>
      </c>
      <c r="J326" s="38">
        <f>IF(I326&gt;=1,999,I326/(Inputs!$D$32*(1-I326))*60)</f>
        <v>9.0785166643658961</v>
      </c>
      <c r="K326" s="37">
        <f>MIN(1,MAX(0,(J326-Inputs!$D$36)/(Inputs!$D$37-Inputs!$D$36)))</f>
        <v>0.2719011109577264</v>
      </c>
      <c r="L326" s="35">
        <f>Inputs!$D$6*Inputs!$D$14*G326*(1-Inputs!$D$38*K326)</f>
        <v>10916.718904295054</v>
      </c>
      <c r="M326" s="39">
        <f>L326*Inputs!$D$11</f>
        <v>234709.45644234365</v>
      </c>
      <c r="N326" s="39">
        <f>M326*(1-Inputs!$D$17)</f>
        <v>82148.309754820279</v>
      </c>
      <c r="O326" s="35">
        <f>Inputs!$D$6*E326*Inputs!$D$27*Inputs!$D$30</f>
        <v>549.35923364029463</v>
      </c>
      <c r="P326" s="36">
        <f>O326/(C326*Inputs!$D$33)</f>
        <v>0.31213592820471286</v>
      </c>
      <c r="Q326" s="38">
        <f>IF(P326&gt;=1,999,P326/(Inputs!$D$33*(1-P326))*60)</f>
        <v>0.6806633919476025</v>
      </c>
      <c r="R326" s="37">
        <f>MIN(1,MAX(0,(Q326-Inputs!$D$36)/(Inputs!$D$37-Inputs!$D$36)))</f>
        <v>0</v>
      </c>
      <c r="S326" s="35">
        <f>Inputs!$D$6*E326*Inputs!$D$27*(1-Inputs!$D$38*R326)</f>
        <v>4577.9936136691222</v>
      </c>
      <c r="T326" s="39">
        <f>S326*Inputs!$D$12</f>
        <v>73247.897818705955</v>
      </c>
      <c r="U326" s="39">
        <f>T326*(1-Inputs!$D$18)</f>
        <v>32961.554018417679</v>
      </c>
      <c r="V326" s="35">
        <f>Inputs!$D$6*F326*Inputs!$D$28*Inputs!$D$31</f>
        <v>664.12068515796761</v>
      </c>
      <c r="W326" s="36">
        <f>V326/(B326*Inputs!$D$34)</f>
        <v>0.99867772204205651</v>
      </c>
      <c r="X326" s="38">
        <f>IF(W326&gt;=1,999,W326/(Inputs!$D$34*(1-W326))*60)</f>
        <v>1294.749671797274</v>
      </c>
      <c r="Y326" s="37">
        <f>MIN(1,MAX(0,(X326-Inputs!$D$36)/(Inputs!$D$37-Inputs!$D$36)))</f>
        <v>1</v>
      </c>
      <c r="Z326" s="35">
        <f>Inputs!$D$6*F326*Inputs!$D$28*(1-Inputs!$D$38*Y326)</f>
        <v>2809.7413602837091</v>
      </c>
      <c r="AA326" s="39">
        <f>Z326*Inputs!$D$13</f>
        <v>23882.801562411529</v>
      </c>
      <c r="AB326" s="39">
        <f>AA326*(1-Inputs!$D$19)</f>
        <v>14329.680937446918</v>
      </c>
      <c r="AC326" s="39">
        <f t="shared" si="20"/>
        <v>331840.15582346113</v>
      </c>
      <c r="AD326" s="39">
        <f t="shared" si="21"/>
        <v>129439.54471068487</v>
      </c>
      <c r="AE326" s="36">
        <f t="shared" si="22"/>
        <v>0.99867772204205651</v>
      </c>
      <c r="AF326" s="35">
        <f>IF(AND(AE326&lt;=Inputs!$D$35,C326&gt;=Inputs!$D$48*(A326+B326+C326),B326*Inputs!$D$22&lt;=Inputs!$D$50*Inputs!$D$8,B326*Inputs!$D$22&gt;=Inputs!$D$49*Inputs!$D$8,A326*Inputs!$D$20&lt;=Inputs!$D$47*Inputs!$D$8,C326&gt;=1),1,0)</f>
        <v>0</v>
      </c>
      <c r="AG326" s="39">
        <f t="shared" si="23"/>
        <v>-1</v>
      </c>
    </row>
    <row r="327" spans="1:33" x14ac:dyDescent="0.25">
      <c r="A327" s="35">
        <v>38</v>
      </c>
      <c r="B327" s="35">
        <v>20</v>
      </c>
      <c r="C327" s="35">
        <f>Inputs!$D$8-A327-Inputs!$D$22*B327</f>
        <v>42</v>
      </c>
      <c r="D327" s="35">
        <f>A327*Inputs!$D$20+C327*Inputs!$D$21+B327*Inputs!$D$22</f>
        <v>120</v>
      </c>
      <c r="E327" s="36">
        <f>MIN(Inputs!$E$15,Inputs!$D$15*(C327/Inputs!$D$43)^Inputs!$D$44)</f>
        <v>0.37973108090036384</v>
      </c>
      <c r="F327" s="36">
        <f>MIN(Inputs!$E$16,Inputs!$D$16*(B327/Inputs!$D$42)^Inputs!$D$44)</f>
        <v>0.4</v>
      </c>
      <c r="G327" s="37">
        <f>Inputs!$D$26*(1+Inputs!$D$41*(B327-Inputs!$D$42))</f>
        <v>1.5</v>
      </c>
      <c r="H327" s="35">
        <f>Inputs!$D$6*Inputs!$D$14*G327*Inputs!$D$29</f>
        <v>1884.645</v>
      </c>
      <c r="I327" s="36">
        <f>H327/(A327*Inputs!$D$32)</f>
        <v>0.90174401913875601</v>
      </c>
      <c r="J327" s="38">
        <f>IF(I327&gt;=1,999,I327/(Inputs!$D$32*(1-I327))*60)</f>
        <v>10.011815459260132</v>
      </c>
      <c r="K327" s="37">
        <f>MIN(1,MAX(0,(J327-Inputs!$D$36)/(Inputs!$D$37-Inputs!$D$36)))</f>
        <v>0.33412103061734216</v>
      </c>
      <c r="L327" s="35">
        <f>Inputs!$D$6*Inputs!$D$14*G327*(1-Inputs!$D$38*K327)</f>
        <v>10675.201410756537</v>
      </c>
      <c r="M327" s="39">
        <f>L327*Inputs!$D$11</f>
        <v>229516.83033126555</v>
      </c>
      <c r="N327" s="39">
        <f>M327*(1-Inputs!$D$17)</f>
        <v>80330.890615942932</v>
      </c>
      <c r="O327" s="35">
        <f>Inputs!$D$6*E327*Inputs!$D$27*Inputs!$D$30</f>
        <v>541.74562495298949</v>
      </c>
      <c r="P327" s="36">
        <f>O327/(C327*Inputs!$D$33)</f>
        <v>0.32246763390058897</v>
      </c>
      <c r="Q327" s="38">
        <f>IF(P327&gt;=1,999,P327/(Inputs!$D$33*(1-P327))*60)</f>
        <v>0.71391637514762252</v>
      </c>
      <c r="R327" s="37">
        <f>MIN(1,MAX(0,(Q327-Inputs!$D$36)/(Inputs!$D$37-Inputs!$D$36)))</f>
        <v>0</v>
      </c>
      <c r="S327" s="35">
        <f>Inputs!$D$6*E327*Inputs!$D$27*(1-Inputs!$D$38*R327)</f>
        <v>4514.5468746082461</v>
      </c>
      <c r="T327" s="39">
        <f>S327*Inputs!$D$12</f>
        <v>72232.749993731937</v>
      </c>
      <c r="U327" s="39">
        <f>T327*(1-Inputs!$D$18)</f>
        <v>32504.737497179369</v>
      </c>
      <c r="V327" s="35">
        <f>Inputs!$D$6*F327*Inputs!$D$28*Inputs!$D$31</f>
        <v>674.41919999999993</v>
      </c>
      <c r="W327" s="36">
        <f>V327/(B327*Inputs!$D$34)</f>
        <v>0.96345599999999987</v>
      </c>
      <c r="X327" s="38">
        <f>IF(W327&gt;=1,999,W327/(Inputs!$D$34*(1-W327))*60)</f>
        <v>45.195896922691851</v>
      </c>
      <c r="Y327" s="37">
        <f>MIN(1,MAX(0,(X327-Inputs!$D$36)/(Inputs!$D$37-Inputs!$D$36)))</f>
        <v>1</v>
      </c>
      <c r="Z327" s="35">
        <f>Inputs!$D$6*F327*Inputs!$D$28*(1-Inputs!$D$38*Y327)</f>
        <v>2853.3119999999999</v>
      </c>
      <c r="AA327" s="39">
        <f>Z327*Inputs!$D$13</f>
        <v>24253.151999999998</v>
      </c>
      <c r="AB327" s="39">
        <f>AA327*(1-Inputs!$D$19)</f>
        <v>14551.891199999998</v>
      </c>
      <c r="AC327" s="39">
        <f t="shared" si="20"/>
        <v>326002.73232499749</v>
      </c>
      <c r="AD327" s="39">
        <f t="shared" si="21"/>
        <v>127387.51931312231</v>
      </c>
      <c r="AE327" s="36">
        <f t="shared" si="22"/>
        <v>0.96345599999999987</v>
      </c>
      <c r="AF327" s="35">
        <f>IF(AND(AE327&lt;=Inputs!$D$35,C327&gt;=Inputs!$D$48*(A327+B327+C327),B327*Inputs!$D$22&lt;=Inputs!$D$50*Inputs!$D$8,B327*Inputs!$D$22&gt;=Inputs!$D$49*Inputs!$D$8,A327*Inputs!$D$20&lt;=Inputs!$D$47*Inputs!$D$8,C327&gt;=1),1,0)</f>
        <v>0</v>
      </c>
      <c r="AG327" s="39">
        <f t="shared" si="23"/>
        <v>-1</v>
      </c>
    </row>
    <row r="328" spans="1:33" x14ac:dyDescent="0.25">
      <c r="A328" s="35">
        <v>38</v>
      </c>
      <c r="B328" s="35">
        <v>21</v>
      </c>
      <c r="C328" s="35">
        <f>Inputs!$D$8-A328-Inputs!$D$22*B328</f>
        <v>40</v>
      </c>
      <c r="D328" s="35">
        <f>A328*Inputs!$D$20+C328*Inputs!$D$21+B328*Inputs!$D$22</f>
        <v>120</v>
      </c>
      <c r="E328" s="36">
        <f>MIN(Inputs!$E$15,Inputs!$D$15*(C328/Inputs!$D$43)^Inputs!$D$44)</f>
        <v>0.37421341802855551</v>
      </c>
      <c r="F328" s="36">
        <f>MIN(Inputs!$E$16,Inputs!$D$16*(B328/Inputs!$D$42)^Inputs!$D$44)</f>
        <v>0.40589787816896217</v>
      </c>
      <c r="G328" s="37">
        <f>Inputs!$D$26*(1+Inputs!$D$41*(B328-Inputs!$D$42))</f>
        <v>1.5150000000000001</v>
      </c>
      <c r="H328" s="35">
        <f>Inputs!$D$6*Inputs!$D$14*G328*Inputs!$D$29</f>
        <v>1903.4914500000004</v>
      </c>
      <c r="I328" s="36">
        <f>H328/(A328*Inputs!$D$32)</f>
        <v>0.91076145933014374</v>
      </c>
      <c r="J328" s="38">
        <f>IF(I328&gt;=1,999,I328/(Inputs!$D$32*(1-I328))*60)</f>
        <v>11.133731548890024</v>
      </c>
      <c r="K328" s="37">
        <f>MIN(1,MAX(0,(J328-Inputs!$D$36)/(Inputs!$D$37-Inputs!$D$36)))</f>
        <v>0.40891543659266827</v>
      </c>
      <c r="L328" s="35">
        <f>Inputs!$D$6*Inputs!$D$14*G328*(1-Inputs!$D$38*K328)</f>
        <v>10354.841888018518</v>
      </c>
      <c r="M328" s="39">
        <f>L328*Inputs!$D$11</f>
        <v>222629.10059239814</v>
      </c>
      <c r="N328" s="39">
        <f>M328*(1-Inputs!$D$17)</f>
        <v>77920.185207339338</v>
      </c>
      <c r="O328" s="35">
        <f>Inputs!$D$6*E328*Inputs!$D$27*Inputs!$D$30</f>
        <v>533.8738181109469</v>
      </c>
      <c r="P328" s="36">
        <f>O328/(C328*Inputs!$D$33)</f>
        <v>0.33367113631934181</v>
      </c>
      <c r="Q328" s="38">
        <f>IF(P328&gt;=1,999,P328/(Inputs!$D$33*(1-P328))*60)</f>
        <v>0.75114066305685867</v>
      </c>
      <c r="R328" s="37">
        <f>MIN(1,MAX(0,(Q328-Inputs!$D$36)/(Inputs!$D$37-Inputs!$D$36)))</f>
        <v>0</v>
      </c>
      <c r="S328" s="35">
        <f>Inputs!$D$6*E328*Inputs!$D$27*(1-Inputs!$D$38*R328)</f>
        <v>4448.9484842578913</v>
      </c>
      <c r="T328" s="39">
        <f>S328*Inputs!$D$12</f>
        <v>71183.175748126261</v>
      </c>
      <c r="U328" s="39">
        <f>T328*(1-Inputs!$D$18)</f>
        <v>32032.429086656815</v>
      </c>
      <c r="V328" s="35">
        <f>Inputs!$D$6*F328*Inputs!$D$28*Inputs!$D$31</f>
        <v>684.36330569102222</v>
      </c>
      <c r="W328" s="36">
        <f>V328/(B328*Inputs!$D$34)</f>
        <v>0.93110653835513224</v>
      </c>
      <c r="X328" s="38">
        <f>IF(W328&gt;=1,999,W328/(Inputs!$D$34*(1-W328))*60)</f>
        <v>23.16885520150278</v>
      </c>
      <c r="Y328" s="37">
        <f>MIN(1,MAX(0,(X328-Inputs!$D$36)/(Inputs!$D$37-Inputs!$D$36)))</f>
        <v>1</v>
      </c>
      <c r="Z328" s="35">
        <f>Inputs!$D$6*F328*Inputs!$D$28*(1-Inputs!$D$38*Y328)</f>
        <v>2895.3832163850943</v>
      </c>
      <c r="AA328" s="39">
        <f>Z328*Inputs!$D$13</f>
        <v>24610.757339273303</v>
      </c>
      <c r="AB328" s="39">
        <f>AA328*(1-Inputs!$D$19)</f>
        <v>14766.454403563981</v>
      </c>
      <c r="AC328" s="39">
        <f t="shared" si="20"/>
        <v>318423.03367979772</v>
      </c>
      <c r="AD328" s="39">
        <f t="shared" si="21"/>
        <v>124719.06869756014</v>
      </c>
      <c r="AE328" s="36">
        <f t="shared" si="22"/>
        <v>0.93110653835513224</v>
      </c>
      <c r="AF328" s="35">
        <f>IF(AND(AE328&lt;=Inputs!$D$35,C328&gt;=Inputs!$D$48*(A328+B328+C328),B328*Inputs!$D$22&lt;=Inputs!$D$50*Inputs!$D$8,B328*Inputs!$D$22&gt;=Inputs!$D$49*Inputs!$D$8,A328*Inputs!$D$20&lt;=Inputs!$D$47*Inputs!$D$8,C328&gt;=1),1,0)</f>
        <v>0</v>
      </c>
      <c r="AG328" s="39">
        <f t="shared" si="23"/>
        <v>-1</v>
      </c>
    </row>
    <row r="329" spans="1:33" x14ac:dyDescent="0.25">
      <c r="A329" s="35">
        <v>38</v>
      </c>
      <c r="B329" s="35">
        <v>22</v>
      </c>
      <c r="C329" s="35">
        <f>Inputs!$D$8-A329-Inputs!$D$22*B329</f>
        <v>38</v>
      </c>
      <c r="D329" s="35">
        <f>A329*Inputs!$D$20+C329*Inputs!$D$21+B329*Inputs!$D$22</f>
        <v>120</v>
      </c>
      <c r="E329" s="36">
        <f>MIN(Inputs!$E$15,Inputs!$D$15*(C329/Inputs!$D$43)^Inputs!$D$44)</f>
        <v>0.36849910497273691</v>
      </c>
      <c r="F329" s="36">
        <f>MIN(Inputs!$E$16,Inputs!$D$16*(B329/Inputs!$D$42)^Inputs!$D$44)</f>
        <v>0.41160230376843804</v>
      </c>
      <c r="G329" s="37">
        <f>Inputs!$D$26*(1+Inputs!$D$41*(B329-Inputs!$D$42))</f>
        <v>1.53</v>
      </c>
      <c r="H329" s="35">
        <f>Inputs!$D$6*Inputs!$D$14*G329*Inputs!$D$29</f>
        <v>1922.3379</v>
      </c>
      <c r="I329" s="36">
        <f>H329/(A329*Inputs!$D$32)</f>
        <v>0.91977889952153113</v>
      </c>
      <c r="J329" s="38">
        <f>IF(I329&gt;=1,999,I329/(Inputs!$D$32*(1-I329))*60)</f>
        <v>12.507870836098869</v>
      </c>
      <c r="K329" s="37">
        <f>MIN(1,MAX(0,(J329-Inputs!$D$36)/(Inputs!$D$37-Inputs!$D$36)))</f>
        <v>0.50052472240659129</v>
      </c>
      <c r="L329" s="35">
        <f>Inputs!$D$6*Inputs!$D$14*G329*(1-Inputs!$D$38*K329)</f>
        <v>9929.0530686924922</v>
      </c>
      <c r="M329" s="39">
        <f>L329*Inputs!$D$11</f>
        <v>213474.64097688859</v>
      </c>
      <c r="N329" s="39">
        <f>M329*(1-Inputs!$D$17)</f>
        <v>74716.124341910996</v>
      </c>
      <c r="O329" s="35">
        <f>Inputs!$D$6*E329*Inputs!$D$27*Inputs!$D$30</f>
        <v>525.72145910398501</v>
      </c>
      <c r="P329" s="36">
        <f>O329/(C329*Inputs!$D$33)</f>
        <v>0.34586938098946385</v>
      </c>
      <c r="Q329" s="38">
        <f>IF(P329&gt;=1,999,P329/(Inputs!$D$33*(1-P329))*60)</f>
        <v>0.79311999225622454</v>
      </c>
      <c r="R329" s="37">
        <f>MIN(1,MAX(0,(Q329-Inputs!$D$36)/(Inputs!$D$37-Inputs!$D$36)))</f>
        <v>0</v>
      </c>
      <c r="S329" s="35">
        <f>Inputs!$D$6*E329*Inputs!$D$27*(1-Inputs!$D$38*R329)</f>
        <v>4381.012159199875</v>
      </c>
      <c r="T329" s="39">
        <f>S329*Inputs!$D$12</f>
        <v>70096.194547198</v>
      </c>
      <c r="U329" s="39">
        <f>T329*(1-Inputs!$D$18)</f>
        <v>31543.287546239098</v>
      </c>
      <c r="V329" s="35">
        <f>Inputs!$D$6*F329*Inputs!$D$28*Inputs!$D$31</f>
        <v>693.98124106416742</v>
      </c>
      <c r="W329" s="36">
        <f>V329/(B329*Inputs!$D$34)</f>
        <v>0.90127433904437326</v>
      </c>
      <c r="X329" s="38">
        <f>IF(W329&gt;=1,999,W329/(Inputs!$D$34*(1-W329))*60)</f>
        <v>15.649849381818807</v>
      </c>
      <c r="Y329" s="37">
        <f>MIN(1,MAX(0,(X329-Inputs!$D$36)/(Inputs!$D$37-Inputs!$D$36)))</f>
        <v>0.70998995878792048</v>
      </c>
      <c r="Z329" s="35">
        <f>Inputs!$D$6*F329*Inputs!$D$28*(1-Inputs!$D$38*Y329)</f>
        <v>3632.749002537963</v>
      </c>
      <c r="AA329" s="39">
        <f>Z329*Inputs!$D$13</f>
        <v>30878.366521572687</v>
      </c>
      <c r="AB329" s="39">
        <f>AA329*(1-Inputs!$D$19)</f>
        <v>18527.019912943611</v>
      </c>
      <c r="AC329" s="39">
        <f t="shared" si="20"/>
        <v>314449.2020456593</v>
      </c>
      <c r="AD329" s="39">
        <f t="shared" si="21"/>
        <v>124786.4318010937</v>
      </c>
      <c r="AE329" s="36">
        <f t="shared" si="22"/>
        <v>0.91977889952153113</v>
      </c>
      <c r="AF329" s="35">
        <f>IF(AND(AE329&lt;=Inputs!$D$35,C329&gt;=Inputs!$D$48*(A329+B329+C329),B329*Inputs!$D$22&lt;=Inputs!$D$50*Inputs!$D$8,B329*Inputs!$D$22&gt;=Inputs!$D$49*Inputs!$D$8,A329*Inputs!$D$20&lt;=Inputs!$D$47*Inputs!$D$8,C329&gt;=1),1,0)</f>
        <v>0</v>
      </c>
      <c r="AG329" s="39">
        <f t="shared" si="23"/>
        <v>-1</v>
      </c>
    </row>
    <row r="330" spans="1:33" x14ac:dyDescent="0.25">
      <c r="A330" s="35">
        <v>38</v>
      </c>
      <c r="B330" s="35">
        <v>23</v>
      </c>
      <c r="C330" s="35">
        <f>Inputs!$D$8-A330-Inputs!$D$22*B330</f>
        <v>36</v>
      </c>
      <c r="D330" s="35">
        <f>A330*Inputs!$D$20+C330*Inputs!$D$21+B330*Inputs!$D$22</f>
        <v>120</v>
      </c>
      <c r="E330" s="36">
        <f>MIN(Inputs!$E$15,Inputs!$D$15*(C330/Inputs!$D$43)^Inputs!$D$44)</f>
        <v>0.36257020206219398</v>
      </c>
      <c r="F330" s="36">
        <f>MIN(Inputs!$E$16,Inputs!$D$16*(B330/Inputs!$D$42)^Inputs!$D$44)</f>
        <v>0.41712800028621322</v>
      </c>
      <c r="G330" s="37">
        <f>Inputs!$D$26*(1+Inputs!$D$41*(B330-Inputs!$D$42))</f>
        <v>1.5449999999999999</v>
      </c>
      <c r="H330" s="35">
        <f>Inputs!$D$6*Inputs!$D$14*G330*Inputs!$D$29</f>
        <v>1941.18435</v>
      </c>
      <c r="I330" s="36">
        <f>H330/(A330*Inputs!$D$32)</f>
        <v>0.92879633971291864</v>
      </c>
      <c r="J330" s="38">
        <f>IF(I330&gt;=1,999,I330/(Inputs!$D$32*(1-I330))*60)</f>
        <v>14.230060175428148</v>
      </c>
      <c r="K330" s="37">
        <f>MIN(1,MAX(0,(J330-Inputs!$D$36)/(Inputs!$D$37-Inputs!$D$36)))</f>
        <v>0.6153373450285432</v>
      </c>
      <c r="L330" s="35">
        <f>Inputs!$D$6*Inputs!$D$14*G330*(1-Inputs!$D$38*K330)</f>
        <v>9357.779327580125</v>
      </c>
      <c r="M330" s="39">
        <f>L330*Inputs!$D$11</f>
        <v>201192.25554297268</v>
      </c>
      <c r="N330" s="39">
        <f>M330*(1-Inputs!$D$17)</f>
        <v>70417.289440040433</v>
      </c>
      <c r="O330" s="35">
        <f>Inputs!$D$6*E330*Inputs!$D$27*Inputs!$D$30</f>
        <v>517.26295419324151</v>
      </c>
      <c r="P330" s="36">
        <f>O330/(C330*Inputs!$D$33)</f>
        <v>0.35921038485641771</v>
      </c>
      <c r="Q330" s="38">
        <f>IF(P330&gt;=1,999,P330/(Inputs!$D$33*(1-P330))*60)</f>
        <v>0.84086190623406665</v>
      </c>
      <c r="R330" s="37">
        <f>MIN(1,MAX(0,(Q330-Inputs!$D$36)/(Inputs!$D$37-Inputs!$D$36)))</f>
        <v>0</v>
      </c>
      <c r="S330" s="35">
        <f>Inputs!$D$6*E330*Inputs!$D$27*(1-Inputs!$D$38*R330)</f>
        <v>4310.5246182770125</v>
      </c>
      <c r="T330" s="39">
        <f>S330*Inputs!$D$12</f>
        <v>68968.393892432199</v>
      </c>
      <c r="U330" s="39">
        <f>T330*(1-Inputs!$D$18)</f>
        <v>31035.777251594485</v>
      </c>
      <c r="V330" s="35">
        <f>Inputs!$D$6*F330*Inputs!$D$28*Inputs!$D$31</f>
        <v>703.29783062656929</v>
      </c>
      <c r="W330" s="36">
        <f>V330/(B330*Inputs!$D$34)</f>
        <v>0.87366190139946498</v>
      </c>
      <c r="X330" s="38">
        <f>IF(W330&gt;=1,999,W330/(Inputs!$D$34*(1-W330))*60)</f>
        <v>11.854746377182334</v>
      </c>
      <c r="Y330" s="37">
        <f>MIN(1,MAX(0,(X330-Inputs!$D$36)/(Inputs!$D$37-Inputs!$D$36)))</f>
        <v>0.45698309181215557</v>
      </c>
      <c r="Z330" s="35">
        <f>Inputs!$D$6*F330*Inputs!$D$28*(1-Inputs!$D$38*Y330)</f>
        <v>4297.4614071503011</v>
      </c>
      <c r="AA330" s="39">
        <f>Z330*Inputs!$D$13</f>
        <v>36528.421960777559</v>
      </c>
      <c r="AB330" s="39">
        <f>AA330*(1-Inputs!$D$19)</f>
        <v>21917.053176466536</v>
      </c>
      <c r="AC330" s="39">
        <f t="shared" si="20"/>
        <v>306689.07139618241</v>
      </c>
      <c r="AD330" s="39">
        <f t="shared" si="21"/>
        <v>123370.11986810145</v>
      </c>
      <c r="AE330" s="36">
        <f t="shared" si="22"/>
        <v>0.92879633971291864</v>
      </c>
      <c r="AF330" s="35">
        <f>IF(AND(AE330&lt;=Inputs!$D$35,C330&gt;=Inputs!$D$48*(A330+B330+C330),B330*Inputs!$D$22&lt;=Inputs!$D$50*Inputs!$D$8,B330*Inputs!$D$22&gt;=Inputs!$D$49*Inputs!$D$8,A330*Inputs!$D$20&lt;=Inputs!$D$47*Inputs!$D$8,C330&gt;=1),1,0)</f>
        <v>0</v>
      </c>
      <c r="AG330" s="39">
        <f t="shared" si="23"/>
        <v>-1</v>
      </c>
    </row>
    <row r="331" spans="1:33" x14ac:dyDescent="0.25">
      <c r="A331" s="35">
        <v>38</v>
      </c>
      <c r="B331" s="35">
        <v>24</v>
      </c>
      <c r="C331" s="35">
        <f>Inputs!$D$8-A331-Inputs!$D$22*B331</f>
        <v>34</v>
      </c>
      <c r="D331" s="35">
        <f>A331*Inputs!$D$20+C331*Inputs!$D$21+B331*Inputs!$D$22</f>
        <v>120</v>
      </c>
      <c r="E331" s="36">
        <f>MIN(Inputs!$E$15,Inputs!$D$15*(C331/Inputs!$D$43)^Inputs!$D$44)</f>
        <v>0.35640602201959876</v>
      </c>
      <c r="F331" s="36">
        <f>MIN(Inputs!$E$16,Inputs!$D$16*(B331/Inputs!$D$42)^Inputs!$D$44)</f>
        <v>0.42248798737570326</v>
      </c>
      <c r="G331" s="37">
        <f>Inputs!$D$26*(1+Inputs!$D$41*(B331-Inputs!$D$42))</f>
        <v>1.56</v>
      </c>
      <c r="H331" s="35">
        <f>Inputs!$D$6*Inputs!$D$14*G331*Inputs!$D$29</f>
        <v>1960.0308</v>
      </c>
      <c r="I331" s="36">
        <f>H331/(A331*Inputs!$D$32)</f>
        <v>0.93781377990430626</v>
      </c>
      <c r="J331" s="38">
        <f>IF(I331&gt;=1,999,I331/(Inputs!$D$32*(1-I331))*60)</f>
        <v>16.451708698536418</v>
      </c>
      <c r="K331" s="37">
        <f>MIN(1,MAX(0,(J331-Inputs!$D$36)/(Inputs!$D$37-Inputs!$D$36)))</f>
        <v>0.76344724656909457</v>
      </c>
      <c r="L331" s="35">
        <f>Inputs!$D$6*Inputs!$D$14*G331*(1-Inputs!$D$38*K331)</f>
        <v>8577.731647648141</v>
      </c>
      <c r="M331" s="39">
        <f>L331*Inputs!$D$11</f>
        <v>184421.23042443502</v>
      </c>
      <c r="N331" s="39">
        <f>M331*(1-Inputs!$D$17)</f>
        <v>64547.430648552254</v>
      </c>
      <c r="O331" s="35">
        <f>Inputs!$D$6*E331*Inputs!$D$27*Inputs!$D$30</f>
        <v>508.46878975039266</v>
      </c>
      <c r="P331" s="36">
        <f>O331/(C331*Inputs!$D$33)</f>
        <v>0.37387411011058286</v>
      </c>
      <c r="Q331" s="38">
        <f>IF(P331&gt;=1,999,P331/(Inputs!$D$33*(1-P331))*60)</f>
        <v>0.89568435712652228</v>
      </c>
      <c r="R331" s="37">
        <f>MIN(1,MAX(0,(Q331-Inputs!$D$36)/(Inputs!$D$37-Inputs!$D$36)))</f>
        <v>0</v>
      </c>
      <c r="S331" s="35">
        <f>Inputs!$D$6*E331*Inputs!$D$27*(1-Inputs!$D$38*R331)</f>
        <v>4237.2399145866057</v>
      </c>
      <c r="T331" s="39">
        <f>S331*Inputs!$D$12</f>
        <v>67795.838633385691</v>
      </c>
      <c r="U331" s="39">
        <f>T331*(1-Inputs!$D$18)</f>
        <v>30508.127385023559</v>
      </c>
      <c r="V331" s="35">
        <f>Inputs!$D$6*F331*Inputs!$D$28*Inputs!$D$31</f>
        <v>712.33502613882979</v>
      </c>
      <c r="W331" s="36">
        <f>V331/(B331*Inputs!$D$34)</f>
        <v>0.84801788826051161</v>
      </c>
      <c r="X331" s="38">
        <f>IF(W331&gt;=1,999,W331/(Inputs!$D$34*(1-W331))*60)</f>
        <v>9.5652372155190832</v>
      </c>
      <c r="Y331" s="37">
        <f>MIN(1,MAX(0,(X331-Inputs!$D$36)/(Inputs!$D$37-Inputs!$D$36)))</f>
        <v>0.30434914770127219</v>
      </c>
      <c r="Z331" s="35">
        <f>Inputs!$D$6*F331*Inputs!$D$28*(1-Inputs!$D$38*Y331)</f>
        <v>4729.0436538571339</v>
      </c>
      <c r="AA331" s="39">
        <f>Z331*Inputs!$D$13</f>
        <v>40196.87105778564</v>
      </c>
      <c r="AB331" s="39">
        <f>AA331*(1-Inputs!$D$19)</f>
        <v>24118.122634671385</v>
      </c>
      <c r="AC331" s="39">
        <f t="shared" si="20"/>
        <v>292413.94011560635</v>
      </c>
      <c r="AD331" s="39">
        <f t="shared" si="21"/>
        <v>119173.68066824719</v>
      </c>
      <c r="AE331" s="36">
        <f t="shared" si="22"/>
        <v>0.93781377990430626</v>
      </c>
      <c r="AF331" s="35">
        <f>IF(AND(AE331&lt;=Inputs!$D$35,C331&gt;=Inputs!$D$48*(A331+B331+C331),B331*Inputs!$D$22&lt;=Inputs!$D$50*Inputs!$D$8,B331*Inputs!$D$22&gt;=Inputs!$D$49*Inputs!$D$8,A331*Inputs!$D$20&lt;=Inputs!$D$47*Inputs!$D$8,C331&gt;=1),1,0)</f>
        <v>0</v>
      </c>
      <c r="AG331" s="39">
        <f t="shared" si="23"/>
        <v>-1</v>
      </c>
    </row>
    <row r="332" spans="1:33" x14ac:dyDescent="0.25">
      <c r="A332" s="35">
        <v>38</v>
      </c>
      <c r="B332" s="35">
        <v>25</v>
      </c>
      <c r="C332" s="35">
        <f>Inputs!$D$8-A332-Inputs!$D$22*B332</f>
        <v>32</v>
      </c>
      <c r="D332" s="35">
        <f>A332*Inputs!$D$20+C332*Inputs!$D$21+B332*Inputs!$D$22</f>
        <v>120</v>
      </c>
      <c r="E332" s="36">
        <f>MIN(Inputs!$E$15,Inputs!$D$15*(C332/Inputs!$D$43)^Inputs!$D$44)</f>
        <v>0.34998251836560429</v>
      </c>
      <c r="F332" s="36">
        <f>MIN(Inputs!$E$16,Inputs!$D$16*(B332/Inputs!$D$42)^Inputs!$D$44)</f>
        <v>0.42769383999647526</v>
      </c>
      <c r="G332" s="37">
        <f>Inputs!$D$26*(1+Inputs!$D$41*(B332-Inputs!$D$42))</f>
        <v>1.5750000000000002</v>
      </c>
      <c r="H332" s="35">
        <f>Inputs!$D$6*Inputs!$D$14*G332*Inputs!$D$29</f>
        <v>1978.8772500000005</v>
      </c>
      <c r="I332" s="36">
        <f>H332/(A332*Inputs!$D$32)</f>
        <v>0.94683122009569398</v>
      </c>
      <c r="J332" s="38">
        <f>IF(I332&gt;=1,999,I332/(Inputs!$D$32*(1-I332))*60)</f>
        <v>19.426941664224387</v>
      </c>
      <c r="K332" s="37">
        <f>MIN(1,MAX(0,(J332-Inputs!$D$36)/(Inputs!$D$37-Inputs!$D$36)))</f>
        <v>0.96179611094829243</v>
      </c>
      <c r="L332" s="35">
        <f>Inputs!$D$6*Inputs!$D$14*G332*(1-Inputs!$D$38*K332)</f>
        <v>7482.6856707178458</v>
      </c>
      <c r="M332" s="39">
        <f>L332*Inputs!$D$11</f>
        <v>160877.74192043368</v>
      </c>
      <c r="N332" s="39">
        <f>M332*(1-Inputs!$D$17)</f>
        <v>56307.209672151781</v>
      </c>
      <c r="O332" s="35">
        <f>Inputs!$D$6*E332*Inputs!$D$27*Inputs!$D$30</f>
        <v>499.30465972139962</v>
      </c>
      <c r="P332" s="36">
        <f>O332/(C332*Inputs!$D$33)</f>
        <v>0.39008176540734346</v>
      </c>
      <c r="Q332" s="38">
        <f>IF(P332&gt;=1,999,P332/(Inputs!$D$33*(1-P332))*60)</f>
        <v>0.95934604824825165</v>
      </c>
      <c r="R332" s="37">
        <f>MIN(1,MAX(0,(Q332-Inputs!$D$36)/(Inputs!$D$37-Inputs!$D$36)))</f>
        <v>0</v>
      </c>
      <c r="S332" s="35">
        <f>Inputs!$D$6*E332*Inputs!$D$27*(1-Inputs!$D$38*R332)</f>
        <v>4160.8721643449971</v>
      </c>
      <c r="T332" s="39">
        <f>S332*Inputs!$D$12</f>
        <v>66573.954629519954</v>
      </c>
      <c r="U332" s="39">
        <f>T332*(1-Inputs!$D$18)</f>
        <v>29958.279583283977</v>
      </c>
      <c r="V332" s="35">
        <f>Inputs!$D$6*F332*Inputs!$D$28*Inputs!$D$31</f>
        <v>721.1123435383771</v>
      </c>
      <c r="W332" s="36">
        <f>V332/(B332*Inputs!$D$34)</f>
        <v>0.82412839261528814</v>
      </c>
      <c r="X332" s="38">
        <f>IF(W332&gt;=1,999,W332/(Inputs!$D$34*(1-W332))*60)</f>
        <v>8.0330847668163621</v>
      </c>
      <c r="Y332" s="37">
        <f>MIN(1,MAX(0,(X332-Inputs!$D$36)/(Inputs!$D$37-Inputs!$D$36)))</f>
        <v>0.20220565112109082</v>
      </c>
      <c r="Z332" s="35">
        <f>Inputs!$D$6*F332*Inputs!$D$28*(1-Inputs!$D$38*Y332)</f>
        <v>5042.2807508299393</v>
      </c>
      <c r="AA332" s="39">
        <f>Z332*Inputs!$D$13</f>
        <v>42859.386382054487</v>
      </c>
      <c r="AB332" s="39">
        <f>AA332*(1-Inputs!$D$19)</f>
        <v>25715.631829232691</v>
      </c>
      <c r="AC332" s="39">
        <f t="shared" si="20"/>
        <v>270311.08293200814</v>
      </c>
      <c r="AD332" s="39">
        <f t="shared" si="21"/>
        <v>111981.12108466846</v>
      </c>
      <c r="AE332" s="36">
        <f t="shared" si="22"/>
        <v>0.94683122009569398</v>
      </c>
      <c r="AF332" s="35">
        <f>IF(AND(AE332&lt;=Inputs!$D$35,C332&gt;=Inputs!$D$48*(A332+B332+C332),B332*Inputs!$D$22&lt;=Inputs!$D$50*Inputs!$D$8,B332*Inputs!$D$22&gt;=Inputs!$D$49*Inputs!$D$8,A332*Inputs!$D$20&lt;=Inputs!$D$47*Inputs!$D$8,C332&gt;=1),1,0)</f>
        <v>0</v>
      </c>
      <c r="AG332" s="39">
        <f t="shared" si="23"/>
        <v>-1</v>
      </c>
    </row>
    <row r="333" spans="1:33" x14ac:dyDescent="0.25">
      <c r="A333" s="35">
        <v>38</v>
      </c>
      <c r="B333" s="35">
        <v>26</v>
      </c>
      <c r="C333" s="35">
        <f>Inputs!$D$8-A333-Inputs!$D$22*B333</f>
        <v>30</v>
      </c>
      <c r="D333" s="35">
        <f>A333*Inputs!$D$20+C333*Inputs!$D$21+B333*Inputs!$D$22</f>
        <v>120</v>
      </c>
      <c r="E333" s="36">
        <f>MIN(Inputs!$E$15,Inputs!$D$15*(C333/Inputs!$D$43)^Inputs!$D$44)</f>
        <v>0.3432714897427589</v>
      </c>
      <c r="F333" s="36">
        <f>MIN(Inputs!$E$16,Inputs!$D$16*(B333/Inputs!$D$42)^Inputs!$D$44)</f>
        <v>0.43275589945781112</v>
      </c>
      <c r="G333" s="37">
        <f>Inputs!$D$26*(1+Inputs!$D$41*(B333-Inputs!$D$42))</f>
        <v>1.59</v>
      </c>
      <c r="H333" s="35">
        <f>Inputs!$D$6*Inputs!$D$14*G333*Inputs!$D$29</f>
        <v>1997.7237</v>
      </c>
      <c r="I333" s="36">
        <f>H333/(A333*Inputs!$D$32)</f>
        <v>0.95584866028708138</v>
      </c>
      <c r="J333" s="38">
        <f>IF(I333&gt;=1,999,I333/(Inputs!$D$32*(1-I333))*60)</f>
        <v>23.617493825115954</v>
      </c>
      <c r="K333" s="37">
        <f>MIN(1,MAX(0,(J333-Inputs!$D$36)/(Inputs!$D$37-Inputs!$D$36)))</f>
        <v>1</v>
      </c>
      <c r="L333" s="35">
        <f>Inputs!$D$6*Inputs!$D$14*G333*(1-Inputs!$D$38*K333)</f>
        <v>7324.9869000000017</v>
      </c>
      <c r="M333" s="39">
        <f>L333*Inputs!$D$11</f>
        <v>157487.21835000004</v>
      </c>
      <c r="N333" s="39">
        <f>M333*(1-Inputs!$D$17)</f>
        <v>55120.526422500014</v>
      </c>
      <c r="O333" s="35">
        <f>Inputs!$D$6*E333*Inputs!$D$27*Inputs!$D$30</f>
        <v>489.73033047044544</v>
      </c>
      <c r="P333" s="36">
        <f>O333/(C333*Inputs!$D$33)</f>
        <v>0.40810860872537119</v>
      </c>
      <c r="Q333" s="38">
        <f>IF(P333&gt;=1,999,P333/(Inputs!$D$33*(1-P333))*60)</f>
        <v>1.0342487187890559</v>
      </c>
      <c r="R333" s="37">
        <f>MIN(1,MAX(0,(Q333-Inputs!$D$36)/(Inputs!$D$37-Inputs!$D$36)))</f>
        <v>0</v>
      </c>
      <c r="S333" s="35">
        <f>Inputs!$D$6*E333*Inputs!$D$27*(1-Inputs!$D$38*R333)</f>
        <v>4081.0860872537123</v>
      </c>
      <c r="T333" s="39">
        <f>S333*Inputs!$D$12</f>
        <v>65297.377396059397</v>
      </c>
      <c r="U333" s="39">
        <f>T333*(1-Inputs!$D$18)</f>
        <v>29383.819828226726</v>
      </c>
      <c r="V333" s="35">
        <f>Inputs!$D$6*F333*Inputs!$D$28*Inputs!$D$31</f>
        <v>729.64721876904355</v>
      </c>
      <c r="W333" s="36">
        <f>V333/(B333*Inputs!$D$34)</f>
        <v>0.80181013051543248</v>
      </c>
      <c r="X333" s="38">
        <f>IF(W333&gt;=1,999,W333/(Inputs!$D$34*(1-W333))*60)</f>
        <v>6.9354284146153136</v>
      </c>
      <c r="Y333" s="37">
        <f>MIN(1,MAX(0,(X333-Inputs!$D$36)/(Inputs!$D$37-Inputs!$D$36)))</f>
        <v>0.12902856097435425</v>
      </c>
      <c r="Z333" s="35">
        <f>Inputs!$D$6*F333*Inputs!$D$28*(1-Inputs!$D$38*Y333)</f>
        <v>5286.7832305655711</v>
      </c>
      <c r="AA333" s="39">
        <f>Z333*Inputs!$D$13</f>
        <v>44937.657459807357</v>
      </c>
      <c r="AB333" s="39">
        <f>AA333*(1-Inputs!$D$19)</f>
        <v>26962.594475884413</v>
      </c>
      <c r="AC333" s="39">
        <f t="shared" si="20"/>
        <v>267722.25320586679</v>
      </c>
      <c r="AD333" s="39">
        <f t="shared" si="21"/>
        <v>111466.94072661115</v>
      </c>
      <c r="AE333" s="36">
        <f t="shared" si="22"/>
        <v>0.95584866028708138</v>
      </c>
      <c r="AF333" s="35">
        <f>IF(AND(AE333&lt;=Inputs!$D$35,C333&gt;=Inputs!$D$48*(A333+B333+C333),B333*Inputs!$D$22&lt;=Inputs!$D$50*Inputs!$D$8,B333*Inputs!$D$22&gt;=Inputs!$D$49*Inputs!$D$8,A333*Inputs!$D$20&lt;=Inputs!$D$47*Inputs!$D$8,C333&gt;=1),1,0)</f>
        <v>0</v>
      </c>
      <c r="AG333" s="39">
        <f t="shared" si="23"/>
        <v>-1</v>
      </c>
    </row>
    <row r="334" spans="1:33" x14ac:dyDescent="0.25">
      <c r="A334" s="35">
        <v>38</v>
      </c>
      <c r="B334" s="35">
        <v>27</v>
      </c>
      <c r="C334" s="35">
        <f>Inputs!$D$8-A334-Inputs!$D$22*B334</f>
        <v>28</v>
      </c>
      <c r="D334" s="35">
        <f>A334*Inputs!$D$20+C334*Inputs!$D$21+B334*Inputs!$D$22</f>
        <v>120</v>
      </c>
      <c r="E334" s="36">
        <f>MIN(Inputs!$E$15,Inputs!$D$15*(C334/Inputs!$D$43)^Inputs!$D$44)</f>
        <v>0.33623952833125714</v>
      </c>
      <c r="F334" s="36">
        <f>MIN(Inputs!$E$16,Inputs!$D$16*(B334/Inputs!$D$42)^Inputs!$D$44)</f>
        <v>0.43768344678187454</v>
      </c>
      <c r="G334" s="37">
        <f>Inputs!$D$26*(1+Inputs!$D$41*(B334-Inputs!$D$42))</f>
        <v>1.605</v>
      </c>
      <c r="H334" s="35">
        <f>Inputs!$D$6*Inputs!$D$14*G334*Inputs!$D$29</f>
        <v>2016.57015</v>
      </c>
      <c r="I334" s="36">
        <f>H334/(A334*Inputs!$D$32)</f>
        <v>0.96486610047846888</v>
      </c>
      <c r="J334" s="38">
        <f>IF(I334&gt;=1,999,I334/(Inputs!$D$32*(1-I334))*60)</f>
        <v>29.959133909314914</v>
      </c>
      <c r="K334" s="37">
        <f>MIN(1,MAX(0,(J334-Inputs!$D$36)/(Inputs!$D$37-Inputs!$D$36)))</f>
        <v>1</v>
      </c>
      <c r="L334" s="35">
        <f>Inputs!$D$6*Inputs!$D$14*G334*(1-Inputs!$D$38*K334)</f>
        <v>7394.0905500000017</v>
      </c>
      <c r="M334" s="39">
        <f>L334*Inputs!$D$11</f>
        <v>158972.94682500005</v>
      </c>
      <c r="N334" s="39">
        <f>M334*(1-Inputs!$D$17)</f>
        <v>55640.531388750016</v>
      </c>
      <c r="O334" s="35">
        <f>Inputs!$D$6*E334*Inputs!$D$27*Inputs!$D$30</f>
        <v>479.69814053095797</v>
      </c>
      <c r="P334" s="36">
        <f>O334/(C334*Inputs!$D$33)</f>
        <v>0.42830191118835531</v>
      </c>
      <c r="Q334" s="38">
        <f>IF(P334&gt;=1,999,P334/(Inputs!$D$33*(1-P334))*60)</f>
        <v>1.1237624882006552</v>
      </c>
      <c r="R334" s="37">
        <f>MIN(1,MAX(0,(Q334-Inputs!$D$36)/(Inputs!$D$37-Inputs!$D$36)))</f>
        <v>0</v>
      </c>
      <c r="S334" s="35">
        <f>Inputs!$D$6*E334*Inputs!$D$27*(1-Inputs!$D$38*R334)</f>
        <v>3997.4845044246499</v>
      </c>
      <c r="T334" s="39">
        <f>S334*Inputs!$D$12</f>
        <v>63959.752070794399</v>
      </c>
      <c r="U334" s="39">
        <f>T334*(1-Inputs!$D$18)</f>
        <v>28781.888431857478</v>
      </c>
      <c r="V334" s="35">
        <f>Inputs!$D$6*F334*Inputs!$D$28*Inputs!$D$31</f>
        <v>737.95530007968603</v>
      </c>
      <c r="W334" s="36">
        <f>V334/(B334*Inputs!$D$34)</f>
        <v>0.78090507944940324</v>
      </c>
      <c r="X334" s="38">
        <f>IF(W334&gt;=1,999,W334/(Inputs!$D$34*(1-W334))*60)</f>
        <v>6.1101116290101798</v>
      </c>
      <c r="Y334" s="37">
        <f>MIN(1,MAX(0,(X334-Inputs!$D$36)/(Inputs!$D$37-Inputs!$D$36)))</f>
        <v>7.4007441934011986E-2</v>
      </c>
      <c r="Z334" s="35">
        <f>Inputs!$D$6*F334*Inputs!$D$28*(1-Inputs!$D$38*Y334)</f>
        <v>5487.5301328495489</v>
      </c>
      <c r="AA334" s="39">
        <f>Z334*Inputs!$D$13</f>
        <v>46644.006129221169</v>
      </c>
      <c r="AB334" s="39">
        <f>AA334*(1-Inputs!$D$19)</f>
        <v>27986.4036775327</v>
      </c>
      <c r="AC334" s="39">
        <f t="shared" si="20"/>
        <v>269576.70502501563</v>
      </c>
      <c r="AD334" s="39">
        <f t="shared" si="21"/>
        <v>112408.82349814019</v>
      </c>
      <c r="AE334" s="36">
        <f t="shared" si="22"/>
        <v>0.96486610047846888</v>
      </c>
      <c r="AF334" s="35">
        <f>IF(AND(AE334&lt;=Inputs!$D$35,C334&gt;=Inputs!$D$48*(A334+B334+C334),B334*Inputs!$D$22&lt;=Inputs!$D$50*Inputs!$D$8,B334*Inputs!$D$22&gt;=Inputs!$D$49*Inputs!$D$8,A334*Inputs!$D$20&lt;=Inputs!$D$47*Inputs!$D$8,C334&gt;=1),1,0)</f>
        <v>0</v>
      </c>
      <c r="AG334" s="39">
        <f t="shared" si="23"/>
        <v>-1</v>
      </c>
    </row>
    <row r="335" spans="1:33" x14ac:dyDescent="0.25">
      <c r="A335" s="35">
        <v>38</v>
      </c>
      <c r="B335" s="35">
        <v>28</v>
      </c>
      <c r="C335" s="35">
        <f>Inputs!$D$8-A335-Inputs!$D$22*B335</f>
        <v>26</v>
      </c>
      <c r="D335" s="35">
        <f>A335*Inputs!$D$20+C335*Inputs!$D$21+B335*Inputs!$D$22</f>
        <v>120</v>
      </c>
      <c r="E335" s="36">
        <f>MIN(Inputs!$E$15,Inputs!$D$15*(C335/Inputs!$D$43)^Inputs!$D$44)</f>
        <v>0.32884660514387515</v>
      </c>
      <c r="F335" s="36">
        <f>MIN(Inputs!$E$16,Inputs!$D$16*(B335/Inputs!$D$42)^Inputs!$D$44)</f>
        <v>0.44248484624799689</v>
      </c>
      <c r="G335" s="37">
        <f>Inputs!$D$26*(1+Inputs!$D$41*(B335-Inputs!$D$42))</f>
        <v>1.62</v>
      </c>
      <c r="H335" s="35">
        <f>Inputs!$D$6*Inputs!$D$14*G335*Inputs!$D$29</f>
        <v>2035.4166</v>
      </c>
      <c r="I335" s="36">
        <f>H335/(A335*Inputs!$D$32)</f>
        <v>0.9738835406698565</v>
      </c>
      <c r="J335" s="38">
        <f>IF(I335&gt;=1,999,I335/(Inputs!$D$32*(1-I335))*60)</f>
        <v>40.680032257559546</v>
      </c>
      <c r="K335" s="37">
        <f>MIN(1,MAX(0,(J335-Inputs!$D$36)/(Inputs!$D$37-Inputs!$D$36)))</f>
        <v>1</v>
      </c>
      <c r="L335" s="35">
        <f>Inputs!$D$6*Inputs!$D$14*G335*(1-Inputs!$D$38*K335)</f>
        <v>7463.1942000000017</v>
      </c>
      <c r="M335" s="39">
        <f>L335*Inputs!$D$11</f>
        <v>160458.67530000003</v>
      </c>
      <c r="N335" s="39">
        <f>M335*(1-Inputs!$D$17)</f>
        <v>56160.536355000011</v>
      </c>
      <c r="O335" s="35">
        <f>Inputs!$D$6*E335*Inputs!$D$27*Inputs!$D$30</f>
        <v>469.15098230814039</v>
      </c>
      <c r="P335" s="36">
        <f>O335/(C335*Inputs!$D$33)</f>
        <v>0.45110671375782729</v>
      </c>
      <c r="Q335" s="38">
        <f>IF(P335&gt;=1,999,P335/(Inputs!$D$33*(1-P335))*60)</f>
        <v>1.2327716290160586</v>
      </c>
      <c r="R335" s="37">
        <f>MIN(1,MAX(0,(Q335-Inputs!$D$36)/(Inputs!$D$37-Inputs!$D$36)))</f>
        <v>0</v>
      </c>
      <c r="S335" s="35">
        <f>Inputs!$D$6*E335*Inputs!$D$27*(1-Inputs!$D$38*R335)</f>
        <v>3909.5915192345033</v>
      </c>
      <c r="T335" s="39">
        <f>S335*Inputs!$D$12</f>
        <v>62553.464307752052</v>
      </c>
      <c r="U335" s="39">
        <f>T335*(1-Inputs!$D$18)</f>
        <v>28149.058938488422</v>
      </c>
      <c r="V335" s="35">
        <f>Inputs!$D$6*F335*Inputs!$D$28*Inputs!$D$31</f>
        <v>746.05069004674272</v>
      </c>
      <c r="W335" s="36">
        <f>V335/(B335*Inputs!$D$34)</f>
        <v>0.76127621433341097</v>
      </c>
      <c r="X335" s="38">
        <f>IF(W335&gt;=1,999,W335/(Inputs!$D$34*(1-W335))*60)</f>
        <v>5.4667570523531852</v>
      </c>
      <c r="Y335" s="37">
        <f>MIN(1,MAX(0,(X335-Inputs!$D$36)/(Inputs!$D$37-Inputs!$D$36)))</f>
        <v>3.111713682354568E-2</v>
      </c>
      <c r="Z335" s="35">
        <f>Inputs!$D$6*F335*Inputs!$D$28*(1-Inputs!$D$38*Y335)</f>
        <v>5658.4919801305723</v>
      </c>
      <c r="AA335" s="39">
        <f>Z335*Inputs!$D$13</f>
        <v>48097.181831109861</v>
      </c>
      <c r="AB335" s="39">
        <f>AA335*(1-Inputs!$D$19)</f>
        <v>28858.309098665915</v>
      </c>
      <c r="AC335" s="39">
        <f t="shared" si="20"/>
        <v>271109.32143886195</v>
      </c>
      <c r="AD335" s="39">
        <f t="shared" si="21"/>
        <v>113167.90439215436</v>
      </c>
      <c r="AE335" s="36">
        <f t="shared" si="22"/>
        <v>0.9738835406698565</v>
      </c>
      <c r="AF335" s="35">
        <f>IF(AND(AE335&lt;=Inputs!$D$35,C335&gt;=Inputs!$D$48*(A335+B335+C335),B335*Inputs!$D$22&lt;=Inputs!$D$50*Inputs!$D$8,B335*Inputs!$D$22&gt;=Inputs!$D$49*Inputs!$D$8,A335*Inputs!$D$20&lt;=Inputs!$D$47*Inputs!$D$8,C335&gt;=1),1,0)</f>
        <v>0</v>
      </c>
      <c r="AG335" s="39">
        <f t="shared" si="23"/>
        <v>-1</v>
      </c>
    </row>
    <row r="336" spans="1:33" x14ac:dyDescent="0.25">
      <c r="A336" s="35">
        <v>38</v>
      </c>
      <c r="B336" s="35">
        <v>29</v>
      </c>
      <c r="C336" s="35">
        <f>Inputs!$D$8-A336-Inputs!$D$22*B336</f>
        <v>24</v>
      </c>
      <c r="D336" s="35">
        <f>A336*Inputs!$D$20+C336*Inputs!$D$21+B336*Inputs!$D$22</f>
        <v>120</v>
      </c>
      <c r="E336" s="36">
        <f>MIN(Inputs!$E$15,Inputs!$D$15*(C336/Inputs!$D$43)^Inputs!$D$44)</f>
        <v>0.32104412796367415</v>
      </c>
      <c r="F336" s="36">
        <f>MIN(Inputs!$E$16,Inputs!$D$16*(B336/Inputs!$D$42)^Inputs!$D$44)</f>
        <v>0.44716766511947192</v>
      </c>
      <c r="G336" s="37">
        <f>Inputs!$D$26*(1+Inputs!$D$41*(B336-Inputs!$D$42))</f>
        <v>1.6350000000000002</v>
      </c>
      <c r="H336" s="35">
        <f>Inputs!$D$6*Inputs!$D$14*G336*Inputs!$D$29</f>
        <v>2054.2630500000005</v>
      </c>
      <c r="I336" s="36">
        <f>H336/(A336*Inputs!$D$32)</f>
        <v>0.98290098086124422</v>
      </c>
      <c r="J336" s="38">
        <f>IF(I336&gt;=1,999,I336/(Inputs!$D$32*(1-I336))*60)</f>
        <v>62.708603738250282</v>
      </c>
      <c r="K336" s="37">
        <f>MIN(1,MAX(0,(J336-Inputs!$D$36)/(Inputs!$D$37-Inputs!$D$36)))</f>
        <v>1</v>
      </c>
      <c r="L336" s="35">
        <f>Inputs!$D$6*Inputs!$D$14*G336*(1-Inputs!$D$38*K336)</f>
        <v>7532.2978500000027</v>
      </c>
      <c r="M336" s="39">
        <f>L336*Inputs!$D$11</f>
        <v>161944.40377500007</v>
      </c>
      <c r="N336" s="39">
        <f>M336*(1-Inputs!$D$17)</f>
        <v>56680.541321250021</v>
      </c>
      <c r="O336" s="35">
        <f>Inputs!$D$6*E336*Inputs!$D$27*Inputs!$D$30</f>
        <v>458.01953142414351</v>
      </c>
      <c r="P336" s="36">
        <f>O336/(C336*Inputs!$D$33)</f>
        <v>0.47710367856681618</v>
      </c>
      <c r="Q336" s="38">
        <f>IF(P336&gt;=1,999,P336/(Inputs!$D$33*(1-P336))*60)</f>
        <v>1.3686375071232384</v>
      </c>
      <c r="R336" s="37">
        <f>MIN(1,MAX(0,(Q336-Inputs!$D$36)/(Inputs!$D$37-Inputs!$D$36)))</f>
        <v>0</v>
      </c>
      <c r="S336" s="35">
        <f>Inputs!$D$6*E336*Inputs!$D$27*(1-Inputs!$D$38*R336)</f>
        <v>3816.8294285345296</v>
      </c>
      <c r="T336" s="39">
        <f>S336*Inputs!$D$12</f>
        <v>61069.270856552474</v>
      </c>
      <c r="U336" s="39">
        <f>T336*(1-Inputs!$D$18)</f>
        <v>27481.17188544861</v>
      </c>
      <c r="V336" s="35">
        <f>Inputs!$D$6*F336*Inputs!$D$28*Inputs!$D$31</f>
        <v>753.9461474393554</v>
      </c>
      <c r="W336" s="36">
        <f>V336/(B336*Inputs!$D$34)</f>
        <v>0.74280408614714821</v>
      </c>
      <c r="X336" s="38">
        <f>IF(W336&gt;=1,999,W336/(Inputs!$D$34*(1-W336))*60)</f>
        <v>4.9510056918075414</v>
      </c>
      <c r="Y336" s="37">
        <f>MIN(1,MAX(0,(X336-Inputs!$D$36)/(Inputs!$D$37-Inputs!$D$36)))</f>
        <v>0</v>
      </c>
      <c r="Z336" s="35">
        <f>Inputs!$D$6*F336*Inputs!$D$28*(1-Inputs!$D$38*Y336)</f>
        <v>5799.5857495335031</v>
      </c>
      <c r="AA336" s="39">
        <f>Z336*Inputs!$D$13</f>
        <v>49296.478871034778</v>
      </c>
      <c r="AB336" s="39">
        <f>AA336*(1-Inputs!$D$19)</f>
        <v>29577.887322620867</v>
      </c>
      <c r="AC336" s="39">
        <f t="shared" si="20"/>
        <v>272310.15350258735</v>
      </c>
      <c r="AD336" s="39">
        <f t="shared" si="21"/>
        <v>113739.60052931949</v>
      </c>
      <c r="AE336" s="36">
        <f t="shared" si="22"/>
        <v>0.98290098086124422</v>
      </c>
      <c r="AF336" s="35">
        <f>IF(AND(AE336&lt;=Inputs!$D$35,C336&gt;=Inputs!$D$48*(A336+B336+C336),B336*Inputs!$D$22&lt;=Inputs!$D$50*Inputs!$D$8,B336*Inputs!$D$22&gt;=Inputs!$D$49*Inputs!$D$8,A336*Inputs!$D$20&lt;=Inputs!$D$47*Inputs!$D$8,C336&gt;=1),1,0)</f>
        <v>0</v>
      </c>
      <c r="AG336" s="39">
        <f t="shared" si="23"/>
        <v>-1</v>
      </c>
    </row>
    <row r="337" spans="1:33" x14ac:dyDescent="0.25">
      <c r="A337" s="35">
        <v>38</v>
      </c>
      <c r="B337" s="35">
        <v>30</v>
      </c>
      <c r="C337" s="35">
        <f>Inputs!$D$8-A337-Inputs!$D$22*B337</f>
        <v>22</v>
      </c>
      <c r="D337" s="35">
        <f>A337*Inputs!$D$20+C337*Inputs!$D$21+B337*Inputs!$D$22</f>
        <v>120</v>
      </c>
      <c r="E337" s="36">
        <f>MIN(Inputs!$E$15,Inputs!$D$15*(C337/Inputs!$D$43)^Inputs!$D$44)</f>
        <v>0.31277221277221301</v>
      </c>
      <c r="F337" s="36">
        <f>MIN(Inputs!$E$16,Inputs!$D$16*(B337/Inputs!$D$42)^Inputs!$D$44)</f>
        <v>0.45173877418274222</v>
      </c>
      <c r="G337" s="37">
        <f>Inputs!$D$26*(1+Inputs!$D$41*(B337-Inputs!$D$42))</f>
        <v>1.6500000000000001</v>
      </c>
      <c r="H337" s="35">
        <f>Inputs!$D$6*Inputs!$D$14*G337*Inputs!$D$29</f>
        <v>2073.1095000000005</v>
      </c>
      <c r="I337" s="36">
        <f>H337/(A337*Inputs!$D$32)</f>
        <v>0.99191842105263184</v>
      </c>
      <c r="J337" s="38">
        <f>IF(I337&gt;=1,999,I337/(Inputs!$D$32*(1-I337))*60)</f>
        <v>133.89621384802541</v>
      </c>
      <c r="K337" s="37">
        <f>MIN(1,MAX(0,(J337-Inputs!$D$36)/(Inputs!$D$37-Inputs!$D$36)))</f>
        <v>1</v>
      </c>
      <c r="L337" s="35">
        <f>Inputs!$D$6*Inputs!$D$14*G337*(1-Inputs!$D$38*K337)</f>
        <v>7601.4015000000027</v>
      </c>
      <c r="M337" s="39">
        <f>L337*Inputs!$D$11</f>
        <v>163430.13225000005</v>
      </c>
      <c r="N337" s="39">
        <f>M337*(1-Inputs!$D$17)</f>
        <v>57200.546287500016</v>
      </c>
      <c r="O337" s="35">
        <f>Inputs!$D$6*E337*Inputs!$D$27*Inputs!$D$30</f>
        <v>446.21835398475434</v>
      </c>
      <c r="P337" s="36">
        <f>O337/(C337*Inputs!$D$33)</f>
        <v>0.50706631134631175</v>
      </c>
      <c r="Q337" s="38">
        <f>IF(P337&gt;=1,999,P337/(Inputs!$D$33*(1-P337))*60)</f>
        <v>1.543005650713049</v>
      </c>
      <c r="R337" s="37">
        <f>MIN(1,MAX(0,(Q337-Inputs!$D$36)/(Inputs!$D$37-Inputs!$D$36)))</f>
        <v>0</v>
      </c>
      <c r="S337" s="35">
        <f>Inputs!$D$6*E337*Inputs!$D$27*(1-Inputs!$D$38*R337)</f>
        <v>3718.4862832062863</v>
      </c>
      <c r="T337" s="39">
        <f>S337*Inputs!$D$12</f>
        <v>59495.780531300581</v>
      </c>
      <c r="U337" s="39">
        <f>T337*(1-Inputs!$D$18)</f>
        <v>26773.101239085259</v>
      </c>
      <c r="V337" s="35">
        <f>Inputs!$D$6*F337*Inputs!$D$28*Inputs!$D$31</f>
        <v>761.65325673326424</v>
      </c>
      <c r="W337" s="36">
        <f>V337/(B337*Inputs!$D$34)</f>
        <v>0.72538405403168027</v>
      </c>
      <c r="X337" s="38">
        <f>IF(W337&gt;=1,999,W337/(Inputs!$D$34*(1-W337))*60)</f>
        <v>4.5281985239874629</v>
      </c>
      <c r="Y337" s="37">
        <f>MIN(1,MAX(0,(X337-Inputs!$D$36)/(Inputs!$D$37-Inputs!$D$36)))</f>
        <v>0</v>
      </c>
      <c r="Z337" s="35">
        <f>Inputs!$D$6*F337*Inputs!$D$28*(1-Inputs!$D$38*Y337)</f>
        <v>5858.8712056404938</v>
      </c>
      <c r="AA337" s="39">
        <f>Z337*Inputs!$D$13</f>
        <v>49800.405247944196</v>
      </c>
      <c r="AB337" s="39">
        <f>AA337*(1-Inputs!$D$19)</f>
        <v>29880.243148766516</v>
      </c>
      <c r="AC337" s="39">
        <f t="shared" si="20"/>
        <v>272726.31802924484</v>
      </c>
      <c r="AD337" s="39">
        <f t="shared" si="21"/>
        <v>113853.89067535179</v>
      </c>
      <c r="AE337" s="36">
        <f t="shared" si="22"/>
        <v>0.99191842105263184</v>
      </c>
      <c r="AF337" s="35">
        <f>IF(AND(AE337&lt;=Inputs!$D$35,C337&gt;=Inputs!$D$48*(A337+B337+C337),B337*Inputs!$D$22&lt;=Inputs!$D$50*Inputs!$D$8,B337*Inputs!$D$22&gt;=Inputs!$D$49*Inputs!$D$8,A337*Inputs!$D$20&lt;=Inputs!$D$47*Inputs!$D$8,C337&gt;=1),1,0)</f>
        <v>0</v>
      </c>
      <c r="AG337" s="39">
        <f t="shared" si="23"/>
        <v>-1</v>
      </c>
    </row>
    <row r="338" spans="1:33" x14ac:dyDescent="0.25">
      <c r="A338" s="35">
        <v>38</v>
      </c>
      <c r="B338" s="35">
        <v>31</v>
      </c>
      <c r="C338" s="35">
        <f>Inputs!$D$8-A338-Inputs!$D$22*B338</f>
        <v>20</v>
      </c>
      <c r="D338" s="35">
        <f>A338*Inputs!$D$20+C338*Inputs!$D$21+B338*Inputs!$D$22</f>
        <v>120</v>
      </c>
      <c r="E338" s="36">
        <f>MIN(Inputs!$E$15,Inputs!$D$15*(C338/Inputs!$D$43)^Inputs!$D$44)</f>
        <v>0.30395574554235194</v>
      </c>
      <c r="F338" s="36">
        <f>MIN(Inputs!$E$16,Inputs!$D$16*(B338/Inputs!$D$42)^Inputs!$D$44)</f>
        <v>0.45620443270573335</v>
      </c>
      <c r="G338" s="37">
        <f>Inputs!$D$26*(1+Inputs!$D$41*(B338-Inputs!$D$42))</f>
        <v>1.665</v>
      </c>
      <c r="H338" s="35">
        <f>Inputs!$D$6*Inputs!$D$14*G338*Inputs!$D$29</f>
        <v>2091.95595</v>
      </c>
      <c r="I338" s="36">
        <f>H338/(A338*Inputs!$D$32)</f>
        <v>1.0009358612440191</v>
      </c>
      <c r="J338" s="38">
        <f>IF(I338&gt;=1,999,I338/(Inputs!$D$32*(1-I338))*60)</f>
        <v>999</v>
      </c>
      <c r="K338" s="37">
        <f>MIN(1,MAX(0,(J338-Inputs!$D$36)/(Inputs!$D$37-Inputs!$D$36)))</f>
        <v>1</v>
      </c>
      <c r="L338" s="35">
        <f>Inputs!$D$6*Inputs!$D$14*G338*(1-Inputs!$D$38*K338)</f>
        <v>7670.5051500000018</v>
      </c>
      <c r="M338" s="39">
        <f>L338*Inputs!$D$11</f>
        <v>164915.86072500004</v>
      </c>
      <c r="N338" s="39">
        <f>M338*(1-Inputs!$D$17)</f>
        <v>57720.551253750011</v>
      </c>
      <c r="O338" s="35">
        <f>Inputs!$D$6*E338*Inputs!$D$27*Inputs!$D$30</f>
        <v>433.64028811246965</v>
      </c>
      <c r="P338" s="36">
        <f>O338/(C338*Inputs!$D$33)</f>
        <v>0.54205036014058705</v>
      </c>
      <c r="Q338" s="38">
        <f>IF(P338&gt;=1,999,P338/(Inputs!$D$33*(1-P338))*60)</f>
        <v>1.7754693299038049</v>
      </c>
      <c r="R338" s="37">
        <f>MIN(1,MAX(0,(Q338-Inputs!$D$36)/(Inputs!$D$37-Inputs!$D$36)))</f>
        <v>0</v>
      </c>
      <c r="S338" s="35">
        <f>Inputs!$D$6*E338*Inputs!$D$27*(1-Inputs!$D$38*R338)</f>
        <v>3613.6690676039138</v>
      </c>
      <c r="T338" s="39">
        <f>S338*Inputs!$D$12</f>
        <v>57818.705081662622</v>
      </c>
      <c r="U338" s="39">
        <f>T338*(1-Inputs!$D$18)</f>
        <v>26018.417286748176</v>
      </c>
      <c r="V338" s="35">
        <f>Inputs!$D$6*F338*Inputs!$D$28*Inputs!$D$31</f>
        <v>769.18257135463637</v>
      </c>
      <c r="W338" s="36">
        <f>V338/(B338*Inputs!$D$34)</f>
        <v>0.70892402889828232</v>
      </c>
      <c r="X338" s="38">
        <f>IF(W338&gt;=1,999,W338/(Inputs!$D$34*(1-W338))*60)</f>
        <v>4.1751929252501148</v>
      </c>
      <c r="Y338" s="37">
        <f>MIN(1,MAX(0,(X338-Inputs!$D$36)/(Inputs!$D$37-Inputs!$D$36)))</f>
        <v>0</v>
      </c>
      <c r="Z338" s="35">
        <f>Inputs!$D$6*F338*Inputs!$D$28*(1-Inputs!$D$38*Y338)</f>
        <v>5916.7890104202797</v>
      </c>
      <c r="AA338" s="39">
        <f>Z338*Inputs!$D$13</f>
        <v>50292.706588572379</v>
      </c>
      <c r="AB338" s="39">
        <f>AA338*(1-Inputs!$D$19)</f>
        <v>30175.623953143426</v>
      </c>
      <c r="AC338" s="39">
        <f t="shared" si="20"/>
        <v>273027.27239523502</v>
      </c>
      <c r="AD338" s="39">
        <f t="shared" si="21"/>
        <v>113914.59249364161</v>
      </c>
      <c r="AE338" s="36">
        <f t="shared" si="22"/>
        <v>1.0009358612440191</v>
      </c>
      <c r="AF338" s="35">
        <f>IF(AND(AE338&lt;=Inputs!$D$35,C338&gt;=Inputs!$D$48*(A338+B338+C338),B338*Inputs!$D$22&lt;=Inputs!$D$50*Inputs!$D$8,B338*Inputs!$D$22&gt;=Inputs!$D$49*Inputs!$D$8,A338*Inputs!$D$20&lt;=Inputs!$D$47*Inputs!$D$8,C338&gt;=1),1,0)</f>
        <v>0</v>
      </c>
      <c r="AG338" s="39">
        <f t="shared" si="23"/>
        <v>-1</v>
      </c>
    </row>
    <row r="339" spans="1:33" x14ac:dyDescent="0.25">
      <c r="A339" s="35">
        <v>38</v>
      </c>
      <c r="B339" s="35">
        <v>32</v>
      </c>
      <c r="C339" s="35">
        <f>Inputs!$D$8-A339-Inputs!$D$22*B339</f>
        <v>18</v>
      </c>
      <c r="D339" s="35">
        <f>A339*Inputs!$D$20+C339*Inputs!$D$21+B339*Inputs!$D$22</f>
        <v>120</v>
      </c>
      <c r="E339" s="36">
        <f>MIN(Inputs!$E$15,Inputs!$D$15*(C339/Inputs!$D$43)^Inputs!$D$44)</f>
        <v>0.29449851547238159</v>
      </c>
      <c r="F339" s="36">
        <f>MIN(Inputs!$E$16,Inputs!$D$16*(B339/Inputs!$D$42)^Inputs!$D$44)</f>
        <v>0.46057036065052986</v>
      </c>
      <c r="G339" s="37">
        <f>Inputs!$D$26*(1+Inputs!$D$41*(B339-Inputs!$D$42))</f>
        <v>1.6800000000000002</v>
      </c>
      <c r="H339" s="35">
        <f>Inputs!$D$6*Inputs!$D$14*G339*Inputs!$D$29</f>
        <v>2110.8024000000005</v>
      </c>
      <c r="I339" s="36">
        <f>H339/(A339*Inputs!$D$32)</f>
        <v>1.009953301435407</v>
      </c>
      <c r="J339" s="38">
        <f>IF(I339&gt;=1,999,I339/(Inputs!$D$32*(1-I339))*60)</f>
        <v>999</v>
      </c>
      <c r="K339" s="37">
        <f>MIN(1,MAX(0,(J339-Inputs!$D$36)/(Inputs!$D$37-Inputs!$D$36)))</f>
        <v>1</v>
      </c>
      <c r="L339" s="35">
        <f>Inputs!$D$6*Inputs!$D$14*G339*(1-Inputs!$D$38*K339)</f>
        <v>7739.6088000000027</v>
      </c>
      <c r="M339" s="39">
        <f>L339*Inputs!$D$11</f>
        <v>166401.58920000005</v>
      </c>
      <c r="N339" s="39">
        <f>M339*(1-Inputs!$D$17)</f>
        <v>58240.556220000013</v>
      </c>
      <c r="O339" s="35">
        <f>Inputs!$D$6*E339*Inputs!$D$27*Inputs!$D$30</f>
        <v>420.14807408976606</v>
      </c>
      <c r="P339" s="36">
        <f>O339/(C339*Inputs!$D$33)</f>
        <v>0.58353899179134172</v>
      </c>
      <c r="Q339" s="38">
        <f>IF(P339&gt;=1,999,P339/(Inputs!$D$33*(1-P339))*60)</f>
        <v>2.1017777665477375</v>
      </c>
      <c r="R339" s="37">
        <f>MIN(1,MAX(0,(Q339-Inputs!$D$36)/(Inputs!$D$37-Inputs!$D$36)))</f>
        <v>0</v>
      </c>
      <c r="S339" s="35">
        <f>Inputs!$D$6*E339*Inputs!$D$27*(1-Inputs!$D$38*R339)</f>
        <v>3501.2339507480506</v>
      </c>
      <c r="T339" s="39">
        <f>S339*Inputs!$D$12</f>
        <v>56019.743211968809</v>
      </c>
      <c r="U339" s="39">
        <f>T339*(1-Inputs!$D$18)</f>
        <v>25208.88444538596</v>
      </c>
      <c r="V339" s="35">
        <f>Inputs!$D$6*F339*Inputs!$D$28*Inputs!$D$31</f>
        <v>776.54373543410452</v>
      </c>
      <c r="W339" s="36">
        <f>V339/(B339*Inputs!$D$34)</f>
        <v>0.69334262092330756</v>
      </c>
      <c r="X339" s="38">
        <f>IF(W339&gt;=1,999,W339/(Inputs!$D$34*(1-W339))*60)</f>
        <v>3.8759457011369869</v>
      </c>
      <c r="Y339" s="37">
        <f>MIN(1,MAX(0,(X339-Inputs!$D$36)/(Inputs!$D$37-Inputs!$D$36)))</f>
        <v>0</v>
      </c>
      <c r="Z339" s="35">
        <f>Inputs!$D$6*F339*Inputs!$D$28*(1-Inputs!$D$38*Y339)</f>
        <v>5973.4133494931111</v>
      </c>
      <c r="AA339" s="39">
        <f>Z339*Inputs!$D$13</f>
        <v>50774.013470691447</v>
      </c>
      <c r="AB339" s="39">
        <f>AA339*(1-Inputs!$D$19)</f>
        <v>30464.408082414866</v>
      </c>
      <c r="AC339" s="39">
        <f t="shared" si="20"/>
        <v>273195.3458826603</v>
      </c>
      <c r="AD339" s="39">
        <f t="shared" si="21"/>
        <v>113913.84874780085</v>
      </c>
      <c r="AE339" s="36">
        <f t="shared" si="22"/>
        <v>1.009953301435407</v>
      </c>
      <c r="AF339" s="35">
        <f>IF(AND(AE339&lt;=Inputs!$D$35,C339&gt;=Inputs!$D$48*(A339+B339+C339),B339*Inputs!$D$22&lt;=Inputs!$D$50*Inputs!$D$8,B339*Inputs!$D$22&gt;=Inputs!$D$49*Inputs!$D$8,A339*Inputs!$D$20&lt;=Inputs!$D$47*Inputs!$D$8,C339&gt;=1),1,0)</f>
        <v>0</v>
      </c>
      <c r="AG339" s="39">
        <f t="shared" si="23"/>
        <v>-1</v>
      </c>
    </row>
    <row r="340" spans="1:33" x14ac:dyDescent="0.25">
      <c r="A340" s="35">
        <v>38</v>
      </c>
      <c r="B340" s="35">
        <v>33</v>
      </c>
      <c r="C340" s="35">
        <f>Inputs!$D$8-A340-Inputs!$D$22*B340</f>
        <v>16</v>
      </c>
      <c r="D340" s="35">
        <f>A340*Inputs!$D$20+C340*Inputs!$D$21+B340*Inputs!$D$22</f>
        <v>120</v>
      </c>
      <c r="E340" s="36">
        <f>MIN(Inputs!$E$15,Inputs!$D$15*(C340/Inputs!$D$43)^Inputs!$D$44)</f>
        <v>0.2842741392252523</v>
      </c>
      <c r="F340" s="36">
        <f>MIN(Inputs!$E$16,Inputs!$D$16*(B340/Inputs!$D$42)^Inputs!$D$44)</f>
        <v>0.46484180038786721</v>
      </c>
      <c r="G340" s="37">
        <f>Inputs!$D$26*(1+Inputs!$D$41*(B340-Inputs!$D$42))</f>
        <v>1.6949999999999998</v>
      </c>
      <c r="H340" s="35">
        <f>Inputs!$D$6*Inputs!$D$14*G340*Inputs!$D$29</f>
        <v>2129.64885</v>
      </c>
      <c r="I340" s="36">
        <f>H340/(A340*Inputs!$D$32)</f>
        <v>1.0189707416267944</v>
      </c>
      <c r="J340" s="38">
        <f>IF(I340&gt;=1,999,I340/(Inputs!$D$32*(1-I340))*60)</f>
        <v>999</v>
      </c>
      <c r="K340" s="37">
        <f>MIN(1,MAX(0,(J340-Inputs!$D$36)/(Inputs!$D$37-Inputs!$D$36)))</f>
        <v>1</v>
      </c>
      <c r="L340" s="35">
        <f>Inputs!$D$6*Inputs!$D$14*G340*(1-Inputs!$D$38*K340)</f>
        <v>7808.71245</v>
      </c>
      <c r="M340" s="39">
        <f>L340*Inputs!$D$11</f>
        <v>167887.317675</v>
      </c>
      <c r="N340" s="39">
        <f>M340*(1-Inputs!$D$17)</f>
        <v>58760.561186249994</v>
      </c>
      <c r="O340" s="35">
        <f>Inputs!$D$6*E340*Inputs!$D$27*Inputs!$D$30</f>
        <v>405.56140637054153</v>
      </c>
      <c r="P340" s="36">
        <f>O340/(C340*Inputs!$D$33)</f>
        <v>0.63368969745397119</v>
      </c>
      <c r="Q340" s="38">
        <f>IF(P340&gt;=1,999,P340/(Inputs!$D$33*(1-P340))*60)</f>
        <v>2.5948889222451426</v>
      </c>
      <c r="R340" s="37">
        <f>MIN(1,MAX(0,(Q340-Inputs!$D$36)/(Inputs!$D$37-Inputs!$D$36)))</f>
        <v>0</v>
      </c>
      <c r="S340" s="35">
        <f>Inputs!$D$6*E340*Inputs!$D$27*(1-Inputs!$D$38*R340)</f>
        <v>3379.6783864211798</v>
      </c>
      <c r="T340" s="39">
        <f>S340*Inputs!$D$12</f>
        <v>54074.854182738876</v>
      </c>
      <c r="U340" s="39">
        <f>T340*(1-Inputs!$D$18)</f>
        <v>24333.684382232492</v>
      </c>
      <c r="V340" s="35">
        <f>Inputs!$D$6*F340*Inputs!$D$28*Inputs!$D$31</f>
        <v>783.74558786036266</v>
      </c>
      <c r="W340" s="36">
        <f>V340/(B340*Inputs!$D$34)</f>
        <v>0.67856760853711051</v>
      </c>
      <c r="X340" s="38">
        <f>IF(W340&gt;=1,999,W340/(Inputs!$D$34*(1-W340))*60)</f>
        <v>3.6189842355277744</v>
      </c>
      <c r="Y340" s="37">
        <f>MIN(1,MAX(0,(X340-Inputs!$D$36)/(Inputs!$D$37-Inputs!$D$36)))</f>
        <v>0</v>
      </c>
      <c r="Z340" s="35">
        <f>Inputs!$D$6*F340*Inputs!$D$28*(1-Inputs!$D$38*Y340)</f>
        <v>6028.812214310482</v>
      </c>
      <c r="AA340" s="39">
        <f>Z340*Inputs!$D$13</f>
        <v>51244.903821639098</v>
      </c>
      <c r="AB340" s="39">
        <f>AA340*(1-Inputs!$D$19)</f>
        <v>30746.942292983458</v>
      </c>
      <c r="AC340" s="39">
        <f t="shared" si="20"/>
        <v>273207.07567937794</v>
      </c>
      <c r="AD340" s="39">
        <f t="shared" si="21"/>
        <v>113841.18786146594</v>
      </c>
      <c r="AE340" s="36">
        <f t="shared" si="22"/>
        <v>1.0189707416267944</v>
      </c>
      <c r="AF340" s="35">
        <f>IF(AND(AE340&lt;=Inputs!$D$35,C340&gt;=Inputs!$D$48*(A340+B340+C340),B340*Inputs!$D$22&lt;=Inputs!$D$50*Inputs!$D$8,B340*Inputs!$D$22&gt;=Inputs!$D$49*Inputs!$D$8,A340*Inputs!$D$20&lt;=Inputs!$D$47*Inputs!$D$8,C340&gt;=1),1,0)</f>
        <v>0</v>
      </c>
      <c r="AG340" s="39">
        <f t="shared" si="23"/>
        <v>-1</v>
      </c>
    </row>
    <row r="341" spans="1:33" x14ac:dyDescent="0.25">
      <c r="A341" s="35">
        <v>39</v>
      </c>
      <c r="B341" s="35">
        <v>10</v>
      </c>
      <c r="C341" s="35">
        <f>Inputs!$D$8-A341-Inputs!$D$22*B341</f>
        <v>61</v>
      </c>
      <c r="D341" s="35">
        <f>A341*Inputs!$D$20+C341*Inputs!$D$21+B341*Inputs!$D$22</f>
        <v>120</v>
      </c>
      <c r="E341" s="36">
        <f>MIN(Inputs!$E$15,Inputs!$D$15*(C341/Inputs!$D$43)^Inputs!$D$44)</f>
        <v>0.4</v>
      </c>
      <c r="F341" s="36">
        <f>MIN(Inputs!$E$16,Inputs!$D$16*(B341/Inputs!$D$42)^Inputs!$D$44)</f>
        <v>0.32490095854249423</v>
      </c>
      <c r="G341" s="37">
        <f>Inputs!$D$26*(1+Inputs!$D$41*(B341-Inputs!$D$42))</f>
        <v>1.35</v>
      </c>
      <c r="H341" s="35">
        <f>Inputs!$D$6*Inputs!$D$14*G341*Inputs!$D$29</f>
        <v>1696.1805000000004</v>
      </c>
      <c r="I341" s="36">
        <f>H341/(A341*Inputs!$D$32)</f>
        <v>0.79076013986014004</v>
      </c>
      <c r="J341" s="38">
        <f>IF(I341&gt;=1,999,I341/(Inputs!$D$32*(1-I341))*60)</f>
        <v>4.1227681223136008</v>
      </c>
      <c r="K341" s="37">
        <f>MIN(1,MAX(0,(J341-Inputs!$D$36)/(Inputs!$D$37-Inputs!$D$36)))</f>
        <v>0</v>
      </c>
      <c r="L341" s="35">
        <f>Inputs!$D$6*Inputs!$D$14*G341*(1-Inputs!$D$38*K341)</f>
        <v>11307.870000000003</v>
      </c>
      <c r="M341" s="39">
        <f>L341*Inputs!$D$11</f>
        <v>243119.20500000005</v>
      </c>
      <c r="N341" s="39">
        <f>M341*(1-Inputs!$D$17)</f>
        <v>85091.721750000012</v>
      </c>
      <c r="O341" s="35">
        <f>Inputs!$D$6*E341*Inputs!$D$27*Inputs!$D$30</f>
        <v>570.66240000000005</v>
      </c>
      <c r="P341" s="36">
        <f>O341/(C341*Inputs!$D$33)</f>
        <v>0.23387803278688526</v>
      </c>
      <c r="Q341" s="38">
        <f>IF(P341&gt;=1,999,P341/(Inputs!$D$33*(1-P341))*60)</f>
        <v>0.45791279221046005</v>
      </c>
      <c r="R341" s="37">
        <f>MIN(1,MAX(0,(Q341-Inputs!$D$36)/(Inputs!$D$37-Inputs!$D$36)))</f>
        <v>0</v>
      </c>
      <c r="S341" s="35">
        <f>Inputs!$D$6*E341*Inputs!$D$27*(1-Inputs!$D$38*R341)</f>
        <v>4755.5200000000004</v>
      </c>
      <c r="T341" s="39">
        <f>S341*Inputs!$D$12</f>
        <v>76088.320000000007</v>
      </c>
      <c r="U341" s="39">
        <f>T341*(1-Inputs!$D$18)</f>
        <v>34239.743999999999</v>
      </c>
      <c r="V341" s="35">
        <f>Inputs!$D$6*F341*Inputs!$D$28*Inputs!$D$31</f>
        <v>547.7986113486553</v>
      </c>
      <c r="W341" s="36">
        <f>V341/(B341*Inputs!$D$34)</f>
        <v>1.5651388895675866</v>
      </c>
      <c r="X341" s="38">
        <f>IF(W341&gt;=1,999,W341/(Inputs!$D$34*(1-W341))*60)</f>
        <v>999</v>
      </c>
      <c r="Y341" s="37">
        <f>MIN(1,MAX(0,(X341-Inputs!$D$36)/(Inputs!$D$37-Inputs!$D$36)))</f>
        <v>1</v>
      </c>
      <c r="Z341" s="35">
        <f>Inputs!$D$6*F341*Inputs!$D$28*(1-Inputs!$D$38*Y341)</f>
        <v>2317.6095095520031</v>
      </c>
      <c r="AA341" s="39">
        <f>Z341*Inputs!$D$13</f>
        <v>19699.680831192025</v>
      </c>
      <c r="AB341" s="39">
        <f>AA341*(1-Inputs!$D$19)</f>
        <v>11819.808498715214</v>
      </c>
      <c r="AC341" s="39">
        <f t="shared" si="20"/>
        <v>338907.20583119203</v>
      </c>
      <c r="AD341" s="39">
        <f t="shared" si="21"/>
        <v>131151.27424871523</v>
      </c>
      <c r="AE341" s="36">
        <f t="shared" si="22"/>
        <v>1.5651388895675866</v>
      </c>
      <c r="AF341" s="35">
        <f>IF(AND(AE341&lt;=Inputs!$D$35,C341&gt;=Inputs!$D$48*(A341+B341+C341),B341*Inputs!$D$22&lt;=Inputs!$D$50*Inputs!$D$8,B341*Inputs!$D$22&gt;=Inputs!$D$49*Inputs!$D$8,A341*Inputs!$D$20&lt;=Inputs!$D$47*Inputs!$D$8,C341&gt;=1),1,0)</f>
        <v>0</v>
      </c>
      <c r="AG341" s="39">
        <f t="shared" si="23"/>
        <v>-1</v>
      </c>
    </row>
    <row r="342" spans="1:33" x14ac:dyDescent="0.25">
      <c r="A342" s="35">
        <v>39</v>
      </c>
      <c r="B342" s="35">
        <v>11</v>
      </c>
      <c r="C342" s="35">
        <f>Inputs!$D$8-A342-Inputs!$D$22*B342</f>
        <v>59</v>
      </c>
      <c r="D342" s="35">
        <f>A342*Inputs!$D$20+C342*Inputs!$D$21+B342*Inputs!$D$22</f>
        <v>120</v>
      </c>
      <c r="E342" s="36">
        <f>MIN(Inputs!$E$15,Inputs!$D$15*(C342/Inputs!$D$43)^Inputs!$D$44)</f>
        <v>0.4</v>
      </c>
      <c r="F342" s="36">
        <f>MIN(Inputs!$E$16,Inputs!$D$16*(B342/Inputs!$D$42)^Inputs!$D$44)</f>
        <v>0.33432495758166098</v>
      </c>
      <c r="G342" s="37">
        <f>Inputs!$D$26*(1+Inputs!$D$41*(B342-Inputs!$D$42))</f>
        <v>1.365</v>
      </c>
      <c r="H342" s="35">
        <f>Inputs!$D$6*Inputs!$D$14*G342*Inputs!$D$29</f>
        <v>1715.0269500000002</v>
      </c>
      <c r="I342" s="36">
        <f>H342/(A342*Inputs!$D$32)</f>
        <v>0.79954636363636367</v>
      </c>
      <c r="J342" s="38">
        <f>IF(I342&gt;=1,999,I342/(Inputs!$D$32*(1-I342))*60)</f>
        <v>4.3512924610253849</v>
      </c>
      <c r="K342" s="37">
        <f>MIN(1,MAX(0,(J342-Inputs!$D$36)/(Inputs!$D$37-Inputs!$D$36)))</f>
        <v>0</v>
      </c>
      <c r="L342" s="35">
        <f>Inputs!$D$6*Inputs!$D$14*G342*(1-Inputs!$D$38*K342)</f>
        <v>11433.513000000001</v>
      </c>
      <c r="M342" s="39">
        <f>L342*Inputs!$D$11</f>
        <v>245820.5295</v>
      </c>
      <c r="N342" s="39">
        <f>M342*(1-Inputs!$D$17)</f>
        <v>86037.185324999999</v>
      </c>
      <c r="O342" s="35">
        <f>Inputs!$D$6*E342*Inputs!$D$27*Inputs!$D$30</f>
        <v>570.66240000000005</v>
      </c>
      <c r="P342" s="36">
        <f>O342/(C342*Inputs!$D$33)</f>
        <v>0.24180610169491529</v>
      </c>
      <c r="Q342" s="38">
        <f>IF(P342&gt;=1,999,P342/(Inputs!$D$33*(1-P342))*60)</f>
        <v>0.47838574453473742</v>
      </c>
      <c r="R342" s="37">
        <f>MIN(1,MAX(0,(Q342-Inputs!$D$36)/(Inputs!$D$37-Inputs!$D$36)))</f>
        <v>0</v>
      </c>
      <c r="S342" s="35">
        <f>Inputs!$D$6*E342*Inputs!$D$27*(1-Inputs!$D$38*R342)</f>
        <v>4755.5200000000004</v>
      </c>
      <c r="T342" s="39">
        <f>S342*Inputs!$D$12</f>
        <v>76088.320000000007</v>
      </c>
      <c r="U342" s="39">
        <f>T342*(1-Inputs!$D$18)</f>
        <v>34239.743999999999</v>
      </c>
      <c r="V342" s="35">
        <f>Inputs!$D$6*F342*Inputs!$D$28*Inputs!$D$31</f>
        <v>563.68792608064427</v>
      </c>
      <c r="W342" s="36">
        <f>V342/(B342*Inputs!$D$34)</f>
        <v>1.4641244833263487</v>
      </c>
      <c r="X342" s="38">
        <f>IF(W342&gt;=1,999,W342/(Inputs!$D$34*(1-W342))*60)</f>
        <v>999</v>
      </c>
      <c r="Y342" s="37">
        <f>MIN(1,MAX(0,(X342-Inputs!$D$36)/(Inputs!$D$37-Inputs!$D$36)))</f>
        <v>1</v>
      </c>
      <c r="Z342" s="35">
        <f>Inputs!$D$6*F342*Inputs!$D$28*(1-Inputs!$D$38*Y342)</f>
        <v>2384.8335334181106</v>
      </c>
      <c r="AA342" s="39">
        <f>Z342*Inputs!$D$13</f>
        <v>20271.08503405394</v>
      </c>
      <c r="AB342" s="39">
        <f>AA342*(1-Inputs!$D$19)</f>
        <v>12162.651020432364</v>
      </c>
      <c r="AC342" s="39">
        <f t="shared" si="20"/>
        <v>342179.93453405396</v>
      </c>
      <c r="AD342" s="39">
        <f t="shared" si="21"/>
        <v>132439.58034543236</v>
      </c>
      <c r="AE342" s="36">
        <f t="shared" si="22"/>
        <v>1.4641244833263487</v>
      </c>
      <c r="AF342" s="35">
        <f>IF(AND(AE342&lt;=Inputs!$D$35,C342&gt;=Inputs!$D$48*(A342+B342+C342),B342*Inputs!$D$22&lt;=Inputs!$D$50*Inputs!$D$8,B342*Inputs!$D$22&gt;=Inputs!$D$49*Inputs!$D$8,A342*Inputs!$D$20&lt;=Inputs!$D$47*Inputs!$D$8,C342&gt;=1),1,0)</f>
        <v>0</v>
      </c>
      <c r="AG342" s="39">
        <f t="shared" si="23"/>
        <v>-1</v>
      </c>
    </row>
    <row r="343" spans="1:33" x14ac:dyDescent="0.25">
      <c r="A343" s="35">
        <v>39</v>
      </c>
      <c r="B343" s="35">
        <v>12</v>
      </c>
      <c r="C343" s="35">
        <f>Inputs!$D$8-A343-Inputs!$D$22*B343</f>
        <v>57</v>
      </c>
      <c r="D343" s="35">
        <f>A343*Inputs!$D$20+C343*Inputs!$D$21+B343*Inputs!$D$22</f>
        <v>120</v>
      </c>
      <c r="E343" s="36">
        <f>MIN(Inputs!$E$15,Inputs!$D$15*(C343/Inputs!$D$43)^Inputs!$D$44)</f>
        <v>0.4</v>
      </c>
      <c r="F343" s="36">
        <f>MIN(Inputs!$E$16,Inputs!$D$16*(B343/Inputs!$D$42)^Inputs!$D$44)</f>
        <v>0.34316688017763797</v>
      </c>
      <c r="G343" s="37">
        <f>Inputs!$D$26*(1+Inputs!$D$41*(B343-Inputs!$D$42))</f>
        <v>1.3800000000000001</v>
      </c>
      <c r="H343" s="35">
        <f>Inputs!$D$6*Inputs!$D$14*G343*Inputs!$D$29</f>
        <v>1733.8734000000004</v>
      </c>
      <c r="I343" s="36">
        <f>H343/(A343*Inputs!$D$32)</f>
        <v>0.80833258741258762</v>
      </c>
      <c r="J343" s="38">
        <f>IF(I343&gt;=1,999,I343/(Inputs!$D$32*(1-I343))*60)</f>
        <v>4.6007683631889966</v>
      </c>
      <c r="K343" s="37">
        <f>MIN(1,MAX(0,(J343-Inputs!$D$36)/(Inputs!$D$37-Inputs!$D$36)))</f>
        <v>0</v>
      </c>
      <c r="L343" s="35">
        <f>Inputs!$D$6*Inputs!$D$14*G343*(1-Inputs!$D$38*K343)</f>
        <v>11559.156000000003</v>
      </c>
      <c r="M343" s="39">
        <f>L343*Inputs!$D$11</f>
        <v>248521.85400000005</v>
      </c>
      <c r="N343" s="39">
        <f>M343*(1-Inputs!$D$17)</f>
        <v>86982.648900000015</v>
      </c>
      <c r="O343" s="35">
        <f>Inputs!$D$6*E343*Inputs!$D$27*Inputs!$D$30</f>
        <v>570.66240000000005</v>
      </c>
      <c r="P343" s="36">
        <f>O343/(C343*Inputs!$D$33)</f>
        <v>0.25029052631578952</v>
      </c>
      <c r="Q343" s="38">
        <f>IF(P343&gt;=1,999,P343/(Inputs!$D$33*(1-P343))*60)</f>
        <v>0.50077503706699034</v>
      </c>
      <c r="R343" s="37">
        <f>MIN(1,MAX(0,(Q343-Inputs!$D$36)/(Inputs!$D$37-Inputs!$D$36)))</f>
        <v>0</v>
      </c>
      <c r="S343" s="35">
        <f>Inputs!$D$6*E343*Inputs!$D$27*(1-Inputs!$D$38*R343)</f>
        <v>4755.5200000000004</v>
      </c>
      <c r="T343" s="39">
        <f>S343*Inputs!$D$12</f>
        <v>76088.320000000007</v>
      </c>
      <c r="U343" s="39">
        <f>T343*(1-Inputs!$D$18)</f>
        <v>34239.743999999999</v>
      </c>
      <c r="V343" s="35">
        <f>Inputs!$D$6*F343*Inputs!$D$28*Inputs!$D$31</f>
        <v>578.5958319897461</v>
      </c>
      <c r="W343" s="36">
        <f>V343/(B343*Inputs!$D$34)</f>
        <v>1.3776091237851098</v>
      </c>
      <c r="X343" s="38">
        <f>IF(W343&gt;=1,999,W343/(Inputs!$D$34*(1-W343))*60)</f>
        <v>999</v>
      </c>
      <c r="Y343" s="37">
        <f>MIN(1,MAX(0,(X343-Inputs!$D$36)/(Inputs!$D$37-Inputs!$D$36)))</f>
        <v>1</v>
      </c>
      <c r="Z343" s="35">
        <f>Inputs!$D$6*F343*Inputs!$D$28*(1-Inputs!$D$38*Y343)</f>
        <v>2447.9054430335414</v>
      </c>
      <c r="AA343" s="39">
        <f>Z343*Inputs!$D$13</f>
        <v>20807.1962657851</v>
      </c>
      <c r="AB343" s="39">
        <f>AA343*(1-Inputs!$D$19)</f>
        <v>12484.31775947106</v>
      </c>
      <c r="AC343" s="39">
        <f t="shared" si="20"/>
        <v>345417.37026578514</v>
      </c>
      <c r="AD343" s="39">
        <f t="shared" si="21"/>
        <v>133706.71065947108</v>
      </c>
      <c r="AE343" s="36">
        <f t="shared" si="22"/>
        <v>1.3776091237851098</v>
      </c>
      <c r="AF343" s="35">
        <f>IF(AND(AE343&lt;=Inputs!$D$35,C343&gt;=Inputs!$D$48*(A343+B343+C343),B343*Inputs!$D$22&lt;=Inputs!$D$50*Inputs!$D$8,B343*Inputs!$D$22&gt;=Inputs!$D$49*Inputs!$D$8,A343*Inputs!$D$20&lt;=Inputs!$D$47*Inputs!$D$8,C343&gt;=1),1,0)</f>
        <v>0</v>
      </c>
      <c r="AG343" s="39">
        <f t="shared" si="23"/>
        <v>-1</v>
      </c>
    </row>
    <row r="344" spans="1:33" x14ac:dyDescent="0.25">
      <c r="A344" s="35">
        <v>39</v>
      </c>
      <c r="B344" s="35">
        <v>13</v>
      </c>
      <c r="C344" s="35">
        <f>Inputs!$D$8-A344-Inputs!$D$22*B344</f>
        <v>55</v>
      </c>
      <c r="D344" s="35">
        <f>A344*Inputs!$D$20+C344*Inputs!$D$21+B344*Inputs!$D$22</f>
        <v>120</v>
      </c>
      <c r="E344" s="36">
        <f>MIN(Inputs!$E$15,Inputs!$D$15*(C344/Inputs!$D$43)^Inputs!$D$44)</f>
        <v>0.4</v>
      </c>
      <c r="F344" s="36">
        <f>MIN(Inputs!$E$16,Inputs!$D$16*(B344/Inputs!$D$42)^Inputs!$D$44)</f>
        <v>0.35150701637190523</v>
      </c>
      <c r="G344" s="37">
        <f>Inputs!$D$26*(1+Inputs!$D$41*(B344-Inputs!$D$42))</f>
        <v>1.395</v>
      </c>
      <c r="H344" s="35">
        <f>Inputs!$D$6*Inputs!$D$14*G344*Inputs!$D$29</f>
        <v>1752.7198500000002</v>
      </c>
      <c r="I344" s="36">
        <f>H344/(A344*Inputs!$D$32)</f>
        <v>0.81711881118881124</v>
      </c>
      <c r="J344" s="38">
        <f>IF(I344&gt;=1,999,I344/(Inputs!$D$32*(1-I344))*60)</f>
        <v>4.8742155782845984</v>
      </c>
      <c r="K344" s="37">
        <f>MIN(1,MAX(0,(J344-Inputs!$D$36)/(Inputs!$D$37-Inputs!$D$36)))</f>
        <v>0</v>
      </c>
      <c r="L344" s="35">
        <f>Inputs!$D$6*Inputs!$D$14*G344*(1-Inputs!$D$38*K344)</f>
        <v>11684.799000000001</v>
      </c>
      <c r="M344" s="39">
        <f>L344*Inputs!$D$11</f>
        <v>251223.17850000001</v>
      </c>
      <c r="N344" s="39">
        <f>M344*(1-Inputs!$D$17)</f>
        <v>87928.112475000002</v>
      </c>
      <c r="O344" s="35">
        <f>Inputs!$D$6*E344*Inputs!$D$27*Inputs!$D$30</f>
        <v>570.66240000000005</v>
      </c>
      <c r="P344" s="36">
        <f>O344/(C344*Inputs!$D$33)</f>
        <v>0.25939200000000001</v>
      </c>
      <c r="Q344" s="38">
        <f>IF(P344&gt;=1,999,P344/(Inputs!$D$33*(1-P344))*60)</f>
        <v>0.52536294503975123</v>
      </c>
      <c r="R344" s="37">
        <f>MIN(1,MAX(0,(Q344-Inputs!$D$36)/(Inputs!$D$37-Inputs!$D$36)))</f>
        <v>0</v>
      </c>
      <c r="S344" s="35">
        <f>Inputs!$D$6*E344*Inputs!$D$27*(1-Inputs!$D$38*R344)</f>
        <v>4755.5200000000004</v>
      </c>
      <c r="T344" s="39">
        <f>S344*Inputs!$D$12</f>
        <v>76088.320000000007</v>
      </c>
      <c r="U344" s="39">
        <f>T344*(1-Inputs!$D$18)</f>
        <v>34239.743999999999</v>
      </c>
      <c r="V344" s="35">
        <f>Inputs!$D$6*F344*Inputs!$D$28*Inputs!$D$31</f>
        <v>592.65770193981814</v>
      </c>
      <c r="W344" s="36">
        <f>V344/(B344*Inputs!$D$34)</f>
        <v>1.3025443998677322</v>
      </c>
      <c r="X344" s="38">
        <f>IF(W344&gt;=1,999,W344/(Inputs!$D$34*(1-W344))*60)</f>
        <v>999</v>
      </c>
      <c r="Y344" s="37">
        <f>MIN(1,MAX(0,(X344-Inputs!$D$36)/(Inputs!$D$37-Inputs!$D$36)))</f>
        <v>1</v>
      </c>
      <c r="Z344" s="35">
        <f>Inputs!$D$6*F344*Inputs!$D$28*(1-Inputs!$D$38*Y344)</f>
        <v>2507.3979697453847</v>
      </c>
      <c r="AA344" s="39">
        <f>Z344*Inputs!$D$13</f>
        <v>21312.882742835769</v>
      </c>
      <c r="AB344" s="39">
        <f>AA344*(1-Inputs!$D$19)</f>
        <v>12787.729645701462</v>
      </c>
      <c r="AC344" s="39">
        <f t="shared" si="20"/>
        <v>348624.38124283578</v>
      </c>
      <c r="AD344" s="39">
        <f t="shared" si="21"/>
        <v>134955.58612070148</v>
      </c>
      <c r="AE344" s="36">
        <f t="shared" si="22"/>
        <v>1.3025443998677322</v>
      </c>
      <c r="AF344" s="35">
        <f>IF(AND(AE344&lt;=Inputs!$D$35,C344&gt;=Inputs!$D$48*(A344+B344+C344),B344*Inputs!$D$22&lt;=Inputs!$D$50*Inputs!$D$8,B344*Inputs!$D$22&gt;=Inputs!$D$49*Inputs!$D$8,A344*Inputs!$D$20&lt;=Inputs!$D$47*Inputs!$D$8,C344&gt;=1),1,0)</f>
        <v>0</v>
      </c>
      <c r="AG344" s="39">
        <f t="shared" si="23"/>
        <v>-1</v>
      </c>
    </row>
    <row r="345" spans="1:33" x14ac:dyDescent="0.25">
      <c r="A345" s="35">
        <v>39</v>
      </c>
      <c r="B345" s="35">
        <v>14</v>
      </c>
      <c r="C345" s="35">
        <f>Inputs!$D$8-A345-Inputs!$D$22*B345</f>
        <v>53</v>
      </c>
      <c r="D345" s="35">
        <f>A345*Inputs!$D$20+C345*Inputs!$D$21+B345*Inputs!$D$22</f>
        <v>120</v>
      </c>
      <c r="E345" s="36">
        <f>MIN(Inputs!$E$15,Inputs!$D$15*(C345/Inputs!$D$43)^Inputs!$D$44)</f>
        <v>0.4</v>
      </c>
      <c r="F345" s="36">
        <f>MIN(Inputs!$E$16,Inputs!$D$16*(B345/Inputs!$D$42)^Inputs!$D$44)</f>
        <v>0.35940937671625589</v>
      </c>
      <c r="G345" s="37">
        <f>Inputs!$D$26*(1+Inputs!$D$41*(B345-Inputs!$D$42))</f>
        <v>1.41</v>
      </c>
      <c r="H345" s="35">
        <f>Inputs!$D$6*Inputs!$D$14*G345*Inputs!$D$29</f>
        <v>1771.5663000000002</v>
      </c>
      <c r="I345" s="36">
        <f>H345/(A345*Inputs!$D$32)</f>
        <v>0.82590503496503509</v>
      </c>
      <c r="J345" s="38">
        <f>IF(I345&gt;=1,999,I345/(Inputs!$D$32*(1-I345))*60)</f>
        <v>5.1752634585956852</v>
      </c>
      <c r="K345" s="37">
        <f>MIN(1,MAX(0,(J345-Inputs!$D$36)/(Inputs!$D$37-Inputs!$D$36)))</f>
        <v>1.1684230573045677E-2</v>
      </c>
      <c r="L345" s="35">
        <f>Inputs!$D$6*Inputs!$D$14*G345*(1-Inputs!$D$38*K345)</f>
        <v>11748.343832626088</v>
      </c>
      <c r="M345" s="39">
        <f>L345*Inputs!$D$11</f>
        <v>252589.39240146088</v>
      </c>
      <c r="N345" s="39">
        <f>M345*(1-Inputs!$D$17)</f>
        <v>88406.287340511306</v>
      </c>
      <c r="O345" s="35">
        <f>Inputs!$D$6*E345*Inputs!$D$27*Inputs!$D$30</f>
        <v>570.66240000000005</v>
      </c>
      <c r="P345" s="36">
        <f>O345/(C345*Inputs!$D$33)</f>
        <v>0.2691803773584906</v>
      </c>
      <c r="Q345" s="38">
        <f>IF(P345&gt;=1,999,P345/(Inputs!$D$33*(1-P345))*60)</f>
        <v>0.5524900447778458</v>
      </c>
      <c r="R345" s="37">
        <f>MIN(1,MAX(0,(Q345-Inputs!$D$36)/(Inputs!$D$37-Inputs!$D$36)))</f>
        <v>0</v>
      </c>
      <c r="S345" s="35">
        <f>Inputs!$D$6*E345*Inputs!$D$27*(1-Inputs!$D$38*R345)</f>
        <v>4755.5200000000004</v>
      </c>
      <c r="T345" s="39">
        <f>S345*Inputs!$D$12</f>
        <v>76088.320000000007</v>
      </c>
      <c r="U345" s="39">
        <f>T345*(1-Inputs!$D$18)</f>
        <v>34239.743999999999</v>
      </c>
      <c r="V345" s="35">
        <f>Inputs!$D$6*F345*Inputs!$D$28*Inputs!$D$31</f>
        <v>605.98146079368973</v>
      </c>
      <c r="W345" s="36">
        <f>V345/(B345*Inputs!$D$34)</f>
        <v>1.2366968587626321</v>
      </c>
      <c r="X345" s="38">
        <f>IF(W345&gt;=1,999,W345/(Inputs!$D$34*(1-W345))*60)</f>
        <v>999</v>
      </c>
      <c r="Y345" s="37">
        <f>MIN(1,MAX(0,(X345-Inputs!$D$36)/(Inputs!$D$37-Inputs!$D$36)))</f>
        <v>1</v>
      </c>
      <c r="Z345" s="35">
        <f>Inputs!$D$6*F345*Inputs!$D$28*(1-Inputs!$D$38*Y345)</f>
        <v>2563.7677187425338</v>
      </c>
      <c r="AA345" s="39">
        <f>Z345*Inputs!$D$13</f>
        <v>21792.025609311539</v>
      </c>
      <c r="AB345" s="39">
        <f>AA345*(1-Inputs!$D$19)</f>
        <v>13075.215365586922</v>
      </c>
      <c r="AC345" s="39">
        <f t="shared" si="20"/>
        <v>350469.73801077239</v>
      </c>
      <c r="AD345" s="39">
        <f t="shared" si="21"/>
        <v>135721.24670609823</v>
      </c>
      <c r="AE345" s="36">
        <f t="shared" si="22"/>
        <v>1.2366968587626321</v>
      </c>
      <c r="AF345" s="35">
        <f>IF(AND(AE345&lt;=Inputs!$D$35,C345&gt;=Inputs!$D$48*(A345+B345+C345),B345*Inputs!$D$22&lt;=Inputs!$D$50*Inputs!$D$8,B345*Inputs!$D$22&gt;=Inputs!$D$49*Inputs!$D$8,A345*Inputs!$D$20&lt;=Inputs!$D$47*Inputs!$D$8,C345&gt;=1),1,0)</f>
        <v>0</v>
      </c>
      <c r="AG345" s="39">
        <f t="shared" si="23"/>
        <v>-1</v>
      </c>
    </row>
    <row r="346" spans="1:33" x14ac:dyDescent="0.25">
      <c r="A346" s="35">
        <v>39</v>
      </c>
      <c r="B346" s="35">
        <v>15</v>
      </c>
      <c r="C346" s="35">
        <f>Inputs!$D$8-A346-Inputs!$D$22*B346</f>
        <v>51</v>
      </c>
      <c r="D346" s="35">
        <f>A346*Inputs!$D$20+C346*Inputs!$D$21+B346*Inputs!$D$22</f>
        <v>120</v>
      </c>
      <c r="E346" s="36">
        <f>MIN(Inputs!$E$15,Inputs!$D$15*(C346/Inputs!$D$43)^Inputs!$D$44)</f>
        <v>0.4</v>
      </c>
      <c r="F346" s="36">
        <f>MIN(Inputs!$E$16,Inputs!$D$16*(B346/Inputs!$D$42)^Inputs!$D$44)</f>
        <v>0.36692590185696072</v>
      </c>
      <c r="G346" s="37">
        <f>Inputs!$D$26*(1+Inputs!$D$41*(B346-Inputs!$D$42))</f>
        <v>1.4249999999999998</v>
      </c>
      <c r="H346" s="35">
        <f>Inputs!$D$6*Inputs!$D$14*G346*Inputs!$D$29</f>
        <v>1790.4127499999997</v>
      </c>
      <c r="I346" s="36">
        <f>H346/(A346*Inputs!$D$32)</f>
        <v>0.8346912587412586</v>
      </c>
      <c r="J346" s="38">
        <f>IF(I346&gt;=1,999,I346/(Inputs!$D$32*(1-I346))*60)</f>
        <v>5.5083129623373193</v>
      </c>
      <c r="K346" s="37">
        <f>MIN(1,MAX(0,(J346-Inputs!$D$36)/(Inputs!$D$37-Inputs!$D$36)))</f>
        <v>3.3887530822487952E-2</v>
      </c>
      <c r="L346" s="35">
        <f>Inputs!$D$6*Inputs!$D$14*G346*(1-Inputs!$D$38*K346)</f>
        <v>11754.066998248198</v>
      </c>
      <c r="M346" s="39">
        <f>L346*Inputs!$D$11</f>
        <v>252712.44046233626</v>
      </c>
      <c r="N346" s="39">
        <f>M346*(1-Inputs!$D$17)</f>
        <v>88449.354161817682</v>
      </c>
      <c r="O346" s="35">
        <f>Inputs!$D$6*E346*Inputs!$D$27*Inputs!$D$30</f>
        <v>570.66240000000005</v>
      </c>
      <c r="P346" s="36">
        <f>O346/(C346*Inputs!$D$33)</f>
        <v>0.27973647058823531</v>
      </c>
      <c r="Q346" s="38">
        <f>IF(P346&gt;=1,999,P346/(Inputs!$D$33*(1-P346))*60)</f>
        <v>0.5825710850930379</v>
      </c>
      <c r="R346" s="37">
        <f>MIN(1,MAX(0,(Q346-Inputs!$D$36)/(Inputs!$D$37-Inputs!$D$36)))</f>
        <v>0</v>
      </c>
      <c r="S346" s="35">
        <f>Inputs!$D$6*E346*Inputs!$D$27*(1-Inputs!$D$38*R346)</f>
        <v>4755.5200000000004</v>
      </c>
      <c r="T346" s="39">
        <f>S346*Inputs!$D$12</f>
        <v>76088.320000000007</v>
      </c>
      <c r="U346" s="39">
        <f>T346*(1-Inputs!$D$18)</f>
        <v>34239.743999999999</v>
      </c>
      <c r="V346" s="35">
        <f>Inputs!$D$6*F346*Inputs!$D$28*Inputs!$D$31</f>
        <v>618.65468297412497</v>
      </c>
      <c r="W346" s="36">
        <f>V346/(B346*Inputs!$D$34)</f>
        <v>1.1783898723316666</v>
      </c>
      <c r="X346" s="38">
        <f>IF(W346&gt;=1,999,W346/(Inputs!$D$34*(1-W346))*60)</f>
        <v>999</v>
      </c>
      <c r="Y346" s="37">
        <f>MIN(1,MAX(0,(X346-Inputs!$D$36)/(Inputs!$D$37-Inputs!$D$36)))</f>
        <v>1</v>
      </c>
      <c r="Z346" s="35">
        <f>Inputs!$D$6*F346*Inputs!$D$28*(1-Inputs!$D$38*Y346)</f>
        <v>2617.3851971982212</v>
      </c>
      <c r="AA346" s="39">
        <f>Z346*Inputs!$D$13</f>
        <v>22247.774176184881</v>
      </c>
      <c r="AB346" s="39">
        <f>AA346*(1-Inputs!$D$19)</f>
        <v>13348.664505710929</v>
      </c>
      <c r="AC346" s="39">
        <f t="shared" si="20"/>
        <v>351048.53463852115</v>
      </c>
      <c r="AD346" s="39">
        <f t="shared" si="21"/>
        <v>136037.76266752862</v>
      </c>
      <c r="AE346" s="36">
        <f t="shared" si="22"/>
        <v>1.1783898723316666</v>
      </c>
      <c r="AF346" s="35">
        <f>IF(AND(AE346&lt;=Inputs!$D$35,C346&gt;=Inputs!$D$48*(A346+B346+C346),B346*Inputs!$D$22&lt;=Inputs!$D$50*Inputs!$D$8,B346*Inputs!$D$22&gt;=Inputs!$D$49*Inputs!$D$8,A346*Inputs!$D$20&lt;=Inputs!$D$47*Inputs!$D$8,C346&gt;=1),1,0)</f>
        <v>0</v>
      </c>
      <c r="AG346" s="39">
        <f t="shared" si="23"/>
        <v>-1</v>
      </c>
    </row>
    <row r="347" spans="1:33" x14ac:dyDescent="0.25">
      <c r="A347" s="35">
        <v>39</v>
      </c>
      <c r="B347" s="35">
        <v>16</v>
      </c>
      <c r="C347" s="35">
        <f>Inputs!$D$8-A347-Inputs!$D$22*B347</f>
        <v>49</v>
      </c>
      <c r="D347" s="35">
        <f>A347*Inputs!$D$20+C347*Inputs!$D$21+B347*Inputs!$D$22</f>
        <v>120</v>
      </c>
      <c r="E347" s="36">
        <f>MIN(Inputs!$E$15,Inputs!$D$15*(C347/Inputs!$D$43)^Inputs!$D$44)</f>
        <v>0.39770420454194916</v>
      </c>
      <c r="F347" s="36">
        <f>MIN(Inputs!$E$16,Inputs!$D$16*(B347/Inputs!$D$42)^Inputs!$D$44)</f>
        <v>0.37409937912904856</v>
      </c>
      <c r="G347" s="37">
        <f>Inputs!$D$26*(1+Inputs!$D$41*(B347-Inputs!$D$42))</f>
        <v>1.44</v>
      </c>
      <c r="H347" s="35">
        <f>Inputs!$D$6*Inputs!$D$14*G347*Inputs!$D$29</f>
        <v>1809.2592000000002</v>
      </c>
      <c r="I347" s="36">
        <f>H347/(A347*Inputs!$D$32)</f>
        <v>0.84347748251748256</v>
      </c>
      <c r="J347" s="38">
        <f>IF(I347&gt;=1,999,I347/(Inputs!$D$32*(1-I347))*60)</f>
        <v>5.878753220016482</v>
      </c>
      <c r="K347" s="37">
        <f>MIN(1,MAX(0,(J347-Inputs!$D$36)/(Inputs!$D$37-Inputs!$D$36)))</f>
        <v>5.8583548001098801E-2</v>
      </c>
      <c r="L347" s="35">
        <f>Inputs!$D$6*Inputs!$D$14*G347*(1-Inputs!$D$38*K347)</f>
        <v>11743.749530431112</v>
      </c>
      <c r="M347" s="39">
        <f>L347*Inputs!$D$11</f>
        <v>252490.61490426891</v>
      </c>
      <c r="N347" s="39">
        <f>M347*(1-Inputs!$D$17)</f>
        <v>88371.715216494107</v>
      </c>
      <c r="O347" s="35">
        <f>Inputs!$D$6*E347*Inputs!$D$27*Inputs!$D$30</f>
        <v>567.38708963499903</v>
      </c>
      <c r="P347" s="36">
        <f>O347/(C347*Inputs!$D$33)</f>
        <v>0.2894832089974485</v>
      </c>
      <c r="Q347" s="38">
        <f>IF(P347&gt;=1,999,P347/(Inputs!$D$33*(1-P347))*60)</f>
        <v>0.61113941147467321</v>
      </c>
      <c r="R347" s="37">
        <f>MIN(1,MAX(0,(Q347-Inputs!$D$36)/(Inputs!$D$37-Inputs!$D$36)))</f>
        <v>0</v>
      </c>
      <c r="S347" s="35">
        <f>Inputs!$D$6*E347*Inputs!$D$27*(1-Inputs!$D$38*R347)</f>
        <v>4728.2257469583255</v>
      </c>
      <c r="T347" s="39">
        <f>S347*Inputs!$D$12</f>
        <v>75651.611951333209</v>
      </c>
      <c r="U347" s="39">
        <f>T347*(1-Inputs!$D$18)</f>
        <v>34043.225378099938</v>
      </c>
      <c r="V347" s="35">
        <f>Inputs!$D$6*F347*Inputs!$D$28*Inputs!$D$31</f>
        <v>630.74950998177405</v>
      </c>
      <c r="W347" s="36">
        <f>V347/(B347*Inputs!$D$34)</f>
        <v>1.1263384106817393</v>
      </c>
      <c r="X347" s="38">
        <f>IF(W347&gt;=1,999,W347/(Inputs!$D$34*(1-W347))*60)</f>
        <v>999</v>
      </c>
      <c r="Y347" s="37">
        <f>MIN(1,MAX(0,(X347-Inputs!$D$36)/(Inputs!$D$37-Inputs!$D$36)))</f>
        <v>1</v>
      </c>
      <c r="Z347" s="35">
        <f>Inputs!$D$6*F347*Inputs!$D$28*(1-Inputs!$D$38*Y347)</f>
        <v>2668.5556191536598</v>
      </c>
      <c r="AA347" s="39">
        <f>Z347*Inputs!$D$13</f>
        <v>22682.722762806108</v>
      </c>
      <c r="AB347" s="39">
        <f>AA347*(1-Inputs!$D$19)</f>
        <v>13609.633657683664</v>
      </c>
      <c r="AC347" s="39">
        <f t="shared" si="20"/>
        <v>350824.94961840822</v>
      </c>
      <c r="AD347" s="39">
        <f t="shared" si="21"/>
        <v>136024.57425227773</v>
      </c>
      <c r="AE347" s="36">
        <f t="shared" si="22"/>
        <v>1.1263384106817393</v>
      </c>
      <c r="AF347" s="35">
        <f>IF(AND(AE347&lt;=Inputs!$D$35,C347&gt;=Inputs!$D$48*(A347+B347+C347),B347*Inputs!$D$22&lt;=Inputs!$D$50*Inputs!$D$8,B347*Inputs!$D$22&gt;=Inputs!$D$49*Inputs!$D$8,A347*Inputs!$D$20&lt;=Inputs!$D$47*Inputs!$D$8,C347&gt;=1),1,0)</f>
        <v>0</v>
      </c>
      <c r="AG347" s="39">
        <f t="shared" si="23"/>
        <v>-1</v>
      </c>
    </row>
    <row r="348" spans="1:33" x14ac:dyDescent="0.25">
      <c r="A348" s="35">
        <v>39</v>
      </c>
      <c r="B348" s="35">
        <v>17</v>
      </c>
      <c r="C348" s="35">
        <f>Inputs!$D$8-A348-Inputs!$D$22*B348</f>
        <v>47</v>
      </c>
      <c r="D348" s="35">
        <f>A348*Inputs!$D$20+C348*Inputs!$D$21+B348*Inputs!$D$22</f>
        <v>120</v>
      </c>
      <c r="E348" s="36">
        <f>MIN(Inputs!$E$15,Inputs!$D$15*(C348/Inputs!$D$43)^Inputs!$D$44)</f>
        <v>0.39276313309091065</v>
      </c>
      <c r="F348" s="36">
        <f>MIN(Inputs!$E$16,Inputs!$D$16*(B348/Inputs!$D$42)^Inputs!$D$44)</f>
        <v>0.3809655184437048</v>
      </c>
      <c r="G348" s="37">
        <f>Inputs!$D$26*(1+Inputs!$D$41*(B348-Inputs!$D$42))</f>
        <v>1.4550000000000001</v>
      </c>
      <c r="H348" s="35">
        <f>Inputs!$D$6*Inputs!$D$14*G348*Inputs!$D$29</f>
        <v>1828.1056500000002</v>
      </c>
      <c r="I348" s="36">
        <f>H348/(A348*Inputs!$D$32)</f>
        <v>0.8522637062937064</v>
      </c>
      <c r="J348" s="38">
        <f>IF(I348&gt;=1,999,I348/(Inputs!$D$32*(1-I348))*60)</f>
        <v>6.2932553790475421</v>
      </c>
      <c r="K348" s="37">
        <f>MIN(1,MAX(0,(J348-Inputs!$D$36)/(Inputs!$D$37-Inputs!$D$36)))</f>
        <v>8.6217025269836142E-2</v>
      </c>
      <c r="L348" s="35">
        <f>Inputs!$D$6*Inputs!$D$14*G348*(1-Inputs!$D$38*K348)</f>
        <v>11714.529506934061</v>
      </c>
      <c r="M348" s="39">
        <f>L348*Inputs!$D$11</f>
        <v>251862.38439908231</v>
      </c>
      <c r="N348" s="39">
        <f>M348*(1-Inputs!$D$17)</f>
        <v>88151.834539678806</v>
      </c>
      <c r="O348" s="35">
        <f>Inputs!$D$6*E348*Inputs!$D$27*Inputs!$D$30</f>
        <v>560.33788040294633</v>
      </c>
      <c r="P348" s="36">
        <f>O348/(C348*Inputs!$D$33)</f>
        <v>0.29805206404412038</v>
      </c>
      <c r="Q348" s="38">
        <f>IF(P348&gt;=1,999,P348/(Inputs!$D$33*(1-P348))*60)</f>
        <v>0.63691062138016075</v>
      </c>
      <c r="R348" s="37">
        <f>MIN(1,MAX(0,(Q348-Inputs!$D$36)/(Inputs!$D$37-Inputs!$D$36)))</f>
        <v>0</v>
      </c>
      <c r="S348" s="35">
        <f>Inputs!$D$6*E348*Inputs!$D$27*(1-Inputs!$D$38*R348)</f>
        <v>4669.4823366912196</v>
      </c>
      <c r="T348" s="39">
        <f>S348*Inputs!$D$12</f>
        <v>74711.717387059514</v>
      </c>
      <c r="U348" s="39">
        <f>T348*(1-Inputs!$D$18)</f>
        <v>33620.272824176776</v>
      </c>
      <c r="V348" s="35">
        <f>Inputs!$D$6*F348*Inputs!$D$28*Inputs!$D$31</f>
        <v>642.32615044097156</v>
      </c>
      <c r="W348" s="36">
        <f>V348/(B348*Inputs!$D$34)</f>
        <v>1.0795397486402882</v>
      </c>
      <c r="X348" s="38">
        <f>IF(W348&gt;=1,999,W348/(Inputs!$D$34*(1-W348))*60)</f>
        <v>999</v>
      </c>
      <c r="Y348" s="37">
        <f>MIN(1,MAX(0,(X348-Inputs!$D$36)/(Inputs!$D$37-Inputs!$D$36)))</f>
        <v>1</v>
      </c>
      <c r="Z348" s="35">
        <f>Inputs!$D$6*F348*Inputs!$D$28*(1-Inputs!$D$38*Y348)</f>
        <v>2717.5337134041106</v>
      </c>
      <c r="AA348" s="39">
        <f>Z348*Inputs!$D$13</f>
        <v>23099.03656393494</v>
      </c>
      <c r="AB348" s="39">
        <f>AA348*(1-Inputs!$D$19)</f>
        <v>13859.421938360963</v>
      </c>
      <c r="AC348" s="39">
        <f t="shared" si="20"/>
        <v>349673.13835007674</v>
      </c>
      <c r="AD348" s="39">
        <f t="shared" si="21"/>
        <v>135631.52930221654</v>
      </c>
      <c r="AE348" s="36">
        <f t="shared" si="22"/>
        <v>1.0795397486402882</v>
      </c>
      <c r="AF348" s="35">
        <f>IF(AND(AE348&lt;=Inputs!$D$35,C348&gt;=Inputs!$D$48*(A348+B348+C348),B348*Inputs!$D$22&lt;=Inputs!$D$50*Inputs!$D$8,B348*Inputs!$D$22&gt;=Inputs!$D$49*Inputs!$D$8,A348*Inputs!$D$20&lt;=Inputs!$D$47*Inputs!$D$8,C348&gt;=1),1,0)</f>
        <v>0</v>
      </c>
      <c r="AG348" s="39">
        <f t="shared" si="23"/>
        <v>-1</v>
      </c>
    </row>
    <row r="349" spans="1:33" x14ac:dyDescent="0.25">
      <c r="A349" s="35">
        <v>39</v>
      </c>
      <c r="B349" s="35">
        <v>18</v>
      </c>
      <c r="C349" s="35">
        <f>Inputs!$D$8-A349-Inputs!$D$22*B349</f>
        <v>45</v>
      </c>
      <c r="D349" s="35">
        <f>A349*Inputs!$D$20+C349*Inputs!$D$21+B349*Inputs!$D$22</f>
        <v>120</v>
      </c>
      <c r="E349" s="36">
        <f>MIN(Inputs!$E$15,Inputs!$D$15*(C349/Inputs!$D$43)^Inputs!$D$44)</f>
        <v>0.38767260497069417</v>
      </c>
      <c r="F349" s="36">
        <f>MIN(Inputs!$E$16,Inputs!$D$16*(B349/Inputs!$D$42)^Inputs!$D$44)</f>
        <v>0.38755446447890535</v>
      </c>
      <c r="G349" s="37">
        <f>Inputs!$D$26*(1+Inputs!$D$41*(B349-Inputs!$D$42))</f>
        <v>1.47</v>
      </c>
      <c r="H349" s="35">
        <f>Inputs!$D$6*Inputs!$D$14*G349*Inputs!$D$29</f>
        <v>1846.9521</v>
      </c>
      <c r="I349" s="36">
        <f>H349/(A349*Inputs!$D$32)</f>
        <v>0.86104993006993003</v>
      </c>
      <c r="J349" s="38">
        <f>IF(I349&gt;=1,999,I349/(Inputs!$D$32*(1-I349))*60)</f>
        <v>6.7601779323512616</v>
      </c>
      <c r="K349" s="37">
        <f>MIN(1,MAX(0,(J349-Inputs!$D$36)/(Inputs!$D$37-Inputs!$D$36)))</f>
        <v>0.11734519549008411</v>
      </c>
      <c r="L349" s="35">
        <f>Inputs!$D$6*Inputs!$D$14*G349*(1-Inputs!$D$38*K349)</f>
        <v>11662.821134294036</v>
      </c>
      <c r="M349" s="39">
        <f>L349*Inputs!$D$11</f>
        <v>250750.65438732176</v>
      </c>
      <c r="N349" s="39">
        <f>M349*(1-Inputs!$D$17)</f>
        <v>87762.729035562617</v>
      </c>
      <c r="O349" s="35">
        <f>Inputs!$D$6*E349*Inputs!$D$27*Inputs!$D$30</f>
        <v>553.07544791707073</v>
      </c>
      <c r="P349" s="36">
        <f>O349/(C349*Inputs!$D$33)</f>
        <v>0.30726413773170597</v>
      </c>
      <c r="Q349" s="38">
        <f>IF(P349&gt;=1,999,P349/(Inputs!$D$33*(1-P349))*60)</f>
        <v>0.66532748151423926</v>
      </c>
      <c r="R349" s="37">
        <f>MIN(1,MAX(0,(Q349-Inputs!$D$36)/(Inputs!$D$37-Inputs!$D$36)))</f>
        <v>0</v>
      </c>
      <c r="S349" s="35">
        <f>Inputs!$D$6*E349*Inputs!$D$27*(1-Inputs!$D$38*R349)</f>
        <v>4608.9620659755892</v>
      </c>
      <c r="T349" s="39">
        <f>S349*Inputs!$D$12</f>
        <v>73743.393055609427</v>
      </c>
      <c r="U349" s="39">
        <f>T349*(1-Inputs!$D$18)</f>
        <v>33184.526875024239</v>
      </c>
      <c r="V349" s="35">
        <f>Inputs!$D$6*F349*Inputs!$D$28*Inputs!$D$31</f>
        <v>653.43542972572936</v>
      </c>
      <c r="W349" s="36">
        <f>V349/(B349*Inputs!$D$34)</f>
        <v>1.037199094802745</v>
      </c>
      <c r="X349" s="38">
        <f>IF(W349&gt;=1,999,W349/(Inputs!$D$34*(1-W349))*60)</f>
        <v>999</v>
      </c>
      <c r="Y349" s="37">
        <f>MIN(1,MAX(0,(X349-Inputs!$D$36)/(Inputs!$D$37-Inputs!$D$36)))</f>
        <v>1</v>
      </c>
      <c r="Z349" s="35">
        <f>Inputs!$D$6*F349*Inputs!$D$28*(1-Inputs!$D$38*Y349)</f>
        <v>2764.534510378086</v>
      </c>
      <c r="AA349" s="39">
        <f>Z349*Inputs!$D$13</f>
        <v>23498.543338213731</v>
      </c>
      <c r="AB349" s="39">
        <f>AA349*(1-Inputs!$D$19)</f>
        <v>14099.126002928238</v>
      </c>
      <c r="AC349" s="39">
        <f t="shared" si="20"/>
        <v>347992.59078114497</v>
      </c>
      <c r="AD349" s="39">
        <f t="shared" si="21"/>
        <v>135046.3819135151</v>
      </c>
      <c r="AE349" s="36">
        <f t="shared" si="22"/>
        <v>1.037199094802745</v>
      </c>
      <c r="AF349" s="35">
        <f>IF(AND(AE349&lt;=Inputs!$D$35,C349&gt;=Inputs!$D$48*(A349+B349+C349),B349*Inputs!$D$22&lt;=Inputs!$D$50*Inputs!$D$8,B349*Inputs!$D$22&gt;=Inputs!$D$49*Inputs!$D$8,A349*Inputs!$D$20&lt;=Inputs!$D$47*Inputs!$D$8,C349&gt;=1),1,0)</f>
        <v>0</v>
      </c>
      <c r="AG349" s="39">
        <f t="shared" si="23"/>
        <v>-1</v>
      </c>
    </row>
    <row r="350" spans="1:33" x14ac:dyDescent="0.25">
      <c r="A350" s="35">
        <v>39</v>
      </c>
      <c r="B350" s="35">
        <v>19</v>
      </c>
      <c r="C350" s="35">
        <f>Inputs!$D$8-A350-Inputs!$D$22*B350</f>
        <v>43</v>
      </c>
      <c r="D350" s="35">
        <f>A350*Inputs!$D$20+C350*Inputs!$D$21+B350*Inputs!$D$22</f>
        <v>120</v>
      </c>
      <c r="E350" s="36">
        <f>MIN(Inputs!$E$15,Inputs!$D$15*(C350/Inputs!$D$43)^Inputs!$D$44)</f>
        <v>0.38242114286867052</v>
      </c>
      <c r="F350" s="36">
        <f>MIN(Inputs!$E$16,Inputs!$D$16*(B350/Inputs!$D$42)^Inputs!$D$44)</f>
        <v>0.39389192072703005</v>
      </c>
      <c r="G350" s="37">
        <f>Inputs!$D$26*(1+Inputs!$D$41*(B350-Inputs!$D$42))</f>
        <v>1.4849999999999999</v>
      </c>
      <c r="H350" s="35">
        <f>Inputs!$D$6*Inputs!$D$14*G350*Inputs!$D$29</f>
        <v>1865.7985499999998</v>
      </c>
      <c r="I350" s="36">
        <f>H350/(A350*Inputs!$D$32)</f>
        <v>0.86983615384615376</v>
      </c>
      <c r="J350" s="38">
        <f>IF(I350&gt;=1,999,I350/(Inputs!$D$32*(1-I350))*60)</f>
        <v>7.2901362081034984</v>
      </c>
      <c r="K350" s="37">
        <f>MIN(1,MAX(0,(J350-Inputs!$D$36)/(Inputs!$D$37-Inputs!$D$36)))</f>
        <v>0.15267574720689989</v>
      </c>
      <c r="L350" s="35">
        <f>Inputs!$D$6*Inputs!$D$14*G350*(1-Inputs!$D$38*K350)</f>
        <v>11584.070436723598</v>
      </c>
      <c r="M350" s="39">
        <f>L350*Inputs!$D$11</f>
        <v>249057.51438955736</v>
      </c>
      <c r="N350" s="39">
        <f>M350*(1-Inputs!$D$17)</f>
        <v>87170.130036345072</v>
      </c>
      <c r="O350" s="35">
        <f>Inputs!$D$6*E350*Inputs!$D$27*Inputs!$D$30</f>
        <v>545.58341800044604</v>
      </c>
      <c r="P350" s="36">
        <f>O350/(C350*Inputs!$D$33)</f>
        <v>0.31719966162816632</v>
      </c>
      <c r="Q350" s="38">
        <f>IF(P350&gt;=1,999,P350/(Inputs!$D$33*(1-P350))*60)</f>
        <v>0.69683546668534679</v>
      </c>
      <c r="R350" s="37">
        <f>MIN(1,MAX(0,(Q350-Inputs!$D$36)/(Inputs!$D$37-Inputs!$D$36)))</f>
        <v>0</v>
      </c>
      <c r="S350" s="35">
        <f>Inputs!$D$6*E350*Inputs!$D$27*(1-Inputs!$D$38*R350)</f>
        <v>4546.5284833370506</v>
      </c>
      <c r="T350" s="39">
        <f>S350*Inputs!$D$12</f>
        <v>72744.45573339281</v>
      </c>
      <c r="U350" s="39">
        <f>T350*(1-Inputs!$D$18)</f>
        <v>32735.00508002676</v>
      </c>
      <c r="V350" s="35">
        <f>Inputs!$D$6*F350*Inputs!$D$28*Inputs!$D$31</f>
        <v>664.12068515796761</v>
      </c>
      <c r="W350" s="36">
        <f>V350/(B350*Inputs!$D$34)</f>
        <v>0.99867772204205651</v>
      </c>
      <c r="X350" s="38">
        <f>IF(W350&gt;=1,999,W350/(Inputs!$D$34*(1-W350))*60)</f>
        <v>1294.749671797274</v>
      </c>
      <c r="Y350" s="37">
        <f>MIN(1,MAX(0,(X350-Inputs!$D$36)/(Inputs!$D$37-Inputs!$D$36)))</f>
        <v>1</v>
      </c>
      <c r="Z350" s="35">
        <f>Inputs!$D$6*F350*Inputs!$D$28*(1-Inputs!$D$38*Y350)</f>
        <v>2809.7413602837091</v>
      </c>
      <c r="AA350" s="39">
        <f>Z350*Inputs!$D$13</f>
        <v>23882.801562411529</v>
      </c>
      <c r="AB350" s="39">
        <f>AA350*(1-Inputs!$D$19)</f>
        <v>14329.680937446918</v>
      </c>
      <c r="AC350" s="39">
        <f t="shared" si="20"/>
        <v>345684.77168536169</v>
      </c>
      <c r="AD350" s="39">
        <f t="shared" si="21"/>
        <v>134234.81605381877</v>
      </c>
      <c r="AE350" s="36">
        <f t="shared" si="22"/>
        <v>0.99867772204205651</v>
      </c>
      <c r="AF350" s="35">
        <f>IF(AND(AE350&lt;=Inputs!$D$35,C350&gt;=Inputs!$D$48*(A350+B350+C350),B350*Inputs!$D$22&lt;=Inputs!$D$50*Inputs!$D$8,B350*Inputs!$D$22&gt;=Inputs!$D$49*Inputs!$D$8,A350*Inputs!$D$20&lt;=Inputs!$D$47*Inputs!$D$8,C350&gt;=1),1,0)</f>
        <v>0</v>
      </c>
      <c r="AG350" s="39">
        <f t="shared" si="23"/>
        <v>-1</v>
      </c>
    </row>
    <row r="351" spans="1:33" x14ac:dyDescent="0.25">
      <c r="A351" s="35">
        <v>39</v>
      </c>
      <c r="B351" s="35">
        <v>20</v>
      </c>
      <c r="C351" s="35">
        <f>Inputs!$D$8-A351-Inputs!$D$22*B351</f>
        <v>41</v>
      </c>
      <c r="D351" s="35">
        <f>A351*Inputs!$D$20+C351*Inputs!$D$21+B351*Inputs!$D$22</f>
        <v>120</v>
      </c>
      <c r="E351" s="36">
        <f>MIN(Inputs!$E$15,Inputs!$D$15*(C351/Inputs!$D$43)^Inputs!$D$44)</f>
        <v>0.37699580304543617</v>
      </c>
      <c r="F351" s="36">
        <f>MIN(Inputs!$E$16,Inputs!$D$16*(B351/Inputs!$D$42)^Inputs!$D$44)</f>
        <v>0.4</v>
      </c>
      <c r="G351" s="37">
        <f>Inputs!$D$26*(1+Inputs!$D$41*(B351-Inputs!$D$42))</f>
        <v>1.5</v>
      </c>
      <c r="H351" s="35">
        <f>Inputs!$D$6*Inputs!$D$14*G351*Inputs!$D$29</f>
        <v>1884.645</v>
      </c>
      <c r="I351" s="36">
        <f>H351/(A351*Inputs!$D$32)</f>
        <v>0.8786223776223776</v>
      </c>
      <c r="J351" s="38">
        <f>IF(I351&gt;=1,999,I351/(Inputs!$D$32*(1-I351))*60)</f>
        <v>7.8968192031509412</v>
      </c>
      <c r="K351" s="37">
        <f>MIN(1,MAX(0,(J351-Inputs!$D$36)/(Inputs!$D$37-Inputs!$D$36)))</f>
        <v>0.19312128021006275</v>
      </c>
      <c r="L351" s="35">
        <f>Inputs!$D$6*Inputs!$D$14*G351*(1-Inputs!$D$38*K351)</f>
        <v>11472.40483457552</v>
      </c>
      <c r="M351" s="39">
        <f>L351*Inputs!$D$11</f>
        <v>246656.70394337369</v>
      </c>
      <c r="N351" s="39">
        <f>M351*(1-Inputs!$D$17)</f>
        <v>86329.846380180781</v>
      </c>
      <c r="O351" s="35">
        <f>Inputs!$D$6*E351*Inputs!$D$27*Inputs!$D$30</f>
        <v>537.84332438958984</v>
      </c>
      <c r="P351" s="36">
        <f>O351/(C351*Inputs!$D$33)</f>
        <v>0.3279532465790182</v>
      </c>
      <c r="Q351" s="38">
        <f>IF(P351&gt;=1,999,P351/(Inputs!$D$33*(1-P351))*60)</f>
        <v>0.73198756985940516</v>
      </c>
      <c r="R351" s="37">
        <f>MIN(1,MAX(0,(Q351-Inputs!$D$36)/(Inputs!$D$37-Inputs!$D$36)))</f>
        <v>0</v>
      </c>
      <c r="S351" s="35">
        <f>Inputs!$D$6*E351*Inputs!$D$27*(1-Inputs!$D$38*R351)</f>
        <v>4482.027703246582</v>
      </c>
      <c r="T351" s="39">
        <f>S351*Inputs!$D$12</f>
        <v>71712.443251945311</v>
      </c>
      <c r="U351" s="39">
        <f>T351*(1-Inputs!$D$18)</f>
        <v>32270.599463375387</v>
      </c>
      <c r="V351" s="35">
        <f>Inputs!$D$6*F351*Inputs!$D$28*Inputs!$D$31</f>
        <v>674.41919999999993</v>
      </c>
      <c r="W351" s="36">
        <f>V351/(B351*Inputs!$D$34)</f>
        <v>0.96345599999999987</v>
      </c>
      <c r="X351" s="38">
        <f>IF(W351&gt;=1,999,W351/(Inputs!$D$34*(1-W351))*60)</f>
        <v>45.195896922691851</v>
      </c>
      <c r="Y351" s="37">
        <f>MIN(1,MAX(0,(X351-Inputs!$D$36)/(Inputs!$D$37-Inputs!$D$36)))</f>
        <v>1</v>
      </c>
      <c r="Z351" s="35">
        <f>Inputs!$D$6*F351*Inputs!$D$28*(1-Inputs!$D$38*Y351)</f>
        <v>2853.3119999999999</v>
      </c>
      <c r="AA351" s="39">
        <f>Z351*Inputs!$D$13</f>
        <v>24253.151999999998</v>
      </c>
      <c r="AB351" s="39">
        <f>AA351*(1-Inputs!$D$19)</f>
        <v>14551.891199999998</v>
      </c>
      <c r="AC351" s="39">
        <f t="shared" si="20"/>
        <v>342622.29919531901</v>
      </c>
      <c r="AD351" s="39">
        <f t="shared" si="21"/>
        <v>133152.33704355615</v>
      </c>
      <c r="AE351" s="36">
        <f t="shared" si="22"/>
        <v>0.96345599999999987</v>
      </c>
      <c r="AF351" s="35">
        <f>IF(AND(AE351&lt;=Inputs!$D$35,C351&gt;=Inputs!$D$48*(A351+B351+C351),B351*Inputs!$D$22&lt;=Inputs!$D$50*Inputs!$D$8,B351*Inputs!$D$22&gt;=Inputs!$D$49*Inputs!$D$8,A351*Inputs!$D$20&lt;=Inputs!$D$47*Inputs!$D$8,C351&gt;=1),1,0)</f>
        <v>0</v>
      </c>
      <c r="AG351" s="39">
        <f t="shared" si="23"/>
        <v>-1</v>
      </c>
    </row>
    <row r="352" spans="1:33" x14ac:dyDescent="0.25">
      <c r="A352" s="35">
        <v>39</v>
      </c>
      <c r="B352" s="35">
        <v>21</v>
      </c>
      <c r="C352" s="35">
        <f>Inputs!$D$8-A352-Inputs!$D$22*B352</f>
        <v>39</v>
      </c>
      <c r="D352" s="35">
        <f>A352*Inputs!$D$20+C352*Inputs!$D$21+B352*Inputs!$D$22</f>
        <v>120</v>
      </c>
      <c r="E352" s="36">
        <f>MIN(Inputs!$E$15,Inputs!$D$15*(C352/Inputs!$D$43)^Inputs!$D$44)</f>
        <v>0.37138190575462604</v>
      </c>
      <c r="F352" s="36">
        <f>MIN(Inputs!$E$16,Inputs!$D$16*(B352/Inputs!$D$42)^Inputs!$D$44)</f>
        <v>0.40589787816896217</v>
      </c>
      <c r="G352" s="37">
        <f>Inputs!$D$26*(1+Inputs!$D$41*(B352-Inputs!$D$42))</f>
        <v>1.5150000000000001</v>
      </c>
      <c r="H352" s="35">
        <f>Inputs!$D$6*Inputs!$D$14*G352*Inputs!$D$29</f>
        <v>1903.4914500000004</v>
      </c>
      <c r="I352" s="36">
        <f>H352/(A352*Inputs!$D$32)</f>
        <v>0.88740860139860156</v>
      </c>
      <c r="J352" s="38">
        <f>IF(I352&gt;=1,999,I352/(Inputs!$D$32*(1-I352))*60)</f>
        <v>8.5981888727033908</v>
      </c>
      <c r="K352" s="37">
        <f>MIN(1,MAX(0,(J352-Inputs!$D$36)/(Inputs!$D$37-Inputs!$D$36)))</f>
        <v>0.23987925818022607</v>
      </c>
      <c r="L352" s="35">
        <f>Inputs!$D$6*Inputs!$D$14*G352*(1-Inputs!$D$38*K352)</f>
        <v>11320.118649064794</v>
      </c>
      <c r="M352" s="39">
        <f>L352*Inputs!$D$11</f>
        <v>243382.55095489309</v>
      </c>
      <c r="N352" s="39">
        <f>M352*(1-Inputs!$D$17)</f>
        <v>85183.892834212573</v>
      </c>
      <c r="O352" s="35">
        <f>Inputs!$D$6*E352*Inputs!$D$27*Inputs!$D$30</f>
        <v>529.8342241362717</v>
      </c>
      <c r="P352" s="36">
        <f>O352/(C352*Inputs!$D$33)</f>
        <v>0.33963732316427675</v>
      </c>
      <c r="Q352" s="38">
        <f>IF(P352&gt;=1,999,P352/(Inputs!$D$33*(1-P352))*60)</f>
        <v>0.77147907145144612</v>
      </c>
      <c r="R352" s="37">
        <f>MIN(1,MAX(0,(Q352-Inputs!$D$36)/(Inputs!$D$37-Inputs!$D$36)))</f>
        <v>0</v>
      </c>
      <c r="S352" s="35">
        <f>Inputs!$D$6*E352*Inputs!$D$27*(1-Inputs!$D$38*R352)</f>
        <v>4415.2852011355981</v>
      </c>
      <c r="T352" s="39">
        <f>S352*Inputs!$D$12</f>
        <v>70644.563218169569</v>
      </c>
      <c r="U352" s="39">
        <f>T352*(1-Inputs!$D$18)</f>
        <v>31790.053448176302</v>
      </c>
      <c r="V352" s="35">
        <f>Inputs!$D$6*F352*Inputs!$D$28*Inputs!$D$31</f>
        <v>684.36330569102222</v>
      </c>
      <c r="W352" s="36">
        <f>V352/(B352*Inputs!$D$34)</f>
        <v>0.93110653835513224</v>
      </c>
      <c r="X352" s="38">
        <f>IF(W352&gt;=1,999,W352/(Inputs!$D$34*(1-W352))*60)</f>
        <v>23.16885520150278</v>
      </c>
      <c r="Y352" s="37">
        <f>MIN(1,MAX(0,(X352-Inputs!$D$36)/(Inputs!$D$37-Inputs!$D$36)))</f>
        <v>1</v>
      </c>
      <c r="Z352" s="35">
        <f>Inputs!$D$6*F352*Inputs!$D$28*(1-Inputs!$D$38*Y352)</f>
        <v>2895.3832163850943</v>
      </c>
      <c r="AA352" s="39">
        <f>Z352*Inputs!$D$13</f>
        <v>24610.757339273303</v>
      </c>
      <c r="AB352" s="39">
        <f>AA352*(1-Inputs!$D$19)</f>
        <v>14766.454403563981</v>
      </c>
      <c r="AC352" s="39">
        <f t="shared" si="20"/>
        <v>338637.87151233596</v>
      </c>
      <c r="AD352" s="39">
        <f t="shared" si="21"/>
        <v>131740.40068595286</v>
      </c>
      <c r="AE352" s="36">
        <f t="shared" si="22"/>
        <v>0.93110653835513224</v>
      </c>
      <c r="AF352" s="35">
        <f>IF(AND(AE352&lt;=Inputs!$D$35,C352&gt;=Inputs!$D$48*(A352+B352+C352),B352*Inputs!$D$22&lt;=Inputs!$D$50*Inputs!$D$8,B352*Inputs!$D$22&gt;=Inputs!$D$49*Inputs!$D$8,A352*Inputs!$D$20&lt;=Inputs!$D$47*Inputs!$D$8,C352&gt;=1),1,0)</f>
        <v>0</v>
      </c>
      <c r="AG352" s="39">
        <f t="shared" si="23"/>
        <v>-1</v>
      </c>
    </row>
    <row r="353" spans="1:33" x14ac:dyDescent="0.25">
      <c r="A353" s="35">
        <v>39</v>
      </c>
      <c r="B353" s="35">
        <v>22</v>
      </c>
      <c r="C353" s="35">
        <f>Inputs!$D$8-A353-Inputs!$D$22*B353</f>
        <v>37</v>
      </c>
      <c r="D353" s="35">
        <f>A353*Inputs!$D$20+C353*Inputs!$D$21+B353*Inputs!$D$22</f>
        <v>120</v>
      </c>
      <c r="E353" s="36">
        <f>MIN(Inputs!$E$15,Inputs!$D$15*(C353/Inputs!$D$43)^Inputs!$D$44)</f>
        <v>0.36556269939951974</v>
      </c>
      <c r="F353" s="36">
        <f>MIN(Inputs!$E$16,Inputs!$D$16*(B353/Inputs!$D$42)^Inputs!$D$44)</f>
        <v>0.41160230376843804</v>
      </c>
      <c r="G353" s="37">
        <f>Inputs!$D$26*(1+Inputs!$D$41*(B353-Inputs!$D$42))</f>
        <v>1.53</v>
      </c>
      <c r="H353" s="35">
        <f>Inputs!$D$6*Inputs!$D$14*G353*Inputs!$D$29</f>
        <v>1922.3379</v>
      </c>
      <c r="I353" s="36">
        <f>H353/(A353*Inputs!$D$32)</f>
        <v>0.89619482517482518</v>
      </c>
      <c r="J353" s="38">
        <f>IF(I353&gt;=1,999,I353/(Inputs!$D$32*(1-I353))*60)</f>
        <v>9.4182884779632055</v>
      </c>
      <c r="K353" s="37">
        <f>MIN(1,MAX(0,(J353-Inputs!$D$36)/(Inputs!$D$37-Inputs!$D$36)))</f>
        <v>0.29455256519754702</v>
      </c>
      <c r="L353" s="35">
        <f>Inputs!$D$6*Inputs!$D$14*G353*(1-Inputs!$D$38*K353)</f>
        <v>11116.897321135604</v>
      </c>
      <c r="M353" s="39">
        <f>L353*Inputs!$D$11</f>
        <v>239013.29240441549</v>
      </c>
      <c r="N353" s="39">
        <f>M353*(1-Inputs!$D$17)</f>
        <v>83654.652341545414</v>
      </c>
      <c r="O353" s="35">
        <f>Inputs!$D$6*E353*Inputs!$D$27*Inputs!$D$30</f>
        <v>521.5322184745213</v>
      </c>
      <c r="P353" s="36">
        <f>O353/(C353*Inputs!$D$33)</f>
        <v>0.35238663410440629</v>
      </c>
      <c r="Q353" s="38">
        <f>IF(P353&gt;=1,999,P353/(Inputs!$D$33*(1-P353))*60)</f>
        <v>0.81619679116046151</v>
      </c>
      <c r="R353" s="37">
        <f>MIN(1,MAX(0,(Q353-Inputs!$D$36)/(Inputs!$D$37-Inputs!$D$36)))</f>
        <v>0</v>
      </c>
      <c r="S353" s="35">
        <f>Inputs!$D$6*E353*Inputs!$D$27*(1-Inputs!$D$38*R353)</f>
        <v>4346.101820621011</v>
      </c>
      <c r="T353" s="39">
        <f>S353*Inputs!$D$12</f>
        <v>69537.629129936176</v>
      </c>
      <c r="U353" s="39">
        <f>T353*(1-Inputs!$D$18)</f>
        <v>31291.933108471276</v>
      </c>
      <c r="V353" s="35">
        <f>Inputs!$D$6*F353*Inputs!$D$28*Inputs!$D$31</f>
        <v>693.98124106416742</v>
      </c>
      <c r="W353" s="36">
        <f>V353/(B353*Inputs!$D$34)</f>
        <v>0.90127433904437326</v>
      </c>
      <c r="X353" s="38">
        <f>IF(W353&gt;=1,999,W353/(Inputs!$D$34*(1-W353))*60)</f>
        <v>15.649849381818807</v>
      </c>
      <c r="Y353" s="37">
        <f>MIN(1,MAX(0,(X353-Inputs!$D$36)/(Inputs!$D$37-Inputs!$D$36)))</f>
        <v>0.70998995878792048</v>
      </c>
      <c r="Z353" s="35">
        <f>Inputs!$D$6*F353*Inputs!$D$28*(1-Inputs!$D$38*Y353)</f>
        <v>3632.749002537963</v>
      </c>
      <c r="AA353" s="39">
        <f>Z353*Inputs!$D$13</f>
        <v>30878.366521572687</v>
      </c>
      <c r="AB353" s="39">
        <f>AA353*(1-Inputs!$D$19)</f>
        <v>18527.019912943611</v>
      </c>
      <c r="AC353" s="39">
        <f t="shared" si="20"/>
        <v>339429.28805592435</v>
      </c>
      <c r="AD353" s="39">
        <f t="shared" si="21"/>
        <v>133473.60536296031</v>
      </c>
      <c r="AE353" s="36">
        <f t="shared" si="22"/>
        <v>0.90127433904437326</v>
      </c>
      <c r="AF353" s="35">
        <f>IF(AND(AE353&lt;=Inputs!$D$35,C353&gt;=Inputs!$D$48*(A353+B353+C353),B353*Inputs!$D$22&lt;=Inputs!$D$50*Inputs!$D$8,B353*Inputs!$D$22&gt;=Inputs!$D$49*Inputs!$D$8,A353*Inputs!$D$20&lt;=Inputs!$D$47*Inputs!$D$8,C353&gt;=1),1,0)</f>
        <v>0</v>
      </c>
      <c r="AG353" s="39">
        <f t="shared" si="23"/>
        <v>-1</v>
      </c>
    </row>
    <row r="354" spans="1:33" x14ac:dyDescent="0.25">
      <c r="A354" s="35">
        <v>39</v>
      </c>
      <c r="B354" s="35">
        <v>23</v>
      </c>
      <c r="C354" s="35">
        <f>Inputs!$D$8-A354-Inputs!$D$22*B354</f>
        <v>35</v>
      </c>
      <c r="D354" s="35">
        <f>A354*Inputs!$D$20+C354*Inputs!$D$21+B354*Inputs!$D$22</f>
        <v>120</v>
      </c>
      <c r="E354" s="36">
        <f>MIN(Inputs!$E$15,Inputs!$D$15*(C354/Inputs!$D$43)^Inputs!$D$44)</f>
        <v>0.3595189375764975</v>
      </c>
      <c r="F354" s="36">
        <f>MIN(Inputs!$E$16,Inputs!$D$16*(B354/Inputs!$D$42)^Inputs!$D$44)</f>
        <v>0.41712800028621322</v>
      </c>
      <c r="G354" s="37">
        <f>Inputs!$D$26*(1+Inputs!$D$41*(B354-Inputs!$D$42))</f>
        <v>1.5449999999999999</v>
      </c>
      <c r="H354" s="35">
        <f>Inputs!$D$6*Inputs!$D$14*G354*Inputs!$D$29</f>
        <v>1941.18435</v>
      </c>
      <c r="I354" s="36">
        <f>H354/(A354*Inputs!$D$32)</f>
        <v>0.90498104895104892</v>
      </c>
      <c r="J354" s="38">
        <f>IF(I354&gt;=1,999,I354/(Inputs!$D$32*(1-I354))*60)</f>
        <v>10.390054220789491</v>
      </c>
      <c r="K354" s="37">
        <f>MIN(1,MAX(0,(J354-Inputs!$D$36)/(Inputs!$D$37-Inputs!$D$36)))</f>
        <v>0.35933694805263272</v>
      </c>
      <c r="L354" s="35">
        <f>Inputs!$D$6*Inputs!$D$14*G354*(1-Inputs!$D$38*K354)</f>
        <v>10848.6112201904</v>
      </c>
      <c r="M354" s="39">
        <f>L354*Inputs!$D$11</f>
        <v>233245.14123409361</v>
      </c>
      <c r="N354" s="39">
        <f>M354*(1-Inputs!$D$17)</f>
        <v>81635.799431932755</v>
      </c>
      <c r="O354" s="35">
        <f>Inputs!$D$6*E354*Inputs!$D$27*Inputs!$D$30</f>
        <v>512.90984940713565</v>
      </c>
      <c r="P354" s="36">
        <f>O354/(C354*Inputs!$D$33)</f>
        <v>0.36636417814795402</v>
      </c>
      <c r="Q354" s="38">
        <f>IF(P354&gt;=1,999,P354/(Inputs!$D$33*(1-P354))*60)</f>
        <v>0.86729040289368331</v>
      </c>
      <c r="R354" s="37">
        <f>MIN(1,MAX(0,(Q354-Inputs!$D$36)/(Inputs!$D$37-Inputs!$D$36)))</f>
        <v>0</v>
      </c>
      <c r="S354" s="35">
        <f>Inputs!$D$6*E354*Inputs!$D$27*(1-Inputs!$D$38*R354)</f>
        <v>4274.2487450594635</v>
      </c>
      <c r="T354" s="39">
        <f>S354*Inputs!$D$12</f>
        <v>68387.979920951417</v>
      </c>
      <c r="U354" s="39">
        <f>T354*(1-Inputs!$D$18)</f>
        <v>30774.590964428135</v>
      </c>
      <c r="V354" s="35">
        <f>Inputs!$D$6*F354*Inputs!$D$28*Inputs!$D$31</f>
        <v>703.29783062656929</v>
      </c>
      <c r="W354" s="36">
        <f>V354/(B354*Inputs!$D$34)</f>
        <v>0.87366190139946498</v>
      </c>
      <c r="X354" s="38">
        <f>IF(W354&gt;=1,999,W354/(Inputs!$D$34*(1-W354))*60)</f>
        <v>11.854746377182334</v>
      </c>
      <c r="Y354" s="37">
        <f>MIN(1,MAX(0,(X354-Inputs!$D$36)/(Inputs!$D$37-Inputs!$D$36)))</f>
        <v>0.45698309181215557</v>
      </c>
      <c r="Z354" s="35">
        <f>Inputs!$D$6*F354*Inputs!$D$28*(1-Inputs!$D$38*Y354)</f>
        <v>4297.4614071503011</v>
      </c>
      <c r="AA354" s="39">
        <f>Z354*Inputs!$D$13</f>
        <v>36528.421960777559</v>
      </c>
      <c r="AB354" s="39">
        <f>AA354*(1-Inputs!$D$19)</f>
        <v>21917.053176466536</v>
      </c>
      <c r="AC354" s="39">
        <f t="shared" si="20"/>
        <v>338161.54311582254</v>
      </c>
      <c r="AD354" s="39">
        <f t="shared" si="21"/>
        <v>134327.44357282744</v>
      </c>
      <c r="AE354" s="36">
        <f t="shared" si="22"/>
        <v>0.90498104895104892</v>
      </c>
      <c r="AF354" s="35">
        <f>IF(AND(AE354&lt;=Inputs!$D$35,C354&gt;=Inputs!$D$48*(A354+B354+C354),B354*Inputs!$D$22&lt;=Inputs!$D$50*Inputs!$D$8,B354*Inputs!$D$22&gt;=Inputs!$D$49*Inputs!$D$8,A354*Inputs!$D$20&lt;=Inputs!$D$47*Inputs!$D$8,C354&gt;=1),1,0)</f>
        <v>0</v>
      </c>
      <c r="AG354" s="39">
        <f t="shared" si="23"/>
        <v>-1</v>
      </c>
    </row>
    <row r="355" spans="1:33" x14ac:dyDescent="0.25">
      <c r="A355" s="35">
        <v>39</v>
      </c>
      <c r="B355" s="35">
        <v>24</v>
      </c>
      <c r="C355" s="35">
        <f>Inputs!$D$8-A355-Inputs!$D$22*B355</f>
        <v>33</v>
      </c>
      <c r="D355" s="35">
        <f>A355*Inputs!$D$20+C355*Inputs!$D$21+B355*Inputs!$D$22</f>
        <v>120</v>
      </c>
      <c r="E355" s="36">
        <f>MIN(Inputs!$E$15,Inputs!$D$15*(C355/Inputs!$D$43)^Inputs!$D$44)</f>
        <v>0.35322833999035824</v>
      </c>
      <c r="F355" s="36">
        <f>MIN(Inputs!$E$16,Inputs!$D$16*(B355/Inputs!$D$42)^Inputs!$D$44)</f>
        <v>0.42248798737570326</v>
      </c>
      <c r="G355" s="37">
        <f>Inputs!$D$26*(1+Inputs!$D$41*(B355-Inputs!$D$42))</f>
        <v>1.56</v>
      </c>
      <c r="H355" s="35">
        <f>Inputs!$D$6*Inputs!$D$14*G355*Inputs!$D$29</f>
        <v>1960.0308</v>
      </c>
      <c r="I355" s="36">
        <f>H355/(A355*Inputs!$D$32)</f>
        <v>0.91376727272727276</v>
      </c>
      <c r="J355" s="38">
        <f>IF(I355&gt;=1,999,I355/(Inputs!$D$32*(1-I355))*60)</f>
        <v>11.559845737462341</v>
      </c>
      <c r="K355" s="37">
        <f>MIN(1,MAX(0,(J355-Inputs!$D$36)/(Inputs!$D$37-Inputs!$D$36)))</f>
        <v>0.4373230491641561</v>
      </c>
      <c r="L355" s="35">
        <f>Inputs!$D$6*Inputs!$D$14*G355*(1-Inputs!$D$38*K355)</f>
        <v>10495.37206226502</v>
      </c>
      <c r="M355" s="39">
        <f>L355*Inputs!$D$11</f>
        <v>225650.49933869793</v>
      </c>
      <c r="N355" s="39">
        <f>M355*(1-Inputs!$D$17)</f>
        <v>78977.674768544268</v>
      </c>
      <c r="O355" s="35">
        <f>Inputs!$D$6*E355*Inputs!$D$27*Inputs!$D$30</f>
        <v>503.93533061728459</v>
      </c>
      <c r="P355" s="36">
        <f>O355/(C355*Inputs!$D$33)</f>
        <v>0.38176918986157926</v>
      </c>
      <c r="Q355" s="38">
        <f>IF(P355&gt;=1,999,P355/(Inputs!$D$33*(1-P355))*60)</f>
        <v>0.92627830156855617</v>
      </c>
      <c r="R355" s="37">
        <f>MIN(1,MAX(0,(Q355-Inputs!$D$36)/(Inputs!$D$37-Inputs!$D$36)))</f>
        <v>0</v>
      </c>
      <c r="S355" s="35">
        <f>Inputs!$D$6*E355*Inputs!$D$27*(1-Inputs!$D$38*R355)</f>
        <v>4199.461088477372</v>
      </c>
      <c r="T355" s="39">
        <f>S355*Inputs!$D$12</f>
        <v>67191.377415637951</v>
      </c>
      <c r="U355" s="39">
        <f>T355*(1-Inputs!$D$18)</f>
        <v>30236.119837037077</v>
      </c>
      <c r="V355" s="35">
        <f>Inputs!$D$6*F355*Inputs!$D$28*Inputs!$D$31</f>
        <v>712.33502613882979</v>
      </c>
      <c r="W355" s="36">
        <f>V355/(B355*Inputs!$D$34)</f>
        <v>0.84801788826051161</v>
      </c>
      <c r="X355" s="38">
        <f>IF(W355&gt;=1,999,W355/(Inputs!$D$34*(1-W355))*60)</f>
        <v>9.5652372155190832</v>
      </c>
      <c r="Y355" s="37">
        <f>MIN(1,MAX(0,(X355-Inputs!$D$36)/(Inputs!$D$37-Inputs!$D$36)))</f>
        <v>0.30434914770127219</v>
      </c>
      <c r="Z355" s="35">
        <f>Inputs!$D$6*F355*Inputs!$D$28*(1-Inputs!$D$38*Y355)</f>
        <v>4729.0436538571339</v>
      </c>
      <c r="AA355" s="39">
        <f>Z355*Inputs!$D$13</f>
        <v>40196.87105778564</v>
      </c>
      <c r="AB355" s="39">
        <f>AA355*(1-Inputs!$D$19)</f>
        <v>24118.122634671385</v>
      </c>
      <c r="AC355" s="39">
        <f t="shared" si="20"/>
        <v>333038.74781212152</v>
      </c>
      <c r="AD355" s="39">
        <f t="shared" si="21"/>
        <v>133331.91724025275</v>
      </c>
      <c r="AE355" s="36">
        <f t="shared" si="22"/>
        <v>0.91376727272727276</v>
      </c>
      <c r="AF355" s="35">
        <f>IF(AND(AE355&lt;=Inputs!$D$35,C355&gt;=Inputs!$D$48*(A355+B355+C355),B355*Inputs!$D$22&lt;=Inputs!$D$50*Inputs!$D$8,B355*Inputs!$D$22&gt;=Inputs!$D$49*Inputs!$D$8,A355*Inputs!$D$20&lt;=Inputs!$D$47*Inputs!$D$8,C355&gt;=1),1,0)</f>
        <v>0</v>
      </c>
      <c r="AG355" s="39">
        <f t="shared" si="23"/>
        <v>-1</v>
      </c>
    </row>
    <row r="356" spans="1:33" x14ac:dyDescent="0.25">
      <c r="A356" s="35">
        <v>39</v>
      </c>
      <c r="B356" s="35">
        <v>25</v>
      </c>
      <c r="C356" s="35">
        <f>Inputs!$D$8-A356-Inputs!$D$22*B356</f>
        <v>31</v>
      </c>
      <c r="D356" s="35">
        <f>A356*Inputs!$D$20+C356*Inputs!$D$21+B356*Inputs!$D$22</f>
        <v>120</v>
      </c>
      <c r="E356" s="36">
        <f>MIN(Inputs!$E$15,Inputs!$D$15*(C356/Inputs!$D$43)^Inputs!$D$44)</f>
        <v>0.34666489615699225</v>
      </c>
      <c r="F356" s="36">
        <f>MIN(Inputs!$E$16,Inputs!$D$16*(B356/Inputs!$D$42)^Inputs!$D$44)</f>
        <v>0.42769383999647526</v>
      </c>
      <c r="G356" s="37">
        <f>Inputs!$D$26*(1+Inputs!$D$41*(B356-Inputs!$D$42))</f>
        <v>1.5750000000000002</v>
      </c>
      <c r="H356" s="35">
        <f>Inputs!$D$6*Inputs!$D$14*G356*Inputs!$D$29</f>
        <v>1978.8772500000005</v>
      </c>
      <c r="I356" s="36">
        <f>H356/(A356*Inputs!$D$32)</f>
        <v>0.92255349650349672</v>
      </c>
      <c r="J356" s="38">
        <f>IF(I356&gt;=1,999,I356/(Inputs!$D$32*(1-I356))*60)</f>
        <v>12.99506047075544</v>
      </c>
      <c r="K356" s="37">
        <f>MIN(1,MAX(0,(J356-Inputs!$D$36)/(Inputs!$D$37-Inputs!$D$36)))</f>
        <v>0.53300403138369601</v>
      </c>
      <c r="L356" s="35">
        <f>Inputs!$D$6*Inputs!$D$14*G356*(1-Inputs!$D$38*K356)</f>
        <v>10028.266344409556</v>
      </c>
      <c r="M356" s="39">
        <f>L356*Inputs!$D$11</f>
        <v>215607.72640480546</v>
      </c>
      <c r="N356" s="39">
        <f>M356*(1-Inputs!$D$17)</f>
        <v>75462.704241681902</v>
      </c>
      <c r="O356" s="35">
        <f>Inputs!$D$6*E356*Inputs!$D$27*Inputs!$D$30</f>
        <v>494.57155409174993</v>
      </c>
      <c r="P356" s="36">
        <f>O356/(C356*Inputs!$D$33)</f>
        <v>0.39884802749334675</v>
      </c>
      <c r="Q356" s="38">
        <f>IF(P356&gt;=1,999,P356/(Inputs!$D$33*(1-P356))*60)</f>
        <v>0.9952093124561755</v>
      </c>
      <c r="R356" s="37">
        <f>MIN(1,MAX(0,(Q356-Inputs!$D$36)/(Inputs!$D$37-Inputs!$D$36)))</f>
        <v>0</v>
      </c>
      <c r="S356" s="35">
        <f>Inputs!$D$6*E356*Inputs!$D$27*(1-Inputs!$D$38*R356)</f>
        <v>4121.4296174312494</v>
      </c>
      <c r="T356" s="39">
        <f>S356*Inputs!$D$12</f>
        <v>65942.873878899991</v>
      </c>
      <c r="U356" s="39">
        <f>T356*(1-Inputs!$D$18)</f>
        <v>29674.293245504992</v>
      </c>
      <c r="V356" s="35">
        <f>Inputs!$D$6*F356*Inputs!$D$28*Inputs!$D$31</f>
        <v>721.1123435383771</v>
      </c>
      <c r="W356" s="36">
        <f>V356/(B356*Inputs!$D$34)</f>
        <v>0.82412839261528814</v>
      </c>
      <c r="X356" s="38">
        <f>IF(W356&gt;=1,999,W356/(Inputs!$D$34*(1-W356))*60)</f>
        <v>8.0330847668163621</v>
      </c>
      <c r="Y356" s="37">
        <f>MIN(1,MAX(0,(X356-Inputs!$D$36)/(Inputs!$D$37-Inputs!$D$36)))</f>
        <v>0.20220565112109082</v>
      </c>
      <c r="Z356" s="35">
        <f>Inputs!$D$6*F356*Inputs!$D$28*(1-Inputs!$D$38*Y356)</f>
        <v>5042.2807508299393</v>
      </c>
      <c r="AA356" s="39">
        <f>Z356*Inputs!$D$13</f>
        <v>42859.386382054487</v>
      </c>
      <c r="AB356" s="39">
        <f>AA356*(1-Inputs!$D$19)</f>
        <v>25715.631829232691</v>
      </c>
      <c r="AC356" s="39">
        <f t="shared" si="20"/>
        <v>324409.98666575993</v>
      </c>
      <c r="AD356" s="39">
        <f t="shared" si="21"/>
        <v>130852.62931641958</v>
      </c>
      <c r="AE356" s="36">
        <f t="shared" si="22"/>
        <v>0.92255349650349672</v>
      </c>
      <c r="AF356" s="35">
        <f>IF(AND(AE356&lt;=Inputs!$D$35,C356&gt;=Inputs!$D$48*(A356+B356+C356),B356*Inputs!$D$22&lt;=Inputs!$D$50*Inputs!$D$8,B356*Inputs!$D$22&gt;=Inputs!$D$49*Inputs!$D$8,A356*Inputs!$D$20&lt;=Inputs!$D$47*Inputs!$D$8,C356&gt;=1),1,0)</f>
        <v>0</v>
      </c>
      <c r="AG356" s="39">
        <f t="shared" si="23"/>
        <v>-1</v>
      </c>
    </row>
    <row r="357" spans="1:33" x14ac:dyDescent="0.25">
      <c r="A357" s="35">
        <v>39</v>
      </c>
      <c r="B357" s="35">
        <v>26</v>
      </c>
      <c r="C357" s="35">
        <f>Inputs!$D$8-A357-Inputs!$D$22*B357</f>
        <v>29</v>
      </c>
      <c r="D357" s="35">
        <f>A357*Inputs!$D$20+C357*Inputs!$D$21+B357*Inputs!$D$22</f>
        <v>120</v>
      </c>
      <c r="E357" s="36">
        <f>MIN(Inputs!$E$15,Inputs!$D$15*(C357/Inputs!$D$43)^Inputs!$D$44)</f>
        <v>0.33979795258455459</v>
      </c>
      <c r="F357" s="36">
        <f>MIN(Inputs!$E$16,Inputs!$D$16*(B357/Inputs!$D$42)^Inputs!$D$44)</f>
        <v>0.43275589945781112</v>
      </c>
      <c r="G357" s="37">
        <f>Inputs!$D$26*(1+Inputs!$D$41*(B357-Inputs!$D$42))</f>
        <v>1.59</v>
      </c>
      <c r="H357" s="35">
        <f>Inputs!$D$6*Inputs!$D$14*G357*Inputs!$D$29</f>
        <v>1997.7237</v>
      </c>
      <c r="I357" s="36">
        <f>H357/(A357*Inputs!$D$32)</f>
        <v>0.93133972027972023</v>
      </c>
      <c r="J357" s="38">
        <f>IF(I357&gt;=1,999,I357/(Inputs!$D$32*(1-I357))*60)</f>
        <v>14.797594354655459</v>
      </c>
      <c r="K357" s="37">
        <f>MIN(1,MAX(0,(J357-Inputs!$D$36)/(Inputs!$D$37-Inputs!$D$36)))</f>
        <v>0.65317295697703059</v>
      </c>
      <c r="L357" s="35">
        <f>Inputs!$D$6*Inputs!$D$14*G357*(1-Inputs!$D$38*K357)</f>
        <v>9403.5807109437173</v>
      </c>
      <c r="M357" s="39">
        <f>L357*Inputs!$D$11</f>
        <v>202176.98528528993</v>
      </c>
      <c r="N357" s="39">
        <f>M357*(1-Inputs!$D$17)</f>
        <v>70761.944849851468</v>
      </c>
      <c r="O357" s="35">
        <f>Inputs!$D$6*E357*Inputs!$D$27*Inputs!$D$30</f>
        <v>484.77478784247035</v>
      </c>
      <c r="P357" s="36">
        <f>O357/(C357*Inputs!$D$33)</f>
        <v>0.41790929986419856</v>
      </c>
      <c r="Q357" s="38">
        <f>IF(P357&gt;=1,999,P357/(Inputs!$D$33*(1-P357))*60)</f>
        <v>1.0769179951681944</v>
      </c>
      <c r="R357" s="37">
        <f>MIN(1,MAX(0,(Q357-Inputs!$D$36)/(Inputs!$D$37-Inputs!$D$36)))</f>
        <v>0</v>
      </c>
      <c r="S357" s="35">
        <f>Inputs!$D$6*E357*Inputs!$D$27*(1-Inputs!$D$38*R357)</f>
        <v>4039.7898986872528</v>
      </c>
      <c r="T357" s="39">
        <f>S357*Inputs!$D$12</f>
        <v>64636.638378996046</v>
      </c>
      <c r="U357" s="39">
        <f>T357*(1-Inputs!$D$18)</f>
        <v>29086.487270548219</v>
      </c>
      <c r="V357" s="35">
        <f>Inputs!$D$6*F357*Inputs!$D$28*Inputs!$D$31</f>
        <v>729.64721876904355</v>
      </c>
      <c r="W357" s="36">
        <f>V357/(B357*Inputs!$D$34)</f>
        <v>0.80181013051543248</v>
      </c>
      <c r="X357" s="38">
        <f>IF(W357&gt;=1,999,W357/(Inputs!$D$34*(1-W357))*60)</f>
        <v>6.9354284146153136</v>
      </c>
      <c r="Y357" s="37">
        <f>MIN(1,MAX(0,(X357-Inputs!$D$36)/(Inputs!$D$37-Inputs!$D$36)))</f>
        <v>0.12902856097435425</v>
      </c>
      <c r="Z357" s="35">
        <f>Inputs!$D$6*F357*Inputs!$D$28*(1-Inputs!$D$38*Y357)</f>
        <v>5286.7832305655711</v>
      </c>
      <c r="AA357" s="39">
        <f>Z357*Inputs!$D$13</f>
        <v>44937.657459807357</v>
      </c>
      <c r="AB357" s="39">
        <f>AA357*(1-Inputs!$D$19)</f>
        <v>26962.594475884413</v>
      </c>
      <c r="AC357" s="39">
        <f t="shared" si="20"/>
        <v>311751.28112409334</v>
      </c>
      <c r="AD357" s="39">
        <f t="shared" si="21"/>
        <v>126811.02659628411</v>
      </c>
      <c r="AE357" s="36">
        <f t="shared" si="22"/>
        <v>0.93133972027972023</v>
      </c>
      <c r="AF357" s="35">
        <f>IF(AND(AE357&lt;=Inputs!$D$35,C357&gt;=Inputs!$D$48*(A357+B357+C357),B357*Inputs!$D$22&lt;=Inputs!$D$50*Inputs!$D$8,B357*Inputs!$D$22&gt;=Inputs!$D$49*Inputs!$D$8,A357*Inputs!$D$20&lt;=Inputs!$D$47*Inputs!$D$8,C357&gt;=1),1,0)</f>
        <v>0</v>
      </c>
      <c r="AG357" s="39">
        <f t="shared" si="23"/>
        <v>-1</v>
      </c>
    </row>
    <row r="358" spans="1:33" x14ac:dyDescent="0.25">
      <c r="A358" s="35">
        <v>39</v>
      </c>
      <c r="B358" s="35">
        <v>27</v>
      </c>
      <c r="C358" s="35">
        <f>Inputs!$D$8-A358-Inputs!$D$22*B358</f>
        <v>27</v>
      </c>
      <c r="D358" s="35">
        <f>A358*Inputs!$D$20+C358*Inputs!$D$21+B358*Inputs!$D$22</f>
        <v>120</v>
      </c>
      <c r="E358" s="36">
        <f>MIN(Inputs!$E$15,Inputs!$D$15*(C358/Inputs!$D$43)^Inputs!$D$44)</f>
        <v>0.33259099594532748</v>
      </c>
      <c r="F358" s="36">
        <f>MIN(Inputs!$E$16,Inputs!$D$16*(B358/Inputs!$D$42)^Inputs!$D$44)</f>
        <v>0.43768344678187454</v>
      </c>
      <c r="G358" s="37">
        <f>Inputs!$D$26*(1+Inputs!$D$41*(B358-Inputs!$D$42))</f>
        <v>1.605</v>
      </c>
      <c r="H358" s="35">
        <f>Inputs!$D$6*Inputs!$D$14*G358*Inputs!$D$29</f>
        <v>2016.57015</v>
      </c>
      <c r="I358" s="36">
        <f>H358/(A358*Inputs!$D$32)</f>
        <v>0.94012594405594407</v>
      </c>
      <c r="J358" s="38">
        <f>IF(I358&gt;=1,999,I358/(Inputs!$D$32*(1-I358))*60)</f>
        <v>17.1291542354905</v>
      </c>
      <c r="K358" s="37">
        <f>MIN(1,MAX(0,(J358-Inputs!$D$36)/(Inputs!$D$37-Inputs!$D$36)))</f>
        <v>0.80861028236603327</v>
      </c>
      <c r="L358" s="35">
        <f>Inputs!$D$6*Inputs!$D$14*G358*(1-Inputs!$D$38*K358)</f>
        <v>8551.9429247927583</v>
      </c>
      <c r="M358" s="39">
        <f>L358*Inputs!$D$11</f>
        <v>183866.77288304429</v>
      </c>
      <c r="N358" s="39">
        <f>M358*(1-Inputs!$D$17)</f>
        <v>64353.370509065498</v>
      </c>
      <c r="O358" s="35">
        <f>Inputs!$D$6*E358*Inputs!$D$27*Inputs!$D$30</f>
        <v>474.49293991137716</v>
      </c>
      <c r="P358" s="36">
        <f>O358/(C358*Inputs!$D$33)</f>
        <v>0.43934531473275662</v>
      </c>
      <c r="Q358" s="38">
        <f>IF(P358&gt;=1,999,P358/(Inputs!$D$33*(1-P358))*60)</f>
        <v>1.1754436187133714</v>
      </c>
      <c r="R358" s="37">
        <f>MIN(1,MAX(0,(Q358-Inputs!$D$36)/(Inputs!$D$37-Inputs!$D$36)))</f>
        <v>0</v>
      </c>
      <c r="S358" s="35">
        <f>Inputs!$D$6*E358*Inputs!$D$27*(1-Inputs!$D$38*R358)</f>
        <v>3954.1078325948097</v>
      </c>
      <c r="T358" s="39">
        <f>S358*Inputs!$D$12</f>
        <v>63265.725321516955</v>
      </c>
      <c r="U358" s="39">
        <f>T358*(1-Inputs!$D$18)</f>
        <v>28469.576394682626</v>
      </c>
      <c r="V358" s="35">
        <f>Inputs!$D$6*F358*Inputs!$D$28*Inputs!$D$31</f>
        <v>737.95530007968603</v>
      </c>
      <c r="W358" s="36">
        <f>V358/(B358*Inputs!$D$34)</f>
        <v>0.78090507944940324</v>
      </c>
      <c r="X358" s="38">
        <f>IF(W358&gt;=1,999,W358/(Inputs!$D$34*(1-W358))*60)</f>
        <v>6.1101116290101798</v>
      </c>
      <c r="Y358" s="37">
        <f>MIN(1,MAX(0,(X358-Inputs!$D$36)/(Inputs!$D$37-Inputs!$D$36)))</f>
        <v>7.4007441934011986E-2</v>
      </c>
      <c r="Z358" s="35">
        <f>Inputs!$D$6*F358*Inputs!$D$28*(1-Inputs!$D$38*Y358)</f>
        <v>5487.5301328495489</v>
      </c>
      <c r="AA358" s="39">
        <f>Z358*Inputs!$D$13</f>
        <v>46644.006129221169</v>
      </c>
      <c r="AB358" s="39">
        <f>AA358*(1-Inputs!$D$19)</f>
        <v>27986.4036775327</v>
      </c>
      <c r="AC358" s="39">
        <f t="shared" si="20"/>
        <v>293776.50433378242</v>
      </c>
      <c r="AD358" s="39">
        <f t="shared" si="21"/>
        <v>120809.35058128081</v>
      </c>
      <c r="AE358" s="36">
        <f t="shared" si="22"/>
        <v>0.94012594405594407</v>
      </c>
      <c r="AF358" s="35">
        <f>IF(AND(AE358&lt;=Inputs!$D$35,C358&gt;=Inputs!$D$48*(A358+B358+C358),B358*Inputs!$D$22&lt;=Inputs!$D$50*Inputs!$D$8,B358*Inputs!$D$22&gt;=Inputs!$D$49*Inputs!$D$8,A358*Inputs!$D$20&lt;=Inputs!$D$47*Inputs!$D$8,C358&gt;=1),1,0)</f>
        <v>0</v>
      </c>
      <c r="AG358" s="39">
        <f t="shared" si="23"/>
        <v>-1</v>
      </c>
    </row>
    <row r="359" spans="1:33" x14ac:dyDescent="0.25">
      <c r="A359" s="35">
        <v>39</v>
      </c>
      <c r="B359" s="35">
        <v>28</v>
      </c>
      <c r="C359" s="35">
        <f>Inputs!$D$8-A359-Inputs!$D$22*B359</f>
        <v>25</v>
      </c>
      <c r="D359" s="35">
        <f>A359*Inputs!$D$20+C359*Inputs!$D$21+B359*Inputs!$D$22</f>
        <v>120</v>
      </c>
      <c r="E359" s="36">
        <f>MIN(Inputs!$E$15,Inputs!$D$15*(C359/Inputs!$D$43)^Inputs!$D$44)</f>
        <v>0.32500000000000001</v>
      </c>
      <c r="F359" s="36">
        <f>MIN(Inputs!$E$16,Inputs!$D$16*(B359/Inputs!$D$42)^Inputs!$D$44)</f>
        <v>0.44248484624799689</v>
      </c>
      <c r="G359" s="37">
        <f>Inputs!$D$26*(1+Inputs!$D$41*(B359-Inputs!$D$42))</f>
        <v>1.62</v>
      </c>
      <c r="H359" s="35">
        <f>Inputs!$D$6*Inputs!$D$14*G359*Inputs!$D$29</f>
        <v>2035.4166</v>
      </c>
      <c r="I359" s="36">
        <f>H359/(A359*Inputs!$D$32)</f>
        <v>0.94891216783216781</v>
      </c>
      <c r="J359" s="38">
        <f>IF(I359&gt;=1,999,I359/(Inputs!$D$32*(1-I359))*60)</f>
        <v>20.262690085608511</v>
      </c>
      <c r="K359" s="37">
        <f>MIN(1,MAX(0,(J359-Inputs!$D$36)/(Inputs!$D$37-Inputs!$D$36)))</f>
        <v>1</v>
      </c>
      <c r="L359" s="35">
        <f>Inputs!$D$6*Inputs!$D$14*G359*(1-Inputs!$D$38*K359)</f>
        <v>7463.1942000000017</v>
      </c>
      <c r="M359" s="39">
        <f>L359*Inputs!$D$11</f>
        <v>160458.67530000003</v>
      </c>
      <c r="N359" s="39">
        <f>M359*(1-Inputs!$D$17)</f>
        <v>56160.536355000011</v>
      </c>
      <c r="O359" s="35">
        <f>Inputs!$D$6*E359*Inputs!$D$27*Inputs!$D$30</f>
        <v>463.66320000000002</v>
      </c>
      <c r="P359" s="36">
        <f>O359/(C359*Inputs!$D$33)</f>
        <v>0.4636632</v>
      </c>
      <c r="Q359" s="38">
        <f>IF(P359&gt;=1,999,P359/(Inputs!$D$33*(1-P359))*60)</f>
        <v>1.296750101801704</v>
      </c>
      <c r="R359" s="37">
        <f>MIN(1,MAX(0,(Q359-Inputs!$D$36)/(Inputs!$D$37-Inputs!$D$36)))</f>
        <v>0</v>
      </c>
      <c r="S359" s="35">
        <f>Inputs!$D$6*E359*Inputs!$D$27*(1-Inputs!$D$38*R359)</f>
        <v>3863.86</v>
      </c>
      <c r="T359" s="39">
        <f>S359*Inputs!$D$12</f>
        <v>61821.760000000002</v>
      </c>
      <c r="U359" s="39">
        <f>T359*(1-Inputs!$D$18)</f>
        <v>27819.791999999998</v>
      </c>
      <c r="V359" s="35">
        <f>Inputs!$D$6*F359*Inputs!$D$28*Inputs!$D$31</f>
        <v>746.05069004674272</v>
      </c>
      <c r="W359" s="36">
        <f>V359/(B359*Inputs!$D$34)</f>
        <v>0.76127621433341097</v>
      </c>
      <c r="X359" s="38">
        <f>IF(W359&gt;=1,999,W359/(Inputs!$D$34*(1-W359))*60)</f>
        <v>5.4667570523531852</v>
      </c>
      <c r="Y359" s="37">
        <f>MIN(1,MAX(0,(X359-Inputs!$D$36)/(Inputs!$D$37-Inputs!$D$36)))</f>
        <v>3.111713682354568E-2</v>
      </c>
      <c r="Z359" s="35">
        <f>Inputs!$D$6*F359*Inputs!$D$28*(1-Inputs!$D$38*Y359)</f>
        <v>5658.4919801305723</v>
      </c>
      <c r="AA359" s="39">
        <f>Z359*Inputs!$D$13</f>
        <v>48097.181831109861</v>
      </c>
      <c r="AB359" s="39">
        <f>AA359*(1-Inputs!$D$19)</f>
        <v>28858.309098665915</v>
      </c>
      <c r="AC359" s="39">
        <f t="shared" si="20"/>
        <v>270377.61713110993</v>
      </c>
      <c r="AD359" s="39">
        <f t="shared" si="21"/>
        <v>112838.63745366593</v>
      </c>
      <c r="AE359" s="36">
        <f t="shared" si="22"/>
        <v>0.94891216783216781</v>
      </c>
      <c r="AF359" s="35">
        <f>IF(AND(AE359&lt;=Inputs!$D$35,C359&gt;=Inputs!$D$48*(A359+B359+C359),B359*Inputs!$D$22&lt;=Inputs!$D$50*Inputs!$D$8,B359*Inputs!$D$22&gt;=Inputs!$D$49*Inputs!$D$8,A359*Inputs!$D$20&lt;=Inputs!$D$47*Inputs!$D$8,C359&gt;=1),1,0)</f>
        <v>0</v>
      </c>
      <c r="AG359" s="39">
        <f t="shared" si="23"/>
        <v>-1</v>
      </c>
    </row>
    <row r="360" spans="1:33" x14ac:dyDescent="0.25">
      <c r="A360" s="35">
        <v>39</v>
      </c>
      <c r="B360" s="35">
        <v>29</v>
      </c>
      <c r="C360" s="35">
        <f>Inputs!$D$8-A360-Inputs!$D$22*B360</f>
        <v>23</v>
      </c>
      <c r="D360" s="35">
        <f>A360*Inputs!$D$20+C360*Inputs!$D$21+B360*Inputs!$D$22</f>
        <v>120</v>
      </c>
      <c r="E360" s="36">
        <f>MIN(Inputs!$E$15,Inputs!$D$15*(C360/Inputs!$D$43)^Inputs!$D$44)</f>
        <v>0.31697113078396583</v>
      </c>
      <c r="F360" s="36">
        <f>MIN(Inputs!$E$16,Inputs!$D$16*(B360/Inputs!$D$42)^Inputs!$D$44)</f>
        <v>0.44716766511947192</v>
      </c>
      <c r="G360" s="37">
        <f>Inputs!$D$26*(1+Inputs!$D$41*(B360-Inputs!$D$42))</f>
        <v>1.6350000000000002</v>
      </c>
      <c r="H360" s="35">
        <f>Inputs!$D$6*Inputs!$D$14*G360*Inputs!$D$29</f>
        <v>2054.2630500000005</v>
      </c>
      <c r="I360" s="36">
        <f>H360/(A360*Inputs!$D$32)</f>
        <v>0.95769839160839187</v>
      </c>
      <c r="J360" s="38">
        <f>IF(I360&gt;=1,999,I360/(Inputs!$D$32*(1-I360))*60)</f>
        <v>24.697923352764793</v>
      </c>
      <c r="K360" s="37">
        <f>MIN(1,MAX(0,(J360-Inputs!$D$36)/(Inputs!$D$37-Inputs!$D$36)))</f>
        <v>1</v>
      </c>
      <c r="L360" s="35">
        <f>Inputs!$D$6*Inputs!$D$14*G360*(1-Inputs!$D$38*K360)</f>
        <v>7532.2978500000027</v>
      </c>
      <c r="M360" s="39">
        <f>L360*Inputs!$D$11</f>
        <v>161944.40377500007</v>
      </c>
      <c r="N360" s="39">
        <f>M360*(1-Inputs!$D$17)</f>
        <v>56680.541321250021</v>
      </c>
      <c r="O360" s="35">
        <f>Inputs!$D$6*E360*Inputs!$D$27*Inputs!$D$30</f>
        <v>452.20876555972956</v>
      </c>
      <c r="P360" s="36">
        <f>O360/(C360*Inputs!$D$33)</f>
        <v>0.49153126691274951</v>
      </c>
      <c r="Q360" s="38">
        <f>IF(P360&gt;=1,999,P360/(Inputs!$D$33*(1-P360))*60)</f>
        <v>1.4500339005950402</v>
      </c>
      <c r="R360" s="37">
        <f>MIN(1,MAX(0,(Q360-Inputs!$D$36)/(Inputs!$D$37-Inputs!$D$36)))</f>
        <v>0</v>
      </c>
      <c r="S360" s="35">
        <f>Inputs!$D$6*E360*Inputs!$D$27*(1-Inputs!$D$38*R360)</f>
        <v>3768.4063796644132</v>
      </c>
      <c r="T360" s="39">
        <f>S360*Inputs!$D$12</f>
        <v>60294.502074630611</v>
      </c>
      <c r="U360" s="39">
        <f>T360*(1-Inputs!$D$18)</f>
        <v>27132.525933583773</v>
      </c>
      <c r="V360" s="35">
        <f>Inputs!$D$6*F360*Inputs!$D$28*Inputs!$D$31</f>
        <v>753.9461474393554</v>
      </c>
      <c r="W360" s="36">
        <f>V360/(B360*Inputs!$D$34)</f>
        <v>0.74280408614714821</v>
      </c>
      <c r="X360" s="38">
        <f>IF(W360&gt;=1,999,W360/(Inputs!$D$34*(1-W360))*60)</f>
        <v>4.9510056918075414</v>
      </c>
      <c r="Y360" s="37">
        <f>MIN(1,MAX(0,(X360-Inputs!$D$36)/(Inputs!$D$37-Inputs!$D$36)))</f>
        <v>0</v>
      </c>
      <c r="Z360" s="35">
        <f>Inputs!$D$6*F360*Inputs!$D$28*(1-Inputs!$D$38*Y360)</f>
        <v>5799.5857495335031</v>
      </c>
      <c r="AA360" s="39">
        <f>Z360*Inputs!$D$13</f>
        <v>49296.478871034778</v>
      </c>
      <c r="AB360" s="39">
        <f>AA360*(1-Inputs!$D$19)</f>
        <v>29577.887322620867</v>
      </c>
      <c r="AC360" s="39">
        <f t="shared" si="20"/>
        <v>271535.38472066546</v>
      </c>
      <c r="AD360" s="39">
        <f t="shared" si="21"/>
        <v>113390.95457745466</v>
      </c>
      <c r="AE360" s="36">
        <f t="shared" si="22"/>
        <v>0.95769839160839187</v>
      </c>
      <c r="AF360" s="35">
        <f>IF(AND(AE360&lt;=Inputs!$D$35,C360&gt;=Inputs!$D$48*(A360+B360+C360),B360*Inputs!$D$22&lt;=Inputs!$D$50*Inputs!$D$8,B360*Inputs!$D$22&gt;=Inputs!$D$49*Inputs!$D$8,A360*Inputs!$D$20&lt;=Inputs!$D$47*Inputs!$D$8,C360&gt;=1),1,0)</f>
        <v>0</v>
      </c>
      <c r="AG360" s="39">
        <f t="shared" si="23"/>
        <v>-1</v>
      </c>
    </row>
    <row r="361" spans="1:33" x14ac:dyDescent="0.25">
      <c r="A361" s="35">
        <v>39</v>
      </c>
      <c r="B361" s="35">
        <v>30</v>
      </c>
      <c r="C361" s="35">
        <f>Inputs!$D$8-A361-Inputs!$D$22*B361</f>
        <v>21</v>
      </c>
      <c r="D361" s="35">
        <f>A361*Inputs!$D$20+C361*Inputs!$D$21+B361*Inputs!$D$22</f>
        <v>120</v>
      </c>
      <c r="E361" s="36">
        <f>MIN(Inputs!$E$15,Inputs!$D$15*(C361/Inputs!$D$43)^Inputs!$D$44)</f>
        <v>0.30843748043226404</v>
      </c>
      <c r="F361" s="36">
        <f>MIN(Inputs!$E$16,Inputs!$D$16*(B361/Inputs!$D$42)^Inputs!$D$44)</f>
        <v>0.45173877418274222</v>
      </c>
      <c r="G361" s="37">
        <f>Inputs!$D$26*(1+Inputs!$D$41*(B361-Inputs!$D$42))</f>
        <v>1.6500000000000001</v>
      </c>
      <c r="H361" s="35">
        <f>Inputs!$D$6*Inputs!$D$14*G361*Inputs!$D$29</f>
        <v>2073.1095000000005</v>
      </c>
      <c r="I361" s="36">
        <f>H361/(A361*Inputs!$D$32)</f>
        <v>0.96648461538461561</v>
      </c>
      <c r="J361" s="38">
        <f>IF(I361&gt;=1,999,I361/(Inputs!$D$32*(1-I361))*60)</f>
        <v>31.458593277276073</v>
      </c>
      <c r="K361" s="37">
        <f>MIN(1,MAX(0,(J361-Inputs!$D$36)/(Inputs!$D$37-Inputs!$D$36)))</f>
        <v>1</v>
      </c>
      <c r="L361" s="35">
        <f>Inputs!$D$6*Inputs!$D$14*G361*(1-Inputs!$D$38*K361)</f>
        <v>7601.4015000000027</v>
      </c>
      <c r="M361" s="39">
        <f>L361*Inputs!$D$11</f>
        <v>163430.13225000005</v>
      </c>
      <c r="N361" s="39">
        <f>M361*(1-Inputs!$D$17)</f>
        <v>57200.546287500016</v>
      </c>
      <c r="O361" s="35">
        <f>Inputs!$D$6*E361*Inputs!$D$27*Inputs!$D$30</f>
        <v>440.03418208357215</v>
      </c>
      <c r="P361" s="36">
        <f>O361/(C361*Inputs!$D$33)</f>
        <v>0.52385021676615728</v>
      </c>
      <c r="Q361" s="38">
        <f>IF(P361&gt;=1,999,P361/(Inputs!$D$33*(1-P361))*60)</f>
        <v>1.6502692069132636</v>
      </c>
      <c r="R361" s="37">
        <f>MIN(1,MAX(0,(Q361-Inputs!$D$36)/(Inputs!$D$37-Inputs!$D$36)))</f>
        <v>0</v>
      </c>
      <c r="S361" s="35">
        <f>Inputs!$D$6*E361*Inputs!$D$27*(1-Inputs!$D$38*R361)</f>
        <v>3666.9515173631012</v>
      </c>
      <c r="T361" s="39">
        <f>S361*Inputs!$D$12</f>
        <v>58671.224277809619</v>
      </c>
      <c r="U361" s="39">
        <f>T361*(1-Inputs!$D$18)</f>
        <v>26402.050925014326</v>
      </c>
      <c r="V361" s="35">
        <f>Inputs!$D$6*F361*Inputs!$D$28*Inputs!$D$31</f>
        <v>761.65325673326424</v>
      </c>
      <c r="W361" s="36">
        <f>V361/(B361*Inputs!$D$34)</f>
        <v>0.72538405403168027</v>
      </c>
      <c r="X361" s="38">
        <f>IF(W361&gt;=1,999,W361/(Inputs!$D$34*(1-W361))*60)</f>
        <v>4.5281985239874629</v>
      </c>
      <c r="Y361" s="37">
        <f>MIN(1,MAX(0,(X361-Inputs!$D$36)/(Inputs!$D$37-Inputs!$D$36)))</f>
        <v>0</v>
      </c>
      <c r="Z361" s="35">
        <f>Inputs!$D$6*F361*Inputs!$D$28*(1-Inputs!$D$38*Y361)</f>
        <v>5858.8712056404938</v>
      </c>
      <c r="AA361" s="39">
        <f>Z361*Inputs!$D$13</f>
        <v>49800.405247944196</v>
      </c>
      <c r="AB361" s="39">
        <f>AA361*(1-Inputs!$D$19)</f>
        <v>29880.243148766516</v>
      </c>
      <c r="AC361" s="39">
        <f t="shared" si="20"/>
        <v>271901.76177575387</v>
      </c>
      <c r="AD361" s="39">
        <f t="shared" si="21"/>
        <v>113482.84036128086</v>
      </c>
      <c r="AE361" s="36">
        <f t="shared" si="22"/>
        <v>0.96648461538461561</v>
      </c>
      <c r="AF361" s="35">
        <f>IF(AND(AE361&lt;=Inputs!$D$35,C361&gt;=Inputs!$D$48*(A361+B361+C361),B361*Inputs!$D$22&lt;=Inputs!$D$50*Inputs!$D$8,B361*Inputs!$D$22&gt;=Inputs!$D$49*Inputs!$D$8,A361*Inputs!$D$20&lt;=Inputs!$D$47*Inputs!$D$8,C361&gt;=1),1,0)</f>
        <v>0</v>
      </c>
      <c r="AG361" s="39">
        <f t="shared" si="23"/>
        <v>-1</v>
      </c>
    </row>
    <row r="362" spans="1:33" x14ac:dyDescent="0.25">
      <c r="A362" s="35">
        <v>39</v>
      </c>
      <c r="B362" s="35">
        <v>31</v>
      </c>
      <c r="C362" s="35">
        <f>Inputs!$D$8-A362-Inputs!$D$22*B362</f>
        <v>19</v>
      </c>
      <c r="D362" s="35">
        <f>A362*Inputs!$D$20+C362*Inputs!$D$21+B362*Inputs!$D$22</f>
        <v>120</v>
      </c>
      <c r="E362" s="36">
        <f>MIN(Inputs!$E$15,Inputs!$D$15*(C362/Inputs!$D$43)^Inputs!$D$44)</f>
        <v>0.29931428106923352</v>
      </c>
      <c r="F362" s="36">
        <f>MIN(Inputs!$E$16,Inputs!$D$16*(B362/Inputs!$D$42)^Inputs!$D$44)</f>
        <v>0.45620443270573335</v>
      </c>
      <c r="G362" s="37">
        <f>Inputs!$D$26*(1+Inputs!$D$41*(B362-Inputs!$D$42))</f>
        <v>1.665</v>
      </c>
      <c r="H362" s="35">
        <f>Inputs!$D$6*Inputs!$D$14*G362*Inputs!$D$29</f>
        <v>2091.95595</v>
      </c>
      <c r="I362" s="36">
        <f>H362/(A362*Inputs!$D$32)</f>
        <v>0.97527083916083912</v>
      </c>
      <c r="J362" s="38">
        <f>IF(I362&gt;=1,999,I362/(Inputs!$D$32*(1-I362))*60)</f>
        <v>43.023369513382931</v>
      </c>
      <c r="K362" s="37">
        <f>MIN(1,MAX(0,(J362-Inputs!$D$36)/(Inputs!$D$37-Inputs!$D$36)))</f>
        <v>1</v>
      </c>
      <c r="L362" s="35">
        <f>Inputs!$D$6*Inputs!$D$14*G362*(1-Inputs!$D$38*K362)</f>
        <v>7670.5051500000018</v>
      </c>
      <c r="M362" s="39">
        <f>L362*Inputs!$D$11</f>
        <v>164915.86072500004</v>
      </c>
      <c r="N362" s="39">
        <f>M362*(1-Inputs!$D$17)</f>
        <v>57720.551253750011</v>
      </c>
      <c r="O362" s="35">
        <f>Inputs!$D$6*E362*Inputs!$D$27*Inputs!$D$30</f>
        <v>427.01851497310844</v>
      </c>
      <c r="P362" s="36">
        <f>O362/(C362*Inputs!$D$33)</f>
        <v>0.56186646706987953</v>
      </c>
      <c r="Q362" s="38">
        <f>IF(P362&gt;=1,999,P362/(Inputs!$D$33*(1-P362))*60)</f>
        <v>1.9236137781292366</v>
      </c>
      <c r="R362" s="37">
        <f>MIN(1,MAX(0,(Q362-Inputs!$D$36)/(Inputs!$D$37-Inputs!$D$36)))</f>
        <v>0</v>
      </c>
      <c r="S362" s="35">
        <f>Inputs!$D$6*E362*Inputs!$D$27*(1-Inputs!$D$38*R362)</f>
        <v>3558.4876247759039</v>
      </c>
      <c r="T362" s="39">
        <f>S362*Inputs!$D$12</f>
        <v>56935.801996414462</v>
      </c>
      <c r="U362" s="39">
        <f>T362*(1-Inputs!$D$18)</f>
        <v>25621.110898386505</v>
      </c>
      <c r="V362" s="35">
        <f>Inputs!$D$6*F362*Inputs!$D$28*Inputs!$D$31</f>
        <v>769.18257135463637</v>
      </c>
      <c r="W362" s="36">
        <f>V362/(B362*Inputs!$D$34)</f>
        <v>0.70892402889828232</v>
      </c>
      <c r="X362" s="38">
        <f>IF(W362&gt;=1,999,W362/(Inputs!$D$34*(1-W362))*60)</f>
        <v>4.1751929252501148</v>
      </c>
      <c r="Y362" s="37">
        <f>MIN(1,MAX(0,(X362-Inputs!$D$36)/(Inputs!$D$37-Inputs!$D$36)))</f>
        <v>0</v>
      </c>
      <c r="Z362" s="35">
        <f>Inputs!$D$6*F362*Inputs!$D$28*(1-Inputs!$D$38*Y362)</f>
        <v>5916.7890104202797</v>
      </c>
      <c r="AA362" s="39">
        <f>Z362*Inputs!$D$13</f>
        <v>50292.706588572379</v>
      </c>
      <c r="AB362" s="39">
        <f>AA362*(1-Inputs!$D$19)</f>
        <v>30175.623953143426</v>
      </c>
      <c r="AC362" s="39">
        <f t="shared" si="20"/>
        <v>272144.36930998688</v>
      </c>
      <c r="AD362" s="39">
        <f t="shared" si="21"/>
        <v>113517.28610527994</v>
      </c>
      <c r="AE362" s="36">
        <f t="shared" si="22"/>
        <v>0.97527083916083912</v>
      </c>
      <c r="AF362" s="35">
        <f>IF(AND(AE362&lt;=Inputs!$D$35,C362&gt;=Inputs!$D$48*(A362+B362+C362),B362*Inputs!$D$22&lt;=Inputs!$D$50*Inputs!$D$8,B362*Inputs!$D$22&gt;=Inputs!$D$49*Inputs!$D$8,A362*Inputs!$D$20&lt;=Inputs!$D$47*Inputs!$D$8,C362&gt;=1),1,0)</f>
        <v>0</v>
      </c>
      <c r="AG362" s="39">
        <f t="shared" si="23"/>
        <v>-1</v>
      </c>
    </row>
    <row r="363" spans="1:33" x14ac:dyDescent="0.25">
      <c r="A363" s="35">
        <v>39</v>
      </c>
      <c r="B363" s="35">
        <v>32</v>
      </c>
      <c r="C363" s="35">
        <f>Inputs!$D$8-A363-Inputs!$D$22*B363</f>
        <v>17</v>
      </c>
      <c r="D363" s="35">
        <f>A363*Inputs!$D$20+C363*Inputs!$D$21+B363*Inputs!$D$22</f>
        <v>120</v>
      </c>
      <c r="E363" s="36">
        <f>MIN(Inputs!$E$15,Inputs!$D$15*(C363/Inputs!$D$43)^Inputs!$D$44)</f>
        <v>0.28949164546121231</v>
      </c>
      <c r="F363" s="36">
        <f>MIN(Inputs!$E$16,Inputs!$D$16*(B363/Inputs!$D$42)^Inputs!$D$44)</f>
        <v>0.46057036065052986</v>
      </c>
      <c r="G363" s="37">
        <f>Inputs!$D$26*(1+Inputs!$D$41*(B363-Inputs!$D$42))</f>
        <v>1.6800000000000002</v>
      </c>
      <c r="H363" s="35">
        <f>Inputs!$D$6*Inputs!$D$14*G363*Inputs!$D$29</f>
        <v>2110.8024000000005</v>
      </c>
      <c r="I363" s="36">
        <f>H363/(A363*Inputs!$D$32)</f>
        <v>0.98405706293706319</v>
      </c>
      <c r="J363" s="38">
        <f>IF(I363&gt;=1,999,I363/(Inputs!$D$32*(1-I363))*60)</f>
        <v>67.334945355018021</v>
      </c>
      <c r="K363" s="37">
        <f>MIN(1,MAX(0,(J363-Inputs!$D$36)/(Inputs!$D$37-Inputs!$D$36)))</f>
        <v>1</v>
      </c>
      <c r="L363" s="35">
        <f>Inputs!$D$6*Inputs!$D$14*G363*(1-Inputs!$D$38*K363)</f>
        <v>7739.6088000000027</v>
      </c>
      <c r="M363" s="39">
        <f>L363*Inputs!$D$11</f>
        <v>166401.58920000005</v>
      </c>
      <c r="N363" s="39">
        <f>M363*(1-Inputs!$D$17)</f>
        <v>58240.556220000013</v>
      </c>
      <c r="O363" s="35">
        <f>Inputs!$D$6*E363*Inputs!$D$27*Inputs!$D$30</f>
        <v>413.00499294711136</v>
      </c>
      <c r="P363" s="36">
        <f>O363/(C363*Inputs!$D$33)</f>
        <v>0.60736028374575202</v>
      </c>
      <c r="Q363" s="38">
        <f>IF(P363&gt;=1,999,P363/(Inputs!$D$33*(1-P363))*60)</f>
        <v>2.3202961593133828</v>
      </c>
      <c r="R363" s="37">
        <f>MIN(1,MAX(0,(Q363-Inputs!$D$36)/(Inputs!$D$37-Inputs!$D$36)))</f>
        <v>0</v>
      </c>
      <c r="S363" s="35">
        <f>Inputs!$D$6*E363*Inputs!$D$27*(1-Inputs!$D$38*R363)</f>
        <v>3441.7082745592616</v>
      </c>
      <c r="T363" s="39">
        <f>S363*Inputs!$D$12</f>
        <v>55067.332392948185</v>
      </c>
      <c r="U363" s="39">
        <f>T363*(1-Inputs!$D$18)</f>
        <v>24780.299576826681</v>
      </c>
      <c r="V363" s="35">
        <f>Inputs!$D$6*F363*Inputs!$D$28*Inputs!$D$31</f>
        <v>776.54373543410452</v>
      </c>
      <c r="W363" s="36">
        <f>V363/(B363*Inputs!$D$34)</f>
        <v>0.69334262092330756</v>
      </c>
      <c r="X363" s="38">
        <f>IF(W363&gt;=1,999,W363/(Inputs!$D$34*(1-W363))*60)</f>
        <v>3.8759457011369869</v>
      </c>
      <c r="Y363" s="37">
        <f>MIN(1,MAX(0,(X363-Inputs!$D$36)/(Inputs!$D$37-Inputs!$D$36)))</f>
        <v>0</v>
      </c>
      <c r="Z363" s="35">
        <f>Inputs!$D$6*F363*Inputs!$D$28*(1-Inputs!$D$38*Y363)</f>
        <v>5973.4133494931111</v>
      </c>
      <c r="AA363" s="39">
        <f>Z363*Inputs!$D$13</f>
        <v>50774.013470691447</v>
      </c>
      <c r="AB363" s="39">
        <f>AA363*(1-Inputs!$D$19)</f>
        <v>30464.408082414866</v>
      </c>
      <c r="AC363" s="39">
        <f t="shared" si="20"/>
        <v>272242.93506363966</v>
      </c>
      <c r="AD363" s="39">
        <f t="shared" si="21"/>
        <v>113485.26387924157</v>
      </c>
      <c r="AE363" s="36">
        <f t="shared" si="22"/>
        <v>0.98405706293706319</v>
      </c>
      <c r="AF363" s="35">
        <f>IF(AND(AE363&lt;=Inputs!$D$35,C363&gt;=Inputs!$D$48*(A363+B363+C363),B363*Inputs!$D$22&lt;=Inputs!$D$50*Inputs!$D$8,B363*Inputs!$D$22&gt;=Inputs!$D$49*Inputs!$D$8,A363*Inputs!$D$20&lt;=Inputs!$D$47*Inputs!$D$8,C363&gt;=1),1,0)</f>
        <v>0</v>
      </c>
      <c r="AG363" s="39">
        <f t="shared" si="23"/>
        <v>-1</v>
      </c>
    </row>
    <row r="364" spans="1:33" x14ac:dyDescent="0.25">
      <c r="A364" s="35">
        <v>39</v>
      </c>
      <c r="B364" s="35">
        <v>33</v>
      </c>
      <c r="C364" s="35">
        <f>Inputs!$D$8-A364-Inputs!$D$22*B364</f>
        <v>15</v>
      </c>
      <c r="D364" s="35">
        <f>A364*Inputs!$D$20+C364*Inputs!$D$21+B364*Inputs!$D$22</f>
        <v>120</v>
      </c>
      <c r="E364" s="36">
        <f>MIN(Inputs!$E$15,Inputs!$D$15*(C364/Inputs!$D$43)^Inputs!$D$44)</f>
        <v>0.27882309014433088</v>
      </c>
      <c r="F364" s="36">
        <f>MIN(Inputs!$E$16,Inputs!$D$16*(B364/Inputs!$D$42)^Inputs!$D$44)</f>
        <v>0.46484180038786721</v>
      </c>
      <c r="G364" s="37">
        <f>Inputs!$D$26*(1+Inputs!$D$41*(B364-Inputs!$D$42))</f>
        <v>1.6949999999999998</v>
      </c>
      <c r="H364" s="35">
        <f>Inputs!$D$6*Inputs!$D$14*G364*Inputs!$D$29</f>
        <v>2129.64885</v>
      </c>
      <c r="I364" s="36">
        <f>H364/(A364*Inputs!$D$32)</f>
        <v>0.9928432867132867</v>
      </c>
      <c r="J364" s="38">
        <f>IF(I364&gt;=1,999,I364/(Inputs!$D$32*(1-I364))*60)</f>
        <v>151.34066769649741</v>
      </c>
      <c r="K364" s="37">
        <f>MIN(1,MAX(0,(J364-Inputs!$D$36)/(Inputs!$D$37-Inputs!$D$36)))</f>
        <v>1</v>
      </c>
      <c r="L364" s="35">
        <f>Inputs!$D$6*Inputs!$D$14*G364*(1-Inputs!$D$38*K364)</f>
        <v>7808.71245</v>
      </c>
      <c r="M364" s="39">
        <f>L364*Inputs!$D$11</f>
        <v>167887.317675</v>
      </c>
      <c r="N364" s="39">
        <f>M364*(1-Inputs!$D$17)</f>
        <v>58760.561186249994</v>
      </c>
      <c r="O364" s="35">
        <f>Inputs!$D$6*E364*Inputs!$D$27*Inputs!$D$30</f>
        <v>397.78463449295054</v>
      </c>
      <c r="P364" s="36">
        <f>O364/(C364*Inputs!$D$33)</f>
        <v>0.66297439082158427</v>
      </c>
      <c r="Q364" s="38">
        <f>IF(P364&gt;=1,999,P364/(Inputs!$D$33*(1-P364))*60)</f>
        <v>2.9507003597044905</v>
      </c>
      <c r="R364" s="37">
        <f>MIN(1,MAX(0,(Q364-Inputs!$D$36)/(Inputs!$D$37-Inputs!$D$36)))</f>
        <v>0</v>
      </c>
      <c r="S364" s="35">
        <f>Inputs!$D$6*E364*Inputs!$D$27*(1-Inputs!$D$38*R364)</f>
        <v>3314.8719541079213</v>
      </c>
      <c r="T364" s="39">
        <f>S364*Inputs!$D$12</f>
        <v>53037.951265726741</v>
      </c>
      <c r="U364" s="39">
        <f>T364*(1-Inputs!$D$18)</f>
        <v>23867.07806957703</v>
      </c>
      <c r="V364" s="35">
        <f>Inputs!$D$6*F364*Inputs!$D$28*Inputs!$D$31</f>
        <v>783.74558786036266</v>
      </c>
      <c r="W364" s="36">
        <f>V364/(B364*Inputs!$D$34)</f>
        <v>0.67856760853711051</v>
      </c>
      <c r="X364" s="38">
        <f>IF(W364&gt;=1,999,W364/(Inputs!$D$34*(1-W364))*60)</f>
        <v>3.6189842355277744</v>
      </c>
      <c r="Y364" s="37">
        <f>MIN(1,MAX(0,(X364-Inputs!$D$36)/(Inputs!$D$37-Inputs!$D$36)))</f>
        <v>0</v>
      </c>
      <c r="Z364" s="35">
        <f>Inputs!$D$6*F364*Inputs!$D$28*(1-Inputs!$D$38*Y364)</f>
        <v>6028.812214310482</v>
      </c>
      <c r="AA364" s="39">
        <f>Z364*Inputs!$D$13</f>
        <v>51244.903821639098</v>
      </c>
      <c r="AB364" s="39">
        <f>AA364*(1-Inputs!$D$19)</f>
        <v>30746.942292983458</v>
      </c>
      <c r="AC364" s="39">
        <f t="shared" si="20"/>
        <v>272170.17276236584</v>
      </c>
      <c r="AD364" s="39">
        <f t="shared" si="21"/>
        <v>113374.58154881049</v>
      </c>
      <c r="AE364" s="36">
        <f t="shared" si="22"/>
        <v>0.9928432867132867</v>
      </c>
      <c r="AF364" s="35">
        <f>IF(AND(AE364&lt;=Inputs!$D$35,C364&gt;=Inputs!$D$48*(A364+B364+C364),B364*Inputs!$D$22&lt;=Inputs!$D$50*Inputs!$D$8,B364*Inputs!$D$22&gt;=Inputs!$D$49*Inputs!$D$8,A364*Inputs!$D$20&lt;=Inputs!$D$47*Inputs!$D$8,C364&gt;=1),1,0)</f>
        <v>0</v>
      </c>
      <c r="AG364" s="39">
        <f t="shared" si="23"/>
        <v>-1</v>
      </c>
    </row>
    <row r="365" spans="1:33" x14ac:dyDescent="0.25">
      <c r="A365" s="35">
        <v>40</v>
      </c>
      <c r="B365" s="35">
        <v>10</v>
      </c>
      <c r="C365" s="35">
        <f>Inputs!$D$8-A365-Inputs!$D$22*B365</f>
        <v>60</v>
      </c>
      <c r="D365" s="35">
        <f>A365*Inputs!$D$20+C365*Inputs!$D$21+B365*Inputs!$D$22</f>
        <v>120</v>
      </c>
      <c r="E365" s="36">
        <f>MIN(Inputs!$E$15,Inputs!$D$15*(C365/Inputs!$D$43)^Inputs!$D$44)</f>
        <v>0.4</v>
      </c>
      <c r="F365" s="36">
        <f>MIN(Inputs!$E$16,Inputs!$D$16*(B365/Inputs!$D$42)^Inputs!$D$44)</f>
        <v>0.32490095854249423</v>
      </c>
      <c r="G365" s="37">
        <f>Inputs!$D$26*(1+Inputs!$D$41*(B365-Inputs!$D$42))</f>
        <v>1.35</v>
      </c>
      <c r="H365" s="35">
        <f>Inputs!$D$6*Inputs!$D$14*G365*Inputs!$D$29</f>
        <v>1696.1805000000004</v>
      </c>
      <c r="I365" s="36">
        <f>H365/(A365*Inputs!$D$32)</f>
        <v>0.77099113636363659</v>
      </c>
      <c r="J365" s="38">
        <f>IF(I365&gt;=1,999,I365/(Inputs!$D$32*(1-I365))*60)</f>
        <v>3.6727016863633297</v>
      </c>
      <c r="K365" s="37">
        <f>MIN(1,MAX(0,(J365-Inputs!$D$36)/(Inputs!$D$37-Inputs!$D$36)))</f>
        <v>0</v>
      </c>
      <c r="L365" s="35">
        <f>Inputs!$D$6*Inputs!$D$14*G365*(1-Inputs!$D$38*K365)</f>
        <v>11307.870000000003</v>
      </c>
      <c r="M365" s="39">
        <f>L365*Inputs!$D$11</f>
        <v>243119.20500000005</v>
      </c>
      <c r="N365" s="39">
        <f>M365*(1-Inputs!$D$17)</f>
        <v>85091.721750000012</v>
      </c>
      <c r="O365" s="35">
        <f>Inputs!$D$6*E365*Inputs!$D$27*Inputs!$D$30</f>
        <v>570.66240000000005</v>
      </c>
      <c r="P365" s="36">
        <f>O365/(C365*Inputs!$D$33)</f>
        <v>0.23777600000000002</v>
      </c>
      <c r="Q365" s="38">
        <f>IF(P365&gt;=1,999,P365/(Inputs!$D$33*(1-P365))*60)</f>
        <v>0.46792543924095809</v>
      </c>
      <c r="R365" s="37">
        <f>MIN(1,MAX(0,(Q365-Inputs!$D$36)/(Inputs!$D$37-Inputs!$D$36)))</f>
        <v>0</v>
      </c>
      <c r="S365" s="35">
        <f>Inputs!$D$6*E365*Inputs!$D$27*(1-Inputs!$D$38*R365)</f>
        <v>4755.5200000000004</v>
      </c>
      <c r="T365" s="39">
        <f>S365*Inputs!$D$12</f>
        <v>76088.320000000007</v>
      </c>
      <c r="U365" s="39">
        <f>T365*(1-Inputs!$D$18)</f>
        <v>34239.743999999999</v>
      </c>
      <c r="V365" s="35">
        <f>Inputs!$D$6*F365*Inputs!$D$28*Inputs!$D$31</f>
        <v>547.7986113486553</v>
      </c>
      <c r="W365" s="36">
        <f>V365/(B365*Inputs!$D$34)</f>
        <v>1.5651388895675866</v>
      </c>
      <c r="X365" s="38">
        <f>IF(W365&gt;=1,999,W365/(Inputs!$D$34*(1-W365))*60)</f>
        <v>999</v>
      </c>
      <c r="Y365" s="37">
        <f>MIN(1,MAX(0,(X365-Inputs!$D$36)/(Inputs!$D$37-Inputs!$D$36)))</f>
        <v>1</v>
      </c>
      <c r="Z365" s="35">
        <f>Inputs!$D$6*F365*Inputs!$D$28*(1-Inputs!$D$38*Y365)</f>
        <v>2317.6095095520031</v>
      </c>
      <c r="AA365" s="39">
        <f>Z365*Inputs!$D$13</f>
        <v>19699.680831192025</v>
      </c>
      <c r="AB365" s="39">
        <f>AA365*(1-Inputs!$D$19)</f>
        <v>11819.808498715214</v>
      </c>
      <c r="AC365" s="39">
        <f t="shared" si="20"/>
        <v>338907.20583119203</v>
      </c>
      <c r="AD365" s="39">
        <f t="shared" si="21"/>
        <v>131151.27424871523</v>
      </c>
      <c r="AE365" s="36">
        <f t="shared" si="22"/>
        <v>1.5651388895675866</v>
      </c>
      <c r="AF365" s="35">
        <f>IF(AND(AE365&lt;=Inputs!$D$35,C365&gt;=Inputs!$D$48*(A365+B365+C365),B365*Inputs!$D$22&lt;=Inputs!$D$50*Inputs!$D$8,B365*Inputs!$D$22&gt;=Inputs!$D$49*Inputs!$D$8,A365*Inputs!$D$20&lt;=Inputs!$D$47*Inputs!$D$8,C365&gt;=1),1,0)</f>
        <v>0</v>
      </c>
      <c r="AG365" s="39">
        <f t="shared" si="23"/>
        <v>-1</v>
      </c>
    </row>
    <row r="366" spans="1:33" x14ac:dyDescent="0.25">
      <c r="A366" s="35">
        <v>40</v>
      </c>
      <c r="B366" s="35">
        <v>11</v>
      </c>
      <c r="C366" s="35">
        <f>Inputs!$D$8-A366-Inputs!$D$22*B366</f>
        <v>58</v>
      </c>
      <c r="D366" s="35">
        <f>A366*Inputs!$D$20+C366*Inputs!$D$21+B366*Inputs!$D$22</f>
        <v>120</v>
      </c>
      <c r="E366" s="36">
        <f>MIN(Inputs!$E$15,Inputs!$D$15*(C366/Inputs!$D$43)^Inputs!$D$44)</f>
        <v>0.4</v>
      </c>
      <c r="F366" s="36">
        <f>MIN(Inputs!$E$16,Inputs!$D$16*(B366/Inputs!$D$42)^Inputs!$D$44)</f>
        <v>0.33432495758166098</v>
      </c>
      <c r="G366" s="37">
        <f>Inputs!$D$26*(1+Inputs!$D$41*(B366-Inputs!$D$42))</f>
        <v>1.365</v>
      </c>
      <c r="H366" s="35">
        <f>Inputs!$D$6*Inputs!$D$14*G366*Inputs!$D$29</f>
        <v>1715.0269500000002</v>
      </c>
      <c r="I366" s="36">
        <f>H366/(A366*Inputs!$D$32)</f>
        <v>0.77955770454545459</v>
      </c>
      <c r="J366" s="38">
        <f>IF(I366&gt;=1,999,I366/(Inputs!$D$32*(1-I366))*60)</f>
        <v>3.8578195033911498</v>
      </c>
      <c r="K366" s="37">
        <f>MIN(1,MAX(0,(J366-Inputs!$D$36)/(Inputs!$D$37-Inputs!$D$36)))</f>
        <v>0</v>
      </c>
      <c r="L366" s="35">
        <f>Inputs!$D$6*Inputs!$D$14*G366*(1-Inputs!$D$38*K366)</f>
        <v>11433.513000000001</v>
      </c>
      <c r="M366" s="39">
        <f>L366*Inputs!$D$11</f>
        <v>245820.5295</v>
      </c>
      <c r="N366" s="39">
        <f>M366*(1-Inputs!$D$17)</f>
        <v>86037.185324999999</v>
      </c>
      <c r="O366" s="35">
        <f>Inputs!$D$6*E366*Inputs!$D$27*Inputs!$D$30</f>
        <v>570.66240000000005</v>
      </c>
      <c r="P366" s="36">
        <f>O366/(C366*Inputs!$D$33)</f>
        <v>0.24597517241379313</v>
      </c>
      <c r="Q366" s="38">
        <f>IF(P366&gt;=1,999,P366/(Inputs!$D$33*(1-P366))*60)</f>
        <v>0.48932441628191153</v>
      </c>
      <c r="R366" s="37">
        <f>MIN(1,MAX(0,(Q366-Inputs!$D$36)/(Inputs!$D$37-Inputs!$D$36)))</f>
        <v>0</v>
      </c>
      <c r="S366" s="35">
        <f>Inputs!$D$6*E366*Inputs!$D$27*(1-Inputs!$D$38*R366)</f>
        <v>4755.5200000000004</v>
      </c>
      <c r="T366" s="39">
        <f>S366*Inputs!$D$12</f>
        <v>76088.320000000007</v>
      </c>
      <c r="U366" s="39">
        <f>T366*(1-Inputs!$D$18)</f>
        <v>34239.743999999999</v>
      </c>
      <c r="V366" s="35">
        <f>Inputs!$D$6*F366*Inputs!$D$28*Inputs!$D$31</f>
        <v>563.68792608064427</v>
      </c>
      <c r="W366" s="36">
        <f>V366/(B366*Inputs!$D$34)</f>
        <v>1.4641244833263487</v>
      </c>
      <c r="X366" s="38">
        <f>IF(W366&gt;=1,999,W366/(Inputs!$D$34*(1-W366))*60)</f>
        <v>999</v>
      </c>
      <c r="Y366" s="37">
        <f>MIN(1,MAX(0,(X366-Inputs!$D$36)/(Inputs!$D$37-Inputs!$D$36)))</f>
        <v>1</v>
      </c>
      <c r="Z366" s="35">
        <f>Inputs!$D$6*F366*Inputs!$D$28*(1-Inputs!$D$38*Y366)</f>
        <v>2384.8335334181106</v>
      </c>
      <c r="AA366" s="39">
        <f>Z366*Inputs!$D$13</f>
        <v>20271.08503405394</v>
      </c>
      <c r="AB366" s="39">
        <f>AA366*(1-Inputs!$D$19)</f>
        <v>12162.651020432364</v>
      </c>
      <c r="AC366" s="39">
        <f t="shared" si="20"/>
        <v>342179.93453405396</v>
      </c>
      <c r="AD366" s="39">
        <f t="shared" si="21"/>
        <v>132439.58034543236</v>
      </c>
      <c r="AE366" s="36">
        <f t="shared" si="22"/>
        <v>1.4641244833263487</v>
      </c>
      <c r="AF366" s="35">
        <f>IF(AND(AE366&lt;=Inputs!$D$35,C366&gt;=Inputs!$D$48*(A366+B366+C366),B366*Inputs!$D$22&lt;=Inputs!$D$50*Inputs!$D$8,B366*Inputs!$D$22&gt;=Inputs!$D$49*Inputs!$D$8,A366*Inputs!$D$20&lt;=Inputs!$D$47*Inputs!$D$8,C366&gt;=1),1,0)</f>
        <v>0</v>
      </c>
      <c r="AG366" s="39">
        <f t="shared" si="23"/>
        <v>-1</v>
      </c>
    </row>
    <row r="367" spans="1:33" x14ac:dyDescent="0.25">
      <c r="A367" s="35">
        <v>40</v>
      </c>
      <c r="B367" s="35">
        <v>12</v>
      </c>
      <c r="C367" s="35">
        <f>Inputs!$D$8-A367-Inputs!$D$22*B367</f>
        <v>56</v>
      </c>
      <c r="D367" s="35">
        <f>A367*Inputs!$D$20+C367*Inputs!$D$21+B367*Inputs!$D$22</f>
        <v>120</v>
      </c>
      <c r="E367" s="36">
        <f>MIN(Inputs!$E$15,Inputs!$D$15*(C367/Inputs!$D$43)^Inputs!$D$44)</f>
        <v>0.4</v>
      </c>
      <c r="F367" s="36">
        <f>MIN(Inputs!$E$16,Inputs!$D$16*(B367/Inputs!$D$42)^Inputs!$D$44)</f>
        <v>0.34316688017763797</v>
      </c>
      <c r="G367" s="37">
        <f>Inputs!$D$26*(1+Inputs!$D$41*(B367-Inputs!$D$42))</f>
        <v>1.3800000000000001</v>
      </c>
      <c r="H367" s="35">
        <f>Inputs!$D$6*Inputs!$D$14*G367*Inputs!$D$29</f>
        <v>1733.8734000000004</v>
      </c>
      <c r="I367" s="36">
        <f>H367/(A367*Inputs!$D$32)</f>
        <v>0.78812427272727292</v>
      </c>
      <c r="J367" s="38">
        <f>IF(I367&gt;=1,999,I367/(Inputs!$D$32*(1-I367))*60)</f>
        <v>4.0579067029117342</v>
      </c>
      <c r="K367" s="37">
        <f>MIN(1,MAX(0,(J367-Inputs!$D$36)/(Inputs!$D$37-Inputs!$D$36)))</f>
        <v>0</v>
      </c>
      <c r="L367" s="35">
        <f>Inputs!$D$6*Inputs!$D$14*G367*(1-Inputs!$D$38*K367)</f>
        <v>11559.156000000003</v>
      </c>
      <c r="M367" s="39">
        <f>L367*Inputs!$D$11</f>
        <v>248521.85400000005</v>
      </c>
      <c r="N367" s="39">
        <f>M367*(1-Inputs!$D$17)</f>
        <v>86982.648900000015</v>
      </c>
      <c r="O367" s="35">
        <f>Inputs!$D$6*E367*Inputs!$D$27*Inputs!$D$30</f>
        <v>570.66240000000005</v>
      </c>
      <c r="P367" s="36">
        <f>O367/(C367*Inputs!$D$33)</f>
        <v>0.25476000000000004</v>
      </c>
      <c r="Q367" s="38">
        <f>IF(P367&gt;=1,999,P367/(Inputs!$D$33*(1-P367))*60)</f>
        <v>0.51277440824432408</v>
      </c>
      <c r="R367" s="37">
        <f>MIN(1,MAX(0,(Q367-Inputs!$D$36)/(Inputs!$D$37-Inputs!$D$36)))</f>
        <v>0</v>
      </c>
      <c r="S367" s="35">
        <f>Inputs!$D$6*E367*Inputs!$D$27*(1-Inputs!$D$38*R367)</f>
        <v>4755.5200000000004</v>
      </c>
      <c r="T367" s="39">
        <f>S367*Inputs!$D$12</f>
        <v>76088.320000000007</v>
      </c>
      <c r="U367" s="39">
        <f>T367*(1-Inputs!$D$18)</f>
        <v>34239.743999999999</v>
      </c>
      <c r="V367" s="35">
        <f>Inputs!$D$6*F367*Inputs!$D$28*Inputs!$D$31</f>
        <v>578.5958319897461</v>
      </c>
      <c r="W367" s="36">
        <f>V367/(B367*Inputs!$D$34)</f>
        <v>1.3776091237851098</v>
      </c>
      <c r="X367" s="38">
        <f>IF(W367&gt;=1,999,W367/(Inputs!$D$34*(1-W367))*60)</f>
        <v>999</v>
      </c>
      <c r="Y367" s="37">
        <f>MIN(1,MAX(0,(X367-Inputs!$D$36)/(Inputs!$D$37-Inputs!$D$36)))</f>
        <v>1</v>
      </c>
      <c r="Z367" s="35">
        <f>Inputs!$D$6*F367*Inputs!$D$28*(1-Inputs!$D$38*Y367)</f>
        <v>2447.9054430335414</v>
      </c>
      <c r="AA367" s="39">
        <f>Z367*Inputs!$D$13</f>
        <v>20807.1962657851</v>
      </c>
      <c r="AB367" s="39">
        <f>AA367*(1-Inputs!$D$19)</f>
        <v>12484.31775947106</v>
      </c>
      <c r="AC367" s="39">
        <f t="shared" si="20"/>
        <v>345417.37026578514</v>
      </c>
      <c r="AD367" s="39">
        <f t="shared" si="21"/>
        <v>133706.71065947108</v>
      </c>
      <c r="AE367" s="36">
        <f t="shared" si="22"/>
        <v>1.3776091237851098</v>
      </c>
      <c r="AF367" s="35">
        <f>IF(AND(AE367&lt;=Inputs!$D$35,C367&gt;=Inputs!$D$48*(A367+B367+C367),B367*Inputs!$D$22&lt;=Inputs!$D$50*Inputs!$D$8,B367*Inputs!$D$22&gt;=Inputs!$D$49*Inputs!$D$8,A367*Inputs!$D$20&lt;=Inputs!$D$47*Inputs!$D$8,C367&gt;=1),1,0)</f>
        <v>0</v>
      </c>
      <c r="AG367" s="39">
        <f t="shared" si="23"/>
        <v>-1</v>
      </c>
    </row>
    <row r="368" spans="1:33" x14ac:dyDescent="0.25">
      <c r="A368" s="35">
        <v>40</v>
      </c>
      <c r="B368" s="35">
        <v>13</v>
      </c>
      <c r="C368" s="35">
        <f>Inputs!$D$8-A368-Inputs!$D$22*B368</f>
        <v>54</v>
      </c>
      <c r="D368" s="35">
        <f>A368*Inputs!$D$20+C368*Inputs!$D$21+B368*Inputs!$D$22</f>
        <v>120</v>
      </c>
      <c r="E368" s="36">
        <f>MIN(Inputs!$E$15,Inputs!$D$15*(C368/Inputs!$D$43)^Inputs!$D$44)</f>
        <v>0.4</v>
      </c>
      <c r="F368" s="36">
        <f>MIN(Inputs!$E$16,Inputs!$D$16*(B368/Inputs!$D$42)^Inputs!$D$44)</f>
        <v>0.35150701637190523</v>
      </c>
      <c r="G368" s="37">
        <f>Inputs!$D$26*(1+Inputs!$D$41*(B368-Inputs!$D$42))</f>
        <v>1.395</v>
      </c>
      <c r="H368" s="35">
        <f>Inputs!$D$6*Inputs!$D$14*G368*Inputs!$D$29</f>
        <v>1752.7198500000002</v>
      </c>
      <c r="I368" s="36">
        <f>H368/(A368*Inputs!$D$32)</f>
        <v>0.79669084090909104</v>
      </c>
      <c r="J368" s="38">
        <f>IF(I368&gt;=1,999,I368/(Inputs!$D$32*(1-I368))*60)</f>
        <v>4.2748555199282148</v>
      </c>
      <c r="K368" s="37">
        <f>MIN(1,MAX(0,(J368-Inputs!$D$36)/(Inputs!$D$37-Inputs!$D$36)))</f>
        <v>0</v>
      </c>
      <c r="L368" s="35">
        <f>Inputs!$D$6*Inputs!$D$14*G368*(1-Inputs!$D$38*K368)</f>
        <v>11684.799000000001</v>
      </c>
      <c r="M368" s="39">
        <f>L368*Inputs!$D$11</f>
        <v>251223.17850000001</v>
      </c>
      <c r="N368" s="39">
        <f>M368*(1-Inputs!$D$17)</f>
        <v>87928.112475000002</v>
      </c>
      <c r="O368" s="35">
        <f>Inputs!$D$6*E368*Inputs!$D$27*Inputs!$D$30</f>
        <v>570.66240000000005</v>
      </c>
      <c r="P368" s="36">
        <f>O368/(C368*Inputs!$D$33)</f>
        <v>0.26419555555555557</v>
      </c>
      <c r="Q368" s="38">
        <f>IF(P368&gt;=1,999,P368/(Inputs!$D$33*(1-P368))*60)</f>
        <v>0.53858513131508379</v>
      </c>
      <c r="R368" s="37">
        <f>MIN(1,MAX(0,(Q368-Inputs!$D$36)/(Inputs!$D$37-Inputs!$D$36)))</f>
        <v>0</v>
      </c>
      <c r="S368" s="35">
        <f>Inputs!$D$6*E368*Inputs!$D$27*(1-Inputs!$D$38*R368)</f>
        <v>4755.5200000000004</v>
      </c>
      <c r="T368" s="39">
        <f>S368*Inputs!$D$12</f>
        <v>76088.320000000007</v>
      </c>
      <c r="U368" s="39">
        <f>T368*(1-Inputs!$D$18)</f>
        <v>34239.743999999999</v>
      </c>
      <c r="V368" s="35">
        <f>Inputs!$D$6*F368*Inputs!$D$28*Inputs!$D$31</f>
        <v>592.65770193981814</v>
      </c>
      <c r="W368" s="36">
        <f>V368/(B368*Inputs!$D$34)</f>
        <v>1.3025443998677322</v>
      </c>
      <c r="X368" s="38">
        <f>IF(W368&gt;=1,999,W368/(Inputs!$D$34*(1-W368))*60)</f>
        <v>999</v>
      </c>
      <c r="Y368" s="37">
        <f>MIN(1,MAX(0,(X368-Inputs!$D$36)/(Inputs!$D$37-Inputs!$D$36)))</f>
        <v>1</v>
      </c>
      <c r="Z368" s="35">
        <f>Inputs!$D$6*F368*Inputs!$D$28*(1-Inputs!$D$38*Y368)</f>
        <v>2507.3979697453847</v>
      </c>
      <c r="AA368" s="39">
        <f>Z368*Inputs!$D$13</f>
        <v>21312.882742835769</v>
      </c>
      <c r="AB368" s="39">
        <f>AA368*(1-Inputs!$D$19)</f>
        <v>12787.729645701462</v>
      </c>
      <c r="AC368" s="39">
        <f t="shared" si="20"/>
        <v>348624.38124283578</v>
      </c>
      <c r="AD368" s="39">
        <f t="shared" si="21"/>
        <v>134955.58612070148</v>
      </c>
      <c r="AE368" s="36">
        <f t="shared" si="22"/>
        <v>1.3025443998677322</v>
      </c>
      <c r="AF368" s="35">
        <f>IF(AND(AE368&lt;=Inputs!$D$35,C368&gt;=Inputs!$D$48*(A368+B368+C368),B368*Inputs!$D$22&lt;=Inputs!$D$50*Inputs!$D$8,B368*Inputs!$D$22&gt;=Inputs!$D$49*Inputs!$D$8,A368*Inputs!$D$20&lt;=Inputs!$D$47*Inputs!$D$8,C368&gt;=1),1,0)</f>
        <v>0</v>
      </c>
      <c r="AG368" s="39">
        <f t="shared" si="23"/>
        <v>-1</v>
      </c>
    </row>
    <row r="369" spans="1:33" x14ac:dyDescent="0.25">
      <c r="A369" s="35">
        <v>40</v>
      </c>
      <c r="B369" s="35">
        <v>14</v>
      </c>
      <c r="C369" s="35">
        <f>Inputs!$D$8-A369-Inputs!$D$22*B369</f>
        <v>52</v>
      </c>
      <c r="D369" s="35">
        <f>A369*Inputs!$D$20+C369*Inputs!$D$21+B369*Inputs!$D$22</f>
        <v>120</v>
      </c>
      <c r="E369" s="36">
        <f>MIN(Inputs!$E$15,Inputs!$D$15*(C369/Inputs!$D$43)^Inputs!$D$44)</f>
        <v>0.4</v>
      </c>
      <c r="F369" s="36">
        <f>MIN(Inputs!$E$16,Inputs!$D$16*(B369/Inputs!$D$42)^Inputs!$D$44)</f>
        <v>0.35940937671625589</v>
      </c>
      <c r="G369" s="37">
        <f>Inputs!$D$26*(1+Inputs!$D$41*(B369-Inputs!$D$42))</f>
        <v>1.41</v>
      </c>
      <c r="H369" s="35">
        <f>Inputs!$D$6*Inputs!$D$14*G369*Inputs!$D$29</f>
        <v>1771.5663000000002</v>
      </c>
      <c r="I369" s="36">
        <f>H369/(A369*Inputs!$D$32)</f>
        <v>0.80525740909090915</v>
      </c>
      <c r="J369" s="38">
        <f>IF(I369&gt;=1,999,I369/(Inputs!$D$32*(1-I369))*60)</f>
        <v>4.5108911409587593</v>
      </c>
      <c r="K369" s="37">
        <f>MIN(1,MAX(0,(J369-Inputs!$D$36)/(Inputs!$D$37-Inputs!$D$36)))</f>
        <v>0</v>
      </c>
      <c r="L369" s="35">
        <f>Inputs!$D$6*Inputs!$D$14*G369*(1-Inputs!$D$38*K369)</f>
        <v>11810.442000000001</v>
      </c>
      <c r="M369" s="39">
        <f>L369*Inputs!$D$11</f>
        <v>253924.50300000003</v>
      </c>
      <c r="N369" s="39">
        <f>M369*(1-Inputs!$D$17)</f>
        <v>88873.576050000003</v>
      </c>
      <c r="O369" s="35">
        <f>Inputs!$D$6*E369*Inputs!$D$27*Inputs!$D$30</f>
        <v>570.66240000000005</v>
      </c>
      <c r="P369" s="36">
        <f>O369/(C369*Inputs!$D$33)</f>
        <v>0.27435692307692311</v>
      </c>
      <c r="Q369" s="38">
        <f>IF(P369&gt;=1,999,P369/(Inputs!$D$33*(1-P369))*60)</f>
        <v>0.56713196570469071</v>
      </c>
      <c r="R369" s="37">
        <f>MIN(1,MAX(0,(Q369-Inputs!$D$36)/(Inputs!$D$37-Inputs!$D$36)))</f>
        <v>0</v>
      </c>
      <c r="S369" s="35">
        <f>Inputs!$D$6*E369*Inputs!$D$27*(1-Inputs!$D$38*R369)</f>
        <v>4755.5200000000004</v>
      </c>
      <c r="T369" s="39">
        <f>S369*Inputs!$D$12</f>
        <v>76088.320000000007</v>
      </c>
      <c r="U369" s="39">
        <f>T369*(1-Inputs!$D$18)</f>
        <v>34239.743999999999</v>
      </c>
      <c r="V369" s="35">
        <f>Inputs!$D$6*F369*Inputs!$D$28*Inputs!$D$31</f>
        <v>605.98146079368973</v>
      </c>
      <c r="W369" s="36">
        <f>V369/(B369*Inputs!$D$34)</f>
        <v>1.2366968587626321</v>
      </c>
      <c r="X369" s="38">
        <f>IF(W369&gt;=1,999,W369/(Inputs!$D$34*(1-W369))*60)</f>
        <v>999</v>
      </c>
      <c r="Y369" s="37">
        <f>MIN(1,MAX(0,(X369-Inputs!$D$36)/(Inputs!$D$37-Inputs!$D$36)))</f>
        <v>1</v>
      </c>
      <c r="Z369" s="35">
        <f>Inputs!$D$6*F369*Inputs!$D$28*(1-Inputs!$D$38*Y369)</f>
        <v>2563.7677187425338</v>
      </c>
      <c r="AA369" s="39">
        <f>Z369*Inputs!$D$13</f>
        <v>21792.025609311539</v>
      </c>
      <c r="AB369" s="39">
        <f>AA369*(1-Inputs!$D$19)</f>
        <v>13075.215365586922</v>
      </c>
      <c r="AC369" s="39">
        <f t="shared" si="20"/>
        <v>351804.84860931156</v>
      </c>
      <c r="AD369" s="39">
        <f t="shared" si="21"/>
        <v>136188.53541558693</v>
      </c>
      <c r="AE369" s="36">
        <f t="shared" si="22"/>
        <v>1.2366968587626321</v>
      </c>
      <c r="AF369" s="35">
        <f>IF(AND(AE369&lt;=Inputs!$D$35,C369&gt;=Inputs!$D$48*(A369+B369+C369),B369*Inputs!$D$22&lt;=Inputs!$D$50*Inputs!$D$8,B369*Inputs!$D$22&gt;=Inputs!$D$49*Inputs!$D$8,A369*Inputs!$D$20&lt;=Inputs!$D$47*Inputs!$D$8,C369&gt;=1),1,0)</f>
        <v>0</v>
      </c>
      <c r="AG369" s="39">
        <f t="shared" si="23"/>
        <v>-1</v>
      </c>
    </row>
    <row r="370" spans="1:33" x14ac:dyDescent="0.25">
      <c r="A370" s="35">
        <v>40</v>
      </c>
      <c r="B370" s="35">
        <v>15</v>
      </c>
      <c r="C370" s="35">
        <f>Inputs!$D$8-A370-Inputs!$D$22*B370</f>
        <v>50</v>
      </c>
      <c r="D370" s="35">
        <f>A370*Inputs!$D$20+C370*Inputs!$D$21+B370*Inputs!$D$22</f>
        <v>120</v>
      </c>
      <c r="E370" s="36">
        <f>MIN(Inputs!$E$15,Inputs!$D$15*(C370/Inputs!$D$43)^Inputs!$D$44)</f>
        <v>0.4</v>
      </c>
      <c r="F370" s="36">
        <f>MIN(Inputs!$E$16,Inputs!$D$16*(B370/Inputs!$D$42)^Inputs!$D$44)</f>
        <v>0.36692590185696072</v>
      </c>
      <c r="G370" s="37">
        <f>Inputs!$D$26*(1+Inputs!$D$41*(B370-Inputs!$D$42))</f>
        <v>1.4249999999999998</v>
      </c>
      <c r="H370" s="35">
        <f>Inputs!$D$6*Inputs!$D$14*G370*Inputs!$D$29</f>
        <v>1790.4127499999997</v>
      </c>
      <c r="I370" s="36">
        <f>H370/(A370*Inputs!$D$32)</f>
        <v>0.81382397727272715</v>
      </c>
      <c r="J370" s="38">
        <f>IF(I370&gt;=1,999,I370/(Inputs!$D$32*(1-I370))*60)</f>
        <v>4.7686483049815243</v>
      </c>
      <c r="K370" s="37">
        <f>MIN(1,MAX(0,(J370-Inputs!$D$36)/(Inputs!$D$37-Inputs!$D$36)))</f>
        <v>0</v>
      </c>
      <c r="L370" s="35">
        <f>Inputs!$D$6*Inputs!$D$14*G370*(1-Inputs!$D$38*K370)</f>
        <v>11936.084999999999</v>
      </c>
      <c r="M370" s="39">
        <f>L370*Inputs!$D$11</f>
        <v>256625.82749999998</v>
      </c>
      <c r="N370" s="39">
        <f>M370*(1-Inputs!$D$17)</f>
        <v>89819.03962499999</v>
      </c>
      <c r="O370" s="35">
        <f>Inputs!$D$6*E370*Inputs!$D$27*Inputs!$D$30</f>
        <v>570.66240000000005</v>
      </c>
      <c r="P370" s="36">
        <f>O370/(C370*Inputs!$D$33)</f>
        <v>0.28533120000000001</v>
      </c>
      <c r="Q370" s="38">
        <f>IF(P370&gt;=1,999,P370/(Inputs!$D$33*(1-P370))*60)</f>
        <v>0.59887433171841276</v>
      </c>
      <c r="R370" s="37">
        <f>MIN(1,MAX(0,(Q370-Inputs!$D$36)/(Inputs!$D$37-Inputs!$D$36)))</f>
        <v>0</v>
      </c>
      <c r="S370" s="35">
        <f>Inputs!$D$6*E370*Inputs!$D$27*(1-Inputs!$D$38*R370)</f>
        <v>4755.5200000000004</v>
      </c>
      <c r="T370" s="39">
        <f>S370*Inputs!$D$12</f>
        <v>76088.320000000007</v>
      </c>
      <c r="U370" s="39">
        <f>T370*(1-Inputs!$D$18)</f>
        <v>34239.743999999999</v>
      </c>
      <c r="V370" s="35">
        <f>Inputs!$D$6*F370*Inputs!$D$28*Inputs!$D$31</f>
        <v>618.65468297412497</v>
      </c>
      <c r="W370" s="36">
        <f>V370/(B370*Inputs!$D$34)</f>
        <v>1.1783898723316666</v>
      </c>
      <c r="X370" s="38">
        <f>IF(W370&gt;=1,999,W370/(Inputs!$D$34*(1-W370))*60)</f>
        <v>999</v>
      </c>
      <c r="Y370" s="37">
        <f>MIN(1,MAX(0,(X370-Inputs!$D$36)/(Inputs!$D$37-Inputs!$D$36)))</f>
        <v>1</v>
      </c>
      <c r="Z370" s="35">
        <f>Inputs!$D$6*F370*Inputs!$D$28*(1-Inputs!$D$38*Y370)</f>
        <v>2617.3851971982212</v>
      </c>
      <c r="AA370" s="39">
        <f>Z370*Inputs!$D$13</f>
        <v>22247.774176184881</v>
      </c>
      <c r="AB370" s="39">
        <f>AA370*(1-Inputs!$D$19)</f>
        <v>13348.664505710929</v>
      </c>
      <c r="AC370" s="39">
        <f t="shared" si="20"/>
        <v>354961.92167618487</v>
      </c>
      <c r="AD370" s="39">
        <f t="shared" si="21"/>
        <v>137407.44813071092</v>
      </c>
      <c r="AE370" s="36">
        <f t="shared" si="22"/>
        <v>1.1783898723316666</v>
      </c>
      <c r="AF370" s="35">
        <f>IF(AND(AE370&lt;=Inputs!$D$35,C370&gt;=Inputs!$D$48*(A370+B370+C370),B370*Inputs!$D$22&lt;=Inputs!$D$50*Inputs!$D$8,B370*Inputs!$D$22&gt;=Inputs!$D$49*Inputs!$D$8,A370*Inputs!$D$20&lt;=Inputs!$D$47*Inputs!$D$8,C370&gt;=1),1,0)</f>
        <v>0</v>
      </c>
      <c r="AG370" s="39">
        <f t="shared" si="23"/>
        <v>-1</v>
      </c>
    </row>
    <row r="371" spans="1:33" x14ac:dyDescent="0.25">
      <c r="A371" s="35">
        <v>40</v>
      </c>
      <c r="B371" s="35">
        <v>16</v>
      </c>
      <c r="C371" s="35">
        <f>Inputs!$D$8-A371-Inputs!$D$22*B371</f>
        <v>48</v>
      </c>
      <c r="D371" s="35">
        <f>A371*Inputs!$D$20+C371*Inputs!$D$21+B371*Inputs!$D$22</f>
        <v>120</v>
      </c>
      <c r="E371" s="36">
        <f>MIN(Inputs!$E$15,Inputs!$D$15*(C371/Inputs!$D$43)^Inputs!$D$44)</f>
        <v>0.39525168457966786</v>
      </c>
      <c r="F371" s="36">
        <f>MIN(Inputs!$E$16,Inputs!$D$16*(B371/Inputs!$D$42)^Inputs!$D$44)</f>
        <v>0.37409937912904856</v>
      </c>
      <c r="G371" s="37">
        <f>Inputs!$D$26*(1+Inputs!$D$41*(B371-Inputs!$D$42))</f>
        <v>1.44</v>
      </c>
      <c r="H371" s="35">
        <f>Inputs!$D$6*Inputs!$D$14*G371*Inputs!$D$29</f>
        <v>1809.2592000000002</v>
      </c>
      <c r="I371" s="36">
        <f>H371/(A371*Inputs!$D$32)</f>
        <v>0.8223905454545456</v>
      </c>
      <c r="J371" s="38">
        <f>IF(I371&gt;=1,999,I371/(Inputs!$D$32*(1-I371))*60)</f>
        <v>5.0512700723623203</v>
      </c>
      <c r="K371" s="37">
        <f>MIN(1,MAX(0,(J371-Inputs!$D$36)/(Inputs!$D$37-Inputs!$D$36)))</f>
        <v>3.4180048241546856E-3</v>
      </c>
      <c r="L371" s="35">
        <f>Inputs!$D$6*Inputs!$D$14*G371*(1-Inputs!$D$38*K371)</f>
        <v>12043.175829978763</v>
      </c>
      <c r="M371" s="39">
        <f>L371*Inputs!$D$11</f>
        <v>258928.28034454343</v>
      </c>
      <c r="N371" s="39">
        <f>M371*(1-Inputs!$D$17)</f>
        <v>90624.898120590195</v>
      </c>
      <c r="O371" s="35">
        <f>Inputs!$D$6*E371*Inputs!$D$27*Inputs!$D$30</f>
        <v>563.88818731569074</v>
      </c>
      <c r="P371" s="36">
        <f>O371/(C371*Inputs!$D$33)</f>
        <v>0.29369176422692228</v>
      </c>
      <c r="Q371" s="38">
        <f>IF(P371&gt;=1,999,P371/(Inputs!$D$33*(1-P371))*60)</f>
        <v>0.62371868828373556</v>
      </c>
      <c r="R371" s="37">
        <f>MIN(1,MAX(0,(Q371-Inputs!$D$36)/(Inputs!$D$37-Inputs!$D$36)))</f>
        <v>0</v>
      </c>
      <c r="S371" s="35">
        <f>Inputs!$D$6*E371*Inputs!$D$27*(1-Inputs!$D$38*R371)</f>
        <v>4699.0682276307562</v>
      </c>
      <c r="T371" s="39">
        <f>S371*Inputs!$D$12</f>
        <v>75185.091642092098</v>
      </c>
      <c r="U371" s="39">
        <f>T371*(1-Inputs!$D$18)</f>
        <v>33833.291238941441</v>
      </c>
      <c r="V371" s="35">
        <f>Inputs!$D$6*F371*Inputs!$D$28*Inputs!$D$31</f>
        <v>630.74950998177405</v>
      </c>
      <c r="W371" s="36">
        <f>V371/(B371*Inputs!$D$34)</f>
        <v>1.1263384106817393</v>
      </c>
      <c r="X371" s="38">
        <f>IF(W371&gt;=1,999,W371/(Inputs!$D$34*(1-W371))*60)</f>
        <v>999</v>
      </c>
      <c r="Y371" s="37">
        <f>MIN(1,MAX(0,(X371-Inputs!$D$36)/(Inputs!$D$37-Inputs!$D$36)))</f>
        <v>1</v>
      </c>
      <c r="Z371" s="35">
        <f>Inputs!$D$6*F371*Inputs!$D$28*(1-Inputs!$D$38*Y371)</f>
        <v>2668.5556191536598</v>
      </c>
      <c r="AA371" s="39">
        <f>Z371*Inputs!$D$13</f>
        <v>22682.722762806108</v>
      </c>
      <c r="AB371" s="39">
        <f>AA371*(1-Inputs!$D$19)</f>
        <v>13609.633657683664</v>
      </c>
      <c r="AC371" s="39">
        <f t="shared" si="20"/>
        <v>356796.0947494416</v>
      </c>
      <c r="AD371" s="39">
        <f t="shared" si="21"/>
        <v>138067.8230172153</v>
      </c>
      <c r="AE371" s="36">
        <f t="shared" si="22"/>
        <v>1.1263384106817393</v>
      </c>
      <c r="AF371" s="35">
        <f>IF(AND(AE371&lt;=Inputs!$D$35,C371&gt;=Inputs!$D$48*(A371+B371+C371),B371*Inputs!$D$22&lt;=Inputs!$D$50*Inputs!$D$8,B371*Inputs!$D$22&gt;=Inputs!$D$49*Inputs!$D$8,A371*Inputs!$D$20&lt;=Inputs!$D$47*Inputs!$D$8,C371&gt;=1),1,0)</f>
        <v>0</v>
      </c>
      <c r="AG371" s="39">
        <f t="shared" si="23"/>
        <v>-1</v>
      </c>
    </row>
    <row r="372" spans="1:33" x14ac:dyDescent="0.25">
      <c r="A372" s="35">
        <v>40</v>
      </c>
      <c r="B372" s="35">
        <v>17</v>
      </c>
      <c r="C372" s="35">
        <f>Inputs!$D$8-A372-Inputs!$D$22*B372</f>
        <v>46</v>
      </c>
      <c r="D372" s="35">
        <f>A372*Inputs!$D$20+C372*Inputs!$D$21+B372*Inputs!$D$22</f>
        <v>120</v>
      </c>
      <c r="E372" s="36">
        <f>MIN(Inputs!$E$15,Inputs!$D$15*(C372/Inputs!$D$43)^Inputs!$D$44)</f>
        <v>0.39023723685630041</v>
      </c>
      <c r="F372" s="36">
        <f>MIN(Inputs!$E$16,Inputs!$D$16*(B372/Inputs!$D$42)^Inputs!$D$44)</f>
        <v>0.3809655184437048</v>
      </c>
      <c r="G372" s="37">
        <f>Inputs!$D$26*(1+Inputs!$D$41*(B372-Inputs!$D$42))</f>
        <v>1.4550000000000001</v>
      </c>
      <c r="H372" s="35">
        <f>Inputs!$D$6*Inputs!$D$14*G372*Inputs!$D$29</f>
        <v>1828.1056500000002</v>
      </c>
      <c r="I372" s="36">
        <f>H372/(A372*Inputs!$D$32)</f>
        <v>0.83095711363636371</v>
      </c>
      <c r="J372" s="38">
        <f>IF(I372&gt;=1,999,I372/(Inputs!$D$32*(1-I372))*60)</f>
        <v>5.3625366255961504</v>
      </c>
      <c r="K372" s="37">
        <f>MIN(1,MAX(0,(J372-Inputs!$D$36)/(Inputs!$D$37-Inputs!$D$36)))</f>
        <v>2.4169108373076693E-2</v>
      </c>
      <c r="L372" s="35">
        <f>Inputs!$D$6*Inputs!$D$14*G372*(1-Inputs!$D$38*K372)</f>
        <v>12054.81994928315</v>
      </c>
      <c r="M372" s="39">
        <f>L372*Inputs!$D$11</f>
        <v>259178.62890958771</v>
      </c>
      <c r="N372" s="39">
        <f>M372*(1-Inputs!$D$17)</f>
        <v>90712.520118355693</v>
      </c>
      <c r="O372" s="35">
        <f>Inputs!$D$6*E372*Inputs!$D$27*Inputs!$D$30</f>
        <v>556.73429538446214</v>
      </c>
      <c r="P372" s="36">
        <f>O372/(C372*Inputs!$D$33)</f>
        <v>0.30257298662199028</v>
      </c>
      <c r="Q372" s="38">
        <f>IF(P372&gt;=1,999,P372/(Inputs!$D$33*(1-P372))*60)</f>
        <v>0.65076269090109196</v>
      </c>
      <c r="R372" s="37">
        <f>MIN(1,MAX(0,(Q372-Inputs!$D$36)/(Inputs!$D$37-Inputs!$D$36)))</f>
        <v>0</v>
      </c>
      <c r="S372" s="35">
        <f>Inputs!$D$6*E372*Inputs!$D$27*(1-Inputs!$D$38*R372)</f>
        <v>4639.4524615371847</v>
      </c>
      <c r="T372" s="39">
        <f>S372*Inputs!$D$12</f>
        <v>74231.239384594955</v>
      </c>
      <c r="U372" s="39">
        <f>T372*(1-Inputs!$D$18)</f>
        <v>33404.05772306773</v>
      </c>
      <c r="V372" s="35">
        <f>Inputs!$D$6*F372*Inputs!$D$28*Inputs!$D$31</f>
        <v>642.32615044097156</v>
      </c>
      <c r="W372" s="36">
        <f>V372/(B372*Inputs!$D$34)</f>
        <v>1.0795397486402882</v>
      </c>
      <c r="X372" s="38">
        <f>IF(W372&gt;=1,999,W372/(Inputs!$D$34*(1-W372))*60)</f>
        <v>999</v>
      </c>
      <c r="Y372" s="37">
        <f>MIN(1,MAX(0,(X372-Inputs!$D$36)/(Inputs!$D$37-Inputs!$D$36)))</f>
        <v>1</v>
      </c>
      <c r="Z372" s="35">
        <f>Inputs!$D$6*F372*Inputs!$D$28*(1-Inputs!$D$38*Y372)</f>
        <v>2717.5337134041106</v>
      </c>
      <c r="AA372" s="39">
        <f>Z372*Inputs!$D$13</f>
        <v>23099.03656393494</v>
      </c>
      <c r="AB372" s="39">
        <f>AA372*(1-Inputs!$D$19)</f>
        <v>13859.421938360963</v>
      </c>
      <c r="AC372" s="39">
        <f t="shared" si="20"/>
        <v>356508.90485811763</v>
      </c>
      <c r="AD372" s="39">
        <f t="shared" si="21"/>
        <v>137975.99977978438</v>
      </c>
      <c r="AE372" s="36">
        <f t="shared" si="22"/>
        <v>1.0795397486402882</v>
      </c>
      <c r="AF372" s="35">
        <f>IF(AND(AE372&lt;=Inputs!$D$35,C372&gt;=Inputs!$D$48*(A372+B372+C372),B372*Inputs!$D$22&lt;=Inputs!$D$50*Inputs!$D$8,B372*Inputs!$D$22&gt;=Inputs!$D$49*Inputs!$D$8,A372*Inputs!$D$20&lt;=Inputs!$D$47*Inputs!$D$8,C372&gt;=1),1,0)</f>
        <v>0</v>
      </c>
      <c r="AG372" s="39">
        <f t="shared" si="23"/>
        <v>-1</v>
      </c>
    </row>
    <row r="373" spans="1:33" x14ac:dyDescent="0.25">
      <c r="A373" s="35">
        <v>40</v>
      </c>
      <c r="B373" s="35">
        <v>18</v>
      </c>
      <c r="C373" s="35">
        <f>Inputs!$D$8-A373-Inputs!$D$22*B373</f>
        <v>44</v>
      </c>
      <c r="D373" s="35">
        <f>A373*Inputs!$D$20+C373*Inputs!$D$21+B373*Inputs!$D$22</f>
        <v>120</v>
      </c>
      <c r="E373" s="36">
        <f>MIN(Inputs!$E$15,Inputs!$D$15*(C373/Inputs!$D$43)^Inputs!$D$44)</f>
        <v>0.38506776240403751</v>
      </c>
      <c r="F373" s="36">
        <f>MIN(Inputs!$E$16,Inputs!$D$16*(B373/Inputs!$D$42)^Inputs!$D$44)</f>
        <v>0.38755446447890535</v>
      </c>
      <c r="G373" s="37">
        <f>Inputs!$D$26*(1+Inputs!$D$41*(B373-Inputs!$D$42))</f>
        <v>1.47</v>
      </c>
      <c r="H373" s="35">
        <f>Inputs!$D$6*Inputs!$D$14*G373*Inputs!$D$29</f>
        <v>1846.9521</v>
      </c>
      <c r="I373" s="36">
        <f>H373/(A373*Inputs!$D$32)</f>
        <v>0.83952368181818182</v>
      </c>
      <c r="J373" s="38">
        <f>IF(I373&gt;=1,999,I373/(Inputs!$D$32*(1-I373))*60)</f>
        <v>5.7070353239989151</v>
      </c>
      <c r="K373" s="37">
        <f>MIN(1,MAX(0,(J373-Inputs!$D$36)/(Inputs!$D$37-Inputs!$D$36)))</f>
        <v>4.7135688266594339E-2</v>
      </c>
      <c r="L373" s="35">
        <f>Inputs!$D$6*Inputs!$D$14*G373*(1-Inputs!$D$38*K373)</f>
        <v>12051.841924713204</v>
      </c>
      <c r="M373" s="39">
        <f>L373*Inputs!$D$11</f>
        <v>259114.60138133389</v>
      </c>
      <c r="N373" s="39">
        <f>M373*(1-Inputs!$D$17)</f>
        <v>90690.110483466851</v>
      </c>
      <c r="O373" s="35">
        <f>Inputs!$D$6*E373*Inputs!$D$27*Inputs!$D$30</f>
        <v>549.35923364029463</v>
      </c>
      <c r="P373" s="36">
        <f>O373/(C373*Inputs!$D$33)</f>
        <v>0.31213592820471286</v>
      </c>
      <c r="Q373" s="38">
        <f>IF(P373&gt;=1,999,P373/(Inputs!$D$33*(1-P373))*60)</f>
        <v>0.6806633919476025</v>
      </c>
      <c r="R373" s="37">
        <f>MIN(1,MAX(0,(Q373-Inputs!$D$36)/(Inputs!$D$37-Inputs!$D$36)))</f>
        <v>0</v>
      </c>
      <c r="S373" s="35">
        <f>Inputs!$D$6*E373*Inputs!$D$27*(1-Inputs!$D$38*R373)</f>
        <v>4577.9936136691222</v>
      </c>
      <c r="T373" s="39">
        <f>S373*Inputs!$D$12</f>
        <v>73247.897818705955</v>
      </c>
      <c r="U373" s="39">
        <f>T373*(1-Inputs!$D$18)</f>
        <v>32961.554018417679</v>
      </c>
      <c r="V373" s="35">
        <f>Inputs!$D$6*F373*Inputs!$D$28*Inputs!$D$31</f>
        <v>653.43542972572936</v>
      </c>
      <c r="W373" s="36">
        <f>V373/(B373*Inputs!$D$34)</f>
        <v>1.037199094802745</v>
      </c>
      <c r="X373" s="38">
        <f>IF(W373&gt;=1,999,W373/(Inputs!$D$34*(1-W373))*60)</f>
        <v>999</v>
      </c>
      <c r="Y373" s="37">
        <f>MIN(1,MAX(0,(X373-Inputs!$D$36)/(Inputs!$D$37-Inputs!$D$36)))</f>
        <v>1</v>
      </c>
      <c r="Z373" s="35">
        <f>Inputs!$D$6*F373*Inputs!$D$28*(1-Inputs!$D$38*Y373)</f>
        <v>2764.534510378086</v>
      </c>
      <c r="AA373" s="39">
        <f>Z373*Inputs!$D$13</f>
        <v>23498.543338213731</v>
      </c>
      <c r="AB373" s="39">
        <f>AA373*(1-Inputs!$D$19)</f>
        <v>14099.126002928238</v>
      </c>
      <c r="AC373" s="39">
        <f t="shared" si="20"/>
        <v>355861.04253825359</v>
      </c>
      <c r="AD373" s="39">
        <f t="shared" si="21"/>
        <v>137750.79050481276</v>
      </c>
      <c r="AE373" s="36">
        <f t="shared" si="22"/>
        <v>1.037199094802745</v>
      </c>
      <c r="AF373" s="35">
        <f>IF(AND(AE373&lt;=Inputs!$D$35,C373&gt;=Inputs!$D$48*(A373+B373+C373),B373*Inputs!$D$22&lt;=Inputs!$D$50*Inputs!$D$8,B373*Inputs!$D$22&gt;=Inputs!$D$49*Inputs!$D$8,A373*Inputs!$D$20&lt;=Inputs!$D$47*Inputs!$D$8,C373&gt;=1),1,0)</f>
        <v>0</v>
      </c>
      <c r="AG373" s="39">
        <f t="shared" si="23"/>
        <v>-1</v>
      </c>
    </row>
    <row r="374" spans="1:33" x14ac:dyDescent="0.25">
      <c r="A374" s="35">
        <v>40</v>
      </c>
      <c r="B374" s="35">
        <v>19</v>
      </c>
      <c r="C374" s="35">
        <f>Inputs!$D$8-A374-Inputs!$D$22*B374</f>
        <v>42</v>
      </c>
      <c r="D374" s="35">
        <f>A374*Inputs!$D$20+C374*Inputs!$D$21+B374*Inputs!$D$22</f>
        <v>120</v>
      </c>
      <c r="E374" s="36">
        <f>MIN(Inputs!$E$15,Inputs!$D$15*(C374/Inputs!$D$43)^Inputs!$D$44)</f>
        <v>0.37973108090036384</v>
      </c>
      <c r="F374" s="36">
        <f>MIN(Inputs!$E$16,Inputs!$D$16*(B374/Inputs!$D$42)^Inputs!$D$44)</f>
        <v>0.39389192072703005</v>
      </c>
      <c r="G374" s="37">
        <f>Inputs!$D$26*(1+Inputs!$D$41*(B374-Inputs!$D$42))</f>
        <v>1.4849999999999999</v>
      </c>
      <c r="H374" s="35">
        <f>Inputs!$D$6*Inputs!$D$14*G374*Inputs!$D$29</f>
        <v>1865.7985499999998</v>
      </c>
      <c r="I374" s="36">
        <f>H374/(A374*Inputs!$D$32)</f>
        <v>0.84809024999999993</v>
      </c>
      <c r="J374" s="38">
        <f>IF(I374&gt;=1,999,I374/(Inputs!$D$32*(1-I374))*60)</f>
        <v>6.0903882972380856</v>
      </c>
      <c r="K374" s="37">
        <f>MIN(1,MAX(0,(J374-Inputs!$D$36)/(Inputs!$D$37-Inputs!$D$36)))</f>
        <v>7.269255314920571E-2</v>
      </c>
      <c r="L374" s="35">
        <f>Inputs!$D$6*Inputs!$D$14*G374*(1-Inputs!$D$38*K374)</f>
        <v>12031.76801921524</v>
      </c>
      <c r="M374" s="39">
        <f>L374*Inputs!$D$11</f>
        <v>258683.01241312767</v>
      </c>
      <c r="N374" s="39">
        <f>M374*(1-Inputs!$D$17)</f>
        <v>90539.054344594682</v>
      </c>
      <c r="O374" s="35">
        <f>Inputs!$D$6*E374*Inputs!$D$27*Inputs!$D$30</f>
        <v>541.74562495298949</v>
      </c>
      <c r="P374" s="36">
        <f>O374/(C374*Inputs!$D$33)</f>
        <v>0.32246763390058897</v>
      </c>
      <c r="Q374" s="38">
        <f>IF(P374&gt;=1,999,P374/(Inputs!$D$33*(1-P374))*60)</f>
        <v>0.71391637514762252</v>
      </c>
      <c r="R374" s="37">
        <f>MIN(1,MAX(0,(Q374-Inputs!$D$36)/(Inputs!$D$37-Inputs!$D$36)))</f>
        <v>0</v>
      </c>
      <c r="S374" s="35">
        <f>Inputs!$D$6*E374*Inputs!$D$27*(1-Inputs!$D$38*R374)</f>
        <v>4514.5468746082461</v>
      </c>
      <c r="T374" s="39">
        <f>S374*Inputs!$D$12</f>
        <v>72232.749993731937</v>
      </c>
      <c r="U374" s="39">
        <f>T374*(1-Inputs!$D$18)</f>
        <v>32504.737497179369</v>
      </c>
      <c r="V374" s="35">
        <f>Inputs!$D$6*F374*Inputs!$D$28*Inputs!$D$31</f>
        <v>664.12068515796761</v>
      </c>
      <c r="W374" s="36">
        <f>V374/(B374*Inputs!$D$34)</f>
        <v>0.99867772204205651</v>
      </c>
      <c r="X374" s="38">
        <f>IF(W374&gt;=1,999,W374/(Inputs!$D$34*(1-W374))*60)</f>
        <v>1294.749671797274</v>
      </c>
      <c r="Y374" s="37">
        <f>MIN(1,MAX(0,(X374-Inputs!$D$36)/(Inputs!$D$37-Inputs!$D$36)))</f>
        <v>1</v>
      </c>
      <c r="Z374" s="35">
        <f>Inputs!$D$6*F374*Inputs!$D$28*(1-Inputs!$D$38*Y374)</f>
        <v>2809.7413602837091</v>
      </c>
      <c r="AA374" s="39">
        <f>Z374*Inputs!$D$13</f>
        <v>23882.801562411529</v>
      </c>
      <c r="AB374" s="39">
        <f>AA374*(1-Inputs!$D$19)</f>
        <v>14329.680937446918</v>
      </c>
      <c r="AC374" s="39">
        <f t="shared" si="20"/>
        <v>354798.56396927114</v>
      </c>
      <c r="AD374" s="39">
        <f t="shared" si="21"/>
        <v>137373.47277922096</v>
      </c>
      <c r="AE374" s="36">
        <f t="shared" si="22"/>
        <v>0.99867772204205651</v>
      </c>
      <c r="AF374" s="35">
        <f>IF(AND(AE374&lt;=Inputs!$D$35,C374&gt;=Inputs!$D$48*(A374+B374+C374),B374*Inputs!$D$22&lt;=Inputs!$D$50*Inputs!$D$8,B374*Inputs!$D$22&gt;=Inputs!$D$49*Inputs!$D$8,A374*Inputs!$D$20&lt;=Inputs!$D$47*Inputs!$D$8,C374&gt;=1),1,0)</f>
        <v>0</v>
      </c>
      <c r="AG374" s="39">
        <f t="shared" si="23"/>
        <v>-1</v>
      </c>
    </row>
    <row r="375" spans="1:33" x14ac:dyDescent="0.25">
      <c r="A375" s="35">
        <v>40</v>
      </c>
      <c r="B375" s="35">
        <v>20</v>
      </c>
      <c r="C375" s="35">
        <f>Inputs!$D$8-A375-Inputs!$D$22*B375</f>
        <v>40</v>
      </c>
      <c r="D375" s="35">
        <f>A375*Inputs!$D$20+C375*Inputs!$D$21+B375*Inputs!$D$22</f>
        <v>120</v>
      </c>
      <c r="E375" s="36">
        <f>MIN(Inputs!$E$15,Inputs!$D$15*(C375/Inputs!$D$43)^Inputs!$D$44)</f>
        <v>0.37421341802855551</v>
      </c>
      <c r="F375" s="36">
        <f>MIN(Inputs!$E$16,Inputs!$D$16*(B375/Inputs!$D$42)^Inputs!$D$44)</f>
        <v>0.4</v>
      </c>
      <c r="G375" s="37">
        <f>Inputs!$D$26*(1+Inputs!$D$41*(B375-Inputs!$D$42))</f>
        <v>1.5</v>
      </c>
      <c r="H375" s="35">
        <f>Inputs!$D$6*Inputs!$D$14*G375*Inputs!$D$29</f>
        <v>1884.645</v>
      </c>
      <c r="I375" s="36">
        <f>H375/(A375*Inputs!$D$32)</f>
        <v>0.85665681818181816</v>
      </c>
      <c r="J375" s="38">
        <f>IF(I375&gt;=1,999,I375/(Inputs!$D$32*(1-I375))*60)</f>
        <v>6.5195616484164294</v>
      </c>
      <c r="K375" s="37">
        <f>MIN(1,MAX(0,(J375-Inputs!$D$36)/(Inputs!$D$37-Inputs!$D$36)))</f>
        <v>0.10130410989442863</v>
      </c>
      <c r="L375" s="35">
        <f>Inputs!$D$6*Inputs!$D$14*G375*(1-Inputs!$D$38*K375)</f>
        <v>11991.533147424045</v>
      </c>
      <c r="M375" s="39">
        <f>L375*Inputs!$D$11</f>
        <v>257817.96266961697</v>
      </c>
      <c r="N375" s="39">
        <f>M375*(1-Inputs!$D$17)</f>
        <v>90236.28693436594</v>
      </c>
      <c r="O375" s="35">
        <f>Inputs!$D$6*E375*Inputs!$D$27*Inputs!$D$30</f>
        <v>533.8738181109469</v>
      </c>
      <c r="P375" s="36">
        <f>O375/(C375*Inputs!$D$33)</f>
        <v>0.33367113631934181</v>
      </c>
      <c r="Q375" s="38">
        <f>IF(P375&gt;=1,999,P375/(Inputs!$D$33*(1-P375))*60)</f>
        <v>0.75114066305685867</v>
      </c>
      <c r="R375" s="37">
        <f>MIN(1,MAX(0,(Q375-Inputs!$D$36)/(Inputs!$D$37-Inputs!$D$36)))</f>
        <v>0</v>
      </c>
      <c r="S375" s="35">
        <f>Inputs!$D$6*E375*Inputs!$D$27*(1-Inputs!$D$38*R375)</f>
        <v>4448.9484842578913</v>
      </c>
      <c r="T375" s="39">
        <f>S375*Inputs!$D$12</f>
        <v>71183.175748126261</v>
      </c>
      <c r="U375" s="39">
        <f>T375*(1-Inputs!$D$18)</f>
        <v>32032.429086656815</v>
      </c>
      <c r="V375" s="35">
        <f>Inputs!$D$6*F375*Inputs!$D$28*Inputs!$D$31</f>
        <v>674.41919999999993</v>
      </c>
      <c r="W375" s="36">
        <f>V375/(B375*Inputs!$D$34)</f>
        <v>0.96345599999999987</v>
      </c>
      <c r="X375" s="38">
        <f>IF(W375&gt;=1,999,W375/(Inputs!$D$34*(1-W375))*60)</f>
        <v>45.195896922691851</v>
      </c>
      <c r="Y375" s="37">
        <f>MIN(1,MAX(0,(X375-Inputs!$D$36)/(Inputs!$D$37-Inputs!$D$36)))</f>
        <v>1</v>
      </c>
      <c r="Z375" s="35">
        <f>Inputs!$D$6*F375*Inputs!$D$28*(1-Inputs!$D$38*Y375)</f>
        <v>2853.3119999999999</v>
      </c>
      <c r="AA375" s="39">
        <f>Z375*Inputs!$D$13</f>
        <v>24253.151999999998</v>
      </c>
      <c r="AB375" s="39">
        <f>AA375*(1-Inputs!$D$19)</f>
        <v>14551.891199999998</v>
      </c>
      <c r="AC375" s="39">
        <f t="shared" si="20"/>
        <v>353254.29041774326</v>
      </c>
      <c r="AD375" s="39">
        <f t="shared" si="21"/>
        <v>136820.60722102277</v>
      </c>
      <c r="AE375" s="36">
        <f t="shared" si="22"/>
        <v>0.96345599999999987</v>
      </c>
      <c r="AF375" s="35">
        <f>IF(AND(AE375&lt;=Inputs!$D$35,C375&gt;=Inputs!$D$48*(A375+B375+C375),B375*Inputs!$D$22&lt;=Inputs!$D$50*Inputs!$D$8,B375*Inputs!$D$22&gt;=Inputs!$D$49*Inputs!$D$8,A375*Inputs!$D$20&lt;=Inputs!$D$47*Inputs!$D$8,C375&gt;=1),1,0)</f>
        <v>0</v>
      </c>
      <c r="AG375" s="39">
        <f t="shared" si="23"/>
        <v>-1</v>
      </c>
    </row>
    <row r="376" spans="1:33" x14ac:dyDescent="0.25">
      <c r="A376" s="35">
        <v>40</v>
      </c>
      <c r="B376" s="35">
        <v>21</v>
      </c>
      <c r="C376" s="35">
        <f>Inputs!$D$8-A376-Inputs!$D$22*B376</f>
        <v>38</v>
      </c>
      <c r="D376" s="35">
        <f>A376*Inputs!$D$20+C376*Inputs!$D$21+B376*Inputs!$D$22</f>
        <v>120</v>
      </c>
      <c r="E376" s="36">
        <f>MIN(Inputs!$E$15,Inputs!$D$15*(C376/Inputs!$D$43)^Inputs!$D$44)</f>
        <v>0.36849910497273691</v>
      </c>
      <c r="F376" s="36">
        <f>MIN(Inputs!$E$16,Inputs!$D$16*(B376/Inputs!$D$42)^Inputs!$D$44)</f>
        <v>0.40589787816896217</v>
      </c>
      <c r="G376" s="37">
        <f>Inputs!$D$26*(1+Inputs!$D$41*(B376-Inputs!$D$42))</f>
        <v>1.5150000000000001</v>
      </c>
      <c r="H376" s="35">
        <f>Inputs!$D$6*Inputs!$D$14*G376*Inputs!$D$29</f>
        <v>1903.4914500000004</v>
      </c>
      <c r="I376" s="36">
        <f>H376/(A376*Inputs!$D$32)</f>
        <v>0.8652233863636366</v>
      </c>
      <c r="J376" s="38">
        <f>IF(I376&gt;=1,999,I376/(Inputs!$D$32*(1-I376))*60)</f>
        <v>7.0032925771372581</v>
      </c>
      <c r="K376" s="37">
        <f>MIN(1,MAX(0,(J376-Inputs!$D$36)/(Inputs!$D$37-Inputs!$D$36)))</f>
        <v>0.1335528384758172</v>
      </c>
      <c r="L376" s="35">
        <f>Inputs!$D$6*Inputs!$D$14*G376*(1-Inputs!$D$38*K376)</f>
        <v>11927.292941514155</v>
      </c>
      <c r="M376" s="39">
        <f>L376*Inputs!$D$11</f>
        <v>256436.79824255433</v>
      </c>
      <c r="N376" s="39">
        <f>M376*(1-Inputs!$D$17)</f>
        <v>89752.879384894011</v>
      </c>
      <c r="O376" s="35">
        <f>Inputs!$D$6*E376*Inputs!$D$27*Inputs!$D$30</f>
        <v>525.72145910398501</v>
      </c>
      <c r="P376" s="36">
        <f>O376/(C376*Inputs!$D$33)</f>
        <v>0.34586938098946385</v>
      </c>
      <c r="Q376" s="38">
        <f>IF(P376&gt;=1,999,P376/(Inputs!$D$33*(1-P376))*60)</f>
        <v>0.79311999225622454</v>
      </c>
      <c r="R376" s="37">
        <f>MIN(1,MAX(0,(Q376-Inputs!$D$36)/(Inputs!$D$37-Inputs!$D$36)))</f>
        <v>0</v>
      </c>
      <c r="S376" s="35">
        <f>Inputs!$D$6*E376*Inputs!$D$27*(1-Inputs!$D$38*R376)</f>
        <v>4381.012159199875</v>
      </c>
      <c r="T376" s="39">
        <f>S376*Inputs!$D$12</f>
        <v>70096.194547198</v>
      </c>
      <c r="U376" s="39">
        <f>T376*(1-Inputs!$D$18)</f>
        <v>31543.287546239098</v>
      </c>
      <c r="V376" s="35">
        <f>Inputs!$D$6*F376*Inputs!$D$28*Inputs!$D$31</f>
        <v>684.36330569102222</v>
      </c>
      <c r="W376" s="36">
        <f>V376/(B376*Inputs!$D$34)</f>
        <v>0.93110653835513224</v>
      </c>
      <c r="X376" s="38">
        <f>IF(W376&gt;=1,999,W376/(Inputs!$D$34*(1-W376))*60)</f>
        <v>23.16885520150278</v>
      </c>
      <c r="Y376" s="37">
        <f>MIN(1,MAX(0,(X376-Inputs!$D$36)/(Inputs!$D$37-Inputs!$D$36)))</f>
        <v>1</v>
      </c>
      <c r="Z376" s="35">
        <f>Inputs!$D$6*F376*Inputs!$D$28*(1-Inputs!$D$38*Y376)</f>
        <v>2895.3832163850943</v>
      </c>
      <c r="AA376" s="39">
        <f>Z376*Inputs!$D$13</f>
        <v>24610.757339273303</v>
      </c>
      <c r="AB376" s="39">
        <f>AA376*(1-Inputs!$D$19)</f>
        <v>14766.454403563981</v>
      </c>
      <c r="AC376" s="39">
        <f t="shared" si="20"/>
        <v>351143.7501290256</v>
      </c>
      <c r="AD376" s="39">
        <f t="shared" si="21"/>
        <v>136062.62133469709</v>
      </c>
      <c r="AE376" s="36">
        <f t="shared" si="22"/>
        <v>0.93110653835513224</v>
      </c>
      <c r="AF376" s="35">
        <f>IF(AND(AE376&lt;=Inputs!$D$35,C376&gt;=Inputs!$D$48*(A376+B376+C376),B376*Inputs!$D$22&lt;=Inputs!$D$50*Inputs!$D$8,B376*Inputs!$D$22&gt;=Inputs!$D$49*Inputs!$D$8,A376*Inputs!$D$20&lt;=Inputs!$D$47*Inputs!$D$8,C376&gt;=1),1,0)</f>
        <v>0</v>
      </c>
      <c r="AG376" s="39">
        <f t="shared" si="23"/>
        <v>-1</v>
      </c>
    </row>
    <row r="377" spans="1:33" x14ac:dyDescent="0.25">
      <c r="A377" s="35">
        <v>40</v>
      </c>
      <c r="B377" s="35">
        <v>22</v>
      </c>
      <c r="C377" s="35">
        <f>Inputs!$D$8-A377-Inputs!$D$22*B377</f>
        <v>36</v>
      </c>
      <c r="D377" s="35">
        <f>A377*Inputs!$D$20+C377*Inputs!$D$21+B377*Inputs!$D$22</f>
        <v>120</v>
      </c>
      <c r="E377" s="36">
        <f>MIN(Inputs!$E$15,Inputs!$D$15*(C377/Inputs!$D$43)^Inputs!$D$44)</f>
        <v>0.36257020206219398</v>
      </c>
      <c r="F377" s="36">
        <f>MIN(Inputs!$E$16,Inputs!$D$16*(B377/Inputs!$D$42)^Inputs!$D$44)</f>
        <v>0.41160230376843804</v>
      </c>
      <c r="G377" s="37">
        <f>Inputs!$D$26*(1+Inputs!$D$41*(B377-Inputs!$D$42))</f>
        <v>1.53</v>
      </c>
      <c r="H377" s="35">
        <f>Inputs!$D$6*Inputs!$D$14*G377*Inputs!$D$29</f>
        <v>1922.3379</v>
      </c>
      <c r="I377" s="36">
        <f>H377/(A377*Inputs!$D$32)</f>
        <v>0.87378995454545449</v>
      </c>
      <c r="J377" s="38">
        <f>IF(I377&gt;=1,999,I377/(Inputs!$D$32*(1-I377))*60)</f>
        <v>7.5526904496835892</v>
      </c>
      <c r="K377" s="37">
        <f>MIN(1,MAX(0,(J377-Inputs!$D$36)/(Inputs!$D$37-Inputs!$D$36)))</f>
        <v>0.17017936331223929</v>
      </c>
      <c r="L377" s="35">
        <f>Inputs!$D$6*Inputs!$D$14*G377*(1-Inputs!$D$38*K377)</f>
        <v>11834.159280321041</v>
      </c>
      <c r="M377" s="39">
        <f>L377*Inputs!$D$11</f>
        <v>254434.42452690238</v>
      </c>
      <c r="N377" s="39">
        <f>M377*(1-Inputs!$D$17)</f>
        <v>89052.048584415825</v>
      </c>
      <c r="O377" s="35">
        <f>Inputs!$D$6*E377*Inputs!$D$27*Inputs!$D$30</f>
        <v>517.26295419324151</v>
      </c>
      <c r="P377" s="36">
        <f>O377/(C377*Inputs!$D$33)</f>
        <v>0.35921038485641771</v>
      </c>
      <c r="Q377" s="38">
        <f>IF(P377&gt;=1,999,P377/(Inputs!$D$33*(1-P377))*60)</f>
        <v>0.84086190623406665</v>
      </c>
      <c r="R377" s="37">
        <f>MIN(1,MAX(0,(Q377-Inputs!$D$36)/(Inputs!$D$37-Inputs!$D$36)))</f>
        <v>0</v>
      </c>
      <c r="S377" s="35">
        <f>Inputs!$D$6*E377*Inputs!$D$27*(1-Inputs!$D$38*R377)</f>
        <v>4310.5246182770125</v>
      </c>
      <c r="T377" s="39">
        <f>S377*Inputs!$D$12</f>
        <v>68968.393892432199</v>
      </c>
      <c r="U377" s="39">
        <f>T377*(1-Inputs!$D$18)</f>
        <v>31035.777251594485</v>
      </c>
      <c r="V377" s="35">
        <f>Inputs!$D$6*F377*Inputs!$D$28*Inputs!$D$31</f>
        <v>693.98124106416742</v>
      </c>
      <c r="W377" s="36">
        <f>V377/(B377*Inputs!$D$34)</f>
        <v>0.90127433904437326</v>
      </c>
      <c r="X377" s="38">
        <f>IF(W377&gt;=1,999,W377/(Inputs!$D$34*(1-W377))*60)</f>
        <v>15.649849381818807</v>
      </c>
      <c r="Y377" s="37">
        <f>MIN(1,MAX(0,(X377-Inputs!$D$36)/(Inputs!$D$37-Inputs!$D$36)))</f>
        <v>0.70998995878792048</v>
      </c>
      <c r="Z377" s="35">
        <f>Inputs!$D$6*F377*Inputs!$D$28*(1-Inputs!$D$38*Y377)</f>
        <v>3632.749002537963</v>
      </c>
      <c r="AA377" s="39">
        <f>Z377*Inputs!$D$13</f>
        <v>30878.366521572687</v>
      </c>
      <c r="AB377" s="39">
        <f>AA377*(1-Inputs!$D$19)</f>
        <v>18527.019912943611</v>
      </c>
      <c r="AC377" s="39">
        <f t="shared" si="20"/>
        <v>354281.18494090729</v>
      </c>
      <c r="AD377" s="39">
        <f t="shared" si="21"/>
        <v>138614.84574895393</v>
      </c>
      <c r="AE377" s="36">
        <f t="shared" si="22"/>
        <v>0.90127433904437326</v>
      </c>
      <c r="AF377" s="35">
        <f>IF(AND(AE377&lt;=Inputs!$D$35,C377&gt;=Inputs!$D$48*(A377+B377+C377),B377*Inputs!$D$22&lt;=Inputs!$D$50*Inputs!$D$8,B377*Inputs!$D$22&gt;=Inputs!$D$49*Inputs!$D$8,A377*Inputs!$D$20&lt;=Inputs!$D$47*Inputs!$D$8,C377&gt;=1),1,0)</f>
        <v>0</v>
      </c>
      <c r="AG377" s="39">
        <f t="shared" si="23"/>
        <v>-1</v>
      </c>
    </row>
    <row r="378" spans="1:33" x14ac:dyDescent="0.25">
      <c r="A378" s="35">
        <v>40</v>
      </c>
      <c r="B378" s="35">
        <v>23</v>
      </c>
      <c r="C378" s="35">
        <f>Inputs!$D$8-A378-Inputs!$D$22*B378</f>
        <v>34</v>
      </c>
      <c r="D378" s="35">
        <f>A378*Inputs!$D$20+C378*Inputs!$D$21+B378*Inputs!$D$22</f>
        <v>120</v>
      </c>
      <c r="E378" s="36">
        <f>MIN(Inputs!$E$15,Inputs!$D$15*(C378/Inputs!$D$43)^Inputs!$D$44)</f>
        <v>0.35640602201959876</v>
      </c>
      <c r="F378" s="36">
        <f>MIN(Inputs!$E$16,Inputs!$D$16*(B378/Inputs!$D$42)^Inputs!$D$44)</f>
        <v>0.41712800028621322</v>
      </c>
      <c r="G378" s="37">
        <f>Inputs!$D$26*(1+Inputs!$D$41*(B378-Inputs!$D$42))</f>
        <v>1.5449999999999999</v>
      </c>
      <c r="H378" s="35">
        <f>Inputs!$D$6*Inputs!$D$14*G378*Inputs!$D$29</f>
        <v>1941.18435</v>
      </c>
      <c r="I378" s="36">
        <f>H378/(A378*Inputs!$D$32)</f>
        <v>0.88235652272727272</v>
      </c>
      <c r="J378" s="38">
        <f>IF(I378&gt;=1,999,I378/(Inputs!$D$32*(1-I378))*60)</f>
        <v>8.1821004817346026</v>
      </c>
      <c r="K378" s="37">
        <f>MIN(1,MAX(0,(J378-Inputs!$D$36)/(Inputs!$D$37-Inputs!$D$36)))</f>
        <v>0.21214003211564017</v>
      </c>
      <c r="L378" s="35">
        <f>Inputs!$D$6*Inputs!$D$14*G378*(1-Inputs!$D$38*K378)</f>
        <v>11705.820268945867</v>
      </c>
      <c r="M378" s="39">
        <f>L378*Inputs!$D$11</f>
        <v>251675.13578233615</v>
      </c>
      <c r="N378" s="39">
        <f>M378*(1-Inputs!$D$17)</f>
        <v>88086.297523817644</v>
      </c>
      <c r="O378" s="35">
        <f>Inputs!$D$6*E378*Inputs!$D$27*Inputs!$D$30</f>
        <v>508.46878975039266</v>
      </c>
      <c r="P378" s="36">
        <f>O378/(C378*Inputs!$D$33)</f>
        <v>0.37387411011058286</v>
      </c>
      <c r="Q378" s="38">
        <f>IF(P378&gt;=1,999,P378/(Inputs!$D$33*(1-P378))*60)</f>
        <v>0.89568435712652228</v>
      </c>
      <c r="R378" s="37">
        <f>MIN(1,MAX(0,(Q378-Inputs!$D$36)/(Inputs!$D$37-Inputs!$D$36)))</f>
        <v>0</v>
      </c>
      <c r="S378" s="35">
        <f>Inputs!$D$6*E378*Inputs!$D$27*(1-Inputs!$D$38*R378)</f>
        <v>4237.2399145866057</v>
      </c>
      <c r="T378" s="39">
        <f>S378*Inputs!$D$12</f>
        <v>67795.838633385691</v>
      </c>
      <c r="U378" s="39">
        <f>T378*(1-Inputs!$D$18)</f>
        <v>30508.127385023559</v>
      </c>
      <c r="V378" s="35">
        <f>Inputs!$D$6*F378*Inputs!$D$28*Inputs!$D$31</f>
        <v>703.29783062656929</v>
      </c>
      <c r="W378" s="36">
        <f>V378/(B378*Inputs!$D$34)</f>
        <v>0.87366190139946498</v>
      </c>
      <c r="X378" s="38">
        <f>IF(W378&gt;=1,999,W378/(Inputs!$D$34*(1-W378))*60)</f>
        <v>11.854746377182334</v>
      </c>
      <c r="Y378" s="37">
        <f>MIN(1,MAX(0,(X378-Inputs!$D$36)/(Inputs!$D$37-Inputs!$D$36)))</f>
        <v>0.45698309181215557</v>
      </c>
      <c r="Z378" s="35">
        <f>Inputs!$D$6*F378*Inputs!$D$28*(1-Inputs!$D$38*Y378)</f>
        <v>4297.4614071503011</v>
      </c>
      <c r="AA378" s="39">
        <f>Z378*Inputs!$D$13</f>
        <v>36528.421960777559</v>
      </c>
      <c r="AB378" s="39">
        <f>AA378*(1-Inputs!$D$19)</f>
        <v>21917.053176466536</v>
      </c>
      <c r="AC378" s="39">
        <f t="shared" si="20"/>
        <v>355999.39637649938</v>
      </c>
      <c r="AD378" s="39">
        <f t="shared" si="21"/>
        <v>140511.47808530775</v>
      </c>
      <c r="AE378" s="36">
        <f t="shared" si="22"/>
        <v>0.88235652272727272</v>
      </c>
      <c r="AF378" s="35">
        <f>IF(AND(AE378&lt;=Inputs!$D$35,C378&gt;=Inputs!$D$48*(A378+B378+C378),B378*Inputs!$D$22&lt;=Inputs!$D$50*Inputs!$D$8,B378*Inputs!$D$22&gt;=Inputs!$D$49*Inputs!$D$8,A378*Inputs!$D$20&lt;=Inputs!$D$47*Inputs!$D$8,C378&gt;=1),1,0)</f>
        <v>0</v>
      </c>
      <c r="AG378" s="39">
        <f t="shared" si="23"/>
        <v>-1</v>
      </c>
    </row>
    <row r="379" spans="1:33" x14ac:dyDescent="0.25">
      <c r="A379" s="35">
        <v>40</v>
      </c>
      <c r="B379" s="35">
        <v>24</v>
      </c>
      <c r="C379" s="35">
        <f>Inputs!$D$8-A379-Inputs!$D$22*B379</f>
        <v>32</v>
      </c>
      <c r="D379" s="35">
        <f>A379*Inputs!$D$20+C379*Inputs!$D$21+B379*Inputs!$D$22</f>
        <v>120</v>
      </c>
      <c r="E379" s="36">
        <f>MIN(Inputs!$E$15,Inputs!$D$15*(C379/Inputs!$D$43)^Inputs!$D$44)</f>
        <v>0.34998251836560429</v>
      </c>
      <c r="F379" s="36">
        <f>MIN(Inputs!$E$16,Inputs!$D$16*(B379/Inputs!$D$42)^Inputs!$D$44)</f>
        <v>0.42248798737570326</v>
      </c>
      <c r="G379" s="37">
        <f>Inputs!$D$26*(1+Inputs!$D$41*(B379-Inputs!$D$42))</f>
        <v>1.56</v>
      </c>
      <c r="H379" s="35">
        <f>Inputs!$D$6*Inputs!$D$14*G379*Inputs!$D$29</f>
        <v>1960.0308</v>
      </c>
      <c r="I379" s="36">
        <f>H379/(A379*Inputs!$D$32)</f>
        <v>0.89092309090909094</v>
      </c>
      <c r="J379" s="38">
        <f>IF(I379&gt;=1,999,I379/(Inputs!$D$32*(1-I379))*60)</f>
        <v>8.9103744071398285</v>
      </c>
      <c r="K379" s="37">
        <f>MIN(1,MAX(0,(J379-Inputs!$D$36)/(Inputs!$D$37-Inputs!$D$36)))</f>
        <v>0.26069162714265526</v>
      </c>
      <c r="L379" s="35">
        <f>Inputs!$D$6*Inputs!$D$14*G379*(1-Inputs!$D$38*K379)</f>
        <v>11533.981144494839</v>
      </c>
      <c r="M379" s="39">
        <f>L379*Inputs!$D$11</f>
        <v>247980.59460663903</v>
      </c>
      <c r="N379" s="39">
        <f>M379*(1-Inputs!$D$17)</f>
        <v>86793.208112323657</v>
      </c>
      <c r="O379" s="35">
        <f>Inputs!$D$6*E379*Inputs!$D$27*Inputs!$D$30</f>
        <v>499.30465972139962</v>
      </c>
      <c r="P379" s="36">
        <f>O379/(C379*Inputs!$D$33)</f>
        <v>0.39008176540734346</v>
      </c>
      <c r="Q379" s="38">
        <f>IF(P379&gt;=1,999,P379/(Inputs!$D$33*(1-P379))*60)</f>
        <v>0.95934604824825165</v>
      </c>
      <c r="R379" s="37">
        <f>MIN(1,MAX(0,(Q379-Inputs!$D$36)/(Inputs!$D$37-Inputs!$D$36)))</f>
        <v>0</v>
      </c>
      <c r="S379" s="35">
        <f>Inputs!$D$6*E379*Inputs!$D$27*(1-Inputs!$D$38*R379)</f>
        <v>4160.8721643449971</v>
      </c>
      <c r="T379" s="39">
        <f>S379*Inputs!$D$12</f>
        <v>66573.954629519954</v>
      </c>
      <c r="U379" s="39">
        <f>T379*(1-Inputs!$D$18)</f>
        <v>29958.279583283977</v>
      </c>
      <c r="V379" s="35">
        <f>Inputs!$D$6*F379*Inputs!$D$28*Inputs!$D$31</f>
        <v>712.33502613882979</v>
      </c>
      <c r="W379" s="36">
        <f>V379/(B379*Inputs!$D$34)</f>
        <v>0.84801788826051161</v>
      </c>
      <c r="X379" s="38">
        <f>IF(W379&gt;=1,999,W379/(Inputs!$D$34*(1-W379))*60)</f>
        <v>9.5652372155190832</v>
      </c>
      <c r="Y379" s="37">
        <f>MIN(1,MAX(0,(X379-Inputs!$D$36)/(Inputs!$D$37-Inputs!$D$36)))</f>
        <v>0.30434914770127219</v>
      </c>
      <c r="Z379" s="35">
        <f>Inputs!$D$6*F379*Inputs!$D$28*(1-Inputs!$D$38*Y379)</f>
        <v>4729.0436538571339</v>
      </c>
      <c r="AA379" s="39">
        <f>Z379*Inputs!$D$13</f>
        <v>40196.87105778564</v>
      </c>
      <c r="AB379" s="39">
        <f>AA379*(1-Inputs!$D$19)</f>
        <v>24118.122634671385</v>
      </c>
      <c r="AC379" s="39">
        <f t="shared" si="20"/>
        <v>354751.4202939446</v>
      </c>
      <c r="AD379" s="39">
        <f t="shared" si="21"/>
        <v>140869.61033027901</v>
      </c>
      <c r="AE379" s="36">
        <f t="shared" si="22"/>
        <v>0.89092309090909094</v>
      </c>
      <c r="AF379" s="35">
        <f>IF(AND(AE379&lt;=Inputs!$D$35,C379&gt;=Inputs!$D$48*(A379+B379+C379),B379*Inputs!$D$22&lt;=Inputs!$D$50*Inputs!$D$8,B379*Inputs!$D$22&gt;=Inputs!$D$49*Inputs!$D$8,A379*Inputs!$D$20&lt;=Inputs!$D$47*Inputs!$D$8,C379&gt;=1),1,0)</f>
        <v>0</v>
      </c>
      <c r="AG379" s="39">
        <f t="shared" si="23"/>
        <v>-1</v>
      </c>
    </row>
    <row r="380" spans="1:33" x14ac:dyDescent="0.25">
      <c r="A380" s="35">
        <v>40</v>
      </c>
      <c r="B380" s="35">
        <v>25</v>
      </c>
      <c r="C380" s="35">
        <f>Inputs!$D$8-A380-Inputs!$D$22*B380</f>
        <v>30</v>
      </c>
      <c r="D380" s="35">
        <f>A380*Inputs!$D$20+C380*Inputs!$D$21+B380*Inputs!$D$22</f>
        <v>120</v>
      </c>
      <c r="E380" s="36">
        <f>MIN(Inputs!$E$15,Inputs!$D$15*(C380/Inputs!$D$43)^Inputs!$D$44)</f>
        <v>0.3432714897427589</v>
      </c>
      <c r="F380" s="36">
        <f>MIN(Inputs!$E$16,Inputs!$D$16*(B380/Inputs!$D$42)^Inputs!$D$44)</f>
        <v>0.42769383999647526</v>
      </c>
      <c r="G380" s="37">
        <f>Inputs!$D$26*(1+Inputs!$D$41*(B380-Inputs!$D$42))</f>
        <v>1.5750000000000002</v>
      </c>
      <c r="H380" s="35">
        <f>Inputs!$D$6*Inputs!$D$14*G380*Inputs!$D$29</f>
        <v>1978.8772500000005</v>
      </c>
      <c r="I380" s="36">
        <f>H380/(A380*Inputs!$D$32)</f>
        <v>0.89948965909090928</v>
      </c>
      <c r="J380" s="38">
        <f>IF(I380&gt;=1,999,I380/(Inputs!$D$32*(1-I380))*60)</f>
        <v>9.7627909467397007</v>
      </c>
      <c r="K380" s="37">
        <f>MIN(1,MAX(0,(J380-Inputs!$D$36)/(Inputs!$D$37-Inputs!$D$36)))</f>
        <v>0.31751939644931337</v>
      </c>
      <c r="L380" s="35">
        <f>Inputs!$D$6*Inputs!$D$14*G380*(1-Inputs!$D$38*K380)</f>
        <v>11307.519269798171</v>
      </c>
      <c r="M380" s="39">
        <f>L380*Inputs!$D$11</f>
        <v>243111.66430066069</v>
      </c>
      <c r="N380" s="39">
        <f>M380*(1-Inputs!$D$17)</f>
        <v>85089.082505231243</v>
      </c>
      <c r="O380" s="35">
        <f>Inputs!$D$6*E380*Inputs!$D$27*Inputs!$D$30</f>
        <v>489.73033047044544</v>
      </c>
      <c r="P380" s="36">
        <f>O380/(C380*Inputs!$D$33)</f>
        <v>0.40810860872537119</v>
      </c>
      <c r="Q380" s="38">
        <f>IF(P380&gt;=1,999,P380/(Inputs!$D$33*(1-P380))*60)</f>
        <v>1.0342487187890559</v>
      </c>
      <c r="R380" s="37">
        <f>MIN(1,MAX(0,(Q380-Inputs!$D$36)/(Inputs!$D$37-Inputs!$D$36)))</f>
        <v>0</v>
      </c>
      <c r="S380" s="35">
        <f>Inputs!$D$6*E380*Inputs!$D$27*(1-Inputs!$D$38*R380)</f>
        <v>4081.0860872537123</v>
      </c>
      <c r="T380" s="39">
        <f>S380*Inputs!$D$12</f>
        <v>65297.377396059397</v>
      </c>
      <c r="U380" s="39">
        <f>T380*(1-Inputs!$D$18)</f>
        <v>29383.819828226726</v>
      </c>
      <c r="V380" s="35">
        <f>Inputs!$D$6*F380*Inputs!$D$28*Inputs!$D$31</f>
        <v>721.1123435383771</v>
      </c>
      <c r="W380" s="36">
        <f>V380/(B380*Inputs!$D$34)</f>
        <v>0.82412839261528814</v>
      </c>
      <c r="X380" s="38">
        <f>IF(W380&gt;=1,999,W380/(Inputs!$D$34*(1-W380))*60)</f>
        <v>8.0330847668163621</v>
      </c>
      <c r="Y380" s="37">
        <f>MIN(1,MAX(0,(X380-Inputs!$D$36)/(Inputs!$D$37-Inputs!$D$36)))</f>
        <v>0.20220565112109082</v>
      </c>
      <c r="Z380" s="35">
        <f>Inputs!$D$6*F380*Inputs!$D$28*(1-Inputs!$D$38*Y380)</f>
        <v>5042.2807508299393</v>
      </c>
      <c r="AA380" s="39">
        <f>Z380*Inputs!$D$13</f>
        <v>42859.386382054487</v>
      </c>
      <c r="AB380" s="39">
        <f>AA380*(1-Inputs!$D$19)</f>
        <v>25715.631829232691</v>
      </c>
      <c r="AC380" s="39">
        <f t="shared" si="20"/>
        <v>351268.42807877454</v>
      </c>
      <c r="AD380" s="39">
        <f t="shared" si="21"/>
        <v>140188.53416269066</v>
      </c>
      <c r="AE380" s="36">
        <f t="shared" si="22"/>
        <v>0.89948965909090928</v>
      </c>
      <c r="AF380" s="35">
        <f>IF(AND(AE380&lt;=Inputs!$D$35,C380&gt;=Inputs!$D$48*(A380+B380+C380),B380*Inputs!$D$22&lt;=Inputs!$D$50*Inputs!$D$8,B380*Inputs!$D$22&gt;=Inputs!$D$49*Inputs!$D$8,A380*Inputs!$D$20&lt;=Inputs!$D$47*Inputs!$D$8,C380&gt;=1),1,0)</f>
        <v>0</v>
      </c>
      <c r="AG380" s="39">
        <f t="shared" si="23"/>
        <v>-1</v>
      </c>
    </row>
    <row r="381" spans="1:33" x14ac:dyDescent="0.25">
      <c r="A381" s="35">
        <v>40</v>
      </c>
      <c r="B381" s="35">
        <v>26</v>
      </c>
      <c r="C381" s="35">
        <f>Inputs!$D$8-A381-Inputs!$D$22*B381</f>
        <v>28</v>
      </c>
      <c r="D381" s="35">
        <f>A381*Inputs!$D$20+C381*Inputs!$D$21+B381*Inputs!$D$22</f>
        <v>120</v>
      </c>
      <c r="E381" s="36">
        <f>MIN(Inputs!$E$15,Inputs!$D$15*(C381/Inputs!$D$43)^Inputs!$D$44)</f>
        <v>0.33623952833125714</v>
      </c>
      <c r="F381" s="36">
        <f>MIN(Inputs!$E$16,Inputs!$D$16*(B381/Inputs!$D$42)^Inputs!$D$44)</f>
        <v>0.43275589945781112</v>
      </c>
      <c r="G381" s="37">
        <f>Inputs!$D$26*(1+Inputs!$D$41*(B381-Inputs!$D$42))</f>
        <v>1.59</v>
      </c>
      <c r="H381" s="35">
        <f>Inputs!$D$6*Inputs!$D$14*G381*Inputs!$D$29</f>
        <v>1997.7237</v>
      </c>
      <c r="I381" s="36">
        <f>H381/(A381*Inputs!$D$32)</f>
        <v>0.90805622727272728</v>
      </c>
      <c r="J381" s="38">
        <f>IF(I381&gt;=1,999,I381/(Inputs!$D$32*(1-I381))*60)</f>
        <v>10.774049878579675</v>
      </c>
      <c r="K381" s="37">
        <f>MIN(1,MAX(0,(J381-Inputs!$D$36)/(Inputs!$D$37-Inputs!$D$36)))</f>
        <v>0.38493665857197829</v>
      </c>
      <c r="L381" s="35">
        <f>Inputs!$D$6*Inputs!$D$14*G381*(1-Inputs!$D$38*K381)</f>
        <v>11011.166742515854</v>
      </c>
      <c r="M381" s="39">
        <f>L381*Inputs!$D$11</f>
        <v>236740.08496409087</v>
      </c>
      <c r="N381" s="39">
        <f>M381*(1-Inputs!$D$17)</f>
        <v>82859.029737431803</v>
      </c>
      <c r="O381" s="35">
        <f>Inputs!$D$6*E381*Inputs!$D$27*Inputs!$D$30</f>
        <v>479.69814053095797</v>
      </c>
      <c r="P381" s="36">
        <f>O381/(C381*Inputs!$D$33)</f>
        <v>0.42830191118835531</v>
      </c>
      <c r="Q381" s="38">
        <f>IF(P381&gt;=1,999,P381/(Inputs!$D$33*(1-P381))*60)</f>
        <v>1.1237624882006552</v>
      </c>
      <c r="R381" s="37">
        <f>MIN(1,MAX(0,(Q381-Inputs!$D$36)/(Inputs!$D$37-Inputs!$D$36)))</f>
        <v>0</v>
      </c>
      <c r="S381" s="35">
        <f>Inputs!$D$6*E381*Inputs!$D$27*(1-Inputs!$D$38*R381)</f>
        <v>3997.4845044246499</v>
      </c>
      <c r="T381" s="39">
        <f>S381*Inputs!$D$12</f>
        <v>63959.752070794399</v>
      </c>
      <c r="U381" s="39">
        <f>T381*(1-Inputs!$D$18)</f>
        <v>28781.888431857478</v>
      </c>
      <c r="V381" s="35">
        <f>Inputs!$D$6*F381*Inputs!$D$28*Inputs!$D$31</f>
        <v>729.64721876904355</v>
      </c>
      <c r="W381" s="36">
        <f>V381/(B381*Inputs!$D$34)</f>
        <v>0.80181013051543248</v>
      </c>
      <c r="X381" s="38">
        <f>IF(W381&gt;=1,999,W381/(Inputs!$D$34*(1-W381))*60)</f>
        <v>6.9354284146153136</v>
      </c>
      <c r="Y381" s="37">
        <f>MIN(1,MAX(0,(X381-Inputs!$D$36)/(Inputs!$D$37-Inputs!$D$36)))</f>
        <v>0.12902856097435425</v>
      </c>
      <c r="Z381" s="35">
        <f>Inputs!$D$6*F381*Inputs!$D$28*(1-Inputs!$D$38*Y381)</f>
        <v>5286.7832305655711</v>
      </c>
      <c r="AA381" s="39">
        <f>Z381*Inputs!$D$13</f>
        <v>44937.657459807357</v>
      </c>
      <c r="AB381" s="39">
        <f>AA381*(1-Inputs!$D$19)</f>
        <v>26962.594475884413</v>
      </c>
      <c r="AC381" s="39">
        <f t="shared" si="20"/>
        <v>345637.4944946926</v>
      </c>
      <c r="AD381" s="39">
        <f t="shared" si="21"/>
        <v>138603.5126451737</v>
      </c>
      <c r="AE381" s="36">
        <f t="shared" si="22"/>
        <v>0.90805622727272728</v>
      </c>
      <c r="AF381" s="35">
        <f>IF(AND(AE381&lt;=Inputs!$D$35,C381&gt;=Inputs!$D$48*(A381+B381+C381),B381*Inputs!$D$22&lt;=Inputs!$D$50*Inputs!$D$8,B381*Inputs!$D$22&gt;=Inputs!$D$49*Inputs!$D$8,A381*Inputs!$D$20&lt;=Inputs!$D$47*Inputs!$D$8,C381&gt;=1),1,0)</f>
        <v>0</v>
      </c>
      <c r="AG381" s="39">
        <f t="shared" si="23"/>
        <v>-1</v>
      </c>
    </row>
    <row r="382" spans="1:33" x14ac:dyDescent="0.25">
      <c r="A382" s="35">
        <v>40</v>
      </c>
      <c r="B382" s="35">
        <v>27</v>
      </c>
      <c r="C382" s="35">
        <f>Inputs!$D$8-A382-Inputs!$D$22*B382</f>
        <v>26</v>
      </c>
      <c r="D382" s="35">
        <f>A382*Inputs!$D$20+C382*Inputs!$D$21+B382*Inputs!$D$22</f>
        <v>120</v>
      </c>
      <c r="E382" s="36">
        <f>MIN(Inputs!$E$15,Inputs!$D$15*(C382/Inputs!$D$43)^Inputs!$D$44)</f>
        <v>0.32884660514387515</v>
      </c>
      <c r="F382" s="36">
        <f>MIN(Inputs!$E$16,Inputs!$D$16*(B382/Inputs!$D$42)^Inputs!$D$44)</f>
        <v>0.43768344678187454</v>
      </c>
      <c r="G382" s="37">
        <f>Inputs!$D$26*(1+Inputs!$D$41*(B382-Inputs!$D$42))</f>
        <v>1.605</v>
      </c>
      <c r="H382" s="35">
        <f>Inputs!$D$6*Inputs!$D$14*G382*Inputs!$D$29</f>
        <v>2016.57015</v>
      </c>
      <c r="I382" s="36">
        <f>H382/(A382*Inputs!$D$32)</f>
        <v>0.9166227954545455</v>
      </c>
      <c r="J382" s="38">
        <f>IF(I382&gt;=1,999,I382/(Inputs!$D$32*(1-I382))*60)</f>
        <v>11.993111857698791</v>
      </c>
      <c r="K382" s="37">
        <f>MIN(1,MAX(0,(J382-Inputs!$D$36)/(Inputs!$D$37-Inputs!$D$36)))</f>
        <v>0.4662074571799194</v>
      </c>
      <c r="L382" s="35">
        <f>Inputs!$D$6*Inputs!$D$14*G382*(1-Inputs!$D$38*K382)</f>
        <v>10623.380874430715</v>
      </c>
      <c r="M382" s="39">
        <f>L382*Inputs!$D$11</f>
        <v>228402.68880026037</v>
      </c>
      <c r="N382" s="39">
        <f>M382*(1-Inputs!$D$17)</f>
        <v>79940.941080091128</v>
      </c>
      <c r="O382" s="35">
        <f>Inputs!$D$6*E382*Inputs!$D$27*Inputs!$D$30</f>
        <v>469.15098230814039</v>
      </c>
      <c r="P382" s="36">
        <f>O382/(C382*Inputs!$D$33)</f>
        <v>0.45110671375782729</v>
      </c>
      <c r="Q382" s="38">
        <f>IF(P382&gt;=1,999,P382/(Inputs!$D$33*(1-P382))*60)</f>
        <v>1.2327716290160586</v>
      </c>
      <c r="R382" s="37">
        <f>MIN(1,MAX(0,(Q382-Inputs!$D$36)/(Inputs!$D$37-Inputs!$D$36)))</f>
        <v>0</v>
      </c>
      <c r="S382" s="35">
        <f>Inputs!$D$6*E382*Inputs!$D$27*(1-Inputs!$D$38*R382)</f>
        <v>3909.5915192345033</v>
      </c>
      <c r="T382" s="39">
        <f>S382*Inputs!$D$12</f>
        <v>62553.464307752052</v>
      </c>
      <c r="U382" s="39">
        <f>T382*(1-Inputs!$D$18)</f>
        <v>28149.058938488422</v>
      </c>
      <c r="V382" s="35">
        <f>Inputs!$D$6*F382*Inputs!$D$28*Inputs!$D$31</f>
        <v>737.95530007968603</v>
      </c>
      <c r="W382" s="36">
        <f>V382/(B382*Inputs!$D$34)</f>
        <v>0.78090507944940324</v>
      </c>
      <c r="X382" s="38">
        <f>IF(W382&gt;=1,999,W382/(Inputs!$D$34*(1-W382))*60)</f>
        <v>6.1101116290101798</v>
      </c>
      <c r="Y382" s="37">
        <f>MIN(1,MAX(0,(X382-Inputs!$D$36)/(Inputs!$D$37-Inputs!$D$36)))</f>
        <v>7.4007441934011986E-2</v>
      </c>
      <c r="Z382" s="35">
        <f>Inputs!$D$6*F382*Inputs!$D$28*(1-Inputs!$D$38*Y382)</f>
        <v>5487.5301328495489</v>
      </c>
      <c r="AA382" s="39">
        <f>Z382*Inputs!$D$13</f>
        <v>46644.006129221169</v>
      </c>
      <c r="AB382" s="39">
        <f>AA382*(1-Inputs!$D$19)</f>
        <v>27986.4036775327</v>
      </c>
      <c r="AC382" s="39">
        <f t="shared" si="20"/>
        <v>337600.15923723357</v>
      </c>
      <c r="AD382" s="39">
        <f t="shared" si="21"/>
        <v>136076.40369611225</v>
      </c>
      <c r="AE382" s="36">
        <f t="shared" si="22"/>
        <v>0.9166227954545455</v>
      </c>
      <c r="AF382" s="35">
        <f>IF(AND(AE382&lt;=Inputs!$D$35,C382&gt;=Inputs!$D$48*(A382+B382+C382),B382*Inputs!$D$22&lt;=Inputs!$D$50*Inputs!$D$8,B382*Inputs!$D$22&gt;=Inputs!$D$49*Inputs!$D$8,A382*Inputs!$D$20&lt;=Inputs!$D$47*Inputs!$D$8,C382&gt;=1),1,0)</f>
        <v>0</v>
      </c>
      <c r="AG382" s="39">
        <f t="shared" si="23"/>
        <v>-1</v>
      </c>
    </row>
    <row r="383" spans="1:33" x14ac:dyDescent="0.25">
      <c r="A383" s="35">
        <v>40</v>
      </c>
      <c r="B383" s="35">
        <v>28</v>
      </c>
      <c r="C383" s="35">
        <f>Inputs!$D$8-A383-Inputs!$D$22*B383</f>
        <v>24</v>
      </c>
      <c r="D383" s="35">
        <f>A383*Inputs!$D$20+C383*Inputs!$D$21+B383*Inputs!$D$22</f>
        <v>120</v>
      </c>
      <c r="E383" s="36">
        <f>MIN(Inputs!$E$15,Inputs!$D$15*(C383/Inputs!$D$43)^Inputs!$D$44)</f>
        <v>0.32104412796367415</v>
      </c>
      <c r="F383" s="36">
        <f>MIN(Inputs!$E$16,Inputs!$D$16*(B383/Inputs!$D$42)^Inputs!$D$44)</f>
        <v>0.44248484624799689</v>
      </c>
      <c r="G383" s="37">
        <f>Inputs!$D$26*(1+Inputs!$D$41*(B383-Inputs!$D$42))</f>
        <v>1.62</v>
      </c>
      <c r="H383" s="35">
        <f>Inputs!$D$6*Inputs!$D$14*G383*Inputs!$D$29</f>
        <v>2035.4166</v>
      </c>
      <c r="I383" s="36">
        <f>H383/(A383*Inputs!$D$32)</f>
        <v>0.92518936363636362</v>
      </c>
      <c r="J383" s="38">
        <f>IF(I383&gt;=1,999,I383/(Inputs!$D$32*(1-I383))*60)</f>
        <v>13.491363483360244</v>
      </c>
      <c r="K383" s="37">
        <f>MIN(1,MAX(0,(J383-Inputs!$D$36)/(Inputs!$D$37-Inputs!$D$36)))</f>
        <v>0.56609089889068298</v>
      </c>
      <c r="L383" s="35">
        <f>Inputs!$D$6*Inputs!$D$14*G383*(1-Inputs!$D$38*K383)</f>
        <v>10112.751561866948</v>
      </c>
      <c r="M383" s="39">
        <f>L383*Inputs!$D$11</f>
        <v>217424.15858013937</v>
      </c>
      <c r="N383" s="39">
        <f>M383*(1-Inputs!$D$17)</f>
        <v>76098.455503048768</v>
      </c>
      <c r="O383" s="35">
        <f>Inputs!$D$6*E383*Inputs!$D$27*Inputs!$D$30</f>
        <v>458.01953142414351</v>
      </c>
      <c r="P383" s="36">
        <f>O383/(C383*Inputs!$D$33)</f>
        <v>0.47710367856681618</v>
      </c>
      <c r="Q383" s="38">
        <f>IF(P383&gt;=1,999,P383/(Inputs!$D$33*(1-P383))*60)</f>
        <v>1.3686375071232384</v>
      </c>
      <c r="R383" s="37">
        <f>MIN(1,MAX(0,(Q383-Inputs!$D$36)/(Inputs!$D$37-Inputs!$D$36)))</f>
        <v>0</v>
      </c>
      <c r="S383" s="35">
        <f>Inputs!$D$6*E383*Inputs!$D$27*(1-Inputs!$D$38*R383)</f>
        <v>3816.8294285345296</v>
      </c>
      <c r="T383" s="39">
        <f>S383*Inputs!$D$12</f>
        <v>61069.270856552474</v>
      </c>
      <c r="U383" s="39">
        <f>T383*(1-Inputs!$D$18)</f>
        <v>27481.17188544861</v>
      </c>
      <c r="V383" s="35">
        <f>Inputs!$D$6*F383*Inputs!$D$28*Inputs!$D$31</f>
        <v>746.05069004674272</v>
      </c>
      <c r="W383" s="36">
        <f>V383/(B383*Inputs!$D$34)</f>
        <v>0.76127621433341097</v>
      </c>
      <c r="X383" s="38">
        <f>IF(W383&gt;=1,999,W383/(Inputs!$D$34*(1-W383))*60)</f>
        <v>5.4667570523531852</v>
      </c>
      <c r="Y383" s="37">
        <f>MIN(1,MAX(0,(X383-Inputs!$D$36)/(Inputs!$D$37-Inputs!$D$36)))</f>
        <v>3.111713682354568E-2</v>
      </c>
      <c r="Z383" s="35">
        <f>Inputs!$D$6*F383*Inputs!$D$28*(1-Inputs!$D$38*Y383)</f>
        <v>5658.4919801305723</v>
      </c>
      <c r="AA383" s="39">
        <f>Z383*Inputs!$D$13</f>
        <v>48097.181831109861</v>
      </c>
      <c r="AB383" s="39">
        <f>AA383*(1-Inputs!$D$19)</f>
        <v>28858.309098665915</v>
      </c>
      <c r="AC383" s="39">
        <f t="shared" si="20"/>
        <v>326590.61126780172</v>
      </c>
      <c r="AD383" s="39">
        <f t="shared" si="21"/>
        <v>132437.9364871633</v>
      </c>
      <c r="AE383" s="36">
        <f t="shared" si="22"/>
        <v>0.92518936363636362</v>
      </c>
      <c r="AF383" s="35">
        <f>IF(AND(AE383&lt;=Inputs!$D$35,C383&gt;=Inputs!$D$48*(A383+B383+C383),B383*Inputs!$D$22&lt;=Inputs!$D$50*Inputs!$D$8,B383*Inputs!$D$22&gt;=Inputs!$D$49*Inputs!$D$8,A383*Inputs!$D$20&lt;=Inputs!$D$47*Inputs!$D$8,C383&gt;=1),1,0)</f>
        <v>0</v>
      </c>
      <c r="AG383" s="39">
        <f t="shared" si="23"/>
        <v>-1</v>
      </c>
    </row>
    <row r="384" spans="1:33" x14ac:dyDescent="0.25">
      <c r="A384" s="35">
        <v>40</v>
      </c>
      <c r="B384" s="35">
        <v>29</v>
      </c>
      <c r="C384" s="35">
        <f>Inputs!$D$8-A384-Inputs!$D$22*B384</f>
        <v>22</v>
      </c>
      <c r="D384" s="35">
        <f>A384*Inputs!$D$20+C384*Inputs!$D$21+B384*Inputs!$D$22</f>
        <v>120</v>
      </c>
      <c r="E384" s="36">
        <f>MIN(Inputs!$E$15,Inputs!$D$15*(C384/Inputs!$D$43)^Inputs!$D$44)</f>
        <v>0.31277221277221301</v>
      </c>
      <c r="F384" s="36">
        <f>MIN(Inputs!$E$16,Inputs!$D$16*(B384/Inputs!$D$42)^Inputs!$D$44)</f>
        <v>0.44716766511947192</v>
      </c>
      <c r="G384" s="37">
        <f>Inputs!$D$26*(1+Inputs!$D$41*(B384-Inputs!$D$42))</f>
        <v>1.6350000000000002</v>
      </c>
      <c r="H384" s="35">
        <f>Inputs!$D$6*Inputs!$D$14*G384*Inputs!$D$29</f>
        <v>2054.2630500000005</v>
      </c>
      <c r="I384" s="36">
        <f>H384/(A384*Inputs!$D$32)</f>
        <v>0.93375593181818206</v>
      </c>
      <c r="J384" s="38">
        <f>IF(I384&gt;=1,999,I384/(Inputs!$D$32*(1-I384))*60)</f>
        <v>15.377117720410954</v>
      </c>
      <c r="K384" s="37">
        <f>MIN(1,MAX(0,(J384-Inputs!$D$36)/(Inputs!$D$37-Inputs!$D$36)))</f>
        <v>0.69180784802739692</v>
      </c>
      <c r="L384" s="35">
        <f>Inputs!$D$6*Inputs!$D$14*G384*(1-Inputs!$D$38*K384)</f>
        <v>9431.6211002919117</v>
      </c>
      <c r="M384" s="39">
        <f>L384*Inputs!$D$11</f>
        <v>202779.8536562761</v>
      </c>
      <c r="N384" s="39">
        <f>M384*(1-Inputs!$D$17)</f>
        <v>70972.948779696628</v>
      </c>
      <c r="O384" s="35">
        <f>Inputs!$D$6*E384*Inputs!$D$27*Inputs!$D$30</f>
        <v>446.21835398475434</v>
      </c>
      <c r="P384" s="36">
        <f>O384/(C384*Inputs!$D$33)</f>
        <v>0.50706631134631175</v>
      </c>
      <c r="Q384" s="38">
        <f>IF(P384&gt;=1,999,P384/(Inputs!$D$33*(1-P384))*60)</f>
        <v>1.543005650713049</v>
      </c>
      <c r="R384" s="37">
        <f>MIN(1,MAX(0,(Q384-Inputs!$D$36)/(Inputs!$D$37-Inputs!$D$36)))</f>
        <v>0</v>
      </c>
      <c r="S384" s="35">
        <f>Inputs!$D$6*E384*Inputs!$D$27*(1-Inputs!$D$38*R384)</f>
        <v>3718.4862832062863</v>
      </c>
      <c r="T384" s="39">
        <f>S384*Inputs!$D$12</f>
        <v>59495.780531300581</v>
      </c>
      <c r="U384" s="39">
        <f>T384*(1-Inputs!$D$18)</f>
        <v>26773.101239085259</v>
      </c>
      <c r="V384" s="35">
        <f>Inputs!$D$6*F384*Inputs!$D$28*Inputs!$D$31</f>
        <v>753.9461474393554</v>
      </c>
      <c r="W384" s="36">
        <f>V384/(B384*Inputs!$D$34)</f>
        <v>0.74280408614714821</v>
      </c>
      <c r="X384" s="38">
        <f>IF(W384&gt;=1,999,W384/(Inputs!$D$34*(1-W384))*60)</f>
        <v>4.9510056918075414</v>
      </c>
      <c r="Y384" s="37">
        <f>MIN(1,MAX(0,(X384-Inputs!$D$36)/(Inputs!$D$37-Inputs!$D$36)))</f>
        <v>0</v>
      </c>
      <c r="Z384" s="35">
        <f>Inputs!$D$6*F384*Inputs!$D$28*(1-Inputs!$D$38*Y384)</f>
        <v>5799.5857495335031</v>
      </c>
      <c r="AA384" s="39">
        <f>Z384*Inputs!$D$13</f>
        <v>49296.478871034778</v>
      </c>
      <c r="AB384" s="39">
        <f>AA384*(1-Inputs!$D$19)</f>
        <v>29577.887322620867</v>
      </c>
      <c r="AC384" s="39">
        <f t="shared" si="20"/>
        <v>311572.11305861152</v>
      </c>
      <c r="AD384" s="39">
        <f t="shared" si="21"/>
        <v>127323.93734140275</v>
      </c>
      <c r="AE384" s="36">
        <f t="shared" si="22"/>
        <v>0.93375593181818206</v>
      </c>
      <c r="AF384" s="35">
        <f>IF(AND(AE384&lt;=Inputs!$D$35,C384&gt;=Inputs!$D$48*(A384+B384+C384),B384*Inputs!$D$22&lt;=Inputs!$D$50*Inputs!$D$8,B384*Inputs!$D$22&gt;=Inputs!$D$49*Inputs!$D$8,A384*Inputs!$D$20&lt;=Inputs!$D$47*Inputs!$D$8,C384&gt;=1),1,0)</f>
        <v>0</v>
      </c>
      <c r="AG384" s="39">
        <f t="shared" si="23"/>
        <v>-1</v>
      </c>
    </row>
    <row r="385" spans="1:33" x14ac:dyDescent="0.25">
      <c r="A385" s="35">
        <v>40</v>
      </c>
      <c r="B385" s="35">
        <v>30</v>
      </c>
      <c r="C385" s="35">
        <f>Inputs!$D$8-A385-Inputs!$D$22*B385</f>
        <v>20</v>
      </c>
      <c r="D385" s="35">
        <f>A385*Inputs!$D$20+C385*Inputs!$D$21+B385*Inputs!$D$22</f>
        <v>120</v>
      </c>
      <c r="E385" s="36">
        <f>MIN(Inputs!$E$15,Inputs!$D$15*(C385/Inputs!$D$43)^Inputs!$D$44)</f>
        <v>0.30395574554235194</v>
      </c>
      <c r="F385" s="36">
        <f>MIN(Inputs!$E$16,Inputs!$D$16*(B385/Inputs!$D$42)^Inputs!$D$44)</f>
        <v>0.45173877418274222</v>
      </c>
      <c r="G385" s="37">
        <f>Inputs!$D$26*(1+Inputs!$D$41*(B385-Inputs!$D$42))</f>
        <v>1.6500000000000001</v>
      </c>
      <c r="H385" s="35">
        <f>Inputs!$D$6*Inputs!$D$14*G385*Inputs!$D$29</f>
        <v>2073.1095000000005</v>
      </c>
      <c r="I385" s="36">
        <f>H385/(A385*Inputs!$D$32)</f>
        <v>0.94232250000000017</v>
      </c>
      <c r="J385" s="38">
        <f>IF(I385&gt;=1,999,I385/(Inputs!$D$32*(1-I385))*60)</f>
        <v>17.823036397523904</v>
      </c>
      <c r="K385" s="37">
        <f>MIN(1,MAX(0,(J385-Inputs!$D$36)/(Inputs!$D$37-Inputs!$D$36)))</f>
        <v>0.85486909316826021</v>
      </c>
      <c r="L385" s="35">
        <f>Inputs!$D$6*Inputs!$D$14*G385*(1-Inputs!$D$38*K385)</f>
        <v>8504.0182850894853</v>
      </c>
      <c r="M385" s="39">
        <f>L385*Inputs!$D$11</f>
        <v>182836.39312942393</v>
      </c>
      <c r="N385" s="39">
        <f>M385*(1-Inputs!$D$17)</f>
        <v>63992.737595298371</v>
      </c>
      <c r="O385" s="35">
        <f>Inputs!$D$6*E385*Inputs!$D$27*Inputs!$D$30</f>
        <v>433.64028811246965</v>
      </c>
      <c r="P385" s="36">
        <f>O385/(C385*Inputs!$D$33)</f>
        <v>0.54205036014058705</v>
      </c>
      <c r="Q385" s="38">
        <f>IF(P385&gt;=1,999,P385/(Inputs!$D$33*(1-P385))*60)</f>
        <v>1.7754693299038049</v>
      </c>
      <c r="R385" s="37">
        <f>MIN(1,MAX(0,(Q385-Inputs!$D$36)/(Inputs!$D$37-Inputs!$D$36)))</f>
        <v>0</v>
      </c>
      <c r="S385" s="35">
        <f>Inputs!$D$6*E385*Inputs!$D$27*(1-Inputs!$D$38*R385)</f>
        <v>3613.6690676039138</v>
      </c>
      <c r="T385" s="39">
        <f>S385*Inputs!$D$12</f>
        <v>57818.705081662622</v>
      </c>
      <c r="U385" s="39">
        <f>T385*(1-Inputs!$D$18)</f>
        <v>26018.417286748176</v>
      </c>
      <c r="V385" s="35">
        <f>Inputs!$D$6*F385*Inputs!$D$28*Inputs!$D$31</f>
        <v>761.65325673326424</v>
      </c>
      <c r="W385" s="36">
        <f>V385/(B385*Inputs!$D$34)</f>
        <v>0.72538405403168027</v>
      </c>
      <c r="X385" s="38">
        <f>IF(W385&gt;=1,999,W385/(Inputs!$D$34*(1-W385))*60)</f>
        <v>4.5281985239874629</v>
      </c>
      <c r="Y385" s="37">
        <f>MIN(1,MAX(0,(X385-Inputs!$D$36)/(Inputs!$D$37-Inputs!$D$36)))</f>
        <v>0</v>
      </c>
      <c r="Z385" s="35">
        <f>Inputs!$D$6*F385*Inputs!$D$28*(1-Inputs!$D$38*Y385)</f>
        <v>5858.8712056404938</v>
      </c>
      <c r="AA385" s="39">
        <f>Z385*Inputs!$D$13</f>
        <v>49800.405247944196</v>
      </c>
      <c r="AB385" s="39">
        <f>AA385*(1-Inputs!$D$19)</f>
        <v>29880.243148766516</v>
      </c>
      <c r="AC385" s="39">
        <f t="shared" si="20"/>
        <v>290455.50345903076</v>
      </c>
      <c r="AD385" s="39">
        <f t="shared" si="21"/>
        <v>119891.39803081306</v>
      </c>
      <c r="AE385" s="36">
        <f t="shared" si="22"/>
        <v>0.94232250000000017</v>
      </c>
      <c r="AF385" s="35">
        <f>IF(AND(AE385&lt;=Inputs!$D$35,C385&gt;=Inputs!$D$48*(A385+B385+C385),B385*Inputs!$D$22&lt;=Inputs!$D$50*Inputs!$D$8,B385*Inputs!$D$22&gt;=Inputs!$D$49*Inputs!$D$8,A385*Inputs!$D$20&lt;=Inputs!$D$47*Inputs!$D$8,C385&gt;=1),1,0)</f>
        <v>0</v>
      </c>
      <c r="AG385" s="39">
        <f t="shared" si="23"/>
        <v>-1</v>
      </c>
    </row>
    <row r="386" spans="1:33" x14ac:dyDescent="0.25">
      <c r="A386" s="35">
        <v>40</v>
      </c>
      <c r="B386" s="35">
        <v>31</v>
      </c>
      <c r="C386" s="35">
        <f>Inputs!$D$8-A386-Inputs!$D$22*B386</f>
        <v>18</v>
      </c>
      <c r="D386" s="35">
        <f>A386*Inputs!$D$20+C386*Inputs!$D$21+B386*Inputs!$D$22</f>
        <v>120</v>
      </c>
      <c r="E386" s="36">
        <f>MIN(Inputs!$E$15,Inputs!$D$15*(C386/Inputs!$D$43)^Inputs!$D$44)</f>
        <v>0.29449851547238159</v>
      </c>
      <c r="F386" s="36">
        <f>MIN(Inputs!$E$16,Inputs!$D$16*(B386/Inputs!$D$42)^Inputs!$D$44)</f>
        <v>0.45620443270573335</v>
      </c>
      <c r="G386" s="37">
        <f>Inputs!$D$26*(1+Inputs!$D$41*(B386-Inputs!$D$42))</f>
        <v>1.665</v>
      </c>
      <c r="H386" s="35">
        <f>Inputs!$D$6*Inputs!$D$14*G386*Inputs!$D$29</f>
        <v>2091.95595</v>
      </c>
      <c r="I386" s="36">
        <f>H386/(A386*Inputs!$D$32)</f>
        <v>0.95088906818181818</v>
      </c>
      <c r="J386" s="38">
        <f>IF(I386&gt;=1,999,I386/(Inputs!$D$32*(1-I386))*60)</f>
        <v>21.122253040647433</v>
      </c>
      <c r="K386" s="37">
        <f>MIN(1,MAX(0,(J386-Inputs!$D$36)/(Inputs!$D$37-Inputs!$D$36)))</f>
        <v>1</v>
      </c>
      <c r="L386" s="35">
        <f>Inputs!$D$6*Inputs!$D$14*G386*(1-Inputs!$D$38*K386)</f>
        <v>7670.5051500000018</v>
      </c>
      <c r="M386" s="39">
        <f>L386*Inputs!$D$11</f>
        <v>164915.86072500004</v>
      </c>
      <c r="N386" s="39">
        <f>M386*(1-Inputs!$D$17)</f>
        <v>57720.551253750011</v>
      </c>
      <c r="O386" s="35">
        <f>Inputs!$D$6*E386*Inputs!$D$27*Inputs!$D$30</f>
        <v>420.14807408976606</v>
      </c>
      <c r="P386" s="36">
        <f>O386/(C386*Inputs!$D$33)</f>
        <v>0.58353899179134172</v>
      </c>
      <c r="Q386" s="38">
        <f>IF(P386&gt;=1,999,P386/(Inputs!$D$33*(1-P386))*60)</f>
        <v>2.1017777665477375</v>
      </c>
      <c r="R386" s="37">
        <f>MIN(1,MAX(0,(Q386-Inputs!$D$36)/(Inputs!$D$37-Inputs!$D$36)))</f>
        <v>0</v>
      </c>
      <c r="S386" s="35">
        <f>Inputs!$D$6*E386*Inputs!$D$27*(1-Inputs!$D$38*R386)</f>
        <v>3501.2339507480506</v>
      </c>
      <c r="T386" s="39">
        <f>S386*Inputs!$D$12</f>
        <v>56019.743211968809</v>
      </c>
      <c r="U386" s="39">
        <f>T386*(1-Inputs!$D$18)</f>
        <v>25208.88444538596</v>
      </c>
      <c r="V386" s="35">
        <f>Inputs!$D$6*F386*Inputs!$D$28*Inputs!$D$31</f>
        <v>769.18257135463637</v>
      </c>
      <c r="W386" s="36">
        <f>V386/(B386*Inputs!$D$34)</f>
        <v>0.70892402889828232</v>
      </c>
      <c r="X386" s="38">
        <f>IF(W386&gt;=1,999,W386/(Inputs!$D$34*(1-W386))*60)</f>
        <v>4.1751929252501148</v>
      </c>
      <c r="Y386" s="37">
        <f>MIN(1,MAX(0,(X386-Inputs!$D$36)/(Inputs!$D$37-Inputs!$D$36)))</f>
        <v>0</v>
      </c>
      <c r="Z386" s="35">
        <f>Inputs!$D$6*F386*Inputs!$D$28*(1-Inputs!$D$38*Y386)</f>
        <v>5916.7890104202797</v>
      </c>
      <c r="AA386" s="39">
        <f>Z386*Inputs!$D$13</f>
        <v>50292.706588572379</v>
      </c>
      <c r="AB386" s="39">
        <f>AA386*(1-Inputs!$D$19)</f>
        <v>30175.623953143426</v>
      </c>
      <c r="AC386" s="39">
        <f t="shared" si="20"/>
        <v>271228.31052554119</v>
      </c>
      <c r="AD386" s="39">
        <f t="shared" si="21"/>
        <v>113105.05965227939</v>
      </c>
      <c r="AE386" s="36">
        <f t="shared" si="22"/>
        <v>0.95088906818181818</v>
      </c>
      <c r="AF386" s="35">
        <f>IF(AND(AE386&lt;=Inputs!$D$35,C386&gt;=Inputs!$D$48*(A386+B386+C386),B386*Inputs!$D$22&lt;=Inputs!$D$50*Inputs!$D$8,B386*Inputs!$D$22&gt;=Inputs!$D$49*Inputs!$D$8,A386*Inputs!$D$20&lt;=Inputs!$D$47*Inputs!$D$8,C386&gt;=1),1,0)</f>
        <v>0</v>
      </c>
      <c r="AG386" s="39">
        <f t="shared" si="23"/>
        <v>-1</v>
      </c>
    </row>
    <row r="387" spans="1:33" x14ac:dyDescent="0.25">
      <c r="A387" s="35">
        <v>40</v>
      </c>
      <c r="B387" s="35">
        <v>32</v>
      </c>
      <c r="C387" s="35">
        <f>Inputs!$D$8-A387-Inputs!$D$22*B387</f>
        <v>16</v>
      </c>
      <c r="D387" s="35">
        <f>A387*Inputs!$D$20+C387*Inputs!$D$21+B387*Inputs!$D$22</f>
        <v>120</v>
      </c>
      <c r="E387" s="36">
        <f>MIN(Inputs!$E$15,Inputs!$D$15*(C387/Inputs!$D$43)^Inputs!$D$44)</f>
        <v>0.2842741392252523</v>
      </c>
      <c r="F387" s="36">
        <f>MIN(Inputs!$E$16,Inputs!$D$16*(B387/Inputs!$D$42)^Inputs!$D$44)</f>
        <v>0.46057036065052986</v>
      </c>
      <c r="G387" s="37">
        <f>Inputs!$D$26*(1+Inputs!$D$41*(B387-Inputs!$D$42))</f>
        <v>1.6800000000000002</v>
      </c>
      <c r="H387" s="35">
        <f>Inputs!$D$6*Inputs!$D$14*G387*Inputs!$D$29</f>
        <v>2110.8024000000005</v>
      </c>
      <c r="I387" s="36">
        <f>H387/(A387*Inputs!$D$32)</f>
        <v>0.95945563636363662</v>
      </c>
      <c r="J387" s="38">
        <f>IF(I387&gt;=1,999,I387/(Inputs!$D$32*(1-I387))*60)</f>
        <v>25.815644448648197</v>
      </c>
      <c r="K387" s="37">
        <f>MIN(1,MAX(0,(J387-Inputs!$D$36)/(Inputs!$D$37-Inputs!$D$36)))</f>
        <v>1</v>
      </c>
      <c r="L387" s="35">
        <f>Inputs!$D$6*Inputs!$D$14*G387*(1-Inputs!$D$38*K387)</f>
        <v>7739.6088000000027</v>
      </c>
      <c r="M387" s="39">
        <f>L387*Inputs!$D$11</f>
        <v>166401.58920000005</v>
      </c>
      <c r="N387" s="39">
        <f>M387*(1-Inputs!$D$17)</f>
        <v>58240.556220000013</v>
      </c>
      <c r="O387" s="35">
        <f>Inputs!$D$6*E387*Inputs!$D$27*Inputs!$D$30</f>
        <v>405.56140637054153</v>
      </c>
      <c r="P387" s="36">
        <f>O387/(C387*Inputs!$D$33)</f>
        <v>0.63368969745397119</v>
      </c>
      <c r="Q387" s="38">
        <f>IF(P387&gt;=1,999,P387/(Inputs!$D$33*(1-P387))*60)</f>
        <v>2.5948889222451426</v>
      </c>
      <c r="R387" s="37">
        <f>MIN(1,MAX(0,(Q387-Inputs!$D$36)/(Inputs!$D$37-Inputs!$D$36)))</f>
        <v>0</v>
      </c>
      <c r="S387" s="35">
        <f>Inputs!$D$6*E387*Inputs!$D$27*(1-Inputs!$D$38*R387)</f>
        <v>3379.6783864211798</v>
      </c>
      <c r="T387" s="39">
        <f>S387*Inputs!$D$12</f>
        <v>54074.854182738876</v>
      </c>
      <c r="U387" s="39">
        <f>T387*(1-Inputs!$D$18)</f>
        <v>24333.684382232492</v>
      </c>
      <c r="V387" s="35">
        <f>Inputs!$D$6*F387*Inputs!$D$28*Inputs!$D$31</f>
        <v>776.54373543410452</v>
      </c>
      <c r="W387" s="36">
        <f>V387/(B387*Inputs!$D$34)</f>
        <v>0.69334262092330756</v>
      </c>
      <c r="X387" s="38">
        <f>IF(W387&gt;=1,999,W387/(Inputs!$D$34*(1-W387))*60)</f>
        <v>3.8759457011369869</v>
      </c>
      <c r="Y387" s="37">
        <f>MIN(1,MAX(0,(X387-Inputs!$D$36)/(Inputs!$D$37-Inputs!$D$36)))</f>
        <v>0</v>
      </c>
      <c r="Z387" s="35">
        <f>Inputs!$D$6*F387*Inputs!$D$28*(1-Inputs!$D$38*Y387)</f>
        <v>5973.4133494931111</v>
      </c>
      <c r="AA387" s="39">
        <f>Z387*Inputs!$D$13</f>
        <v>50774.013470691447</v>
      </c>
      <c r="AB387" s="39">
        <f>AA387*(1-Inputs!$D$19)</f>
        <v>30464.408082414866</v>
      </c>
      <c r="AC387" s="39">
        <f t="shared" si="20"/>
        <v>271250.45685343037</v>
      </c>
      <c r="AD387" s="39">
        <f t="shared" si="21"/>
        <v>113038.64868464737</v>
      </c>
      <c r="AE387" s="36">
        <f t="shared" si="22"/>
        <v>0.95945563636363662</v>
      </c>
      <c r="AF387" s="35">
        <f>IF(AND(AE387&lt;=Inputs!$D$35,C387&gt;=Inputs!$D$48*(A387+B387+C387),B387*Inputs!$D$22&lt;=Inputs!$D$50*Inputs!$D$8,B387*Inputs!$D$22&gt;=Inputs!$D$49*Inputs!$D$8,A387*Inputs!$D$20&lt;=Inputs!$D$47*Inputs!$D$8,C387&gt;=1),1,0)</f>
        <v>0</v>
      </c>
      <c r="AG387" s="39">
        <f t="shared" si="23"/>
        <v>-1</v>
      </c>
    </row>
    <row r="388" spans="1:33" x14ac:dyDescent="0.25">
      <c r="A388" s="35">
        <v>40</v>
      </c>
      <c r="B388" s="35">
        <v>33</v>
      </c>
      <c r="C388" s="35">
        <f>Inputs!$D$8-A388-Inputs!$D$22*B388</f>
        <v>14</v>
      </c>
      <c r="D388" s="35">
        <f>A388*Inputs!$D$20+C388*Inputs!$D$21+B388*Inputs!$D$22</f>
        <v>120</v>
      </c>
      <c r="E388" s="36">
        <f>MIN(Inputs!$E$15,Inputs!$D$15*(C388/Inputs!$D$43)^Inputs!$D$44)</f>
        <v>0.27311136263675401</v>
      </c>
      <c r="F388" s="36">
        <f>MIN(Inputs!$E$16,Inputs!$D$16*(B388/Inputs!$D$42)^Inputs!$D$44)</f>
        <v>0.46484180038786721</v>
      </c>
      <c r="G388" s="37">
        <f>Inputs!$D$26*(1+Inputs!$D$41*(B388-Inputs!$D$42))</f>
        <v>1.6949999999999998</v>
      </c>
      <c r="H388" s="35">
        <f>Inputs!$D$6*Inputs!$D$14*G388*Inputs!$D$29</f>
        <v>2129.64885</v>
      </c>
      <c r="I388" s="36">
        <f>H388/(A388*Inputs!$D$32)</f>
        <v>0.96802220454545451</v>
      </c>
      <c r="J388" s="38">
        <f>IF(I388&gt;=1,999,I388/(Inputs!$D$32*(1-I388))*60)</f>
        <v>33.023671836339396</v>
      </c>
      <c r="K388" s="37">
        <f>MIN(1,MAX(0,(J388-Inputs!$D$36)/(Inputs!$D$37-Inputs!$D$36)))</f>
        <v>1</v>
      </c>
      <c r="L388" s="35">
        <f>Inputs!$D$6*Inputs!$D$14*G388*(1-Inputs!$D$38*K388)</f>
        <v>7808.71245</v>
      </c>
      <c r="M388" s="39">
        <f>L388*Inputs!$D$11</f>
        <v>167887.317675</v>
      </c>
      <c r="N388" s="39">
        <f>M388*(1-Inputs!$D$17)</f>
        <v>58760.561186249994</v>
      </c>
      <c r="O388" s="35">
        <f>Inputs!$D$6*E388*Inputs!$D$27*Inputs!$D$30</f>
        <v>389.63596417390096</v>
      </c>
      <c r="P388" s="36">
        <f>O388/(C388*Inputs!$D$33)</f>
        <v>0.69577850745339453</v>
      </c>
      <c r="Q388" s="38">
        <f>IF(P388&gt;=1,999,P388/(Inputs!$D$33*(1-P388))*60)</f>
        <v>3.4306181080227471</v>
      </c>
      <c r="R388" s="37">
        <f>MIN(1,MAX(0,(Q388-Inputs!$D$36)/(Inputs!$D$37-Inputs!$D$36)))</f>
        <v>0</v>
      </c>
      <c r="S388" s="35">
        <f>Inputs!$D$6*E388*Inputs!$D$27*(1-Inputs!$D$38*R388)</f>
        <v>3246.9663681158413</v>
      </c>
      <c r="T388" s="39">
        <f>S388*Inputs!$D$12</f>
        <v>51951.461889853461</v>
      </c>
      <c r="U388" s="39">
        <f>T388*(1-Inputs!$D$18)</f>
        <v>23378.157850434054</v>
      </c>
      <c r="V388" s="35">
        <f>Inputs!$D$6*F388*Inputs!$D$28*Inputs!$D$31</f>
        <v>783.74558786036266</v>
      </c>
      <c r="W388" s="36">
        <f>V388/(B388*Inputs!$D$34)</f>
        <v>0.67856760853711051</v>
      </c>
      <c r="X388" s="38">
        <f>IF(W388&gt;=1,999,W388/(Inputs!$D$34*(1-W388))*60)</f>
        <v>3.6189842355277744</v>
      </c>
      <c r="Y388" s="37">
        <f>MIN(1,MAX(0,(X388-Inputs!$D$36)/(Inputs!$D$37-Inputs!$D$36)))</f>
        <v>0</v>
      </c>
      <c r="Z388" s="35">
        <f>Inputs!$D$6*F388*Inputs!$D$28*(1-Inputs!$D$38*Y388)</f>
        <v>6028.812214310482</v>
      </c>
      <c r="AA388" s="39">
        <f>Z388*Inputs!$D$13</f>
        <v>51244.903821639098</v>
      </c>
      <c r="AB388" s="39">
        <f>AA388*(1-Inputs!$D$19)</f>
        <v>30746.942292983458</v>
      </c>
      <c r="AC388" s="39">
        <f t="shared" si="20"/>
        <v>271083.68338649254</v>
      </c>
      <c r="AD388" s="39">
        <f t="shared" si="21"/>
        <v>112885.66132966751</v>
      </c>
      <c r="AE388" s="36">
        <f t="shared" si="22"/>
        <v>0.96802220454545451</v>
      </c>
      <c r="AF388" s="35">
        <f>IF(AND(AE388&lt;=Inputs!$D$35,C388&gt;=Inputs!$D$48*(A388+B388+C388),B388*Inputs!$D$22&lt;=Inputs!$D$50*Inputs!$D$8,B388*Inputs!$D$22&gt;=Inputs!$D$49*Inputs!$D$8,A388*Inputs!$D$20&lt;=Inputs!$D$47*Inputs!$D$8,C388&gt;=1),1,0)</f>
        <v>0</v>
      </c>
      <c r="AG388" s="39">
        <f t="shared" si="23"/>
        <v>-1</v>
      </c>
    </row>
    <row r="389" spans="1:33" x14ac:dyDescent="0.25">
      <c r="A389" s="35">
        <v>41</v>
      </c>
      <c r="B389" s="35">
        <v>10</v>
      </c>
      <c r="C389" s="35">
        <f>Inputs!$D$8-A389-Inputs!$D$22*B389</f>
        <v>59</v>
      </c>
      <c r="D389" s="35">
        <f>A389*Inputs!$D$20+C389*Inputs!$D$21+B389*Inputs!$D$22</f>
        <v>120</v>
      </c>
      <c r="E389" s="36">
        <f>MIN(Inputs!$E$15,Inputs!$D$15*(C389/Inputs!$D$43)^Inputs!$D$44)</f>
        <v>0.4</v>
      </c>
      <c r="F389" s="36">
        <f>MIN(Inputs!$E$16,Inputs!$D$16*(B389/Inputs!$D$42)^Inputs!$D$44)</f>
        <v>0.32490095854249423</v>
      </c>
      <c r="G389" s="37">
        <f>Inputs!$D$26*(1+Inputs!$D$41*(B389-Inputs!$D$42))</f>
        <v>1.35</v>
      </c>
      <c r="H389" s="35">
        <f>Inputs!$D$6*Inputs!$D$14*G389*Inputs!$D$29</f>
        <v>1696.1805000000004</v>
      </c>
      <c r="I389" s="36">
        <f>H389/(A389*Inputs!$D$32)</f>
        <v>0.75218647450110887</v>
      </c>
      <c r="J389" s="38">
        <f>IF(I389&gt;=1,999,I389/(Inputs!$D$32*(1-I389))*60)</f>
        <v>3.3112279139735272</v>
      </c>
      <c r="K389" s="37">
        <f>MIN(1,MAX(0,(J389-Inputs!$D$36)/(Inputs!$D$37-Inputs!$D$36)))</f>
        <v>0</v>
      </c>
      <c r="L389" s="35">
        <f>Inputs!$D$6*Inputs!$D$14*G389*(1-Inputs!$D$38*K389)</f>
        <v>11307.870000000003</v>
      </c>
      <c r="M389" s="39">
        <f>L389*Inputs!$D$11</f>
        <v>243119.20500000005</v>
      </c>
      <c r="N389" s="39">
        <f>M389*(1-Inputs!$D$17)</f>
        <v>85091.721750000012</v>
      </c>
      <c r="O389" s="35">
        <f>Inputs!$D$6*E389*Inputs!$D$27*Inputs!$D$30</f>
        <v>570.66240000000005</v>
      </c>
      <c r="P389" s="36">
        <f>O389/(C389*Inputs!$D$33)</f>
        <v>0.24180610169491529</v>
      </c>
      <c r="Q389" s="38">
        <f>IF(P389&gt;=1,999,P389/(Inputs!$D$33*(1-P389))*60)</f>
        <v>0.47838574453473742</v>
      </c>
      <c r="R389" s="37">
        <f>MIN(1,MAX(0,(Q389-Inputs!$D$36)/(Inputs!$D$37-Inputs!$D$36)))</f>
        <v>0</v>
      </c>
      <c r="S389" s="35">
        <f>Inputs!$D$6*E389*Inputs!$D$27*(1-Inputs!$D$38*R389)</f>
        <v>4755.5200000000004</v>
      </c>
      <c r="T389" s="39">
        <f>S389*Inputs!$D$12</f>
        <v>76088.320000000007</v>
      </c>
      <c r="U389" s="39">
        <f>T389*(1-Inputs!$D$18)</f>
        <v>34239.743999999999</v>
      </c>
      <c r="V389" s="35">
        <f>Inputs!$D$6*F389*Inputs!$D$28*Inputs!$D$31</f>
        <v>547.7986113486553</v>
      </c>
      <c r="W389" s="36">
        <f>V389/(B389*Inputs!$D$34)</f>
        <v>1.5651388895675866</v>
      </c>
      <c r="X389" s="38">
        <f>IF(W389&gt;=1,999,W389/(Inputs!$D$34*(1-W389))*60)</f>
        <v>999</v>
      </c>
      <c r="Y389" s="37">
        <f>MIN(1,MAX(0,(X389-Inputs!$D$36)/(Inputs!$D$37-Inputs!$D$36)))</f>
        <v>1</v>
      </c>
      <c r="Z389" s="35">
        <f>Inputs!$D$6*F389*Inputs!$D$28*(1-Inputs!$D$38*Y389)</f>
        <v>2317.6095095520031</v>
      </c>
      <c r="AA389" s="39">
        <f>Z389*Inputs!$D$13</f>
        <v>19699.680831192025</v>
      </c>
      <c r="AB389" s="39">
        <f>AA389*(1-Inputs!$D$19)</f>
        <v>11819.808498715214</v>
      </c>
      <c r="AC389" s="39">
        <f t="shared" ref="AC389:AC452" si="24">M389+T389+AA389</f>
        <v>338907.20583119203</v>
      </c>
      <c r="AD389" s="39">
        <f t="shared" ref="AD389:AD452" si="25">N389+U389+AB389</f>
        <v>131151.27424871523</v>
      </c>
      <c r="AE389" s="36">
        <f t="shared" ref="AE389:AE452" si="26">MAX(I389,P389,W389)</f>
        <v>1.5651388895675866</v>
      </c>
      <c r="AF389" s="35">
        <f>IF(AND(AE389&lt;=Inputs!$D$35,C389&gt;=Inputs!$D$48*(A389+B389+C389),B389*Inputs!$D$22&lt;=Inputs!$D$50*Inputs!$D$8,B389*Inputs!$D$22&gt;=Inputs!$D$49*Inputs!$D$8,A389*Inputs!$D$20&lt;=Inputs!$D$47*Inputs!$D$8,C389&gt;=1),1,0)</f>
        <v>0</v>
      </c>
      <c r="AG389" s="39">
        <f t="shared" ref="AG389:AG452" si="27">IF(AF389=1,AD389,-1)</f>
        <v>-1</v>
      </c>
    </row>
    <row r="390" spans="1:33" x14ac:dyDescent="0.25">
      <c r="A390" s="35">
        <v>41</v>
      </c>
      <c r="B390" s="35">
        <v>11</v>
      </c>
      <c r="C390" s="35">
        <f>Inputs!$D$8-A390-Inputs!$D$22*B390</f>
        <v>57</v>
      </c>
      <c r="D390" s="35">
        <f>A390*Inputs!$D$20+C390*Inputs!$D$21+B390*Inputs!$D$22</f>
        <v>120</v>
      </c>
      <c r="E390" s="36">
        <f>MIN(Inputs!$E$15,Inputs!$D$15*(C390/Inputs!$D$43)^Inputs!$D$44)</f>
        <v>0.4</v>
      </c>
      <c r="F390" s="36">
        <f>MIN(Inputs!$E$16,Inputs!$D$16*(B390/Inputs!$D$42)^Inputs!$D$44)</f>
        <v>0.33432495758166098</v>
      </c>
      <c r="G390" s="37">
        <f>Inputs!$D$26*(1+Inputs!$D$41*(B390-Inputs!$D$42))</f>
        <v>1.365</v>
      </c>
      <c r="H390" s="35">
        <f>Inputs!$D$6*Inputs!$D$14*G390*Inputs!$D$29</f>
        <v>1715.0269500000002</v>
      </c>
      <c r="I390" s="36">
        <f>H390/(A390*Inputs!$D$32)</f>
        <v>0.76054410199556544</v>
      </c>
      <c r="J390" s="38">
        <f>IF(I390&gt;=1,999,I390/(Inputs!$D$32*(1-I390))*60)</f>
        <v>3.4648738319608565</v>
      </c>
      <c r="K390" s="37">
        <f>MIN(1,MAX(0,(J390-Inputs!$D$36)/(Inputs!$D$37-Inputs!$D$36)))</f>
        <v>0</v>
      </c>
      <c r="L390" s="35">
        <f>Inputs!$D$6*Inputs!$D$14*G390*(1-Inputs!$D$38*K390)</f>
        <v>11433.513000000001</v>
      </c>
      <c r="M390" s="39">
        <f>L390*Inputs!$D$11</f>
        <v>245820.5295</v>
      </c>
      <c r="N390" s="39">
        <f>M390*(1-Inputs!$D$17)</f>
        <v>86037.185324999999</v>
      </c>
      <c r="O390" s="35">
        <f>Inputs!$D$6*E390*Inputs!$D$27*Inputs!$D$30</f>
        <v>570.66240000000005</v>
      </c>
      <c r="P390" s="36">
        <f>O390/(C390*Inputs!$D$33)</f>
        <v>0.25029052631578952</v>
      </c>
      <c r="Q390" s="38">
        <f>IF(P390&gt;=1,999,P390/(Inputs!$D$33*(1-P390))*60)</f>
        <v>0.50077503706699034</v>
      </c>
      <c r="R390" s="37">
        <f>MIN(1,MAX(0,(Q390-Inputs!$D$36)/(Inputs!$D$37-Inputs!$D$36)))</f>
        <v>0</v>
      </c>
      <c r="S390" s="35">
        <f>Inputs!$D$6*E390*Inputs!$D$27*(1-Inputs!$D$38*R390)</f>
        <v>4755.5200000000004</v>
      </c>
      <c r="T390" s="39">
        <f>S390*Inputs!$D$12</f>
        <v>76088.320000000007</v>
      </c>
      <c r="U390" s="39">
        <f>T390*(1-Inputs!$D$18)</f>
        <v>34239.743999999999</v>
      </c>
      <c r="V390" s="35">
        <f>Inputs!$D$6*F390*Inputs!$D$28*Inputs!$D$31</f>
        <v>563.68792608064427</v>
      </c>
      <c r="W390" s="36">
        <f>V390/(B390*Inputs!$D$34)</f>
        <v>1.4641244833263487</v>
      </c>
      <c r="X390" s="38">
        <f>IF(W390&gt;=1,999,W390/(Inputs!$D$34*(1-W390))*60)</f>
        <v>999</v>
      </c>
      <c r="Y390" s="37">
        <f>MIN(1,MAX(0,(X390-Inputs!$D$36)/(Inputs!$D$37-Inputs!$D$36)))</f>
        <v>1</v>
      </c>
      <c r="Z390" s="35">
        <f>Inputs!$D$6*F390*Inputs!$D$28*(1-Inputs!$D$38*Y390)</f>
        <v>2384.8335334181106</v>
      </c>
      <c r="AA390" s="39">
        <f>Z390*Inputs!$D$13</f>
        <v>20271.08503405394</v>
      </c>
      <c r="AB390" s="39">
        <f>AA390*(1-Inputs!$D$19)</f>
        <v>12162.651020432364</v>
      </c>
      <c r="AC390" s="39">
        <f t="shared" si="24"/>
        <v>342179.93453405396</v>
      </c>
      <c r="AD390" s="39">
        <f t="shared" si="25"/>
        <v>132439.58034543236</v>
      </c>
      <c r="AE390" s="36">
        <f t="shared" si="26"/>
        <v>1.4641244833263487</v>
      </c>
      <c r="AF390" s="35">
        <f>IF(AND(AE390&lt;=Inputs!$D$35,C390&gt;=Inputs!$D$48*(A390+B390+C390),B390*Inputs!$D$22&lt;=Inputs!$D$50*Inputs!$D$8,B390*Inputs!$D$22&gt;=Inputs!$D$49*Inputs!$D$8,A390*Inputs!$D$20&lt;=Inputs!$D$47*Inputs!$D$8,C390&gt;=1),1,0)</f>
        <v>0</v>
      </c>
      <c r="AG390" s="39">
        <f t="shared" si="27"/>
        <v>-1</v>
      </c>
    </row>
    <row r="391" spans="1:33" x14ac:dyDescent="0.25">
      <c r="A391" s="35">
        <v>41</v>
      </c>
      <c r="B391" s="35">
        <v>12</v>
      </c>
      <c r="C391" s="35">
        <f>Inputs!$D$8-A391-Inputs!$D$22*B391</f>
        <v>55</v>
      </c>
      <c r="D391" s="35">
        <f>A391*Inputs!$D$20+C391*Inputs!$D$21+B391*Inputs!$D$22</f>
        <v>120</v>
      </c>
      <c r="E391" s="36">
        <f>MIN(Inputs!$E$15,Inputs!$D$15*(C391/Inputs!$D$43)^Inputs!$D$44)</f>
        <v>0.4</v>
      </c>
      <c r="F391" s="36">
        <f>MIN(Inputs!$E$16,Inputs!$D$16*(B391/Inputs!$D$42)^Inputs!$D$44)</f>
        <v>0.34316688017763797</v>
      </c>
      <c r="G391" s="37">
        <f>Inputs!$D$26*(1+Inputs!$D$41*(B391-Inputs!$D$42))</f>
        <v>1.3800000000000001</v>
      </c>
      <c r="H391" s="35">
        <f>Inputs!$D$6*Inputs!$D$14*G391*Inputs!$D$29</f>
        <v>1733.8734000000004</v>
      </c>
      <c r="I391" s="36">
        <f>H391/(A391*Inputs!$D$32)</f>
        <v>0.76890172949002233</v>
      </c>
      <c r="J391" s="38">
        <f>IF(I391&gt;=1,999,I391/(Inputs!$D$32*(1-I391))*60)</f>
        <v>3.6296329040687163</v>
      </c>
      <c r="K391" s="37">
        <f>MIN(1,MAX(0,(J391-Inputs!$D$36)/(Inputs!$D$37-Inputs!$D$36)))</f>
        <v>0</v>
      </c>
      <c r="L391" s="35">
        <f>Inputs!$D$6*Inputs!$D$14*G391*(1-Inputs!$D$38*K391)</f>
        <v>11559.156000000003</v>
      </c>
      <c r="M391" s="39">
        <f>L391*Inputs!$D$11</f>
        <v>248521.85400000005</v>
      </c>
      <c r="N391" s="39">
        <f>M391*(1-Inputs!$D$17)</f>
        <v>86982.648900000015</v>
      </c>
      <c r="O391" s="35">
        <f>Inputs!$D$6*E391*Inputs!$D$27*Inputs!$D$30</f>
        <v>570.66240000000005</v>
      </c>
      <c r="P391" s="36">
        <f>O391/(C391*Inputs!$D$33)</f>
        <v>0.25939200000000001</v>
      </c>
      <c r="Q391" s="38">
        <f>IF(P391&gt;=1,999,P391/(Inputs!$D$33*(1-P391))*60)</f>
        <v>0.52536294503975123</v>
      </c>
      <c r="R391" s="37">
        <f>MIN(1,MAX(0,(Q391-Inputs!$D$36)/(Inputs!$D$37-Inputs!$D$36)))</f>
        <v>0</v>
      </c>
      <c r="S391" s="35">
        <f>Inputs!$D$6*E391*Inputs!$D$27*(1-Inputs!$D$38*R391)</f>
        <v>4755.5200000000004</v>
      </c>
      <c r="T391" s="39">
        <f>S391*Inputs!$D$12</f>
        <v>76088.320000000007</v>
      </c>
      <c r="U391" s="39">
        <f>T391*(1-Inputs!$D$18)</f>
        <v>34239.743999999999</v>
      </c>
      <c r="V391" s="35">
        <f>Inputs!$D$6*F391*Inputs!$D$28*Inputs!$D$31</f>
        <v>578.5958319897461</v>
      </c>
      <c r="W391" s="36">
        <f>V391/(B391*Inputs!$D$34)</f>
        <v>1.3776091237851098</v>
      </c>
      <c r="X391" s="38">
        <f>IF(W391&gt;=1,999,W391/(Inputs!$D$34*(1-W391))*60)</f>
        <v>999</v>
      </c>
      <c r="Y391" s="37">
        <f>MIN(1,MAX(0,(X391-Inputs!$D$36)/(Inputs!$D$37-Inputs!$D$36)))</f>
        <v>1</v>
      </c>
      <c r="Z391" s="35">
        <f>Inputs!$D$6*F391*Inputs!$D$28*(1-Inputs!$D$38*Y391)</f>
        <v>2447.9054430335414</v>
      </c>
      <c r="AA391" s="39">
        <f>Z391*Inputs!$D$13</f>
        <v>20807.1962657851</v>
      </c>
      <c r="AB391" s="39">
        <f>AA391*(1-Inputs!$D$19)</f>
        <v>12484.31775947106</v>
      </c>
      <c r="AC391" s="39">
        <f t="shared" si="24"/>
        <v>345417.37026578514</v>
      </c>
      <c r="AD391" s="39">
        <f t="shared" si="25"/>
        <v>133706.71065947108</v>
      </c>
      <c r="AE391" s="36">
        <f t="shared" si="26"/>
        <v>1.3776091237851098</v>
      </c>
      <c r="AF391" s="35">
        <f>IF(AND(AE391&lt;=Inputs!$D$35,C391&gt;=Inputs!$D$48*(A391+B391+C391),B391*Inputs!$D$22&lt;=Inputs!$D$50*Inputs!$D$8,B391*Inputs!$D$22&gt;=Inputs!$D$49*Inputs!$D$8,A391*Inputs!$D$20&lt;=Inputs!$D$47*Inputs!$D$8,C391&gt;=1),1,0)</f>
        <v>0</v>
      </c>
      <c r="AG391" s="39">
        <f t="shared" si="27"/>
        <v>-1</v>
      </c>
    </row>
    <row r="392" spans="1:33" x14ac:dyDescent="0.25">
      <c r="A392" s="35">
        <v>41</v>
      </c>
      <c r="B392" s="35">
        <v>13</v>
      </c>
      <c r="C392" s="35">
        <f>Inputs!$D$8-A392-Inputs!$D$22*B392</f>
        <v>53</v>
      </c>
      <c r="D392" s="35">
        <f>A392*Inputs!$D$20+C392*Inputs!$D$21+B392*Inputs!$D$22</f>
        <v>120</v>
      </c>
      <c r="E392" s="36">
        <f>MIN(Inputs!$E$15,Inputs!$D$15*(C392/Inputs!$D$43)^Inputs!$D$44)</f>
        <v>0.4</v>
      </c>
      <c r="F392" s="36">
        <f>MIN(Inputs!$E$16,Inputs!$D$16*(B392/Inputs!$D$42)^Inputs!$D$44)</f>
        <v>0.35150701637190523</v>
      </c>
      <c r="G392" s="37">
        <f>Inputs!$D$26*(1+Inputs!$D$41*(B392-Inputs!$D$42))</f>
        <v>1.395</v>
      </c>
      <c r="H392" s="35">
        <f>Inputs!$D$6*Inputs!$D$14*G392*Inputs!$D$29</f>
        <v>1752.7198500000002</v>
      </c>
      <c r="I392" s="36">
        <f>H392/(A392*Inputs!$D$32)</f>
        <v>0.77725935698447901</v>
      </c>
      <c r="J392" s="38">
        <f>IF(I392&gt;=1,999,I392/(Inputs!$D$32*(1-I392))*60)</f>
        <v>3.806756086581998</v>
      </c>
      <c r="K392" s="37">
        <f>MIN(1,MAX(0,(J392-Inputs!$D$36)/(Inputs!$D$37-Inputs!$D$36)))</f>
        <v>0</v>
      </c>
      <c r="L392" s="35">
        <f>Inputs!$D$6*Inputs!$D$14*G392*(1-Inputs!$D$38*K392)</f>
        <v>11684.799000000001</v>
      </c>
      <c r="M392" s="39">
        <f>L392*Inputs!$D$11</f>
        <v>251223.17850000001</v>
      </c>
      <c r="N392" s="39">
        <f>M392*(1-Inputs!$D$17)</f>
        <v>87928.112475000002</v>
      </c>
      <c r="O392" s="35">
        <f>Inputs!$D$6*E392*Inputs!$D$27*Inputs!$D$30</f>
        <v>570.66240000000005</v>
      </c>
      <c r="P392" s="36">
        <f>O392/(C392*Inputs!$D$33)</f>
        <v>0.2691803773584906</v>
      </c>
      <c r="Q392" s="38">
        <f>IF(P392&gt;=1,999,P392/(Inputs!$D$33*(1-P392))*60)</f>
        <v>0.5524900447778458</v>
      </c>
      <c r="R392" s="37">
        <f>MIN(1,MAX(0,(Q392-Inputs!$D$36)/(Inputs!$D$37-Inputs!$D$36)))</f>
        <v>0</v>
      </c>
      <c r="S392" s="35">
        <f>Inputs!$D$6*E392*Inputs!$D$27*(1-Inputs!$D$38*R392)</f>
        <v>4755.5200000000004</v>
      </c>
      <c r="T392" s="39">
        <f>S392*Inputs!$D$12</f>
        <v>76088.320000000007</v>
      </c>
      <c r="U392" s="39">
        <f>T392*(1-Inputs!$D$18)</f>
        <v>34239.743999999999</v>
      </c>
      <c r="V392" s="35">
        <f>Inputs!$D$6*F392*Inputs!$D$28*Inputs!$D$31</f>
        <v>592.65770193981814</v>
      </c>
      <c r="W392" s="36">
        <f>V392/(B392*Inputs!$D$34)</f>
        <v>1.3025443998677322</v>
      </c>
      <c r="X392" s="38">
        <f>IF(W392&gt;=1,999,W392/(Inputs!$D$34*(1-W392))*60)</f>
        <v>999</v>
      </c>
      <c r="Y392" s="37">
        <f>MIN(1,MAX(0,(X392-Inputs!$D$36)/(Inputs!$D$37-Inputs!$D$36)))</f>
        <v>1</v>
      </c>
      <c r="Z392" s="35">
        <f>Inputs!$D$6*F392*Inputs!$D$28*(1-Inputs!$D$38*Y392)</f>
        <v>2507.3979697453847</v>
      </c>
      <c r="AA392" s="39">
        <f>Z392*Inputs!$D$13</f>
        <v>21312.882742835769</v>
      </c>
      <c r="AB392" s="39">
        <f>AA392*(1-Inputs!$D$19)</f>
        <v>12787.729645701462</v>
      </c>
      <c r="AC392" s="39">
        <f t="shared" si="24"/>
        <v>348624.38124283578</v>
      </c>
      <c r="AD392" s="39">
        <f t="shared" si="25"/>
        <v>134955.58612070148</v>
      </c>
      <c r="AE392" s="36">
        <f t="shared" si="26"/>
        <v>1.3025443998677322</v>
      </c>
      <c r="AF392" s="35">
        <f>IF(AND(AE392&lt;=Inputs!$D$35,C392&gt;=Inputs!$D$48*(A392+B392+C392),B392*Inputs!$D$22&lt;=Inputs!$D$50*Inputs!$D$8,B392*Inputs!$D$22&gt;=Inputs!$D$49*Inputs!$D$8,A392*Inputs!$D$20&lt;=Inputs!$D$47*Inputs!$D$8,C392&gt;=1),1,0)</f>
        <v>0</v>
      </c>
      <c r="AG392" s="39">
        <f t="shared" si="27"/>
        <v>-1</v>
      </c>
    </row>
    <row r="393" spans="1:33" x14ac:dyDescent="0.25">
      <c r="A393" s="35">
        <v>41</v>
      </c>
      <c r="B393" s="35">
        <v>14</v>
      </c>
      <c r="C393" s="35">
        <f>Inputs!$D$8-A393-Inputs!$D$22*B393</f>
        <v>51</v>
      </c>
      <c r="D393" s="35">
        <f>A393*Inputs!$D$20+C393*Inputs!$D$21+B393*Inputs!$D$22</f>
        <v>120</v>
      </c>
      <c r="E393" s="36">
        <f>MIN(Inputs!$E$15,Inputs!$D$15*(C393/Inputs!$D$43)^Inputs!$D$44)</f>
        <v>0.4</v>
      </c>
      <c r="F393" s="36">
        <f>MIN(Inputs!$E$16,Inputs!$D$16*(B393/Inputs!$D$42)^Inputs!$D$44)</f>
        <v>0.35940937671625589</v>
      </c>
      <c r="G393" s="37">
        <f>Inputs!$D$26*(1+Inputs!$D$41*(B393-Inputs!$D$42))</f>
        <v>1.41</v>
      </c>
      <c r="H393" s="35">
        <f>Inputs!$D$6*Inputs!$D$14*G393*Inputs!$D$29</f>
        <v>1771.5663000000002</v>
      </c>
      <c r="I393" s="36">
        <f>H393/(A393*Inputs!$D$32)</f>
        <v>0.7856169844789358</v>
      </c>
      <c r="J393" s="38">
        <f>IF(I393&gt;=1,999,I393/(Inputs!$D$32*(1-I393))*60)</f>
        <v>3.9976894077061305</v>
      </c>
      <c r="K393" s="37">
        <f>MIN(1,MAX(0,(J393-Inputs!$D$36)/(Inputs!$D$37-Inputs!$D$36)))</f>
        <v>0</v>
      </c>
      <c r="L393" s="35">
        <f>Inputs!$D$6*Inputs!$D$14*G393*(1-Inputs!$D$38*K393)</f>
        <v>11810.442000000001</v>
      </c>
      <c r="M393" s="39">
        <f>L393*Inputs!$D$11</f>
        <v>253924.50300000003</v>
      </c>
      <c r="N393" s="39">
        <f>M393*(1-Inputs!$D$17)</f>
        <v>88873.576050000003</v>
      </c>
      <c r="O393" s="35">
        <f>Inputs!$D$6*E393*Inputs!$D$27*Inputs!$D$30</f>
        <v>570.66240000000005</v>
      </c>
      <c r="P393" s="36">
        <f>O393/(C393*Inputs!$D$33)</f>
        <v>0.27973647058823531</v>
      </c>
      <c r="Q393" s="38">
        <f>IF(P393&gt;=1,999,P393/(Inputs!$D$33*(1-P393))*60)</f>
        <v>0.5825710850930379</v>
      </c>
      <c r="R393" s="37">
        <f>MIN(1,MAX(0,(Q393-Inputs!$D$36)/(Inputs!$D$37-Inputs!$D$36)))</f>
        <v>0</v>
      </c>
      <c r="S393" s="35">
        <f>Inputs!$D$6*E393*Inputs!$D$27*(1-Inputs!$D$38*R393)</f>
        <v>4755.5200000000004</v>
      </c>
      <c r="T393" s="39">
        <f>S393*Inputs!$D$12</f>
        <v>76088.320000000007</v>
      </c>
      <c r="U393" s="39">
        <f>T393*(1-Inputs!$D$18)</f>
        <v>34239.743999999999</v>
      </c>
      <c r="V393" s="35">
        <f>Inputs!$D$6*F393*Inputs!$D$28*Inputs!$D$31</f>
        <v>605.98146079368973</v>
      </c>
      <c r="W393" s="36">
        <f>V393/(B393*Inputs!$D$34)</f>
        <v>1.2366968587626321</v>
      </c>
      <c r="X393" s="38">
        <f>IF(W393&gt;=1,999,W393/(Inputs!$D$34*(1-W393))*60)</f>
        <v>999</v>
      </c>
      <c r="Y393" s="37">
        <f>MIN(1,MAX(0,(X393-Inputs!$D$36)/(Inputs!$D$37-Inputs!$D$36)))</f>
        <v>1</v>
      </c>
      <c r="Z393" s="35">
        <f>Inputs!$D$6*F393*Inputs!$D$28*(1-Inputs!$D$38*Y393)</f>
        <v>2563.7677187425338</v>
      </c>
      <c r="AA393" s="39">
        <f>Z393*Inputs!$D$13</f>
        <v>21792.025609311539</v>
      </c>
      <c r="AB393" s="39">
        <f>AA393*(1-Inputs!$D$19)</f>
        <v>13075.215365586922</v>
      </c>
      <c r="AC393" s="39">
        <f t="shared" si="24"/>
        <v>351804.84860931156</v>
      </c>
      <c r="AD393" s="39">
        <f t="shared" si="25"/>
        <v>136188.53541558693</v>
      </c>
      <c r="AE393" s="36">
        <f t="shared" si="26"/>
        <v>1.2366968587626321</v>
      </c>
      <c r="AF393" s="35">
        <f>IF(AND(AE393&lt;=Inputs!$D$35,C393&gt;=Inputs!$D$48*(A393+B393+C393),B393*Inputs!$D$22&lt;=Inputs!$D$50*Inputs!$D$8,B393*Inputs!$D$22&gt;=Inputs!$D$49*Inputs!$D$8,A393*Inputs!$D$20&lt;=Inputs!$D$47*Inputs!$D$8,C393&gt;=1),1,0)</f>
        <v>0</v>
      </c>
      <c r="AG393" s="39">
        <f t="shared" si="27"/>
        <v>-1</v>
      </c>
    </row>
    <row r="394" spans="1:33" x14ac:dyDescent="0.25">
      <c r="A394" s="35">
        <v>41</v>
      </c>
      <c r="B394" s="35">
        <v>15</v>
      </c>
      <c r="C394" s="35">
        <f>Inputs!$D$8-A394-Inputs!$D$22*B394</f>
        <v>49</v>
      </c>
      <c r="D394" s="35">
        <f>A394*Inputs!$D$20+C394*Inputs!$D$21+B394*Inputs!$D$22</f>
        <v>120</v>
      </c>
      <c r="E394" s="36">
        <f>MIN(Inputs!$E$15,Inputs!$D$15*(C394/Inputs!$D$43)^Inputs!$D$44)</f>
        <v>0.39770420454194916</v>
      </c>
      <c r="F394" s="36">
        <f>MIN(Inputs!$E$16,Inputs!$D$16*(B394/Inputs!$D$42)^Inputs!$D$44)</f>
        <v>0.36692590185696072</v>
      </c>
      <c r="G394" s="37">
        <f>Inputs!$D$26*(1+Inputs!$D$41*(B394-Inputs!$D$42))</f>
        <v>1.4249999999999998</v>
      </c>
      <c r="H394" s="35">
        <f>Inputs!$D$6*Inputs!$D$14*G394*Inputs!$D$29</f>
        <v>1790.4127499999997</v>
      </c>
      <c r="I394" s="36">
        <f>H394/(A394*Inputs!$D$32)</f>
        <v>0.79397461197339236</v>
      </c>
      <c r="J394" s="38">
        <f>IF(I394&gt;=1,999,I394/(Inputs!$D$32*(1-I394))*60)</f>
        <v>4.2041135340122748</v>
      </c>
      <c r="K394" s="37">
        <f>MIN(1,MAX(0,(J394-Inputs!$D$36)/(Inputs!$D$37-Inputs!$D$36)))</f>
        <v>0</v>
      </c>
      <c r="L394" s="35">
        <f>Inputs!$D$6*Inputs!$D$14*G394*(1-Inputs!$D$38*K394)</f>
        <v>11936.084999999999</v>
      </c>
      <c r="M394" s="39">
        <f>L394*Inputs!$D$11</f>
        <v>256625.82749999998</v>
      </c>
      <c r="N394" s="39">
        <f>M394*(1-Inputs!$D$17)</f>
        <v>89819.03962499999</v>
      </c>
      <c r="O394" s="35">
        <f>Inputs!$D$6*E394*Inputs!$D$27*Inputs!$D$30</f>
        <v>567.38708963499903</v>
      </c>
      <c r="P394" s="36">
        <f>O394/(C394*Inputs!$D$33)</f>
        <v>0.2894832089974485</v>
      </c>
      <c r="Q394" s="38">
        <f>IF(P394&gt;=1,999,P394/(Inputs!$D$33*(1-P394))*60)</f>
        <v>0.61113941147467321</v>
      </c>
      <c r="R394" s="37">
        <f>MIN(1,MAX(0,(Q394-Inputs!$D$36)/(Inputs!$D$37-Inputs!$D$36)))</f>
        <v>0</v>
      </c>
      <c r="S394" s="35">
        <f>Inputs!$D$6*E394*Inputs!$D$27*(1-Inputs!$D$38*R394)</f>
        <v>4728.2257469583255</v>
      </c>
      <c r="T394" s="39">
        <f>S394*Inputs!$D$12</f>
        <v>75651.611951333209</v>
      </c>
      <c r="U394" s="39">
        <f>T394*(1-Inputs!$D$18)</f>
        <v>34043.225378099938</v>
      </c>
      <c r="V394" s="35">
        <f>Inputs!$D$6*F394*Inputs!$D$28*Inputs!$D$31</f>
        <v>618.65468297412497</v>
      </c>
      <c r="W394" s="36">
        <f>V394/(B394*Inputs!$D$34)</f>
        <v>1.1783898723316666</v>
      </c>
      <c r="X394" s="38">
        <f>IF(W394&gt;=1,999,W394/(Inputs!$D$34*(1-W394))*60)</f>
        <v>999</v>
      </c>
      <c r="Y394" s="37">
        <f>MIN(1,MAX(0,(X394-Inputs!$D$36)/(Inputs!$D$37-Inputs!$D$36)))</f>
        <v>1</v>
      </c>
      <c r="Z394" s="35">
        <f>Inputs!$D$6*F394*Inputs!$D$28*(1-Inputs!$D$38*Y394)</f>
        <v>2617.3851971982212</v>
      </c>
      <c r="AA394" s="39">
        <f>Z394*Inputs!$D$13</f>
        <v>22247.774176184881</v>
      </c>
      <c r="AB394" s="39">
        <f>AA394*(1-Inputs!$D$19)</f>
        <v>13348.664505710929</v>
      </c>
      <c r="AC394" s="39">
        <f t="shared" si="24"/>
        <v>354525.2136275181</v>
      </c>
      <c r="AD394" s="39">
        <f t="shared" si="25"/>
        <v>137210.92950881086</v>
      </c>
      <c r="AE394" s="36">
        <f t="shared" si="26"/>
        <v>1.1783898723316666</v>
      </c>
      <c r="AF394" s="35">
        <f>IF(AND(AE394&lt;=Inputs!$D$35,C394&gt;=Inputs!$D$48*(A394+B394+C394),B394*Inputs!$D$22&lt;=Inputs!$D$50*Inputs!$D$8,B394*Inputs!$D$22&gt;=Inputs!$D$49*Inputs!$D$8,A394*Inputs!$D$20&lt;=Inputs!$D$47*Inputs!$D$8,C394&gt;=1),1,0)</f>
        <v>0</v>
      </c>
      <c r="AG394" s="39">
        <f t="shared" si="27"/>
        <v>-1</v>
      </c>
    </row>
    <row r="395" spans="1:33" x14ac:dyDescent="0.25">
      <c r="A395" s="35">
        <v>41</v>
      </c>
      <c r="B395" s="35">
        <v>16</v>
      </c>
      <c r="C395" s="35">
        <f>Inputs!$D$8-A395-Inputs!$D$22*B395</f>
        <v>47</v>
      </c>
      <c r="D395" s="35">
        <f>A395*Inputs!$D$20+C395*Inputs!$D$21+B395*Inputs!$D$22</f>
        <v>120</v>
      </c>
      <c r="E395" s="36">
        <f>MIN(Inputs!$E$15,Inputs!$D$15*(C395/Inputs!$D$43)^Inputs!$D$44)</f>
        <v>0.39276313309091065</v>
      </c>
      <c r="F395" s="36">
        <f>MIN(Inputs!$E$16,Inputs!$D$16*(B395/Inputs!$D$42)^Inputs!$D$44)</f>
        <v>0.37409937912904856</v>
      </c>
      <c r="G395" s="37">
        <f>Inputs!$D$26*(1+Inputs!$D$41*(B395-Inputs!$D$42))</f>
        <v>1.44</v>
      </c>
      <c r="H395" s="35">
        <f>Inputs!$D$6*Inputs!$D$14*G395*Inputs!$D$29</f>
        <v>1809.2592000000002</v>
      </c>
      <c r="I395" s="36">
        <f>H395/(A395*Inputs!$D$32)</f>
        <v>0.80233223946784926</v>
      </c>
      <c r="J395" s="38">
        <f>IF(I395&gt;=1,999,I395/(Inputs!$D$32*(1-I395))*60)</f>
        <v>4.4279933743801552</v>
      </c>
      <c r="K395" s="37">
        <f>MIN(1,MAX(0,(J395-Inputs!$D$36)/(Inputs!$D$37-Inputs!$D$36)))</f>
        <v>0</v>
      </c>
      <c r="L395" s="35">
        <f>Inputs!$D$6*Inputs!$D$14*G395*(1-Inputs!$D$38*K395)</f>
        <v>12061.728000000001</v>
      </c>
      <c r="M395" s="39">
        <f>L395*Inputs!$D$11</f>
        <v>259327.15200000003</v>
      </c>
      <c r="N395" s="39">
        <f>M395*(1-Inputs!$D$17)</f>
        <v>90764.503200000006</v>
      </c>
      <c r="O395" s="35">
        <f>Inputs!$D$6*E395*Inputs!$D$27*Inputs!$D$30</f>
        <v>560.33788040294633</v>
      </c>
      <c r="P395" s="36">
        <f>O395/(C395*Inputs!$D$33)</f>
        <v>0.29805206404412038</v>
      </c>
      <c r="Q395" s="38">
        <f>IF(P395&gt;=1,999,P395/(Inputs!$D$33*(1-P395))*60)</f>
        <v>0.63691062138016075</v>
      </c>
      <c r="R395" s="37">
        <f>MIN(1,MAX(0,(Q395-Inputs!$D$36)/(Inputs!$D$37-Inputs!$D$36)))</f>
        <v>0</v>
      </c>
      <c r="S395" s="35">
        <f>Inputs!$D$6*E395*Inputs!$D$27*(1-Inputs!$D$38*R395)</f>
        <v>4669.4823366912196</v>
      </c>
      <c r="T395" s="39">
        <f>S395*Inputs!$D$12</f>
        <v>74711.717387059514</v>
      </c>
      <c r="U395" s="39">
        <f>T395*(1-Inputs!$D$18)</f>
        <v>33620.272824176776</v>
      </c>
      <c r="V395" s="35">
        <f>Inputs!$D$6*F395*Inputs!$D$28*Inputs!$D$31</f>
        <v>630.74950998177405</v>
      </c>
      <c r="W395" s="36">
        <f>V395/(B395*Inputs!$D$34)</f>
        <v>1.1263384106817393</v>
      </c>
      <c r="X395" s="38">
        <f>IF(W395&gt;=1,999,W395/(Inputs!$D$34*(1-W395))*60)</f>
        <v>999</v>
      </c>
      <c r="Y395" s="37">
        <f>MIN(1,MAX(0,(X395-Inputs!$D$36)/(Inputs!$D$37-Inputs!$D$36)))</f>
        <v>1</v>
      </c>
      <c r="Z395" s="35">
        <f>Inputs!$D$6*F395*Inputs!$D$28*(1-Inputs!$D$38*Y395)</f>
        <v>2668.5556191536598</v>
      </c>
      <c r="AA395" s="39">
        <f>Z395*Inputs!$D$13</f>
        <v>22682.722762806108</v>
      </c>
      <c r="AB395" s="39">
        <f>AA395*(1-Inputs!$D$19)</f>
        <v>13609.633657683664</v>
      </c>
      <c r="AC395" s="39">
        <f t="shared" si="24"/>
        <v>356721.59214986564</v>
      </c>
      <c r="AD395" s="39">
        <f t="shared" si="25"/>
        <v>137994.40968186044</v>
      </c>
      <c r="AE395" s="36">
        <f t="shared" si="26"/>
        <v>1.1263384106817393</v>
      </c>
      <c r="AF395" s="35">
        <f>IF(AND(AE395&lt;=Inputs!$D$35,C395&gt;=Inputs!$D$48*(A395+B395+C395),B395*Inputs!$D$22&lt;=Inputs!$D$50*Inputs!$D$8,B395*Inputs!$D$22&gt;=Inputs!$D$49*Inputs!$D$8,A395*Inputs!$D$20&lt;=Inputs!$D$47*Inputs!$D$8,C395&gt;=1),1,0)</f>
        <v>0</v>
      </c>
      <c r="AG395" s="39">
        <f t="shared" si="27"/>
        <v>-1</v>
      </c>
    </row>
    <row r="396" spans="1:33" x14ac:dyDescent="0.25">
      <c r="A396" s="35">
        <v>41</v>
      </c>
      <c r="B396" s="35">
        <v>17</v>
      </c>
      <c r="C396" s="35">
        <f>Inputs!$D$8-A396-Inputs!$D$22*B396</f>
        <v>45</v>
      </c>
      <c r="D396" s="35">
        <f>A396*Inputs!$D$20+C396*Inputs!$D$21+B396*Inputs!$D$22</f>
        <v>120</v>
      </c>
      <c r="E396" s="36">
        <f>MIN(Inputs!$E$15,Inputs!$D$15*(C396/Inputs!$D$43)^Inputs!$D$44)</f>
        <v>0.38767260497069417</v>
      </c>
      <c r="F396" s="36">
        <f>MIN(Inputs!$E$16,Inputs!$D$16*(B396/Inputs!$D$42)^Inputs!$D$44)</f>
        <v>0.3809655184437048</v>
      </c>
      <c r="G396" s="37">
        <f>Inputs!$D$26*(1+Inputs!$D$41*(B396-Inputs!$D$42))</f>
        <v>1.4550000000000001</v>
      </c>
      <c r="H396" s="35">
        <f>Inputs!$D$6*Inputs!$D$14*G396*Inputs!$D$29</f>
        <v>1828.1056500000002</v>
      </c>
      <c r="I396" s="36">
        <f>H396/(A396*Inputs!$D$32)</f>
        <v>0.81068986696230605</v>
      </c>
      <c r="J396" s="38">
        <f>IF(I396&gt;=1,999,I396/(Inputs!$D$32*(1-I396))*60)</f>
        <v>4.6716408233729814</v>
      </c>
      <c r="K396" s="37">
        <f>MIN(1,MAX(0,(J396-Inputs!$D$36)/(Inputs!$D$37-Inputs!$D$36)))</f>
        <v>0</v>
      </c>
      <c r="L396" s="35">
        <f>Inputs!$D$6*Inputs!$D$14*G396*(1-Inputs!$D$38*K396)</f>
        <v>12187.371000000001</v>
      </c>
      <c r="M396" s="39">
        <f>L396*Inputs!$D$11</f>
        <v>262028.47650000002</v>
      </c>
      <c r="N396" s="39">
        <f>M396*(1-Inputs!$D$17)</f>
        <v>91709.966775000008</v>
      </c>
      <c r="O396" s="35">
        <f>Inputs!$D$6*E396*Inputs!$D$27*Inputs!$D$30</f>
        <v>553.07544791707073</v>
      </c>
      <c r="P396" s="36">
        <f>O396/(C396*Inputs!$D$33)</f>
        <v>0.30726413773170597</v>
      </c>
      <c r="Q396" s="38">
        <f>IF(P396&gt;=1,999,P396/(Inputs!$D$33*(1-P396))*60)</f>
        <v>0.66532748151423926</v>
      </c>
      <c r="R396" s="37">
        <f>MIN(1,MAX(0,(Q396-Inputs!$D$36)/(Inputs!$D$37-Inputs!$D$36)))</f>
        <v>0</v>
      </c>
      <c r="S396" s="35">
        <f>Inputs!$D$6*E396*Inputs!$D$27*(1-Inputs!$D$38*R396)</f>
        <v>4608.9620659755892</v>
      </c>
      <c r="T396" s="39">
        <f>S396*Inputs!$D$12</f>
        <v>73743.393055609427</v>
      </c>
      <c r="U396" s="39">
        <f>T396*(1-Inputs!$D$18)</f>
        <v>33184.526875024239</v>
      </c>
      <c r="V396" s="35">
        <f>Inputs!$D$6*F396*Inputs!$D$28*Inputs!$D$31</f>
        <v>642.32615044097156</v>
      </c>
      <c r="W396" s="36">
        <f>V396/(B396*Inputs!$D$34)</f>
        <v>1.0795397486402882</v>
      </c>
      <c r="X396" s="38">
        <f>IF(W396&gt;=1,999,W396/(Inputs!$D$34*(1-W396))*60)</f>
        <v>999</v>
      </c>
      <c r="Y396" s="37">
        <f>MIN(1,MAX(0,(X396-Inputs!$D$36)/(Inputs!$D$37-Inputs!$D$36)))</f>
        <v>1</v>
      </c>
      <c r="Z396" s="35">
        <f>Inputs!$D$6*F396*Inputs!$D$28*(1-Inputs!$D$38*Y396)</f>
        <v>2717.5337134041106</v>
      </c>
      <c r="AA396" s="39">
        <f>Z396*Inputs!$D$13</f>
        <v>23099.03656393494</v>
      </c>
      <c r="AB396" s="39">
        <f>AA396*(1-Inputs!$D$19)</f>
        <v>13859.421938360963</v>
      </c>
      <c r="AC396" s="39">
        <f t="shared" si="24"/>
        <v>358870.90611954435</v>
      </c>
      <c r="AD396" s="39">
        <f t="shared" si="25"/>
        <v>138753.91558838522</v>
      </c>
      <c r="AE396" s="36">
        <f t="shared" si="26"/>
        <v>1.0795397486402882</v>
      </c>
      <c r="AF396" s="35">
        <f>IF(AND(AE396&lt;=Inputs!$D$35,C396&gt;=Inputs!$D$48*(A396+B396+C396),B396*Inputs!$D$22&lt;=Inputs!$D$50*Inputs!$D$8,B396*Inputs!$D$22&gt;=Inputs!$D$49*Inputs!$D$8,A396*Inputs!$D$20&lt;=Inputs!$D$47*Inputs!$D$8,C396&gt;=1),1,0)</f>
        <v>0</v>
      </c>
      <c r="AG396" s="39">
        <f t="shared" si="27"/>
        <v>-1</v>
      </c>
    </row>
    <row r="397" spans="1:33" x14ac:dyDescent="0.25">
      <c r="A397" s="35">
        <v>41</v>
      </c>
      <c r="B397" s="35">
        <v>18</v>
      </c>
      <c r="C397" s="35">
        <f>Inputs!$D$8-A397-Inputs!$D$22*B397</f>
        <v>43</v>
      </c>
      <c r="D397" s="35">
        <f>A397*Inputs!$D$20+C397*Inputs!$D$21+B397*Inputs!$D$22</f>
        <v>120</v>
      </c>
      <c r="E397" s="36">
        <f>MIN(Inputs!$E$15,Inputs!$D$15*(C397/Inputs!$D$43)^Inputs!$D$44)</f>
        <v>0.38242114286867052</v>
      </c>
      <c r="F397" s="36">
        <f>MIN(Inputs!$E$16,Inputs!$D$16*(B397/Inputs!$D$42)^Inputs!$D$44)</f>
        <v>0.38755446447890535</v>
      </c>
      <c r="G397" s="37">
        <f>Inputs!$D$26*(1+Inputs!$D$41*(B397-Inputs!$D$42))</f>
        <v>1.47</v>
      </c>
      <c r="H397" s="35">
        <f>Inputs!$D$6*Inputs!$D$14*G397*Inputs!$D$29</f>
        <v>1846.9521</v>
      </c>
      <c r="I397" s="36">
        <f>H397/(A397*Inputs!$D$32)</f>
        <v>0.81904749445676273</v>
      </c>
      <c r="J397" s="38">
        <f>IF(I397&gt;=1,999,I397/(Inputs!$D$32*(1-I397))*60)</f>
        <v>4.9377948921281938</v>
      </c>
      <c r="K397" s="37">
        <f>MIN(1,MAX(0,(J397-Inputs!$D$36)/(Inputs!$D$37-Inputs!$D$36)))</f>
        <v>0</v>
      </c>
      <c r="L397" s="35">
        <f>Inputs!$D$6*Inputs!$D$14*G397*(1-Inputs!$D$38*K397)</f>
        <v>12313.014000000001</v>
      </c>
      <c r="M397" s="39">
        <f>L397*Inputs!$D$11</f>
        <v>264729.80100000004</v>
      </c>
      <c r="N397" s="39">
        <f>M397*(1-Inputs!$D$17)</f>
        <v>92655.43035000001</v>
      </c>
      <c r="O397" s="35">
        <f>Inputs!$D$6*E397*Inputs!$D$27*Inputs!$D$30</f>
        <v>545.58341800044604</v>
      </c>
      <c r="P397" s="36">
        <f>O397/(C397*Inputs!$D$33)</f>
        <v>0.31719966162816632</v>
      </c>
      <c r="Q397" s="38">
        <f>IF(P397&gt;=1,999,P397/(Inputs!$D$33*(1-P397))*60)</f>
        <v>0.69683546668534679</v>
      </c>
      <c r="R397" s="37">
        <f>MIN(1,MAX(0,(Q397-Inputs!$D$36)/(Inputs!$D$37-Inputs!$D$36)))</f>
        <v>0</v>
      </c>
      <c r="S397" s="35">
        <f>Inputs!$D$6*E397*Inputs!$D$27*(1-Inputs!$D$38*R397)</f>
        <v>4546.5284833370506</v>
      </c>
      <c r="T397" s="39">
        <f>S397*Inputs!$D$12</f>
        <v>72744.45573339281</v>
      </c>
      <c r="U397" s="39">
        <f>T397*(1-Inputs!$D$18)</f>
        <v>32735.00508002676</v>
      </c>
      <c r="V397" s="35">
        <f>Inputs!$D$6*F397*Inputs!$D$28*Inputs!$D$31</f>
        <v>653.43542972572936</v>
      </c>
      <c r="W397" s="36">
        <f>V397/(B397*Inputs!$D$34)</f>
        <v>1.037199094802745</v>
      </c>
      <c r="X397" s="38">
        <f>IF(W397&gt;=1,999,W397/(Inputs!$D$34*(1-W397))*60)</f>
        <v>999</v>
      </c>
      <c r="Y397" s="37">
        <f>MIN(1,MAX(0,(X397-Inputs!$D$36)/(Inputs!$D$37-Inputs!$D$36)))</f>
        <v>1</v>
      </c>
      <c r="Z397" s="35">
        <f>Inputs!$D$6*F397*Inputs!$D$28*(1-Inputs!$D$38*Y397)</f>
        <v>2764.534510378086</v>
      </c>
      <c r="AA397" s="39">
        <f>Z397*Inputs!$D$13</f>
        <v>23498.543338213731</v>
      </c>
      <c r="AB397" s="39">
        <f>AA397*(1-Inputs!$D$19)</f>
        <v>14099.126002928238</v>
      </c>
      <c r="AC397" s="39">
        <f t="shared" si="24"/>
        <v>360972.80007160659</v>
      </c>
      <c r="AD397" s="39">
        <f t="shared" si="25"/>
        <v>139489.561432955</v>
      </c>
      <c r="AE397" s="36">
        <f t="shared" si="26"/>
        <v>1.037199094802745</v>
      </c>
      <c r="AF397" s="35">
        <f>IF(AND(AE397&lt;=Inputs!$D$35,C397&gt;=Inputs!$D$48*(A397+B397+C397),B397*Inputs!$D$22&lt;=Inputs!$D$50*Inputs!$D$8,B397*Inputs!$D$22&gt;=Inputs!$D$49*Inputs!$D$8,A397*Inputs!$D$20&lt;=Inputs!$D$47*Inputs!$D$8,C397&gt;=1),1,0)</f>
        <v>0</v>
      </c>
      <c r="AG397" s="39">
        <f t="shared" si="27"/>
        <v>-1</v>
      </c>
    </row>
    <row r="398" spans="1:33" x14ac:dyDescent="0.25">
      <c r="A398" s="35">
        <v>41</v>
      </c>
      <c r="B398" s="35">
        <v>19</v>
      </c>
      <c r="C398" s="35">
        <f>Inputs!$D$8-A398-Inputs!$D$22*B398</f>
        <v>41</v>
      </c>
      <c r="D398" s="35">
        <f>A398*Inputs!$D$20+C398*Inputs!$D$21+B398*Inputs!$D$22</f>
        <v>120</v>
      </c>
      <c r="E398" s="36">
        <f>MIN(Inputs!$E$15,Inputs!$D$15*(C398/Inputs!$D$43)^Inputs!$D$44)</f>
        <v>0.37699580304543617</v>
      </c>
      <c r="F398" s="36">
        <f>MIN(Inputs!$E$16,Inputs!$D$16*(B398/Inputs!$D$42)^Inputs!$D$44)</f>
        <v>0.39389192072703005</v>
      </c>
      <c r="G398" s="37">
        <f>Inputs!$D$26*(1+Inputs!$D$41*(B398-Inputs!$D$42))</f>
        <v>1.4849999999999999</v>
      </c>
      <c r="H398" s="35">
        <f>Inputs!$D$6*Inputs!$D$14*G398*Inputs!$D$29</f>
        <v>1865.7985499999998</v>
      </c>
      <c r="I398" s="36">
        <f>H398/(A398*Inputs!$D$32)</f>
        <v>0.8274051219512194</v>
      </c>
      <c r="J398" s="38">
        <f>IF(I398&gt;=1,999,I398/(Inputs!$D$32*(1-I398))*60)</f>
        <v>5.2297251204999329</v>
      </c>
      <c r="K398" s="37">
        <f>MIN(1,MAX(0,(J398-Inputs!$D$36)/(Inputs!$D$37-Inputs!$D$36)))</f>
        <v>1.5315008033328859E-2</v>
      </c>
      <c r="L398" s="35">
        <f>Inputs!$D$6*Inputs!$D$14*G398*(1-Inputs!$D$38*K398)</f>
        <v>12352.93284065453</v>
      </c>
      <c r="M398" s="39">
        <f>L398*Inputs!$D$11</f>
        <v>265588.05607407237</v>
      </c>
      <c r="N398" s="39">
        <f>M398*(1-Inputs!$D$17)</f>
        <v>92955.819625925331</v>
      </c>
      <c r="O398" s="35">
        <f>Inputs!$D$6*E398*Inputs!$D$27*Inputs!$D$30</f>
        <v>537.84332438958984</v>
      </c>
      <c r="P398" s="36">
        <f>O398/(C398*Inputs!$D$33)</f>
        <v>0.3279532465790182</v>
      </c>
      <c r="Q398" s="38">
        <f>IF(P398&gt;=1,999,P398/(Inputs!$D$33*(1-P398))*60)</f>
        <v>0.73198756985940516</v>
      </c>
      <c r="R398" s="37">
        <f>MIN(1,MAX(0,(Q398-Inputs!$D$36)/(Inputs!$D$37-Inputs!$D$36)))</f>
        <v>0</v>
      </c>
      <c r="S398" s="35">
        <f>Inputs!$D$6*E398*Inputs!$D$27*(1-Inputs!$D$38*R398)</f>
        <v>4482.027703246582</v>
      </c>
      <c r="T398" s="39">
        <f>S398*Inputs!$D$12</f>
        <v>71712.443251945311</v>
      </c>
      <c r="U398" s="39">
        <f>T398*(1-Inputs!$D$18)</f>
        <v>32270.599463375387</v>
      </c>
      <c r="V398" s="35">
        <f>Inputs!$D$6*F398*Inputs!$D$28*Inputs!$D$31</f>
        <v>664.12068515796761</v>
      </c>
      <c r="W398" s="36">
        <f>V398/(B398*Inputs!$D$34)</f>
        <v>0.99867772204205651</v>
      </c>
      <c r="X398" s="38">
        <f>IF(W398&gt;=1,999,W398/(Inputs!$D$34*(1-W398))*60)</f>
        <v>1294.749671797274</v>
      </c>
      <c r="Y398" s="37">
        <f>MIN(1,MAX(0,(X398-Inputs!$D$36)/(Inputs!$D$37-Inputs!$D$36)))</f>
        <v>1</v>
      </c>
      <c r="Z398" s="35">
        <f>Inputs!$D$6*F398*Inputs!$D$28*(1-Inputs!$D$38*Y398)</f>
        <v>2809.7413602837091</v>
      </c>
      <c r="AA398" s="39">
        <f>Z398*Inputs!$D$13</f>
        <v>23882.801562411529</v>
      </c>
      <c r="AB398" s="39">
        <f>AA398*(1-Inputs!$D$19)</f>
        <v>14329.680937446918</v>
      </c>
      <c r="AC398" s="39">
        <f t="shared" si="24"/>
        <v>361183.30088842922</v>
      </c>
      <c r="AD398" s="39">
        <f t="shared" si="25"/>
        <v>139556.10002674765</v>
      </c>
      <c r="AE398" s="36">
        <f t="shared" si="26"/>
        <v>0.99867772204205651</v>
      </c>
      <c r="AF398" s="35">
        <f>IF(AND(AE398&lt;=Inputs!$D$35,C398&gt;=Inputs!$D$48*(A398+B398+C398),B398*Inputs!$D$22&lt;=Inputs!$D$50*Inputs!$D$8,B398*Inputs!$D$22&gt;=Inputs!$D$49*Inputs!$D$8,A398*Inputs!$D$20&lt;=Inputs!$D$47*Inputs!$D$8,C398&gt;=1),1,0)</f>
        <v>0</v>
      </c>
      <c r="AG398" s="39">
        <f t="shared" si="27"/>
        <v>-1</v>
      </c>
    </row>
    <row r="399" spans="1:33" x14ac:dyDescent="0.25">
      <c r="A399" s="35">
        <v>41</v>
      </c>
      <c r="B399" s="35">
        <v>20</v>
      </c>
      <c r="C399" s="35">
        <f>Inputs!$D$8-A399-Inputs!$D$22*B399</f>
        <v>39</v>
      </c>
      <c r="D399" s="35">
        <f>A399*Inputs!$D$20+C399*Inputs!$D$21+B399*Inputs!$D$22</f>
        <v>120</v>
      </c>
      <c r="E399" s="36">
        <f>MIN(Inputs!$E$15,Inputs!$D$15*(C399/Inputs!$D$43)^Inputs!$D$44)</f>
        <v>0.37138190575462604</v>
      </c>
      <c r="F399" s="36">
        <f>MIN(Inputs!$E$16,Inputs!$D$16*(B399/Inputs!$D$42)^Inputs!$D$44)</f>
        <v>0.4</v>
      </c>
      <c r="G399" s="37">
        <f>Inputs!$D$26*(1+Inputs!$D$41*(B399-Inputs!$D$42))</f>
        <v>1.5</v>
      </c>
      <c r="H399" s="35">
        <f>Inputs!$D$6*Inputs!$D$14*G399*Inputs!$D$29</f>
        <v>1884.645</v>
      </c>
      <c r="I399" s="36">
        <f>H399/(A399*Inputs!$D$32)</f>
        <v>0.8357627494456763</v>
      </c>
      <c r="J399" s="38">
        <f>IF(I399&gt;=1,999,I399/(Inputs!$D$32*(1-I399))*60)</f>
        <v>5.5513665635305696</v>
      </c>
      <c r="K399" s="37">
        <f>MIN(1,MAX(0,(J399-Inputs!$D$36)/(Inputs!$D$37-Inputs!$D$36)))</f>
        <v>3.6757770902037974E-2</v>
      </c>
      <c r="L399" s="35">
        <f>Inputs!$D$6*Inputs!$D$14*G399*(1-Inputs!$D$38*K399)</f>
        <v>12356.473952574988</v>
      </c>
      <c r="M399" s="39">
        <f>L399*Inputs!$D$11</f>
        <v>265664.18998036225</v>
      </c>
      <c r="N399" s="39">
        <f>M399*(1-Inputs!$D$17)</f>
        <v>92982.466493126776</v>
      </c>
      <c r="O399" s="35">
        <f>Inputs!$D$6*E399*Inputs!$D$27*Inputs!$D$30</f>
        <v>529.8342241362717</v>
      </c>
      <c r="P399" s="36">
        <f>O399/(C399*Inputs!$D$33)</f>
        <v>0.33963732316427675</v>
      </c>
      <c r="Q399" s="38">
        <f>IF(P399&gt;=1,999,P399/(Inputs!$D$33*(1-P399))*60)</f>
        <v>0.77147907145144612</v>
      </c>
      <c r="R399" s="37">
        <f>MIN(1,MAX(0,(Q399-Inputs!$D$36)/(Inputs!$D$37-Inputs!$D$36)))</f>
        <v>0</v>
      </c>
      <c r="S399" s="35">
        <f>Inputs!$D$6*E399*Inputs!$D$27*(1-Inputs!$D$38*R399)</f>
        <v>4415.2852011355981</v>
      </c>
      <c r="T399" s="39">
        <f>S399*Inputs!$D$12</f>
        <v>70644.563218169569</v>
      </c>
      <c r="U399" s="39">
        <f>T399*(1-Inputs!$D$18)</f>
        <v>31790.053448176302</v>
      </c>
      <c r="V399" s="35">
        <f>Inputs!$D$6*F399*Inputs!$D$28*Inputs!$D$31</f>
        <v>674.41919999999993</v>
      </c>
      <c r="W399" s="36">
        <f>V399/(B399*Inputs!$D$34)</f>
        <v>0.96345599999999987</v>
      </c>
      <c r="X399" s="38">
        <f>IF(W399&gt;=1,999,W399/(Inputs!$D$34*(1-W399))*60)</f>
        <v>45.195896922691851</v>
      </c>
      <c r="Y399" s="37">
        <f>MIN(1,MAX(0,(X399-Inputs!$D$36)/(Inputs!$D$37-Inputs!$D$36)))</f>
        <v>1</v>
      </c>
      <c r="Z399" s="35">
        <f>Inputs!$D$6*F399*Inputs!$D$28*(1-Inputs!$D$38*Y399)</f>
        <v>2853.3119999999999</v>
      </c>
      <c r="AA399" s="39">
        <f>Z399*Inputs!$D$13</f>
        <v>24253.151999999998</v>
      </c>
      <c r="AB399" s="39">
        <f>AA399*(1-Inputs!$D$19)</f>
        <v>14551.891199999998</v>
      </c>
      <c r="AC399" s="39">
        <f t="shared" si="24"/>
        <v>360561.90519853181</v>
      </c>
      <c r="AD399" s="39">
        <f t="shared" si="25"/>
        <v>139324.41114130308</v>
      </c>
      <c r="AE399" s="36">
        <f t="shared" si="26"/>
        <v>0.96345599999999987</v>
      </c>
      <c r="AF399" s="35">
        <f>IF(AND(AE399&lt;=Inputs!$D$35,C399&gt;=Inputs!$D$48*(A399+B399+C399),B399*Inputs!$D$22&lt;=Inputs!$D$50*Inputs!$D$8,B399*Inputs!$D$22&gt;=Inputs!$D$49*Inputs!$D$8,A399*Inputs!$D$20&lt;=Inputs!$D$47*Inputs!$D$8,C399&gt;=1),1,0)</f>
        <v>0</v>
      </c>
      <c r="AG399" s="39">
        <f t="shared" si="27"/>
        <v>-1</v>
      </c>
    </row>
    <row r="400" spans="1:33" x14ac:dyDescent="0.25">
      <c r="A400" s="35">
        <v>41</v>
      </c>
      <c r="B400" s="35">
        <v>21</v>
      </c>
      <c r="C400" s="35">
        <f>Inputs!$D$8-A400-Inputs!$D$22*B400</f>
        <v>37</v>
      </c>
      <c r="D400" s="35">
        <f>A400*Inputs!$D$20+C400*Inputs!$D$21+B400*Inputs!$D$22</f>
        <v>120</v>
      </c>
      <c r="E400" s="36">
        <f>MIN(Inputs!$E$15,Inputs!$D$15*(C400/Inputs!$D$43)^Inputs!$D$44)</f>
        <v>0.36556269939951974</v>
      </c>
      <c r="F400" s="36">
        <f>MIN(Inputs!$E$16,Inputs!$D$16*(B400/Inputs!$D$42)^Inputs!$D$44)</f>
        <v>0.40589787816896217</v>
      </c>
      <c r="G400" s="37">
        <f>Inputs!$D$26*(1+Inputs!$D$41*(B400-Inputs!$D$42))</f>
        <v>1.5150000000000001</v>
      </c>
      <c r="H400" s="35">
        <f>Inputs!$D$6*Inputs!$D$14*G400*Inputs!$D$29</f>
        <v>1903.4914500000004</v>
      </c>
      <c r="I400" s="36">
        <f>H400/(A400*Inputs!$D$32)</f>
        <v>0.8441203769401332</v>
      </c>
      <c r="J400" s="38">
        <f>IF(I400&gt;=1,999,I400/(Inputs!$D$32*(1-I400))*60)</f>
        <v>5.9074982024554732</v>
      </c>
      <c r="K400" s="37">
        <f>MIN(1,MAX(0,(J400-Inputs!$D$36)/(Inputs!$D$37-Inputs!$D$36)))</f>
        <v>6.0499880163698214E-2</v>
      </c>
      <c r="L400" s="35">
        <f>Inputs!$D$6*Inputs!$D$14*G400*(1-Inputs!$D$38*K400)</f>
        <v>12344.459986147131</v>
      </c>
      <c r="M400" s="39">
        <f>L400*Inputs!$D$11</f>
        <v>265405.88970216329</v>
      </c>
      <c r="N400" s="39">
        <f>M400*(1-Inputs!$D$17)</f>
        <v>92892.061395757148</v>
      </c>
      <c r="O400" s="35">
        <f>Inputs!$D$6*E400*Inputs!$D$27*Inputs!$D$30</f>
        <v>521.5322184745213</v>
      </c>
      <c r="P400" s="36">
        <f>O400/(C400*Inputs!$D$33)</f>
        <v>0.35238663410440629</v>
      </c>
      <c r="Q400" s="38">
        <f>IF(P400&gt;=1,999,P400/(Inputs!$D$33*(1-P400))*60)</f>
        <v>0.81619679116046151</v>
      </c>
      <c r="R400" s="37">
        <f>MIN(1,MAX(0,(Q400-Inputs!$D$36)/(Inputs!$D$37-Inputs!$D$36)))</f>
        <v>0</v>
      </c>
      <c r="S400" s="35">
        <f>Inputs!$D$6*E400*Inputs!$D$27*(1-Inputs!$D$38*R400)</f>
        <v>4346.101820621011</v>
      </c>
      <c r="T400" s="39">
        <f>S400*Inputs!$D$12</f>
        <v>69537.629129936176</v>
      </c>
      <c r="U400" s="39">
        <f>T400*(1-Inputs!$D$18)</f>
        <v>31291.933108471276</v>
      </c>
      <c r="V400" s="35">
        <f>Inputs!$D$6*F400*Inputs!$D$28*Inputs!$D$31</f>
        <v>684.36330569102222</v>
      </c>
      <c r="W400" s="36">
        <f>V400/(B400*Inputs!$D$34)</f>
        <v>0.93110653835513224</v>
      </c>
      <c r="X400" s="38">
        <f>IF(W400&gt;=1,999,W400/(Inputs!$D$34*(1-W400))*60)</f>
        <v>23.16885520150278</v>
      </c>
      <c r="Y400" s="37">
        <f>MIN(1,MAX(0,(X400-Inputs!$D$36)/(Inputs!$D$37-Inputs!$D$36)))</f>
        <v>1</v>
      </c>
      <c r="Z400" s="35">
        <f>Inputs!$D$6*F400*Inputs!$D$28*(1-Inputs!$D$38*Y400)</f>
        <v>2895.3832163850943</v>
      </c>
      <c r="AA400" s="39">
        <f>Z400*Inputs!$D$13</f>
        <v>24610.757339273303</v>
      </c>
      <c r="AB400" s="39">
        <f>AA400*(1-Inputs!$D$19)</f>
        <v>14766.454403563981</v>
      </c>
      <c r="AC400" s="39">
        <f t="shared" si="24"/>
        <v>359554.27617137274</v>
      </c>
      <c r="AD400" s="39">
        <f t="shared" si="25"/>
        <v>138950.44890779239</v>
      </c>
      <c r="AE400" s="36">
        <f t="shared" si="26"/>
        <v>0.93110653835513224</v>
      </c>
      <c r="AF400" s="35">
        <f>IF(AND(AE400&lt;=Inputs!$D$35,C400&gt;=Inputs!$D$48*(A400+B400+C400),B400*Inputs!$D$22&lt;=Inputs!$D$50*Inputs!$D$8,B400*Inputs!$D$22&gt;=Inputs!$D$49*Inputs!$D$8,A400*Inputs!$D$20&lt;=Inputs!$D$47*Inputs!$D$8,C400&gt;=1),1,0)</f>
        <v>0</v>
      </c>
      <c r="AG400" s="39">
        <f t="shared" si="27"/>
        <v>-1</v>
      </c>
    </row>
    <row r="401" spans="1:33" x14ac:dyDescent="0.25">
      <c r="A401" s="35">
        <v>41</v>
      </c>
      <c r="B401" s="35">
        <v>22</v>
      </c>
      <c r="C401" s="35">
        <f>Inputs!$D$8-A401-Inputs!$D$22*B401</f>
        <v>35</v>
      </c>
      <c r="D401" s="35">
        <f>A401*Inputs!$D$20+C401*Inputs!$D$21+B401*Inputs!$D$22</f>
        <v>120</v>
      </c>
      <c r="E401" s="36">
        <f>MIN(Inputs!$E$15,Inputs!$D$15*(C401/Inputs!$D$43)^Inputs!$D$44)</f>
        <v>0.3595189375764975</v>
      </c>
      <c r="F401" s="36">
        <f>MIN(Inputs!$E$16,Inputs!$D$16*(B401/Inputs!$D$42)^Inputs!$D$44)</f>
        <v>0.41160230376843804</v>
      </c>
      <c r="G401" s="37">
        <f>Inputs!$D$26*(1+Inputs!$D$41*(B401-Inputs!$D$42))</f>
        <v>1.53</v>
      </c>
      <c r="H401" s="35">
        <f>Inputs!$D$6*Inputs!$D$14*G401*Inputs!$D$29</f>
        <v>1922.3379</v>
      </c>
      <c r="I401" s="36">
        <f>H401/(A401*Inputs!$D$32)</f>
        <v>0.85247800443458976</v>
      </c>
      <c r="J401" s="38">
        <f>IF(I401&gt;=1,999,I401/(Inputs!$D$32*(1-I401))*60)</f>
        <v>6.3039820012832548</v>
      </c>
      <c r="K401" s="37">
        <f>MIN(1,MAX(0,(J401-Inputs!$D$36)/(Inputs!$D$37-Inputs!$D$36)))</f>
        <v>8.6932133418883659E-2</v>
      </c>
      <c r="L401" s="35">
        <f>Inputs!$D$6*Inputs!$D$14*G401*(1-Inputs!$D$38*K401)</f>
        <v>12314.247195603071</v>
      </c>
      <c r="M401" s="39">
        <f>L401*Inputs!$D$11</f>
        <v>264756.31470546604</v>
      </c>
      <c r="N401" s="39">
        <f>M401*(1-Inputs!$D$17)</f>
        <v>92664.710146913101</v>
      </c>
      <c r="O401" s="35">
        <f>Inputs!$D$6*E401*Inputs!$D$27*Inputs!$D$30</f>
        <v>512.90984940713565</v>
      </c>
      <c r="P401" s="36">
        <f>O401/(C401*Inputs!$D$33)</f>
        <v>0.36636417814795402</v>
      </c>
      <c r="Q401" s="38">
        <f>IF(P401&gt;=1,999,P401/(Inputs!$D$33*(1-P401))*60)</f>
        <v>0.86729040289368331</v>
      </c>
      <c r="R401" s="37">
        <f>MIN(1,MAX(0,(Q401-Inputs!$D$36)/(Inputs!$D$37-Inputs!$D$36)))</f>
        <v>0</v>
      </c>
      <c r="S401" s="35">
        <f>Inputs!$D$6*E401*Inputs!$D$27*(1-Inputs!$D$38*R401)</f>
        <v>4274.2487450594635</v>
      </c>
      <c r="T401" s="39">
        <f>S401*Inputs!$D$12</f>
        <v>68387.979920951417</v>
      </c>
      <c r="U401" s="39">
        <f>T401*(1-Inputs!$D$18)</f>
        <v>30774.590964428135</v>
      </c>
      <c r="V401" s="35">
        <f>Inputs!$D$6*F401*Inputs!$D$28*Inputs!$D$31</f>
        <v>693.98124106416742</v>
      </c>
      <c r="W401" s="36">
        <f>V401/(B401*Inputs!$D$34)</f>
        <v>0.90127433904437326</v>
      </c>
      <c r="X401" s="38">
        <f>IF(W401&gt;=1,999,W401/(Inputs!$D$34*(1-W401))*60)</f>
        <v>15.649849381818807</v>
      </c>
      <c r="Y401" s="37">
        <f>MIN(1,MAX(0,(X401-Inputs!$D$36)/(Inputs!$D$37-Inputs!$D$36)))</f>
        <v>0.70998995878792048</v>
      </c>
      <c r="Z401" s="35">
        <f>Inputs!$D$6*F401*Inputs!$D$28*(1-Inputs!$D$38*Y401)</f>
        <v>3632.749002537963</v>
      </c>
      <c r="AA401" s="39">
        <f>Z401*Inputs!$D$13</f>
        <v>30878.366521572687</v>
      </c>
      <c r="AB401" s="39">
        <f>AA401*(1-Inputs!$D$19)</f>
        <v>18527.019912943611</v>
      </c>
      <c r="AC401" s="39">
        <f t="shared" si="24"/>
        <v>364022.66114799015</v>
      </c>
      <c r="AD401" s="39">
        <f t="shared" si="25"/>
        <v>141966.32102428484</v>
      </c>
      <c r="AE401" s="36">
        <f t="shared" si="26"/>
        <v>0.90127433904437326</v>
      </c>
      <c r="AF401" s="35">
        <f>IF(AND(AE401&lt;=Inputs!$D$35,C401&gt;=Inputs!$D$48*(A401+B401+C401),B401*Inputs!$D$22&lt;=Inputs!$D$50*Inputs!$D$8,B401*Inputs!$D$22&gt;=Inputs!$D$49*Inputs!$D$8,A401*Inputs!$D$20&lt;=Inputs!$D$47*Inputs!$D$8,C401&gt;=1),1,0)</f>
        <v>0</v>
      </c>
      <c r="AG401" s="39">
        <f t="shared" si="27"/>
        <v>-1</v>
      </c>
    </row>
    <row r="402" spans="1:33" x14ac:dyDescent="0.25">
      <c r="A402" s="35">
        <v>41</v>
      </c>
      <c r="B402" s="35">
        <v>23</v>
      </c>
      <c r="C402" s="35">
        <f>Inputs!$D$8-A402-Inputs!$D$22*B402</f>
        <v>33</v>
      </c>
      <c r="D402" s="35">
        <f>A402*Inputs!$D$20+C402*Inputs!$D$21+B402*Inputs!$D$22</f>
        <v>120</v>
      </c>
      <c r="E402" s="36">
        <f>MIN(Inputs!$E$15,Inputs!$D$15*(C402/Inputs!$D$43)^Inputs!$D$44)</f>
        <v>0.35322833999035824</v>
      </c>
      <c r="F402" s="36">
        <f>MIN(Inputs!$E$16,Inputs!$D$16*(B402/Inputs!$D$42)^Inputs!$D$44)</f>
        <v>0.41712800028621322</v>
      </c>
      <c r="G402" s="37">
        <f>Inputs!$D$26*(1+Inputs!$D$41*(B402-Inputs!$D$42))</f>
        <v>1.5449999999999999</v>
      </c>
      <c r="H402" s="35">
        <f>Inputs!$D$6*Inputs!$D$14*G402*Inputs!$D$29</f>
        <v>1941.18435</v>
      </c>
      <c r="I402" s="36">
        <f>H402/(A402*Inputs!$D$32)</f>
        <v>0.86083563192904655</v>
      </c>
      <c r="J402" s="38">
        <f>IF(I402&gt;=1,999,I402/(Inputs!$D$32*(1-I402))*60)</f>
        <v>6.7480881037814857</v>
      </c>
      <c r="K402" s="37">
        <f>MIN(1,MAX(0,(J402-Inputs!$D$36)/(Inputs!$D$37-Inputs!$D$36)))</f>
        <v>0.11653920691876571</v>
      </c>
      <c r="L402" s="35">
        <f>Inputs!$D$6*Inputs!$D$14*G402*(1-Inputs!$D$38*K402)</f>
        <v>12262.556746103641</v>
      </c>
      <c r="M402" s="39">
        <f>L402*Inputs!$D$11</f>
        <v>263644.97004122828</v>
      </c>
      <c r="N402" s="39">
        <f>M402*(1-Inputs!$D$17)</f>
        <v>92275.739514429893</v>
      </c>
      <c r="O402" s="35">
        <f>Inputs!$D$6*E402*Inputs!$D$27*Inputs!$D$30</f>
        <v>503.93533061728459</v>
      </c>
      <c r="P402" s="36">
        <f>O402/(C402*Inputs!$D$33)</f>
        <v>0.38176918986157926</v>
      </c>
      <c r="Q402" s="38">
        <f>IF(P402&gt;=1,999,P402/(Inputs!$D$33*(1-P402))*60)</f>
        <v>0.92627830156855617</v>
      </c>
      <c r="R402" s="37">
        <f>MIN(1,MAX(0,(Q402-Inputs!$D$36)/(Inputs!$D$37-Inputs!$D$36)))</f>
        <v>0</v>
      </c>
      <c r="S402" s="35">
        <f>Inputs!$D$6*E402*Inputs!$D$27*(1-Inputs!$D$38*R402)</f>
        <v>4199.461088477372</v>
      </c>
      <c r="T402" s="39">
        <f>S402*Inputs!$D$12</f>
        <v>67191.377415637951</v>
      </c>
      <c r="U402" s="39">
        <f>T402*(1-Inputs!$D$18)</f>
        <v>30236.119837037077</v>
      </c>
      <c r="V402" s="35">
        <f>Inputs!$D$6*F402*Inputs!$D$28*Inputs!$D$31</f>
        <v>703.29783062656929</v>
      </c>
      <c r="W402" s="36">
        <f>V402/(B402*Inputs!$D$34)</f>
        <v>0.87366190139946498</v>
      </c>
      <c r="X402" s="38">
        <f>IF(W402&gt;=1,999,W402/(Inputs!$D$34*(1-W402))*60)</f>
        <v>11.854746377182334</v>
      </c>
      <c r="Y402" s="37">
        <f>MIN(1,MAX(0,(X402-Inputs!$D$36)/(Inputs!$D$37-Inputs!$D$36)))</f>
        <v>0.45698309181215557</v>
      </c>
      <c r="Z402" s="35">
        <f>Inputs!$D$6*F402*Inputs!$D$28*(1-Inputs!$D$38*Y402)</f>
        <v>4297.4614071503011</v>
      </c>
      <c r="AA402" s="39">
        <f>Z402*Inputs!$D$13</f>
        <v>36528.421960777559</v>
      </c>
      <c r="AB402" s="39">
        <f>AA402*(1-Inputs!$D$19)</f>
        <v>21917.053176466536</v>
      </c>
      <c r="AC402" s="39">
        <f t="shared" si="24"/>
        <v>367364.76941764378</v>
      </c>
      <c r="AD402" s="39">
        <f t="shared" si="25"/>
        <v>144428.91252793348</v>
      </c>
      <c r="AE402" s="36">
        <f t="shared" si="26"/>
        <v>0.87366190139946498</v>
      </c>
      <c r="AF402" s="35">
        <f>IF(AND(AE402&lt;=Inputs!$D$35,C402&gt;=Inputs!$D$48*(A402+B402+C402),B402*Inputs!$D$22&lt;=Inputs!$D$50*Inputs!$D$8,B402*Inputs!$D$22&gt;=Inputs!$D$49*Inputs!$D$8,A402*Inputs!$D$20&lt;=Inputs!$D$47*Inputs!$D$8,C402&gt;=1),1,0)</f>
        <v>0</v>
      </c>
      <c r="AG402" s="39">
        <f t="shared" si="27"/>
        <v>-1</v>
      </c>
    </row>
    <row r="403" spans="1:33" x14ac:dyDescent="0.25">
      <c r="A403" s="35">
        <v>41</v>
      </c>
      <c r="B403" s="35">
        <v>24</v>
      </c>
      <c r="C403" s="35">
        <f>Inputs!$D$8-A403-Inputs!$D$22*B403</f>
        <v>31</v>
      </c>
      <c r="D403" s="35">
        <f>A403*Inputs!$D$20+C403*Inputs!$D$21+B403*Inputs!$D$22</f>
        <v>120</v>
      </c>
      <c r="E403" s="36">
        <f>MIN(Inputs!$E$15,Inputs!$D$15*(C403/Inputs!$D$43)^Inputs!$D$44)</f>
        <v>0.34666489615699225</v>
      </c>
      <c r="F403" s="36">
        <f>MIN(Inputs!$E$16,Inputs!$D$16*(B403/Inputs!$D$42)^Inputs!$D$44)</f>
        <v>0.42248798737570326</v>
      </c>
      <c r="G403" s="37">
        <f>Inputs!$D$26*(1+Inputs!$D$41*(B403-Inputs!$D$42))</f>
        <v>1.56</v>
      </c>
      <c r="H403" s="35">
        <f>Inputs!$D$6*Inputs!$D$14*G403*Inputs!$D$29</f>
        <v>1960.0308</v>
      </c>
      <c r="I403" s="36">
        <f>H403/(A403*Inputs!$D$32)</f>
        <v>0.86919325942350334</v>
      </c>
      <c r="J403" s="38">
        <f>IF(I403&gt;=1,999,I403/(Inputs!$D$32*(1-I403))*60)</f>
        <v>7.2489446972152294</v>
      </c>
      <c r="K403" s="37">
        <f>MIN(1,MAX(0,(J403-Inputs!$D$36)/(Inputs!$D$37-Inputs!$D$36)))</f>
        <v>0.14992964648101528</v>
      </c>
      <c r="L403" s="35">
        <f>Inputs!$D$6*Inputs!$D$14*G403*(1-Inputs!$D$38*K403)</f>
        <v>12185.271825192296</v>
      </c>
      <c r="M403" s="39">
        <f>L403*Inputs!$D$11</f>
        <v>261983.34424163436</v>
      </c>
      <c r="N403" s="39">
        <f>M403*(1-Inputs!$D$17)</f>
        <v>91694.170484572023</v>
      </c>
      <c r="O403" s="35">
        <f>Inputs!$D$6*E403*Inputs!$D$27*Inputs!$D$30</f>
        <v>494.57155409174993</v>
      </c>
      <c r="P403" s="36">
        <f>O403/(C403*Inputs!$D$33)</f>
        <v>0.39884802749334675</v>
      </c>
      <c r="Q403" s="38">
        <f>IF(P403&gt;=1,999,P403/(Inputs!$D$33*(1-P403))*60)</f>
        <v>0.9952093124561755</v>
      </c>
      <c r="R403" s="37">
        <f>MIN(1,MAX(0,(Q403-Inputs!$D$36)/(Inputs!$D$37-Inputs!$D$36)))</f>
        <v>0</v>
      </c>
      <c r="S403" s="35">
        <f>Inputs!$D$6*E403*Inputs!$D$27*(1-Inputs!$D$38*R403)</f>
        <v>4121.4296174312494</v>
      </c>
      <c r="T403" s="39">
        <f>S403*Inputs!$D$12</f>
        <v>65942.873878899991</v>
      </c>
      <c r="U403" s="39">
        <f>T403*(1-Inputs!$D$18)</f>
        <v>29674.293245504992</v>
      </c>
      <c r="V403" s="35">
        <f>Inputs!$D$6*F403*Inputs!$D$28*Inputs!$D$31</f>
        <v>712.33502613882979</v>
      </c>
      <c r="W403" s="36">
        <f>V403/(B403*Inputs!$D$34)</f>
        <v>0.84801788826051161</v>
      </c>
      <c r="X403" s="38">
        <f>IF(W403&gt;=1,999,W403/(Inputs!$D$34*(1-W403))*60)</f>
        <v>9.5652372155190832</v>
      </c>
      <c r="Y403" s="37">
        <f>MIN(1,MAX(0,(X403-Inputs!$D$36)/(Inputs!$D$37-Inputs!$D$36)))</f>
        <v>0.30434914770127219</v>
      </c>
      <c r="Z403" s="35">
        <f>Inputs!$D$6*F403*Inputs!$D$28*(1-Inputs!$D$38*Y403)</f>
        <v>4729.0436538571339</v>
      </c>
      <c r="AA403" s="39">
        <f>Z403*Inputs!$D$13</f>
        <v>40196.87105778564</v>
      </c>
      <c r="AB403" s="39">
        <f>AA403*(1-Inputs!$D$19)</f>
        <v>24118.122634671385</v>
      </c>
      <c r="AC403" s="39">
        <f t="shared" si="24"/>
        <v>368123.08917831996</v>
      </c>
      <c r="AD403" s="39">
        <f t="shared" si="25"/>
        <v>145486.58636474839</v>
      </c>
      <c r="AE403" s="36">
        <f t="shared" si="26"/>
        <v>0.86919325942350334</v>
      </c>
      <c r="AF403" s="35">
        <f>IF(AND(AE403&lt;=Inputs!$D$35,C403&gt;=Inputs!$D$48*(A403+B403+C403),B403*Inputs!$D$22&lt;=Inputs!$D$50*Inputs!$D$8,B403*Inputs!$D$22&gt;=Inputs!$D$49*Inputs!$D$8,A403*Inputs!$D$20&lt;=Inputs!$D$47*Inputs!$D$8,C403&gt;=1),1,0)</f>
        <v>0</v>
      </c>
      <c r="AG403" s="39">
        <f t="shared" si="27"/>
        <v>-1</v>
      </c>
    </row>
    <row r="404" spans="1:33" x14ac:dyDescent="0.25">
      <c r="A404" s="35">
        <v>41</v>
      </c>
      <c r="B404" s="35">
        <v>25</v>
      </c>
      <c r="C404" s="35">
        <f>Inputs!$D$8-A404-Inputs!$D$22*B404</f>
        <v>29</v>
      </c>
      <c r="D404" s="35">
        <f>A404*Inputs!$D$20+C404*Inputs!$D$21+B404*Inputs!$D$22</f>
        <v>120</v>
      </c>
      <c r="E404" s="36">
        <f>MIN(Inputs!$E$15,Inputs!$D$15*(C404/Inputs!$D$43)^Inputs!$D$44)</f>
        <v>0.33979795258455459</v>
      </c>
      <c r="F404" s="36">
        <f>MIN(Inputs!$E$16,Inputs!$D$16*(B404/Inputs!$D$42)^Inputs!$D$44)</f>
        <v>0.42769383999647526</v>
      </c>
      <c r="G404" s="37">
        <f>Inputs!$D$26*(1+Inputs!$D$41*(B404-Inputs!$D$42))</f>
        <v>1.5750000000000002</v>
      </c>
      <c r="H404" s="35">
        <f>Inputs!$D$6*Inputs!$D$14*G404*Inputs!$D$29</f>
        <v>1978.8772500000005</v>
      </c>
      <c r="I404" s="36">
        <f>H404/(A404*Inputs!$D$32)</f>
        <v>0.87755088691796024</v>
      </c>
      <c r="J404" s="38">
        <f>IF(I404&gt;=1,999,I404/(Inputs!$D$32*(1-I404))*60)</f>
        <v>7.8181721057688467</v>
      </c>
      <c r="K404" s="37">
        <f>MIN(1,MAX(0,(J404-Inputs!$D$36)/(Inputs!$D$37-Inputs!$D$36)))</f>
        <v>0.18787814038458978</v>
      </c>
      <c r="L404" s="35">
        <f>Inputs!$D$6*Inputs!$D$14*G404*(1-Inputs!$D$38*K404)</f>
        <v>12077.15166666189</v>
      </c>
      <c r="M404" s="39">
        <f>L404*Inputs!$D$11</f>
        <v>259658.76083323063</v>
      </c>
      <c r="N404" s="39">
        <f>M404*(1-Inputs!$D$17)</f>
        <v>90880.566291630719</v>
      </c>
      <c r="O404" s="35">
        <f>Inputs!$D$6*E404*Inputs!$D$27*Inputs!$D$30</f>
        <v>484.77478784247035</v>
      </c>
      <c r="P404" s="36">
        <f>O404/(C404*Inputs!$D$33)</f>
        <v>0.41790929986419856</v>
      </c>
      <c r="Q404" s="38">
        <f>IF(P404&gt;=1,999,P404/(Inputs!$D$33*(1-P404))*60)</f>
        <v>1.0769179951681944</v>
      </c>
      <c r="R404" s="37">
        <f>MIN(1,MAX(0,(Q404-Inputs!$D$36)/(Inputs!$D$37-Inputs!$D$36)))</f>
        <v>0</v>
      </c>
      <c r="S404" s="35">
        <f>Inputs!$D$6*E404*Inputs!$D$27*(1-Inputs!$D$38*R404)</f>
        <v>4039.7898986872528</v>
      </c>
      <c r="T404" s="39">
        <f>S404*Inputs!$D$12</f>
        <v>64636.638378996046</v>
      </c>
      <c r="U404" s="39">
        <f>T404*(1-Inputs!$D$18)</f>
        <v>29086.487270548219</v>
      </c>
      <c r="V404" s="35">
        <f>Inputs!$D$6*F404*Inputs!$D$28*Inputs!$D$31</f>
        <v>721.1123435383771</v>
      </c>
      <c r="W404" s="36">
        <f>V404/(B404*Inputs!$D$34)</f>
        <v>0.82412839261528814</v>
      </c>
      <c r="X404" s="38">
        <f>IF(W404&gt;=1,999,W404/(Inputs!$D$34*(1-W404))*60)</f>
        <v>8.0330847668163621</v>
      </c>
      <c r="Y404" s="37">
        <f>MIN(1,MAX(0,(X404-Inputs!$D$36)/(Inputs!$D$37-Inputs!$D$36)))</f>
        <v>0.20220565112109082</v>
      </c>
      <c r="Z404" s="35">
        <f>Inputs!$D$6*F404*Inputs!$D$28*(1-Inputs!$D$38*Y404)</f>
        <v>5042.2807508299393</v>
      </c>
      <c r="AA404" s="39">
        <f>Z404*Inputs!$D$13</f>
        <v>42859.386382054487</v>
      </c>
      <c r="AB404" s="39">
        <f>AA404*(1-Inputs!$D$19)</f>
        <v>25715.631829232691</v>
      </c>
      <c r="AC404" s="39">
        <f t="shared" si="24"/>
        <v>367154.78559428116</v>
      </c>
      <c r="AD404" s="39">
        <f t="shared" si="25"/>
        <v>145682.68539141165</v>
      </c>
      <c r="AE404" s="36">
        <f t="shared" si="26"/>
        <v>0.87755088691796024</v>
      </c>
      <c r="AF404" s="35">
        <f>IF(AND(AE404&lt;=Inputs!$D$35,C404&gt;=Inputs!$D$48*(A404+B404+C404),B404*Inputs!$D$22&lt;=Inputs!$D$50*Inputs!$D$8,B404*Inputs!$D$22&gt;=Inputs!$D$49*Inputs!$D$8,A404*Inputs!$D$20&lt;=Inputs!$D$47*Inputs!$D$8,C404&gt;=1),1,0)</f>
        <v>0</v>
      </c>
      <c r="AG404" s="39">
        <f t="shared" si="27"/>
        <v>-1</v>
      </c>
    </row>
    <row r="405" spans="1:33" x14ac:dyDescent="0.25">
      <c r="A405" s="35">
        <v>41</v>
      </c>
      <c r="B405" s="35">
        <v>26</v>
      </c>
      <c r="C405" s="35">
        <f>Inputs!$D$8-A405-Inputs!$D$22*B405</f>
        <v>27</v>
      </c>
      <c r="D405" s="35">
        <f>A405*Inputs!$D$20+C405*Inputs!$D$21+B405*Inputs!$D$22</f>
        <v>120</v>
      </c>
      <c r="E405" s="36">
        <f>MIN(Inputs!$E$15,Inputs!$D$15*(C405/Inputs!$D$43)^Inputs!$D$44)</f>
        <v>0.33259099594532748</v>
      </c>
      <c r="F405" s="36">
        <f>MIN(Inputs!$E$16,Inputs!$D$16*(B405/Inputs!$D$42)^Inputs!$D$44)</f>
        <v>0.43275589945781112</v>
      </c>
      <c r="G405" s="37">
        <f>Inputs!$D$26*(1+Inputs!$D$41*(B405-Inputs!$D$42))</f>
        <v>1.59</v>
      </c>
      <c r="H405" s="35">
        <f>Inputs!$D$6*Inputs!$D$14*G405*Inputs!$D$29</f>
        <v>1997.7237</v>
      </c>
      <c r="I405" s="36">
        <f>H405/(A405*Inputs!$D$32)</f>
        <v>0.8859085144124168</v>
      </c>
      <c r="J405" s="38">
        <f>IF(I405&gt;=1,999,I405/(Inputs!$D$32*(1-I405))*60)</f>
        <v>8.4707955822380239</v>
      </c>
      <c r="K405" s="37">
        <f>MIN(1,MAX(0,(J405-Inputs!$D$36)/(Inputs!$D$37-Inputs!$D$36)))</f>
        <v>0.2313863721492016</v>
      </c>
      <c r="L405" s="35">
        <f>Inputs!$D$6*Inputs!$D$14*G405*(1-Inputs!$D$38*K405)</f>
        <v>11931.419881501561</v>
      </c>
      <c r="M405" s="39">
        <f>L405*Inputs!$D$11</f>
        <v>256525.52745228357</v>
      </c>
      <c r="N405" s="39">
        <f>M405*(1-Inputs!$D$17)</f>
        <v>89783.934608299242</v>
      </c>
      <c r="O405" s="35">
        <f>Inputs!$D$6*E405*Inputs!$D$27*Inputs!$D$30</f>
        <v>474.49293991137716</v>
      </c>
      <c r="P405" s="36">
        <f>O405/(C405*Inputs!$D$33)</f>
        <v>0.43934531473275662</v>
      </c>
      <c r="Q405" s="38">
        <f>IF(P405&gt;=1,999,P405/(Inputs!$D$33*(1-P405))*60)</f>
        <v>1.1754436187133714</v>
      </c>
      <c r="R405" s="37">
        <f>MIN(1,MAX(0,(Q405-Inputs!$D$36)/(Inputs!$D$37-Inputs!$D$36)))</f>
        <v>0</v>
      </c>
      <c r="S405" s="35">
        <f>Inputs!$D$6*E405*Inputs!$D$27*(1-Inputs!$D$38*R405)</f>
        <v>3954.1078325948097</v>
      </c>
      <c r="T405" s="39">
        <f>S405*Inputs!$D$12</f>
        <v>63265.725321516955</v>
      </c>
      <c r="U405" s="39">
        <f>T405*(1-Inputs!$D$18)</f>
        <v>28469.576394682626</v>
      </c>
      <c r="V405" s="35">
        <f>Inputs!$D$6*F405*Inputs!$D$28*Inputs!$D$31</f>
        <v>729.64721876904355</v>
      </c>
      <c r="W405" s="36">
        <f>V405/(B405*Inputs!$D$34)</f>
        <v>0.80181013051543248</v>
      </c>
      <c r="X405" s="38">
        <f>IF(W405&gt;=1,999,W405/(Inputs!$D$34*(1-W405))*60)</f>
        <v>6.9354284146153136</v>
      </c>
      <c r="Y405" s="37">
        <f>MIN(1,MAX(0,(X405-Inputs!$D$36)/(Inputs!$D$37-Inputs!$D$36)))</f>
        <v>0.12902856097435425</v>
      </c>
      <c r="Z405" s="35">
        <f>Inputs!$D$6*F405*Inputs!$D$28*(1-Inputs!$D$38*Y405)</f>
        <v>5286.7832305655711</v>
      </c>
      <c r="AA405" s="39">
        <f>Z405*Inputs!$D$13</f>
        <v>44937.657459807357</v>
      </c>
      <c r="AB405" s="39">
        <f>AA405*(1-Inputs!$D$19)</f>
        <v>26962.594475884413</v>
      </c>
      <c r="AC405" s="39">
        <f t="shared" si="24"/>
        <v>364728.91023360786</v>
      </c>
      <c r="AD405" s="39">
        <f t="shared" si="25"/>
        <v>145216.10547886626</v>
      </c>
      <c r="AE405" s="36">
        <f t="shared" si="26"/>
        <v>0.8859085144124168</v>
      </c>
      <c r="AF405" s="35">
        <f>IF(AND(AE405&lt;=Inputs!$D$35,C405&gt;=Inputs!$D$48*(A405+B405+C405),B405*Inputs!$D$22&lt;=Inputs!$D$50*Inputs!$D$8,B405*Inputs!$D$22&gt;=Inputs!$D$49*Inputs!$D$8,A405*Inputs!$D$20&lt;=Inputs!$D$47*Inputs!$D$8,C405&gt;=1),1,0)</f>
        <v>0</v>
      </c>
      <c r="AG405" s="39">
        <f t="shared" si="27"/>
        <v>-1</v>
      </c>
    </row>
    <row r="406" spans="1:33" x14ac:dyDescent="0.25">
      <c r="A406" s="35">
        <v>41</v>
      </c>
      <c r="B406" s="35">
        <v>27</v>
      </c>
      <c r="C406" s="35">
        <f>Inputs!$D$8-A406-Inputs!$D$22*B406</f>
        <v>25</v>
      </c>
      <c r="D406" s="35">
        <f>A406*Inputs!$D$20+C406*Inputs!$D$21+B406*Inputs!$D$22</f>
        <v>120</v>
      </c>
      <c r="E406" s="36">
        <f>MIN(Inputs!$E$15,Inputs!$D$15*(C406/Inputs!$D$43)^Inputs!$D$44)</f>
        <v>0.32500000000000001</v>
      </c>
      <c r="F406" s="36">
        <f>MIN(Inputs!$E$16,Inputs!$D$16*(B406/Inputs!$D$42)^Inputs!$D$44)</f>
        <v>0.43768344678187454</v>
      </c>
      <c r="G406" s="37">
        <f>Inputs!$D$26*(1+Inputs!$D$41*(B406-Inputs!$D$42))</f>
        <v>1.605</v>
      </c>
      <c r="H406" s="35">
        <f>Inputs!$D$6*Inputs!$D$14*G406*Inputs!$D$29</f>
        <v>2016.57015</v>
      </c>
      <c r="I406" s="36">
        <f>H406/(A406*Inputs!$D$32)</f>
        <v>0.89426614190687359</v>
      </c>
      <c r="J406" s="38">
        <f>IF(I406&gt;=1,999,I406/(Inputs!$D$32*(1-I406))*60)</f>
        <v>9.2265910039825485</v>
      </c>
      <c r="K406" s="37">
        <f>MIN(1,MAX(0,(J406-Inputs!$D$36)/(Inputs!$D$37-Inputs!$D$36)))</f>
        <v>0.28177273359883659</v>
      </c>
      <c r="L406" s="35">
        <f>Inputs!$D$6*Inputs!$D$14*G406*(1-Inputs!$D$38*K406)</f>
        <v>11739.157549022053</v>
      </c>
      <c r="M406" s="39">
        <f>L406*Inputs!$D$11</f>
        <v>252391.88730397413</v>
      </c>
      <c r="N406" s="39">
        <f>M406*(1-Inputs!$D$17)</f>
        <v>88337.16055639094</v>
      </c>
      <c r="O406" s="35">
        <f>Inputs!$D$6*E406*Inputs!$D$27*Inputs!$D$30</f>
        <v>463.66320000000002</v>
      </c>
      <c r="P406" s="36">
        <f>O406/(C406*Inputs!$D$33)</f>
        <v>0.4636632</v>
      </c>
      <c r="Q406" s="38">
        <f>IF(P406&gt;=1,999,P406/(Inputs!$D$33*(1-P406))*60)</f>
        <v>1.296750101801704</v>
      </c>
      <c r="R406" s="37">
        <f>MIN(1,MAX(0,(Q406-Inputs!$D$36)/(Inputs!$D$37-Inputs!$D$36)))</f>
        <v>0</v>
      </c>
      <c r="S406" s="35">
        <f>Inputs!$D$6*E406*Inputs!$D$27*(1-Inputs!$D$38*R406)</f>
        <v>3863.86</v>
      </c>
      <c r="T406" s="39">
        <f>S406*Inputs!$D$12</f>
        <v>61821.760000000002</v>
      </c>
      <c r="U406" s="39">
        <f>T406*(1-Inputs!$D$18)</f>
        <v>27819.791999999998</v>
      </c>
      <c r="V406" s="35">
        <f>Inputs!$D$6*F406*Inputs!$D$28*Inputs!$D$31</f>
        <v>737.95530007968603</v>
      </c>
      <c r="W406" s="36">
        <f>V406/(B406*Inputs!$D$34)</f>
        <v>0.78090507944940324</v>
      </c>
      <c r="X406" s="38">
        <f>IF(W406&gt;=1,999,W406/(Inputs!$D$34*(1-W406))*60)</f>
        <v>6.1101116290101798</v>
      </c>
      <c r="Y406" s="37">
        <f>MIN(1,MAX(0,(X406-Inputs!$D$36)/(Inputs!$D$37-Inputs!$D$36)))</f>
        <v>7.4007441934011986E-2</v>
      </c>
      <c r="Z406" s="35">
        <f>Inputs!$D$6*F406*Inputs!$D$28*(1-Inputs!$D$38*Y406)</f>
        <v>5487.5301328495489</v>
      </c>
      <c r="AA406" s="39">
        <f>Z406*Inputs!$D$13</f>
        <v>46644.006129221169</v>
      </c>
      <c r="AB406" s="39">
        <f>AA406*(1-Inputs!$D$19)</f>
        <v>27986.4036775327</v>
      </c>
      <c r="AC406" s="39">
        <f t="shared" si="24"/>
        <v>360857.65343319532</v>
      </c>
      <c r="AD406" s="39">
        <f t="shared" si="25"/>
        <v>144143.35623392364</v>
      </c>
      <c r="AE406" s="36">
        <f t="shared" si="26"/>
        <v>0.89426614190687359</v>
      </c>
      <c r="AF406" s="35">
        <f>IF(AND(AE406&lt;=Inputs!$D$35,C406&gt;=Inputs!$D$48*(A406+B406+C406),B406*Inputs!$D$22&lt;=Inputs!$D$50*Inputs!$D$8,B406*Inputs!$D$22&gt;=Inputs!$D$49*Inputs!$D$8,A406*Inputs!$D$20&lt;=Inputs!$D$47*Inputs!$D$8,C406&gt;=1),1,0)</f>
        <v>0</v>
      </c>
      <c r="AG406" s="39">
        <f t="shared" si="27"/>
        <v>-1</v>
      </c>
    </row>
    <row r="407" spans="1:33" x14ac:dyDescent="0.25">
      <c r="A407" s="35">
        <v>41</v>
      </c>
      <c r="B407" s="35">
        <v>28</v>
      </c>
      <c r="C407" s="35">
        <f>Inputs!$D$8-A407-Inputs!$D$22*B407</f>
        <v>23</v>
      </c>
      <c r="D407" s="35">
        <f>A407*Inputs!$D$20+C407*Inputs!$D$21+B407*Inputs!$D$22</f>
        <v>120</v>
      </c>
      <c r="E407" s="36">
        <f>MIN(Inputs!$E$15,Inputs!$D$15*(C407/Inputs!$D$43)^Inputs!$D$44)</f>
        <v>0.31697113078396583</v>
      </c>
      <c r="F407" s="36">
        <f>MIN(Inputs!$E$16,Inputs!$D$16*(B407/Inputs!$D$42)^Inputs!$D$44)</f>
        <v>0.44248484624799689</v>
      </c>
      <c r="G407" s="37">
        <f>Inputs!$D$26*(1+Inputs!$D$41*(B407-Inputs!$D$42))</f>
        <v>1.62</v>
      </c>
      <c r="H407" s="35">
        <f>Inputs!$D$6*Inputs!$D$14*G407*Inputs!$D$29</f>
        <v>2035.4166</v>
      </c>
      <c r="I407" s="36">
        <f>H407/(A407*Inputs!$D$32)</f>
        <v>0.90262376940133038</v>
      </c>
      <c r="J407" s="38">
        <f>IF(I407&gt;=1,999,I407/(Inputs!$D$32*(1-I407))*60)</f>
        <v>10.112123560921603</v>
      </c>
      <c r="K407" s="37">
        <f>MIN(1,MAX(0,(J407-Inputs!$D$36)/(Inputs!$D$37-Inputs!$D$36)))</f>
        <v>0.34080823739477351</v>
      </c>
      <c r="L407" s="35">
        <f>Inputs!$D$6*Inputs!$D$14*G407*(1-Inputs!$D$38*K407)</f>
        <v>11488.383768569813</v>
      </c>
      <c r="M407" s="39">
        <f>L407*Inputs!$D$11</f>
        <v>247000.25102425096</v>
      </c>
      <c r="N407" s="39">
        <f>M407*(1-Inputs!$D$17)</f>
        <v>86450.087858487837</v>
      </c>
      <c r="O407" s="35">
        <f>Inputs!$D$6*E407*Inputs!$D$27*Inputs!$D$30</f>
        <v>452.20876555972956</v>
      </c>
      <c r="P407" s="36">
        <f>O407/(C407*Inputs!$D$33)</f>
        <v>0.49153126691274951</v>
      </c>
      <c r="Q407" s="38">
        <f>IF(P407&gt;=1,999,P407/(Inputs!$D$33*(1-P407))*60)</f>
        <v>1.4500339005950402</v>
      </c>
      <c r="R407" s="37">
        <f>MIN(1,MAX(0,(Q407-Inputs!$D$36)/(Inputs!$D$37-Inputs!$D$36)))</f>
        <v>0</v>
      </c>
      <c r="S407" s="35">
        <f>Inputs!$D$6*E407*Inputs!$D$27*(1-Inputs!$D$38*R407)</f>
        <v>3768.4063796644132</v>
      </c>
      <c r="T407" s="39">
        <f>S407*Inputs!$D$12</f>
        <v>60294.502074630611</v>
      </c>
      <c r="U407" s="39">
        <f>T407*(1-Inputs!$D$18)</f>
        <v>27132.525933583773</v>
      </c>
      <c r="V407" s="35">
        <f>Inputs!$D$6*F407*Inputs!$D$28*Inputs!$D$31</f>
        <v>746.05069004674272</v>
      </c>
      <c r="W407" s="36">
        <f>V407/(B407*Inputs!$D$34)</f>
        <v>0.76127621433341097</v>
      </c>
      <c r="X407" s="38">
        <f>IF(W407&gt;=1,999,W407/(Inputs!$D$34*(1-W407))*60)</f>
        <v>5.4667570523531852</v>
      </c>
      <c r="Y407" s="37">
        <f>MIN(1,MAX(0,(X407-Inputs!$D$36)/(Inputs!$D$37-Inputs!$D$36)))</f>
        <v>3.111713682354568E-2</v>
      </c>
      <c r="Z407" s="35">
        <f>Inputs!$D$6*F407*Inputs!$D$28*(1-Inputs!$D$38*Y407)</f>
        <v>5658.4919801305723</v>
      </c>
      <c r="AA407" s="39">
        <f>Z407*Inputs!$D$13</f>
        <v>48097.181831109861</v>
      </c>
      <c r="AB407" s="39">
        <f>AA407*(1-Inputs!$D$19)</f>
        <v>28858.309098665915</v>
      </c>
      <c r="AC407" s="39">
        <f t="shared" si="24"/>
        <v>355391.93492999143</v>
      </c>
      <c r="AD407" s="39">
        <f t="shared" si="25"/>
        <v>142440.92289073754</v>
      </c>
      <c r="AE407" s="36">
        <f t="shared" si="26"/>
        <v>0.90262376940133038</v>
      </c>
      <c r="AF407" s="35">
        <f>IF(AND(AE407&lt;=Inputs!$D$35,C407&gt;=Inputs!$D$48*(A407+B407+C407),B407*Inputs!$D$22&lt;=Inputs!$D$50*Inputs!$D$8,B407*Inputs!$D$22&gt;=Inputs!$D$49*Inputs!$D$8,A407*Inputs!$D$20&lt;=Inputs!$D$47*Inputs!$D$8,C407&gt;=1),1,0)</f>
        <v>0</v>
      </c>
      <c r="AG407" s="39">
        <f t="shared" si="27"/>
        <v>-1</v>
      </c>
    </row>
    <row r="408" spans="1:33" x14ac:dyDescent="0.25">
      <c r="A408" s="35">
        <v>41</v>
      </c>
      <c r="B408" s="35">
        <v>29</v>
      </c>
      <c r="C408" s="35">
        <f>Inputs!$D$8-A408-Inputs!$D$22*B408</f>
        <v>21</v>
      </c>
      <c r="D408" s="35">
        <f>A408*Inputs!$D$20+C408*Inputs!$D$21+B408*Inputs!$D$22</f>
        <v>120</v>
      </c>
      <c r="E408" s="36">
        <f>MIN(Inputs!$E$15,Inputs!$D$15*(C408/Inputs!$D$43)^Inputs!$D$44)</f>
        <v>0.30843748043226404</v>
      </c>
      <c r="F408" s="36">
        <f>MIN(Inputs!$E$16,Inputs!$D$16*(B408/Inputs!$D$42)^Inputs!$D$44)</f>
        <v>0.44716766511947192</v>
      </c>
      <c r="G408" s="37">
        <f>Inputs!$D$26*(1+Inputs!$D$41*(B408-Inputs!$D$42))</f>
        <v>1.6350000000000002</v>
      </c>
      <c r="H408" s="35">
        <f>Inputs!$D$6*Inputs!$D$14*G408*Inputs!$D$29</f>
        <v>2054.2630500000005</v>
      </c>
      <c r="I408" s="36">
        <f>H408/(A408*Inputs!$D$32)</f>
        <v>0.91098139689578739</v>
      </c>
      <c r="J408" s="38">
        <f>IF(I408&gt;=1,999,I408/(Inputs!$D$32*(1-I408))*60)</f>
        <v>11.163934872795684</v>
      </c>
      <c r="K408" s="37">
        <f>MIN(1,MAX(0,(J408-Inputs!$D$36)/(Inputs!$D$37-Inputs!$D$36)))</f>
        <v>0.41092899151971224</v>
      </c>
      <c r="L408" s="35">
        <f>Inputs!$D$6*Inputs!$D$14*G408*(1-Inputs!$D$38*K408)</f>
        <v>11162.618269641878</v>
      </c>
      <c r="M408" s="39">
        <f>L408*Inputs!$D$11</f>
        <v>239996.29279730038</v>
      </c>
      <c r="N408" s="39">
        <f>M408*(1-Inputs!$D$17)</f>
        <v>83998.702479055122</v>
      </c>
      <c r="O408" s="35">
        <f>Inputs!$D$6*E408*Inputs!$D$27*Inputs!$D$30</f>
        <v>440.03418208357215</v>
      </c>
      <c r="P408" s="36">
        <f>O408/(C408*Inputs!$D$33)</f>
        <v>0.52385021676615728</v>
      </c>
      <c r="Q408" s="38">
        <f>IF(P408&gt;=1,999,P408/(Inputs!$D$33*(1-P408))*60)</f>
        <v>1.6502692069132636</v>
      </c>
      <c r="R408" s="37">
        <f>MIN(1,MAX(0,(Q408-Inputs!$D$36)/(Inputs!$D$37-Inputs!$D$36)))</f>
        <v>0</v>
      </c>
      <c r="S408" s="35">
        <f>Inputs!$D$6*E408*Inputs!$D$27*(1-Inputs!$D$38*R408)</f>
        <v>3666.9515173631012</v>
      </c>
      <c r="T408" s="39">
        <f>S408*Inputs!$D$12</f>
        <v>58671.224277809619</v>
      </c>
      <c r="U408" s="39">
        <f>T408*(1-Inputs!$D$18)</f>
        <v>26402.050925014326</v>
      </c>
      <c r="V408" s="35">
        <f>Inputs!$D$6*F408*Inputs!$D$28*Inputs!$D$31</f>
        <v>753.9461474393554</v>
      </c>
      <c r="W408" s="36">
        <f>V408/(B408*Inputs!$D$34)</f>
        <v>0.74280408614714821</v>
      </c>
      <c r="X408" s="38">
        <f>IF(W408&gt;=1,999,W408/(Inputs!$D$34*(1-W408))*60)</f>
        <v>4.9510056918075414</v>
      </c>
      <c r="Y408" s="37">
        <f>MIN(1,MAX(0,(X408-Inputs!$D$36)/(Inputs!$D$37-Inputs!$D$36)))</f>
        <v>0</v>
      </c>
      <c r="Z408" s="35">
        <f>Inputs!$D$6*F408*Inputs!$D$28*(1-Inputs!$D$38*Y408)</f>
        <v>5799.5857495335031</v>
      </c>
      <c r="AA408" s="39">
        <f>Z408*Inputs!$D$13</f>
        <v>49296.478871034778</v>
      </c>
      <c r="AB408" s="39">
        <f>AA408*(1-Inputs!$D$19)</f>
        <v>29577.887322620867</v>
      </c>
      <c r="AC408" s="39">
        <f t="shared" si="24"/>
        <v>347963.9959461448</v>
      </c>
      <c r="AD408" s="39">
        <f t="shared" si="25"/>
        <v>139978.6407266903</v>
      </c>
      <c r="AE408" s="36">
        <f t="shared" si="26"/>
        <v>0.91098139689578739</v>
      </c>
      <c r="AF408" s="35">
        <f>IF(AND(AE408&lt;=Inputs!$D$35,C408&gt;=Inputs!$D$48*(A408+B408+C408),B408*Inputs!$D$22&lt;=Inputs!$D$50*Inputs!$D$8,B408*Inputs!$D$22&gt;=Inputs!$D$49*Inputs!$D$8,A408*Inputs!$D$20&lt;=Inputs!$D$47*Inputs!$D$8,C408&gt;=1),1,0)</f>
        <v>0</v>
      </c>
      <c r="AG408" s="39">
        <f t="shared" si="27"/>
        <v>-1</v>
      </c>
    </row>
    <row r="409" spans="1:33" x14ac:dyDescent="0.25">
      <c r="A409" s="35">
        <v>41</v>
      </c>
      <c r="B409" s="35">
        <v>30</v>
      </c>
      <c r="C409" s="35">
        <f>Inputs!$D$8-A409-Inputs!$D$22*B409</f>
        <v>19</v>
      </c>
      <c r="D409" s="35">
        <f>A409*Inputs!$D$20+C409*Inputs!$D$21+B409*Inputs!$D$22</f>
        <v>120</v>
      </c>
      <c r="E409" s="36">
        <f>MIN(Inputs!$E$15,Inputs!$D$15*(C409/Inputs!$D$43)^Inputs!$D$44)</f>
        <v>0.29931428106923352</v>
      </c>
      <c r="F409" s="36">
        <f>MIN(Inputs!$E$16,Inputs!$D$16*(B409/Inputs!$D$42)^Inputs!$D$44)</f>
        <v>0.45173877418274222</v>
      </c>
      <c r="G409" s="37">
        <f>Inputs!$D$26*(1+Inputs!$D$41*(B409-Inputs!$D$42))</f>
        <v>1.6500000000000001</v>
      </c>
      <c r="H409" s="35">
        <f>Inputs!$D$6*Inputs!$D$14*G409*Inputs!$D$29</f>
        <v>2073.1095000000005</v>
      </c>
      <c r="I409" s="36">
        <f>H409/(A409*Inputs!$D$32)</f>
        <v>0.91933902439024406</v>
      </c>
      <c r="J409" s="38">
        <f>IF(I409&gt;=1,999,I409/(Inputs!$D$32*(1-I409))*60)</f>
        <v>12.433711491254378</v>
      </c>
      <c r="K409" s="37">
        <f>MIN(1,MAX(0,(J409-Inputs!$D$36)/(Inputs!$D$37-Inputs!$D$36)))</f>
        <v>0.49558076608362522</v>
      </c>
      <c r="L409" s="35">
        <f>Inputs!$D$6*Inputs!$D$14*G409*(1-Inputs!$D$38*K409)</f>
        <v>10738.550417444278</v>
      </c>
      <c r="M409" s="39">
        <f>L409*Inputs!$D$11</f>
        <v>230878.83397505197</v>
      </c>
      <c r="N409" s="39">
        <f>M409*(1-Inputs!$D$17)</f>
        <v>80807.591891268181</v>
      </c>
      <c r="O409" s="35">
        <f>Inputs!$D$6*E409*Inputs!$D$27*Inputs!$D$30</f>
        <v>427.01851497310844</v>
      </c>
      <c r="P409" s="36">
        <f>O409/(C409*Inputs!$D$33)</f>
        <v>0.56186646706987953</v>
      </c>
      <c r="Q409" s="38">
        <f>IF(P409&gt;=1,999,P409/(Inputs!$D$33*(1-P409))*60)</f>
        <v>1.9236137781292366</v>
      </c>
      <c r="R409" s="37">
        <f>MIN(1,MAX(0,(Q409-Inputs!$D$36)/(Inputs!$D$37-Inputs!$D$36)))</f>
        <v>0</v>
      </c>
      <c r="S409" s="35">
        <f>Inputs!$D$6*E409*Inputs!$D$27*(1-Inputs!$D$38*R409)</f>
        <v>3558.4876247759039</v>
      </c>
      <c r="T409" s="39">
        <f>S409*Inputs!$D$12</f>
        <v>56935.801996414462</v>
      </c>
      <c r="U409" s="39">
        <f>T409*(1-Inputs!$D$18)</f>
        <v>25621.110898386505</v>
      </c>
      <c r="V409" s="35">
        <f>Inputs!$D$6*F409*Inputs!$D$28*Inputs!$D$31</f>
        <v>761.65325673326424</v>
      </c>
      <c r="W409" s="36">
        <f>V409/(B409*Inputs!$D$34)</f>
        <v>0.72538405403168027</v>
      </c>
      <c r="X409" s="38">
        <f>IF(W409&gt;=1,999,W409/(Inputs!$D$34*(1-W409))*60)</f>
        <v>4.5281985239874629</v>
      </c>
      <c r="Y409" s="37">
        <f>MIN(1,MAX(0,(X409-Inputs!$D$36)/(Inputs!$D$37-Inputs!$D$36)))</f>
        <v>0</v>
      </c>
      <c r="Z409" s="35">
        <f>Inputs!$D$6*F409*Inputs!$D$28*(1-Inputs!$D$38*Y409)</f>
        <v>5858.8712056404938</v>
      </c>
      <c r="AA409" s="39">
        <f>Z409*Inputs!$D$13</f>
        <v>49800.405247944196</v>
      </c>
      <c r="AB409" s="39">
        <f>AA409*(1-Inputs!$D$19)</f>
        <v>29880.243148766516</v>
      </c>
      <c r="AC409" s="39">
        <f t="shared" si="24"/>
        <v>337615.0412194106</v>
      </c>
      <c r="AD409" s="39">
        <f t="shared" si="25"/>
        <v>136308.94593842121</v>
      </c>
      <c r="AE409" s="36">
        <f t="shared" si="26"/>
        <v>0.91933902439024406</v>
      </c>
      <c r="AF409" s="35">
        <f>IF(AND(AE409&lt;=Inputs!$D$35,C409&gt;=Inputs!$D$48*(A409+B409+C409),B409*Inputs!$D$22&lt;=Inputs!$D$50*Inputs!$D$8,B409*Inputs!$D$22&gt;=Inputs!$D$49*Inputs!$D$8,A409*Inputs!$D$20&lt;=Inputs!$D$47*Inputs!$D$8,C409&gt;=1),1,0)</f>
        <v>0</v>
      </c>
      <c r="AG409" s="39">
        <f t="shared" si="27"/>
        <v>-1</v>
      </c>
    </row>
    <row r="410" spans="1:33" x14ac:dyDescent="0.25">
      <c r="A410" s="35">
        <v>41</v>
      </c>
      <c r="B410" s="35">
        <v>31</v>
      </c>
      <c r="C410" s="35">
        <f>Inputs!$D$8-A410-Inputs!$D$22*B410</f>
        <v>17</v>
      </c>
      <c r="D410" s="35">
        <f>A410*Inputs!$D$20+C410*Inputs!$D$21+B410*Inputs!$D$22</f>
        <v>120</v>
      </c>
      <c r="E410" s="36">
        <f>MIN(Inputs!$E$15,Inputs!$D$15*(C410/Inputs!$D$43)^Inputs!$D$44)</f>
        <v>0.28949164546121231</v>
      </c>
      <c r="F410" s="36">
        <f>MIN(Inputs!$E$16,Inputs!$D$16*(B410/Inputs!$D$42)^Inputs!$D$44)</f>
        <v>0.45620443270573335</v>
      </c>
      <c r="G410" s="37">
        <f>Inputs!$D$26*(1+Inputs!$D$41*(B410-Inputs!$D$42))</f>
        <v>1.665</v>
      </c>
      <c r="H410" s="35">
        <f>Inputs!$D$6*Inputs!$D$14*G410*Inputs!$D$29</f>
        <v>2091.95595</v>
      </c>
      <c r="I410" s="36">
        <f>H410/(A410*Inputs!$D$32)</f>
        <v>0.92769665188470063</v>
      </c>
      <c r="J410" s="38">
        <f>IF(I410&gt;=1,999,I410/(Inputs!$D$32*(1-I410))*60)</f>
        <v>13.997038000689766</v>
      </c>
      <c r="K410" s="37">
        <f>MIN(1,MAX(0,(J410-Inputs!$D$36)/(Inputs!$D$37-Inputs!$D$36)))</f>
        <v>0.59980253337931777</v>
      </c>
      <c r="L410" s="35">
        <f>Inputs!$D$6*Inputs!$D$14*G410*(1-Inputs!$D$38*K410)</f>
        <v>10182.091564416189</v>
      </c>
      <c r="M410" s="39">
        <f>L410*Inputs!$D$11</f>
        <v>218914.96863494805</v>
      </c>
      <c r="N410" s="39">
        <f>M410*(1-Inputs!$D$17)</f>
        <v>76620.239022231806</v>
      </c>
      <c r="O410" s="35">
        <f>Inputs!$D$6*E410*Inputs!$D$27*Inputs!$D$30</f>
        <v>413.00499294711136</v>
      </c>
      <c r="P410" s="36">
        <f>O410/(C410*Inputs!$D$33)</f>
        <v>0.60736028374575202</v>
      </c>
      <c r="Q410" s="38">
        <f>IF(P410&gt;=1,999,P410/(Inputs!$D$33*(1-P410))*60)</f>
        <v>2.3202961593133828</v>
      </c>
      <c r="R410" s="37">
        <f>MIN(1,MAX(0,(Q410-Inputs!$D$36)/(Inputs!$D$37-Inputs!$D$36)))</f>
        <v>0</v>
      </c>
      <c r="S410" s="35">
        <f>Inputs!$D$6*E410*Inputs!$D$27*(1-Inputs!$D$38*R410)</f>
        <v>3441.7082745592616</v>
      </c>
      <c r="T410" s="39">
        <f>S410*Inputs!$D$12</f>
        <v>55067.332392948185</v>
      </c>
      <c r="U410" s="39">
        <f>T410*(1-Inputs!$D$18)</f>
        <v>24780.299576826681</v>
      </c>
      <c r="V410" s="35">
        <f>Inputs!$D$6*F410*Inputs!$D$28*Inputs!$D$31</f>
        <v>769.18257135463637</v>
      </c>
      <c r="W410" s="36">
        <f>V410/(B410*Inputs!$D$34)</f>
        <v>0.70892402889828232</v>
      </c>
      <c r="X410" s="38">
        <f>IF(W410&gt;=1,999,W410/(Inputs!$D$34*(1-W410))*60)</f>
        <v>4.1751929252501148</v>
      </c>
      <c r="Y410" s="37">
        <f>MIN(1,MAX(0,(X410-Inputs!$D$36)/(Inputs!$D$37-Inputs!$D$36)))</f>
        <v>0</v>
      </c>
      <c r="Z410" s="35">
        <f>Inputs!$D$6*F410*Inputs!$D$28*(1-Inputs!$D$38*Y410)</f>
        <v>5916.7890104202797</v>
      </c>
      <c r="AA410" s="39">
        <f>Z410*Inputs!$D$13</f>
        <v>50292.706588572379</v>
      </c>
      <c r="AB410" s="39">
        <f>AA410*(1-Inputs!$D$19)</f>
        <v>30175.623953143426</v>
      </c>
      <c r="AC410" s="39">
        <f t="shared" si="24"/>
        <v>324275.00761646859</v>
      </c>
      <c r="AD410" s="39">
        <f t="shared" si="25"/>
        <v>131576.16255220192</v>
      </c>
      <c r="AE410" s="36">
        <f t="shared" si="26"/>
        <v>0.92769665188470063</v>
      </c>
      <c r="AF410" s="35">
        <f>IF(AND(AE410&lt;=Inputs!$D$35,C410&gt;=Inputs!$D$48*(A410+B410+C410),B410*Inputs!$D$22&lt;=Inputs!$D$50*Inputs!$D$8,B410*Inputs!$D$22&gt;=Inputs!$D$49*Inputs!$D$8,A410*Inputs!$D$20&lt;=Inputs!$D$47*Inputs!$D$8,C410&gt;=1),1,0)</f>
        <v>0</v>
      </c>
      <c r="AG410" s="39">
        <f t="shared" si="27"/>
        <v>-1</v>
      </c>
    </row>
    <row r="411" spans="1:33" x14ac:dyDescent="0.25">
      <c r="A411" s="35">
        <v>41</v>
      </c>
      <c r="B411" s="35">
        <v>32</v>
      </c>
      <c r="C411" s="35">
        <f>Inputs!$D$8-A411-Inputs!$D$22*B411</f>
        <v>15</v>
      </c>
      <c r="D411" s="35">
        <f>A411*Inputs!$D$20+C411*Inputs!$D$21+B411*Inputs!$D$22</f>
        <v>120</v>
      </c>
      <c r="E411" s="36">
        <f>MIN(Inputs!$E$15,Inputs!$D$15*(C411/Inputs!$D$43)^Inputs!$D$44)</f>
        <v>0.27882309014433088</v>
      </c>
      <c r="F411" s="36">
        <f>MIN(Inputs!$E$16,Inputs!$D$16*(B411/Inputs!$D$42)^Inputs!$D$44)</f>
        <v>0.46057036065052986</v>
      </c>
      <c r="G411" s="37">
        <f>Inputs!$D$26*(1+Inputs!$D$41*(B411-Inputs!$D$42))</f>
        <v>1.6800000000000002</v>
      </c>
      <c r="H411" s="35">
        <f>Inputs!$D$6*Inputs!$D$14*G411*Inputs!$D$29</f>
        <v>2110.8024000000005</v>
      </c>
      <c r="I411" s="36">
        <f>H411/(A411*Inputs!$D$32)</f>
        <v>0.93605427937915764</v>
      </c>
      <c r="J411" s="38">
        <f>IF(I411&gt;=1,999,I411/(Inputs!$D$32*(1-I411))*60)</f>
        <v>15.969014236524986</v>
      </c>
      <c r="K411" s="37">
        <f>MIN(1,MAX(0,(J411-Inputs!$D$36)/(Inputs!$D$37-Inputs!$D$36)))</f>
        <v>0.73126761576833244</v>
      </c>
      <c r="L411" s="35">
        <f>Inputs!$D$6*Inputs!$D$14*G411*(1-Inputs!$D$38*K411)</f>
        <v>9441.3316847817805</v>
      </c>
      <c r="M411" s="39">
        <f>L411*Inputs!$D$11</f>
        <v>202988.63122280827</v>
      </c>
      <c r="N411" s="39">
        <f>M411*(1-Inputs!$D$17)</f>
        <v>71046.020927982885</v>
      </c>
      <c r="O411" s="35">
        <f>Inputs!$D$6*E411*Inputs!$D$27*Inputs!$D$30</f>
        <v>397.78463449295054</v>
      </c>
      <c r="P411" s="36">
        <f>O411/(C411*Inputs!$D$33)</f>
        <v>0.66297439082158427</v>
      </c>
      <c r="Q411" s="38">
        <f>IF(P411&gt;=1,999,P411/(Inputs!$D$33*(1-P411))*60)</f>
        <v>2.9507003597044905</v>
      </c>
      <c r="R411" s="37">
        <f>MIN(1,MAX(0,(Q411-Inputs!$D$36)/(Inputs!$D$37-Inputs!$D$36)))</f>
        <v>0</v>
      </c>
      <c r="S411" s="35">
        <f>Inputs!$D$6*E411*Inputs!$D$27*(1-Inputs!$D$38*R411)</f>
        <v>3314.8719541079213</v>
      </c>
      <c r="T411" s="39">
        <f>S411*Inputs!$D$12</f>
        <v>53037.951265726741</v>
      </c>
      <c r="U411" s="39">
        <f>T411*(1-Inputs!$D$18)</f>
        <v>23867.07806957703</v>
      </c>
      <c r="V411" s="35">
        <f>Inputs!$D$6*F411*Inputs!$D$28*Inputs!$D$31</f>
        <v>776.54373543410452</v>
      </c>
      <c r="W411" s="36">
        <f>V411/(B411*Inputs!$D$34)</f>
        <v>0.69334262092330756</v>
      </c>
      <c r="X411" s="38">
        <f>IF(W411&gt;=1,999,W411/(Inputs!$D$34*(1-W411))*60)</f>
        <v>3.8759457011369869</v>
      </c>
      <c r="Y411" s="37">
        <f>MIN(1,MAX(0,(X411-Inputs!$D$36)/(Inputs!$D$37-Inputs!$D$36)))</f>
        <v>0</v>
      </c>
      <c r="Z411" s="35">
        <f>Inputs!$D$6*F411*Inputs!$D$28*(1-Inputs!$D$38*Y411)</f>
        <v>5973.4133494931111</v>
      </c>
      <c r="AA411" s="39">
        <f>Z411*Inputs!$D$13</f>
        <v>50774.013470691447</v>
      </c>
      <c r="AB411" s="39">
        <f>AA411*(1-Inputs!$D$19)</f>
        <v>30464.408082414866</v>
      </c>
      <c r="AC411" s="39">
        <f t="shared" si="24"/>
        <v>306800.59595922643</v>
      </c>
      <c r="AD411" s="39">
        <f t="shared" si="25"/>
        <v>125377.50707997479</v>
      </c>
      <c r="AE411" s="36">
        <f t="shared" si="26"/>
        <v>0.93605427937915764</v>
      </c>
      <c r="AF411" s="35">
        <f>IF(AND(AE411&lt;=Inputs!$D$35,C411&gt;=Inputs!$D$48*(A411+B411+C411),B411*Inputs!$D$22&lt;=Inputs!$D$50*Inputs!$D$8,B411*Inputs!$D$22&gt;=Inputs!$D$49*Inputs!$D$8,A411*Inputs!$D$20&lt;=Inputs!$D$47*Inputs!$D$8,C411&gt;=1),1,0)</f>
        <v>0</v>
      </c>
      <c r="AG411" s="39">
        <f t="shared" si="27"/>
        <v>-1</v>
      </c>
    </row>
    <row r="412" spans="1:33" x14ac:dyDescent="0.25">
      <c r="A412" s="35">
        <v>41</v>
      </c>
      <c r="B412" s="35">
        <v>33</v>
      </c>
      <c r="C412" s="35">
        <f>Inputs!$D$8-A412-Inputs!$D$22*B412</f>
        <v>13</v>
      </c>
      <c r="D412" s="35">
        <f>A412*Inputs!$D$20+C412*Inputs!$D$21+B412*Inputs!$D$22</f>
        <v>120</v>
      </c>
      <c r="E412" s="36">
        <f>MIN(Inputs!$E$15,Inputs!$D$15*(C412/Inputs!$D$43)^Inputs!$D$44)</f>
        <v>0.26710644306172537</v>
      </c>
      <c r="F412" s="36">
        <f>MIN(Inputs!$E$16,Inputs!$D$16*(B412/Inputs!$D$42)^Inputs!$D$44)</f>
        <v>0.46484180038786721</v>
      </c>
      <c r="G412" s="37">
        <f>Inputs!$D$26*(1+Inputs!$D$41*(B412-Inputs!$D$42))</f>
        <v>1.6949999999999998</v>
      </c>
      <c r="H412" s="35">
        <f>Inputs!$D$6*Inputs!$D$14*G412*Inputs!$D$29</f>
        <v>2129.64885</v>
      </c>
      <c r="I412" s="36">
        <f>H412/(A412*Inputs!$D$32)</f>
        <v>0.9444119068736142</v>
      </c>
      <c r="J412" s="38">
        <f>IF(I412&gt;=1,999,I412/(Inputs!$D$32*(1-I412))*60)</f>
        <v>18.533960724804611</v>
      </c>
      <c r="K412" s="37">
        <f>MIN(1,MAX(0,(J412-Inputs!$D$36)/(Inputs!$D$37-Inputs!$D$36)))</f>
        <v>0.90226404832030738</v>
      </c>
      <c r="L412" s="35">
        <f>Inputs!$D$6*Inputs!$D$14*G412*(1-Inputs!$D$38*K412)</f>
        <v>8433.1422212949401</v>
      </c>
      <c r="M412" s="39">
        <f>L412*Inputs!$D$11</f>
        <v>181312.55775784122</v>
      </c>
      <c r="N412" s="39">
        <f>M412*(1-Inputs!$D$17)</f>
        <v>63459.395215244425</v>
      </c>
      <c r="O412" s="35">
        <f>Inputs!$D$6*E412*Inputs!$D$27*Inputs!$D$30</f>
        <v>381.06900963266889</v>
      </c>
      <c r="P412" s="36">
        <f>O412/(C412*Inputs!$D$33)</f>
        <v>0.73282501852436321</v>
      </c>
      <c r="Q412" s="38">
        <f>IF(P412&gt;=1,999,P412/(Inputs!$D$33*(1-P412))*60)</f>
        <v>4.1142981341865736</v>
      </c>
      <c r="R412" s="37">
        <f>MIN(1,MAX(0,(Q412-Inputs!$D$36)/(Inputs!$D$37-Inputs!$D$36)))</f>
        <v>0</v>
      </c>
      <c r="S412" s="35">
        <f>Inputs!$D$6*E412*Inputs!$D$27*(1-Inputs!$D$38*R412)</f>
        <v>3175.5750802722409</v>
      </c>
      <c r="T412" s="39">
        <f>S412*Inputs!$D$12</f>
        <v>50809.201284355855</v>
      </c>
      <c r="U412" s="39">
        <f>T412*(1-Inputs!$D$18)</f>
        <v>22864.140577960134</v>
      </c>
      <c r="V412" s="35">
        <f>Inputs!$D$6*F412*Inputs!$D$28*Inputs!$D$31</f>
        <v>783.74558786036266</v>
      </c>
      <c r="W412" s="36">
        <f>V412/(B412*Inputs!$D$34)</f>
        <v>0.67856760853711051</v>
      </c>
      <c r="X412" s="38">
        <f>IF(W412&gt;=1,999,W412/(Inputs!$D$34*(1-W412))*60)</f>
        <v>3.6189842355277744</v>
      </c>
      <c r="Y412" s="37">
        <f>MIN(1,MAX(0,(X412-Inputs!$D$36)/(Inputs!$D$37-Inputs!$D$36)))</f>
        <v>0</v>
      </c>
      <c r="Z412" s="35">
        <f>Inputs!$D$6*F412*Inputs!$D$28*(1-Inputs!$D$38*Y412)</f>
        <v>6028.812214310482</v>
      </c>
      <c r="AA412" s="39">
        <f>Z412*Inputs!$D$13</f>
        <v>51244.903821639098</v>
      </c>
      <c r="AB412" s="39">
        <f>AA412*(1-Inputs!$D$19)</f>
        <v>30746.942292983458</v>
      </c>
      <c r="AC412" s="39">
        <f t="shared" si="24"/>
        <v>283366.66286383616</v>
      </c>
      <c r="AD412" s="39">
        <f t="shared" si="25"/>
        <v>117070.47808618801</v>
      </c>
      <c r="AE412" s="36">
        <f t="shared" si="26"/>
        <v>0.9444119068736142</v>
      </c>
      <c r="AF412" s="35">
        <f>IF(AND(AE412&lt;=Inputs!$D$35,C412&gt;=Inputs!$D$48*(A412+B412+C412),B412*Inputs!$D$22&lt;=Inputs!$D$50*Inputs!$D$8,B412*Inputs!$D$22&gt;=Inputs!$D$49*Inputs!$D$8,A412*Inputs!$D$20&lt;=Inputs!$D$47*Inputs!$D$8,C412&gt;=1),1,0)</f>
        <v>0</v>
      </c>
      <c r="AG412" s="39">
        <f t="shared" si="27"/>
        <v>-1</v>
      </c>
    </row>
    <row r="413" spans="1:33" x14ac:dyDescent="0.25">
      <c r="A413" s="35">
        <v>42</v>
      </c>
      <c r="B413" s="35">
        <v>10</v>
      </c>
      <c r="C413" s="35">
        <f>Inputs!$D$8-A413-Inputs!$D$22*B413</f>
        <v>58</v>
      </c>
      <c r="D413" s="35">
        <f>A413*Inputs!$D$20+C413*Inputs!$D$21+B413*Inputs!$D$22</f>
        <v>120</v>
      </c>
      <c r="E413" s="36">
        <f>MIN(Inputs!$E$15,Inputs!$D$15*(C413/Inputs!$D$43)^Inputs!$D$44)</f>
        <v>0.4</v>
      </c>
      <c r="F413" s="36">
        <f>MIN(Inputs!$E$16,Inputs!$D$16*(B413/Inputs!$D$42)^Inputs!$D$44)</f>
        <v>0.32490095854249423</v>
      </c>
      <c r="G413" s="37">
        <f>Inputs!$D$26*(1+Inputs!$D$41*(B413-Inputs!$D$42))</f>
        <v>1.35</v>
      </c>
      <c r="H413" s="35">
        <f>Inputs!$D$6*Inputs!$D$14*G413*Inputs!$D$29</f>
        <v>1696.1805000000004</v>
      </c>
      <c r="I413" s="36">
        <f>H413/(A413*Inputs!$D$32)</f>
        <v>0.73427727272727294</v>
      </c>
      <c r="J413" s="38">
        <f>IF(I413&gt;=1,999,I413/(Inputs!$D$32*(1-I413))*60)</f>
        <v>3.0145323295736439</v>
      </c>
      <c r="K413" s="37">
        <f>MIN(1,MAX(0,(J413-Inputs!$D$36)/(Inputs!$D$37-Inputs!$D$36)))</f>
        <v>0</v>
      </c>
      <c r="L413" s="35">
        <f>Inputs!$D$6*Inputs!$D$14*G413*(1-Inputs!$D$38*K413)</f>
        <v>11307.870000000003</v>
      </c>
      <c r="M413" s="39">
        <f>L413*Inputs!$D$11</f>
        <v>243119.20500000005</v>
      </c>
      <c r="N413" s="39">
        <f>M413*(1-Inputs!$D$17)</f>
        <v>85091.721750000012</v>
      </c>
      <c r="O413" s="35">
        <f>Inputs!$D$6*E413*Inputs!$D$27*Inputs!$D$30</f>
        <v>570.66240000000005</v>
      </c>
      <c r="P413" s="36">
        <f>O413/(C413*Inputs!$D$33)</f>
        <v>0.24597517241379313</v>
      </c>
      <c r="Q413" s="38">
        <f>IF(P413&gt;=1,999,P413/(Inputs!$D$33*(1-P413))*60)</f>
        <v>0.48932441628191153</v>
      </c>
      <c r="R413" s="37">
        <f>MIN(1,MAX(0,(Q413-Inputs!$D$36)/(Inputs!$D$37-Inputs!$D$36)))</f>
        <v>0</v>
      </c>
      <c r="S413" s="35">
        <f>Inputs!$D$6*E413*Inputs!$D$27*(1-Inputs!$D$38*R413)</f>
        <v>4755.5200000000004</v>
      </c>
      <c r="T413" s="39">
        <f>S413*Inputs!$D$12</f>
        <v>76088.320000000007</v>
      </c>
      <c r="U413" s="39">
        <f>T413*(1-Inputs!$D$18)</f>
        <v>34239.743999999999</v>
      </c>
      <c r="V413" s="35">
        <f>Inputs!$D$6*F413*Inputs!$D$28*Inputs!$D$31</f>
        <v>547.7986113486553</v>
      </c>
      <c r="W413" s="36">
        <f>V413/(B413*Inputs!$D$34)</f>
        <v>1.5651388895675866</v>
      </c>
      <c r="X413" s="38">
        <f>IF(W413&gt;=1,999,W413/(Inputs!$D$34*(1-W413))*60)</f>
        <v>999</v>
      </c>
      <c r="Y413" s="37">
        <f>MIN(1,MAX(0,(X413-Inputs!$D$36)/(Inputs!$D$37-Inputs!$D$36)))</f>
        <v>1</v>
      </c>
      <c r="Z413" s="35">
        <f>Inputs!$D$6*F413*Inputs!$D$28*(1-Inputs!$D$38*Y413)</f>
        <v>2317.6095095520031</v>
      </c>
      <c r="AA413" s="39">
        <f>Z413*Inputs!$D$13</f>
        <v>19699.680831192025</v>
      </c>
      <c r="AB413" s="39">
        <f>AA413*(1-Inputs!$D$19)</f>
        <v>11819.808498715214</v>
      </c>
      <c r="AC413" s="39">
        <f t="shared" si="24"/>
        <v>338907.20583119203</v>
      </c>
      <c r="AD413" s="39">
        <f t="shared" si="25"/>
        <v>131151.27424871523</v>
      </c>
      <c r="AE413" s="36">
        <f t="shared" si="26"/>
        <v>1.5651388895675866</v>
      </c>
      <c r="AF413" s="35">
        <f>IF(AND(AE413&lt;=Inputs!$D$35,C413&gt;=Inputs!$D$48*(A413+B413+C413),B413*Inputs!$D$22&lt;=Inputs!$D$50*Inputs!$D$8,B413*Inputs!$D$22&gt;=Inputs!$D$49*Inputs!$D$8,A413*Inputs!$D$20&lt;=Inputs!$D$47*Inputs!$D$8,C413&gt;=1),1,0)</f>
        <v>0</v>
      </c>
      <c r="AG413" s="39">
        <f t="shared" si="27"/>
        <v>-1</v>
      </c>
    </row>
    <row r="414" spans="1:33" x14ac:dyDescent="0.25">
      <c r="A414" s="35">
        <v>42</v>
      </c>
      <c r="B414" s="35">
        <v>11</v>
      </c>
      <c r="C414" s="35">
        <f>Inputs!$D$8-A414-Inputs!$D$22*B414</f>
        <v>56</v>
      </c>
      <c r="D414" s="35">
        <f>A414*Inputs!$D$20+C414*Inputs!$D$21+B414*Inputs!$D$22</f>
        <v>120</v>
      </c>
      <c r="E414" s="36">
        <f>MIN(Inputs!$E$15,Inputs!$D$15*(C414/Inputs!$D$43)^Inputs!$D$44)</f>
        <v>0.4</v>
      </c>
      <c r="F414" s="36">
        <f>MIN(Inputs!$E$16,Inputs!$D$16*(B414/Inputs!$D$42)^Inputs!$D$44)</f>
        <v>0.33432495758166098</v>
      </c>
      <c r="G414" s="37">
        <f>Inputs!$D$26*(1+Inputs!$D$41*(B414-Inputs!$D$42))</f>
        <v>1.365</v>
      </c>
      <c r="H414" s="35">
        <f>Inputs!$D$6*Inputs!$D$14*G414*Inputs!$D$29</f>
        <v>1715.0269500000002</v>
      </c>
      <c r="I414" s="36">
        <f>H414/(A414*Inputs!$D$32)</f>
        <v>0.74243590909090917</v>
      </c>
      <c r="J414" s="38">
        <f>IF(I414&gt;=1,999,I414/(Inputs!$D$32*(1-I414))*60)</f>
        <v>3.144576869337345</v>
      </c>
      <c r="K414" s="37">
        <f>MIN(1,MAX(0,(J414-Inputs!$D$36)/(Inputs!$D$37-Inputs!$D$36)))</f>
        <v>0</v>
      </c>
      <c r="L414" s="35">
        <f>Inputs!$D$6*Inputs!$D$14*G414*(1-Inputs!$D$38*K414)</f>
        <v>11433.513000000001</v>
      </c>
      <c r="M414" s="39">
        <f>L414*Inputs!$D$11</f>
        <v>245820.5295</v>
      </c>
      <c r="N414" s="39">
        <f>M414*(1-Inputs!$D$17)</f>
        <v>86037.185324999999</v>
      </c>
      <c r="O414" s="35">
        <f>Inputs!$D$6*E414*Inputs!$D$27*Inputs!$D$30</f>
        <v>570.66240000000005</v>
      </c>
      <c r="P414" s="36">
        <f>O414/(C414*Inputs!$D$33)</f>
        <v>0.25476000000000004</v>
      </c>
      <c r="Q414" s="38">
        <f>IF(P414&gt;=1,999,P414/(Inputs!$D$33*(1-P414))*60)</f>
        <v>0.51277440824432408</v>
      </c>
      <c r="R414" s="37">
        <f>MIN(1,MAX(0,(Q414-Inputs!$D$36)/(Inputs!$D$37-Inputs!$D$36)))</f>
        <v>0</v>
      </c>
      <c r="S414" s="35">
        <f>Inputs!$D$6*E414*Inputs!$D$27*(1-Inputs!$D$38*R414)</f>
        <v>4755.5200000000004</v>
      </c>
      <c r="T414" s="39">
        <f>S414*Inputs!$D$12</f>
        <v>76088.320000000007</v>
      </c>
      <c r="U414" s="39">
        <f>T414*(1-Inputs!$D$18)</f>
        <v>34239.743999999999</v>
      </c>
      <c r="V414" s="35">
        <f>Inputs!$D$6*F414*Inputs!$D$28*Inputs!$D$31</f>
        <v>563.68792608064427</v>
      </c>
      <c r="W414" s="36">
        <f>V414/(B414*Inputs!$D$34)</f>
        <v>1.4641244833263487</v>
      </c>
      <c r="X414" s="38">
        <f>IF(W414&gt;=1,999,W414/(Inputs!$D$34*(1-W414))*60)</f>
        <v>999</v>
      </c>
      <c r="Y414" s="37">
        <f>MIN(1,MAX(0,(X414-Inputs!$D$36)/(Inputs!$D$37-Inputs!$D$36)))</f>
        <v>1</v>
      </c>
      <c r="Z414" s="35">
        <f>Inputs!$D$6*F414*Inputs!$D$28*(1-Inputs!$D$38*Y414)</f>
        <v>2384.8335334181106</v>
      </c>
      <c r="AA414" s="39">
        <f>Z414*Inputs!$D$13</f>
        <v>20271.08503405394</v>
      </c>
      <c r="AB414" s="39">
        <f>AA414*(1-Inputs!$D$19)</f>
        <v>12162.651020432364</v>
      </c>
      <c r="AC414" s="39">
        <f t="shared" si="24"/>
        <v>342179.93453405396</v>
      </c>
      <c r="AD414" s="39">
        <f t="shared" si="25"/>
        <v>132439.58034543236</v>
      </c>
      <c r="AE414" s="36">
        <f t="shared" si="26"/>
        <v>1.4641244833263487</v>
      </c>
      <c r="AF414" s="35">
        <f>IF(AND(AE414&lt;=Inputs!$D$35,C414&gt;=Inputs!$D$48*(A414+B414+C414),B414*Inputs!$D$22&lt;=Inputs!$D$50*Inputs!$D$8,B414*Inputs!$D$22&gt;=Inputs!$D$49*Inputs!$D$8,A414*Inputs!$D$20&lt;=Inputs!$D$47*Inputs!$D$8,C414&gt;=1),1,0)</f>
        <v>0</v>
      </c>
      <c r="AG414" s="39">
        <f t="shared" si="27"/>
        <v>-1</v>
      </c>
    </row>
    <row r="415" spans="1:33" x14ac:dyDescent="0.25">
      <c r="A415" s="35">
        <v>42</v>
      </c>
      <c r="B415" s="35">
        <v>12</v>
      </c>
      <c r="C415" s="35">
        <f>Inputs!$D$8-A415-Inputs!$D$22*B415</f>
        <v>54</v>
      </c>
      <c r="D415" s="35">
        <f>A415*Inputs!$D$20+C415*Inputs!$D$21+B415*Inputs!$D$22</f>
        <v>120</v>
      </c>
      <c r="E415" s="36">
        <f>MIN(Inputs!$E$15,Inputs!$D$15*(C415/Inputs!$D$43)^Inputs!$D$44)</f>
        <v>0.4</v>
      </c>
      <c r="F415" s="36">
        <f>MIN(Inputs!$E$16,Inputs!$D$16*(B415/Inputs!$D$42)^Inputs!$D$44)</f>
        <v>0.34316688017763797</v>
      </c>
      <c r="G415" s="37">
        <f>Inputs!$D$26*(1+Inputs!$D$41*(B415-Inputs!$D$42))</f>
        <v>1.3800000000000001</v>
      </c>
      <c r="H415" s="35">
        <f>Inputs!$D$6*Inputs!$D$14*G415*Inputs!$D$29</f>
        <v>1733.8734000000004</v>
      </c>
      <c r="I415" s="36">
        <f>H415/(A415*Inputs!$D$32)</f>
        <v>0.75059454545454563</v>
      </c>
      <c r="J415" s="38">
        <f>IF(I415&gt;=1,999,I415/(Inputs!$D$32*(1-I415))*60)</f>
        <v>3.2831295318519511</v>
      </c>
      <c r="K415" s="37">
        <f>MIN(1,MAX(0,(J415-Inputs!$D$36)/(Inputs!$D$37-Inputs!$D$36)))</f>
        <v>0</v>
      </c>
      <c r="L415" s="35">
        <f>Inputs!$D$6*Inputs!$D$14*G415*(1-Inputs!$D$38*K415)</f>
        <v>11559.156000000003</v>
      </c>
      <c r="M415" s="39">
        <f>L415*Inputs!$D$11</f>
        <v>248521.85400000005</v>
      </c>
      <c r="N415" s="39">
        <f>M415*(1-Inputs!$D$17)</f>
        <v>86982.648900000015</v>
      </c>
      <c r="O415" s="35">
        <f>Inputs!$D$6*E415*Inputs!$D$27*Inputs!$D$30</f>
        <v>570.66240000000005</v>
      </c>
      <c r="P415" s="36">
        <f>O415/(C415*Inputs!$D$33)</f>
        <v>0.26419555555555557</v>
      </c>
      <c r="Q415" s="38">
        <f>IF(P415&gt;=1,999,P415/(Inputs!$D$33*(1-P415))*60)</f>
        <v>0.53858513131508379</v>
      </c>
      <c r="R415" s="37">
        <f>MIN(1,MAX(0,(Q415-Inputs!$D$36)/(Inputs!$D$37-Inputs!$D$36)))</f>
        <v>0</v>
      </c>
      <c r="S415" s="35">
        <f>Inputs!$D$6*E415*Inputs!$D$27*(1-Inputs!$D$38*R415)</f>
        <v>4755.5200000000004</v>
      </c>
      <c r="T415" s="39">
        <f>S415*Inputs!$D$12</f>
        <v>76088.320000000007</v>
      </c>
      <c r="U415" s="39">
        <f>T415*(1-Inputs!$D$18)</f>
        <v>34239.743999999999</v>
      </c>
      <c r="V415" s="35">
        <f>Inputs!$D$6*F415*Inputs!$D$28*Inputs!$D$31</f>
        <v>578.5958319897461</v>
      </c>
      <c r="W415" s="36">
        <f>V415/(B415*Inputs!$D$34)</f>
        <v>1.3776091237851098</v>
      </c>
      <c r="X415" s="38">
        <f>IF(W415&gt;=1,999,W415/(Inputs!$D$34*(1-W415))*60)</f>
        <v>999</v>
      </c>
      <c r="Y415" s="37">
        <f>MIN(1,MAX(0,(X415-Inputs!$D$36)/(Inputs!$D$37-Inputs!$D$36)))</f>
        <v>1</v>
      </c>
      <c r="Z415" s="35">
        <f>Inputs!$D$6*F415*Inputs!$D$28*(1-Inputs!$D$38*Y415)</f>
        <v>2447.9054430335414</v>
      </c>
      <c r="AA415" s="39">
        <f>Z415*Inputs!$D$13</f>
        <v>20807.1962657851</v>
      </c>
      <c r="AB415" s="39">
        <f>AA415*(1-Inputs!$D$19)</f>
        <v>12484.31775947106</v>
      </c>
      <c r="AC415" s="39">
        <f t="shared" si="24"/>
        <v>345417.37026578514</v>
      </c>
      <c r="AD415" s="39">
        <f t="shared" si="25"/>
        <v>133706.71065947108</v>
      </c>
      <c r="AE415" s="36">
        <f t="shared" si="26"/>
        <v>1.3776091237851098</v>
      </c>
      <c r="AF415" s="35">
        <f>IF(AND(AE415&lt;=Inputs!$D$35,C415&gt;=Inputs!$D$48*(A415+B415+C415),B415*Inputs!$D$22&lt;=Inputs!$D$50*Inputs!$D$8,B415*Inputs!$D$22&gt;=Inputs!$D$49*Inputs!$D$8,A415*Inputs!$D$20&lt;=Inputs!$D$47*Inputs!$D$8,C415&gt;=1),1,0)</f>
        <v>0</v>
      </c>
      <c r="AG415" s="39">
        <f t="shared" si="27"/>
        <v>-1</v>
      </c>
    </row>
    <row r="416" spans="1:33" x14ac:dyDescent="0.25">
      <c r="A416" s="35">
        <v>42</v>
      </c>
      <c r="B416" s="35">
        <v>13</v>
      </c>
      <c r="C416" s="35">
        <f>Inputs!$D$8-A416-Inputs!$D$22*B416</f>
        <v>52</v>
      </c>
      <c r="D416" s="35">
        <f>A416*Inputs!$D$20+C416*Inputs!$D$21+B416*Inputs!$D$22</f>
        <v>120</v>
      </c>
      <c r="E416" s="36">
        <f>MIN(Inputs!$E$15,Inputs!$D$15*(C416/Inputs!$D$43)^Inputs!$D$44)</f>
        <v>0.4</v>
      </c>
      <c r="F416" s="36">
        <f>MIN(Inputs!$E$16,Inputs!$D$16*(B416/Inputs!$D$42)^Inputs!$D$44)</f>
        <v>0.35150701637190523</v>
      </c>
      <c r="G416" s="37">
        <f>Inputs!$D$26*(1+Inputs!$D$41*(B416-Inputs!$D$42))</f>
        <v>1.395</v>
      </c>
      <c r="H416" s="35">
        <f>Inputs!$D$6*Inputs!$D$14*G416*Inputs!$D$29</f>
        <v>1752.7198500000002</v>
      </c>
      <c r="I416" s="36">
        <f>H416/(A416*Inputs!$D$32)</f>
        <v>0.75875318181818185</v>
      </c>
      <c r="J416" s="38">
        <f>IF(I416&gt;=1,999,I416/(Inputs!$D$32*(1-I416))*60)</f>
        <v>3.431053516228451</v>
      </c>
      <c r="K416" s="37">
        <f>MIN(1,MAX(0,(J416-Inputs!$D$36)/(Inputs!$D$37-Inputs!$D$36)))</f>
        <v>0</v>
      </c>
      <c r="L416" s="35">
        <f>Inputs!$D$6*Inputs!$D$14*G416*(1-Inputs!$D$38*K416)</f>
        <v>11684.799000000001</v>
      </c>
      <c r="M416" s="39">
        <f>L416*Inputs!$D$11</f>
        <v>251223.17850000001</v>
      </c>
      <c r="N416" s="39">
        <f>M416*(1-Inputs!$D$17)</f>
        <v>87928.112475000002</v>
      </c>
      <c r="O416" s="35">
        <f>Inputs!$D$6*E416*Inputs!$D$27*Inputs!$D$30</f>
        <v>570.66240000000005</v>
      </c>
      <c r="P416" s="36">
        <f>O416/(C416*Inputs!$D$33)</f>
        <v>0.27435692307692311</v>
      </c>
      <c r="Q416" s="38">
        <f>IF(P416&gt;=1,999,P416/(Inputs!$D$33*(1-P416))*60)</f>
        <v>0.56713196570469071</v>
      </c>
      <c r="R416" s="37">
        <f>MIN(1,MAX(0,(Q416-Inputs!$D$36)/(Inputs!$D$37-Inputs!$D$36)))</f>
        <v>0</v>
      </c>
      <c r="S416" s="35">
        <f>Inputs!$D$6*E416*Inputs!$D$27*(1-Inputs!$D$38*R416)</f>
        <v>4755.5200000000004</v>
      </c>
      <c r="T416" s="39">
        <f>S416*Inputs!$D$12</f>
        <v>76088.320000000007</v>
      </c>
      <c r="U416" s="39">
        <f>T416*(1-Inputs!$D$18)</f>
        <v>34239.743999999999</v>
      </c>
      <c r="V416" s="35">
        <f>Inputs!$D$6*F416*Inputs!$D$28*Inputs!$D$31</f>
        <v>592.65770193981814</v>
      </c>
      <c r="W416" s="36">
        <f>V416/(B416*Inputs!$D$34)</f>
        <v>1.3025443998677322</v>
      </c>
      <c r="X416" s="38">
        <f>IF(W416&gt;=1,999,W416/(Inputs!$D$34*(1-W416))*60)</f>
        <v>999</v>
      </c>
      <c r="Y416" s="37">
        <f>MIN(1,MAX(0,(X416-Inputs!$D$36)/(Inputs!$D$37-Inputs!$D$36)))</f>
        <v>1</v>
      </c>
      <c r="Z416" s="35">
        <f>Inputs!$D$6*F416*Inputs!$D$28*(1-Inputs!$D$38*Y416)</f>
        <v>2507.3979697453847</v>
      </c>
      <c r="AA416" s="39">
        <f>Z416*Inputs!$D$13</f>
        <v>21312.882742835769</v>
      </c>
      <c r="AB416" s="39">
        <f>AA416*(1-Inputs!$D$19)</f>
        <v>12787.729645701462</v>
      </c>
      <c r="AC416" s="39">
        <f t="shared" si="24"/>
        <v>348624.38124283578</v>
      </c>
      <c r="AD416" s="39">
        <f t="shared" si="25"/>
        <v>134955.58612070148</v>
      </c>
      <c r="AE416" s="36">
        <f t="shared" si="26"/>
        <v>1.3025443998677322</v>
      </c>
      <c r="AF416" s="35">
        <f>IF(AND(AE416&lt;=Inputs!$D$35,C416&gt;=Inputs!$D$48*(A416+B416+C416),B416*Inputs!$D$22&lt;=Inputs!$D$50*Inputs!$D$8,B416*Inputs!$D$22&gt;=Inputs!$D$49*Inputs!$D$8,A416*Inputs!$D$20&lt;=Inputs!$D$47*Inputs!$D$8,C416&gt;=1),1,0)</f>
        <v>0</v>
      </c>
      <c r="AG416" s="39">
        <f t="shared" si="27"/>
        <v>-1</v>
      </c>
    </row>
    <row r="417" spans="1:33" x14ac:dyDescent="0.25">
      <c r="A417" s="35">
        <v>42</v>
      </c>
      <c r="B417" s="35">
        <v>14</v>
      </c>
      <c r="C417" s="35">
        <f>Inputs!$D$8-A417-Inputs!$D$22*B417</f>
        <v>50</v>
      </c>
      <c r="D417" s="35">
        <f>A417*Inputs!$D$20+C417*Inputs!$D$21+B417*Inputs!$D$22</f>
        <v>120</v>
      </c>
      <c r="E417" s="36">
        <f>MIN(Inputs!$E$15,Inputs!$D$15*(C417/Inputs!$D$43)^Inputs!$D$44)</f>
        <v>0.4</v>
      </c>
      <c r="F417" s="36">
        <f>MIN(Inputs!$E$16,Inputs!$D$16*(B417/Inputs!$D$42)^Inputs!$D$44)</f>
        <v>0.35940937671625589</v>
      </c>
      <c r="G417" s="37">
        <f>Inputs!$D$26*(1+Inputs!$D$41*(B417-Inputs!$D$42))</f>
        <v>1.41</v>
      </c>
      <c r="H417" s="35">
        <f>Inputs!$D$6*Inputs!$D$14*G417*Inputs!$D$29</f>
        <v>1771.5663000000002</v>
      </c>
      <c r="I417" s="36">
        <f>H417/(A417*Inputs!$D$32)</f>
        <v>0.76691181818181831</v>
      </c>
      <c r="J417" s="38">
        <f>IF(I417&gt;=1,999,I417/(Inputs!$D$32*(1-I417))*60)</f>
        <v>3.5893328776006834</v>
      </c>
      <c r="K417" s="37">
        <f>MIN(1,MAX(0,(J417-Inputs!$D$36)/(Inputs!$D$37-Inputs!$D$36)))</f>
        <v>0</v>
      </c>
      <c r="L417" s="35">
        <f>Inputs!$D$6*Inputs!$D$14*G417*(1-Inputs!$D$38*K417)</f>
        <v>11810.442000000001</v>
      </c>
      <c r="M417" s="39">
        <f>L417*Inputs!$D$11</f>
        <v>253924.50300000003</v>
      </c>
      <c r="N417" s="39">
        <f>M417*(1-Inputs!$D$17)</f>
        <v>88873.576050000003</v>
      </c>
      <c r="O417" s="35">
        <f>Inputs!$D$6*E417*Inputs!$D$27*Inputs!$D$30</f>
        <v>570.66240000000005</v>
      </c>
      <c r="P417" s="36">
        <f>O417/(C417*Inputs!$D$33)</f>
        <v>0.28533120000000001</v>
      </c>
      <c r="Q417" s="38">
        <f>IF(P417&gt;=1,999,P417/(Inputs!$D$33*(1-P417))*60)</f>
        <v>0.59887433171841276</v>
      </c>
      <c r="R417" s="37">
        <f>MIN(1,MAX(0,(Q417-Inputs!$D$36)/(Inputs!$D$37-Inputs!$D$36)))</f>
        <v>0</v>
      </c>
      <c r="S417" s="35">
        <f>Inputs!$D$6*E417*Inputs!$D$27*(1-Inputs!$D$38*R417)</f>
        <v>4755.5200000000004</v>
      </c>
      <c r="T417" s="39">
        <f>S417*Inputs!$D$12</f>
        <v>76088.320000000007</v>
      </c>
      <c r="U417" s="39">
        <f>T417*(1-Inputs!$D$18)</f>
        <v>34239.743999999999</v>
      </c>
      <c r="V417" s="35">
        <f>Inputs!$D$6*F417*Inputs!$D$28*Inputs!$D$31</f>
        <v>605.98146079368973</v>
      </c>
      <c r="W417" s="36">
        <f>V417/(B417*Inputs!$D$34)</f>
        <v>1.2366968587626321</v>
      </c>
      <c r="X417" s="38">
        <f>IF(W417&gt;=1,999,W417/(Inputs!$D$34*(1-W417))*60)</f>
        <v>999</v>
      </c>
      <c r="Y417" s="37">
        <f>MIN(1,MAX(0,(X417-Inputs!$D$36)/(Inputs!$D$37-Inputs!$D$36)))</f>
        <v>1</v>
      </c>
      <c r="Z417" s="35">
        <f>Inputs!$D$6*F417*Inputs!$D$28*(1-Inputs!$D$38*Y417)</f>
        <v>2563.7677187425338</v>
      </c>
      <c r="AA417" s="39">
        <f>Z417*Inputs!$D$13</f>
        <v>21792.025609311539</v>
      </c>
      <c r="AB417" s="39">
        <f>AA417*(1-Inputs!$D$19)</f>
        <v>13075.215365586922</v>
      </c>
      <c r="AC417" s="39">
        <f t="shared" si="24"/>
        <v>351804.84860931156</v>
      </c>
      <c r="AD417" s="39">
        <f t="shared" si="25"/>
        <v>136188.53541558693</v>
      </c>
      <c r="AE417" s="36">
        <f t="shared" si="26"/>
        <v>1.2366968587626321</v>
      </c>
      <c r="AF417" s="35">
        <f>IF(AND(AE417&lt;=Inputs!$D$35,C417&gt;=Inputs!$D$48*(A417+B417+C417),B417*Inputs!$D$22&lt;=Inputs!$D$50*Inputs!$D$8,B417*Inputs!$D$22&gt;=Inputs!$D$49*Inputs!$D$8,A417*Inputs!$D$20&lt;=Inputs!$D$47*Inputs!$D$8,C417&gt;=1),1,0)</f>
        <v>0</v>
      </c>
      <c r="AG417" s="39">
        <f t="shared" si="27"/>
        <v>-1</v>
      </c>
    </row>
    <row r="418" spans="1:33" x14ac:dyDescent="0.25">
      <c r="A418" s="35">
        <v>42</v>
      </c>
      <c r="B418" s="35">
        <v>15</v>
      </c>
      <c r="C418" s="35">
        <f>Inputs!$D$8-A418-Inputs!$D$22*B418</f>
        <v>48</v>
      </c>
      <c r="D418" s="35">
        <f>A418*Inputs!$D$20+C418*Inputs!$D$21+B418*Inputs!$D$22</f>
        <v>120</v>
      </c>
      <c r="E418" s="36">
        <f>MIN(Inputs!$E$15,Inputs!$D$15*(C418/Inputs!$D$43)^Inputs!$D$44)</f>
        <v>0.39525168457966786</v>
      </c>
      <c r="F418" s="36">
        <f>MIN(Inputs!$E$16,Inputs!$D$16*(B418/Inputs!$D$42)^Inputs!$D$44)</f>
        <v>0.36692590185696072</v>
      </c>
      <c r="G418" s="37">
        <f>Inputs!$D$26*(1+Inputs!$D$41*(B418-Inputs!$D$42))</f>
        <v>1.4249999999999998</v>
      </c>
      <c r="H418" s="35">
        <f>Inputs!$D$6*Inputs!$D$14*G418*Inputs!$D$29</f>
        <v>1790.4127499999997</v>
      </c>
      <c r="I418" s="36">
        <f>H418/(A418*Inputs!$D$32)</f>
        <v>0.77507045454545442</v>
      </c>
      <c r="J418" s="38">
        <f>IF(I418&gt;=1,999,I418/(Inputs!$D$32*(1-I418))*60)</f>
        <v>3.7590944455518183</v>
      </c>
      <c r="K418" s="37">
        <f>MIN(1,MAX(0,(J418-Inputs!$D$36)/(Inputs!$D$37-Inputs!$D$36)))</f>
        <v>0</v>
      </c>
      <c r="L418" s="35">
        <f>Inputs!$D$6*Inputs!$D$14*G418*(1-Inputs!$D$38*K418)</f>
        <v>11936.084999999999</v>
      </c>
      <c r="M418" s="39">
        <f>L418*Inputs!$D$11</f>
        <v>256625.82749999998</v>
      </c>
      <c r="N418" s="39">
        <f>M418*(1-Inputs!$D$17)</f>
        <v>89819.03962499999</v>
      </c>
      <c r="O418" s="35">
        <f>Inputs!$D$6*E418*Inputs!$D$27*Inputs!$D$30</f>
        <v>563.88818731569074</v>
      </c>
      <c r="P418" s="36">
        <f>O418/(C418*Inputs!$D$33)</f>
        <v>0.29369176422692228</v>
      </c>
      <c r="Q418" s="38">
        <f>IF(P418&gt;=1,999,P418/(Inputs!$D$33*(1-P418))*60)</f>
        <v>0.62371868828373556</v>
      </c>
      <c r="R418" s="37">
        <f>MIN(1,MAX(0,(Q418-Inputs!$D$36)/(Inputs!$D$37-Inputs!$D$36)))</f>
        <v>0</v>
      </c>
      <c r="S418" s="35">
        <f>Inputs!$D$6*E418*Inputs!$D$27*(1-Inputs!$D$38*R418)</f>
        <v>4699.0682276307562</v>
      </c>
      <c r="T418" s="39">
        <f>S418*Inputs!$D$12</f>
        <v>75185.091642092098</v>
      </c>
      <c r="U418" s="39">
        <f>T418*(1-Inputs!$D$18)</f>
        <v>33833.291238941441</v>
      </c>
      <c r="V418" s="35">
        <f>Inputs!$D$6*F418*Inputs!$D$28*Inputs!$D$31</f>
        <v>618.65468297412497</v>
      </c>
      <c r="W418" s="36">
        <f>V418/(B418*Inputs!$D$34)</f>
        <v>1.1783898723316666</v>
      </c>
      <c r="X418" s="38">
        <f>IF(W418&gt;=1,999,W418/(Inputs!$D$34*(1-W418))*60)</f>
        <v>999</v>
      </c>
      <c r="Y418" s="37">
        <f>MIN(1,MAX(0,(X418-Inputs!$D$36)/(Inputs!$D$37-Inputs!$D$36)))</f>
        <v>1</v>
      </c>
      <c r="Z418" s="35">
        <f>Inputs!$D$6*F418*Inputs!$D$28*(1-Inputs!$D$38*Y418)</f>
        <v>2617.3851971982212</v>
      </c>
      <c r="AA418" s="39">
        <f>Z418*Inputs!$D$13</f>
        <v>22247.774176184881</v>
      </c>
      <c r="AB418" s="39">
        <f>AA418*(1-Inputs!$D$19)</f>
        <v>13348.664505710929</v>
      </c>
      <c r="AC418" s="39">
        <f t="shared" si="24"/>
        <v>354058.69331827702</v>
      </c>
      <c r="AD418" s="39">
        <f t="shared" si="25"/>
        <v>137000.99536965237</v>
      </c>
      <c r="AE418" s="36">
        <f t="shared" si="26"/>
        <v>1.1783898723316666</v>
      </c>
      <c r="AF418" s="35">
        <f>IF(AND(AE418&lt;=Inputs!$D$35,C418&gt;=Inputs!$D$48*(A418+B418+C418),B418*Inputs!$D$22&lt;=Inputs!$D$50*Inputs!$D$8,B418*Inputs!$D$22&gt;=Inputs!$D$49*Inputs!$D$8,A418*Inputs!$D$20&lt;=Inputs!$D$47*Inputs!$D$8,C418&gt;=1),1,0)</f>
        <v>0</v>
      </c>
      <c r="AG418" s="39">
        <f t="shared" si="27"/>
        <v>-1</v>
      </c>
    </row>
    <row r="419" spans="1:33" x14ac:dyDescent="0.25">
      <c r="A419" s="35">
        <v>42</v>
      </c>
      <c r="B419" s="35">
        <v>16</v>
      </c>
      <c r="C419" s="35">
        <f>Inputs!$D$8-A419-Inputs!$D$22*B419</f>
        <v>46</v>
      </c>
      <c r="D419" s="35">
        <f>A419*Inputs!$D$20+C419*Inputs!$D$21+B419*Inputs!$D$22</f>
        <v>120</v>
      </c>
      <c r="E419" s="36">
        <f>MIN(Inputs!$E$15,Inputs!$D$15*(C419/Inputs!$D$43)^Inputs!$D$44)</f>
        <v>0.39023723685630041</v>
      </c>
      <c r="F419" s="36">
        <f>MIN(Inputs!$E$16,Inputs!$D$16*(B419/Inputs!$D$42)^Inputs!$D$44)</f>
        <v>0.37409937912904856</v>
      </c>
      <c r="G419" s="37">
        <f>Inputs!$D$26*(1+Inputs!$D$41*(B419-Inputs!$D$42))</f>
        <v>1.44</v>
      </c>
      <c r="H419" s="35">
        <f>Inputs!$D$6*Inputs!$D$14*G419*Inputs!$D$29</f>
        <v>1809.2592000000002</v>
      </c>
      <c r="I419" s="36">
        <f>H419/(A419*Inputs!$D$32)</f>
        <v>0.78322909090909099</v>
      </c>
      <c r="J419" s="38">
        <f>IF(I419&gt;=1,999,I419/(Inputs!$D$32*(1-I419))*60)</f>
        <v>3.9416346922218239</v>
      </c>
      <c r="K419" s="37">
        <f>MIN(1,MAX(0,(J419-Inputs!$D$36)/(Inputs!$D$37-Inputs!$D$36)))</f>
        <v>0</v>
      </c>
      <c r="L419" s="35">
        <f>Inputs!$D$6*Inputs!$D$14*G419*(1-Inputs!$D$38*K419)</f>
        <v>12061.728000000001</v>
      </c>
      <c r="M419" s="39">
        <f>L419*Inputs!$D$11</f>
        <v>259327.15200000003</v>
      </c>
      <c r="N419" s="39">
        <f>M419*(1-Inputs!$D$17)</f>
        <v>90764.503200000006</v>
      </c>
      <c r="O419" s="35">
        <f>Inputs!$D$6*E419*Inputs!$D$27*Inputs!$D$30</f>
        <v>556.73429538446214</v>
      </c>
      <c r="P419" s="36">
        <f>O419/(C419*Inputs!$D$33)</f>
        <v>0.30257298662199028</v>
      </c>
      <c r="Q419" s="38">
        <f>IF(P419&gt;=1,999,P419/(Inputs!$D$33*(1-P419))*60)</f>
        <v>0.65076269090109196</v>
      </c>
      <c r="R419" s="37">
        <f>MIN(1,MAX(0,(Q419-Inputs!$D$36)/(Inputs!$D$37-Inputs!$D$36)))</f>
        <v>0</v>
      </c>
      <c r="S419" s="35">
        <f>Inputs!$D$6*E419*Inputs!$D$27*(1-Inputs!$D$38*R419)</f>
        <v>4639.4524615371847</v>
      </c>
      <c r="T419" s="39">
        <f>S419*Inputs!$D$12</f>
        <v>74231.239384594955</v>
      </c>
      <c r="U419" s="39">
        <f>T419*(1-Inputs!$D$18)</f>
        <v>33404.05772306773</v>
      </c>
      <c r="V419" s="35">
        <f>Inputs!$D$6*F419*Inputs!$D$28*Inputs!$D$31</f>
        <v>630.74950998177405</v>
      </c>
      <c r="W419" s="36">
        <f>V419/(B419*Inputs!$D$34)</f>
        <v>1.1263384106817393</v>
      </c>
      <c r="X419" s="38">
        <f>IF(W419&gt;=1,999,W419/(Inputs!$D$34*(1-W419))*60)</f>
        <v>999</v>
      </c>
      <c r="Y419" s="37">
        <f>MIN(1,MAX(0,(X419-Inputs!$D$36)/(Inputs!$D$37-Inputs!$D$36)))</f>
        <v>1</v>
      </c>
      <c r="Z419" s="35">
        <f>Inputs!$D$6*F419*Inputs!$D$28*(1-Inputs!$D$38*Y419)</f>
        <v>2668.5556191536598</v>
      </c>
      <c r="AA419" s="39">
        <f>Z419*Inputs!$D$13</f>
        <v>22682.722762806108</v>
      </c>
      <c r="AB419" s="39">
        <f>AA419*(1-Inputs!$D$19)</f>
        <v>13609.633657683664</v>
      </c>
      <c r="AC419" s="39">
        <f t="shared" si="24"/>
        <v>356241.11414740107</v>
      </c>
      <c r="AD419" s="39">
        <f t="shared" si="25"/>
        <v>137778.19458075141</v>
      </c>
      <c r="AE419" s="36">
        <f t="shared" si="26"/>
        <v>1.1263384106817393</v>
      </c>
      <c r="AF419" s="35">
        <f>IF(AND(AE419&lt;=Inputs!$D$35,C419&gt;=Inputs!$D$48*(A419+B419+C419),B419*Inputs!$D$22&lt;=Inputs!$D$50*Inputs!$D$8,B419*Inputs!$D$22&gt;=Inputs!$D$49*Inputs!$D$8,A419*Inputs!$D$20&lt;=Inputs!$D$47*Inputs!$D$8,C419&gt;=1),1,0)</f>
        <v>0</v>
      </c>
      <c r="AG419" s="39">
        <f t="shared" si="27"/>
        <v>-1</v>
      </c>
    </row>
    <row r="420" spans="1:33" x14ac:dyDescent="0.25">
      <c r="A420" s="35">
        <v>42</v>
      </c>
      <c r="B420" s="35">
        <v>17</v>
      </c>
      <c r="C420" s="35">
        <f>Inputs!$D$8-A420-Inputs!$D$22*B420</f>
        <v>44</v>
      </c>
      <c r="D420" s="35">
        <f>A420*Inputs!$D$20+C420*Inputs!$D$21+B420*Inputs!$D$22</f>
        <v>120</v>
      </c>
      <c r="E420" s="36">
        <f>MIN(Inputs!$E$15,Inputs!$D$15*(C420/Inputs!$D$43)^Inputs!$D$44)</f>
        <v>0.38506776240403751</v>
      </c>
      <c r="F420" s="36">
        <f>MIN(Inputs!$E$16,Inputs!$D$16*(B420/Inputs!$D$42)^Inputs!$D$44)</f>
        <v>0.3809655184437048</v>
      </c>
      <c r="G420" s="37">
        <f>Inputs!$D$26*(1+Inputs!$D$41*(B420-Inputs!$D$42))</f>
        <v>1.4550000000000001</v>
      </c>
      <c r="H420" s="35">
        <f>Inputs!$D$6*Inputs!$D$14*G420*Inputs!$D$29</f>
        <v>1828.1056500000002</v>
      </c>
      <c r="I420" s="36">
        <f>H420/(A420*Inputs!$D$32)</f>
        <v>0.79138772727272733</v>
      </c>
      <c r="J420" s="38">
        <f>IF(I420&gt;=1,999,I420/(Inputs!$D$32*(1-I420))*60)</f>
        <v>4.1384529051383838</v>
      </c>
      <c r="K420" s="37">
        <f>MIN(1,MAX(0,(J420-Inputs!$D$36)/(Inputs!$D$37-Inputs!$D$36)))</f>
        <v>0</v>
      </c>
      <c r="L420" s="35">
        <f>Inputs!$D$6*Inputs!$D$14*G420*(1-Inputs!$D$38*K420)</f>
        <v>12187.371000000001</v>
      </c>
      <c r="M420" s="39">
        <f>L420*Inputs!$D$11</f>
        <v>262028.47650000002</v>
      </c>
      <c r="N420" s="39">
        <f>M420*(1-Inputs!$D$17)</f>
        <v>91709.966775000008</v>
      </c>
      <c r="O420" s="35">
        <f>Inputs!$D$6*E420*Inputs!$D$27*Inputs!$D$30</f>
        <v>549.35923364029463</v>
      </c>
      <c r="P420" s="36">
        <f>O420/(C420*Inputs!$D$33)</f>
        <v>0.31213592820471286</v>
      </c>
      <c r="Q420" s="38">
        <f>IF(P420&gt;=1,999,P420/(Inputs!$D$33*(1-P420))*60)</f>
        <v>0.6806633919476025</v>
      </c>
      <c r="R420" s="37">
        <f>MIN(1,MAX(0,(Q420-Inputs!$D$36)/(Inputs!$D$37-Inputs!$D$36)))</f>
        <v>0</v>
      </c>
      <c r="S420" s="35">
        <f>Inputs!$D$6*E420*Inputs!$D$27*(1-Inputs!$D$38*R420)</f>
        <v>4577.9936136691222</v>
      </c>
      <c r="T420" s="39">
        <f>S420*Inputs!$D$12</f>
        <v>73247.897818705955</v>
      </c>
      <c r="U420" s="39">
        <f>T420*(1-Inputs!$D$18)</f>
        <v>32961.554018417679</v>
      </c>
      <c r="V420" s="35">
        <f>Inputs!$D$6*F420*Inputs!$D$28*Inputs!$D$31</f>
        <v>642.32615044097156</v>
      </c>
      <c r="W420" s="36">
        <f>V420/(B420*Inputs!$D$34)</f>
        <v>1.0795397486402882</v>
      </c>
      <c r="X420" s="38">
        <f>IF(W420&gt;=1,999,W420/(Inputs!$D$34*(1-W420))*60)</f>
        <v>999</v>
      </c>
      <c r="Y420" s="37">
        <f>MIN(1,MAX(0,(X420-Inputs!$D$36)/(Inputs!$D$37-Inputs!$D$36)))</f>
        <v>1</v>
      </c>
      <c r="Z420" s="35">
        <f>Inputs!$D$6*F420*Inputs!$D$28*(1-Inputs!$D$38*Y420)</f>
        <v>2717.5337134041106</v>
      </c>
      <c r="AA420" s="39">
        <f>Z420*Inputs!$D$13</f>
        <v>23099.03656393494</v>
      </c>
      <c r="AB420" s="39">
        <f>AA420*(1-Inputs!$D$19)</f>
        <v>13859.421938360963</v>
      </c>
      <c r="AC420" s="39">
        <f t="shared" si="24"/>
        <v>358375.41088264092</v>
      </c>
      <c r="AD420" s="39">
        <f t="shared" si="25"/>
        <v>138530.94273177866</v>
      </c>
      <c r="AE420" s="36">
        <f t="shared" si="26"/>
        <v>1.0795397486402882</v>
      </c>
      <c r="AF420" s="35">
        <f>IF(AND(AE420&lt;=Inputs!$D$35,C420&gt;=Inputs!$D$48*(A420+B420+C420),B420*Inputs!$D$22&lt;=Inputs!$D$50*Inputs!$D$8,B420*Inputs!$D$22&gt;=Inputs!$D$49*Inputs!$D$8,A420*Inputs!$D$20&lt;=Inputs!$D$47*Inputs!$D$8,C420&gt;=1),1,0)</f>
        <v>0</v>
      </c>
      <c r="AG420" s="39">
        <f t="shared" si="27"/>
        <v>-1</v>
      </c>
    </row>
    <row r="421" spans="1:33" x14ac:dyDescent="0.25">
      <c r="A421" s="35">
        <v>42</v>
      </c>
      <c r="B421" s="35">
        <v>18</v>
      </c>
      <c r="C421" s="35">
        <f>Inputs!$D$8-A421-Inputs!$D$22*B421</f>
        <v>42</v>
      </c>
      <c r="D421" s="35">
        <f>A421*Inputs!$D$20+C421*Inputs!$D$21+B421*Inputs!$D$22</f>
        <v>120</v>
      </c>
      <c r="E421" s="36">
        <f>MIN(Inputs!$E$15,Inputs!$D$15*(C421/Inputs!$D$43)^Inputs!$D$44)</f>
        <v>0.37973108090036384</v>
      </c>
      <c r="F421" s="36">
        <f>MIN(Inputs!$E$16,Inputs!$D$16*(B421/Inputs!$D$42)^Inputs!$D$44)</f>
        <v>0.38755446447890535</v>
      </c>
      <c r="G421" s="37">
        <f>Inputs!$D$26*(1+Inputs!$D$41*(B421-Inputs!$D$42))</f>
        <v>1.47</v>
      </c>
      <c r="H421" s="35">
        <f>Inputs!$D$6*Inputs!$D$14*G421*Inputs!$D$29</f>
        <v>1846.9521</v>
      </c>
      <c r="I421" s="36">
        <f>H421/(A421*Inputs!$D$32)</f>
        <v>0.79954636363636367</v>
      </c>
      <c r="J421" s="38">
        <f>IF(I421&gt;=1,999,I421/(Inputs!$D$32*(1-I421))*60)</f>
        <v>4.3512924610253849</v>
      </c>
      <c r="K421" s="37">
        <f>MIN(1,MAX(0,(J421-Inputs!$D$36)/(Inputs!$D$37-Inputs!$D$36)))</f>
        <v>0</v>
      </c>
      <c r="L421" s="35">
        <f>Inputs!$D$6*Inputs!$D$14*G421*(1-Inputs!$D$38*K421)</f>
        <v>12313.014000000001</v>
      </c>
      <c r="M421" s="39">
        <f>L421*Inputs!$D$11</f>
        <v>264729.80100000004</v>
      </c>
      <c r="N421" s="39">
        <f>M421*(1-Inputs!$D$17)</f>
        <v>92655.43035000001</v>
      </c>
      <c r="O421" s="35">
        <f>Inputs!$D$6*E421*Inputs!$D$27*Inputs!$D$30</f>
        <v>541.74562495298949</v>
      </c>
      <c r="P421" s="36">
        <f>O421/(C421*Inputs!$D$33)</f>
        <v>0.32246763390058897</v>
      </c>
      <c r="Q421" s="38">
        <f>IF(P421&gt;=1,999,P421/(Inputs!$D$33*(1-P421))*60)</f>
        <v>0.71391637514762252</v>
      </c>
      <c r="R421" s="37">
        <f>MIN(1,MAX(0,(Q421-Inputs!$D$36)/(Inputs!$D$37-Inputs!$D$36)))</f>
        <v>0</v>
      </c>
      <c r="S421" s="35">
        <f>Inputs!$D$6*E421*Inputs!$D$27*(1-Inputs!$D$38*R421)</f>
        <v>4514.5468746082461</v>
      </c>
      <c r="T421" s="39">
        <f>S421*Inputs!$D$12</f>
        <v>72232.749993731937</v>
      </c>
      <c r="U421" s="39">
        <f>T421*(1-Inputs!$D$18)</f>
        <v>32504.737497179369</v>
      </c>
      <c r="V421" s="35">
        <f>Inputs!$D$6*F421*Inputs!$D$28*Inputs!$D$31</f>
        <v>653.43542972572936</v>
      </c>
      <c r="W421" s="36">
        <f>V421/(B421*Inputs!$D$34)</f>
        <v>1.037199094802745</v>
      </c>
      <c r="X421" s="38">
        <f>IF(W421&gt;=1,999,W421/(Inputs!$D$34*(1-W421))*60)</f>
        <v>999</v>
      </c>
      <c r="Y421" s="37">
        <f>MIN(1,MAX(0,(X421-Inputs!$D$36)/(Inputs!$D$37-Inputs!$D$36)))</f>
        <v>1</v>
      </c>
      <c r="Z421" s="35">
        <f>Inputs!$D$6*F421*Inputs!$D$28*(1-Inputs!$D$38*Y421)</f>
        <v>2764.534510378086</v>
      </c>
      <c r="AA421" s="39">
        <f>Z421*Inputs!$D$13</f>
        <v>23498.543338213731</v>
      </c>
      <c r="AB421" s="39">
        <f>AA421*(1-Inputs!$D$19)</f>
        <v>14099.126002928238</v>
      </c>
      <c r="AC421" s="39">
        <f t="shared" si="24"/>
        <v>360461.0943319457</v>
      </c>
      <c r="AD421" s="39">
        <f t="shared" si="25"/>
        <v>139259.29385010761</v>
      </c>
      <c r="AE421" s="36">
        <f t="shared" si="26"/>
        <v>1.037199094802745</v>
      </c>
      <c r="AF421" s="35">
        <f>IF(AND(AE421&lt;=Inputs!$D$35,C421&gt;=Inputs!$D$48*(A421+B421+C421),B421*Inputs!$D$22&lt;=Inputs!$D$50*Inputs!$D$8,B421*Inputs!$D$22&gt;=Inputs!$D$49*Inputs!$D$8,A421*Inputs!$D$20&lt;=Inputs!$D$47*Inputs!$D$8,C421&gt;=1),1,0)</f>
        <v>0</v>
      </c>
      <c r="AG421" s="39">
        <f t="shared" si="27"/>
        <v>-1</v>
      </c>
    </row>
    <row r="422" spans="1:33" x14ac:dyDescent="0.25">
      <c r="A422" s="35">
        <v>42</v>
      </c>
      <c r="B422" s="35">
        <v>19</v>
      </c>
      <c r="C422" s="35">
        <f>Inputs!$D$8-A422-Inputs!$D$22*B422</f>
        <v>40</v>
      </c>
      <c r="D422" s="35">
        <f>A422*Inputs!$D$20+C422*Inputs!$D$21+B422*Inputs!$D$22</f>
        <v>120</v>
      </c>
      <c r="E422" s="36">
        <f>MIN(Inputs!$E$15,Inputs!$D$15*(C422/Inputs!$D$43)^Inputs!$D$44)</f>
        <v>0.37421341802855551</v>
      </c>
      <c r="F422" s="36">
        <f>MIN(Inputs!$E$16,Inputs!$D$16*(B422/Inputs!$D$42)^Inputs!$D$44)</f>
        <v>0.39389192072703005</v>
      </c>
      <c r="G422" s="37">
        <f>Inputs!$D$26*(1+Inputs!$D$41*(B422-Inputs!$D$42))</f>
        <v>1.4849999999999999</v>
      </c>
      <c r="H422" s="35">
        <f>Inputs!$D$6*Inputs!$D$14*G422*Inputs!$D$29</f>
        <v>1865.7985499999998</v>
      </c>
      <c r="I422" s="36">
        <f>H422/(A422*Inputs!$D$32)</f>
        <v>0.8077049999999999</v>
      </c>
      <c r="J422" s="38">
        <f>IF(I422&gt;=1,999,I422/(Inputs!$D$32*(1-I422))*60)</f>
        <v>4.5821926065302101</v>
      </c>
      <c r="K422" s="37">
        <f>MIN(1,MAX(0,(J422-Inputs!$D$36)/(Inputs!$D$37-Inputs!$D$36)))</f>
        <v>0</v>
      </c>
      <c r="L422" s="35">
        <f>Inputs!$D$6*Inputs!$D$14*G422*(1-Inputs!$D$38*K422)</f>
        <v>12438.656999999999</v>
      </c>
      <c r="M422" s="39">
        <f>L422*Inputs!$D$11</f>
        <v>267431.12549999997</v>
      </c>
      <c r="N422" s="39">
        <f>M422*(1-Inputs!$D$17)</f>
        <v>93600.893924999982</v>
      </c>
      <c r="O422" s="35">
        <f>Inputs!$D$6*E422*Inputs!$D$27*Inputs!$D$30</f>
        <v>533.8738181109469</v>
      </c>
      <c r="P422" s="36">
        <f>O422/(C422*Inputs!$D$33)</f>
        <v>0.33367113631934181</v>
      </c>
      <c r="Q422" s="38">
        <f>IF(P422&gt;=1,999,P422/(Inputs!$D$33*(1-P422))*60)</f>
        <v>0.75114066305685867</v>
      </c>
      <c r="R422" s="37">
        <f>MIN(1,MAX(0,(Q422-Inputs!$D$36)/(Inputs!$D$37-Inputs!$D$36)))</f>
        <v>0</v>
      </c>
      <c r="S422" s="35">
        <f>Inputs!$D$6*E422*Inputs!$D$27*(1-Inputs!$D$38*R422)</f>
        <v>4448.9484842578913</v>
      </c>
      <c r="T422" s="39">
        <f>S422*Inputs!$D$12</f>
        <v>71183.175748126261</v>
      </c>
      <c r="U422" s="39">
        <f>T422*(1-Inputs!$D$18)</f>
        <v>32032.429086656815</v>
      </c>
      <c r="V422" s="35">
        <f>Inputs!$D$6*F422*Inputs!$D$28*Inputs!$D$31</f>
        <v>664.12068515796761</v>
      </c>
      <c r="W422" s="36">
        <f>V422/(B422*Inputs!$D$34)</f>
        <v>0.99867772204205651</v>
      </c>
      <c r="X422" s="38">
        <f>IF(W422&gt;=1,999,W422/(Inputs!$D$34*(1-W422))*60)</f>
        <v>1294.749671797274</v>
      </c>
      <c r="Y422" s="37">
        <f>MIN(1,MAX(0,(X422-Inputs!$D$36)/(Inputs!$D$37-Inputs!$D$36)))</f>
        <v>1</v>
      </c>
      <c r="Z422" s="35">
        <f>Inputs!$D$6*F422*Inputs!$D$28*(1-Inputs!$D$38*Y422)</f>
        <v>2809.7413602837091</v>
      </c>
      <c r="AA422" s="39">
        <f>Z422*Inputs!$D$13</f>
        <v>23882.801562411529</v>
      </c>
      <c r="AB422" s="39">
        <f>AA422*(1-Inputs!$D$19)</f>
        <v>14329.680937446918</v>
      </c>
      <c r="AC422" s="39">
        <f t="shared" si="24"/>
        <v>362497.10281053773</v>
      </c>
      <c r="AD422" s="39">
        <f t="shared" si="25"/>
        <v>139963.00394910373</v>
      </c>
      <c r="AE422" s="36">
        <f t="shared" si="26"/>
        <v>0.99867772204205651</v>
      </c>
      <c r="AF422" s="35">
        <f>IF(AND(AE422&lt;=Inputs!$D$35,C422&gt;=Inputs!$D$48*(A422+B422+C422),B422*Inputs!$D$22&lt;=Inputs!$D$50*Inputs!$D$8,B422*Inputs!$D$22&gt;=Inputs!$D$49*Inputs!$D$8,A422*Inputs!$D$20&lt;=Inputs!$D$47*Inputs!$D$8,C422&gt;=1),1,0)</f>
        <v>0</v>
      </c>
      <c r="AG422" s="39">
        <f t="shared" si="27"/>
        <v>-1</v>
      </c>
    </row>
    <row r="423" spans="1:33" x14ac:dyDescent="0.25">
      <c r="A423" s="35">
        <v>42</v>
      </c>
      <c r="B423" s="35">
        <v>20</v>
      </c>
      <c r="C423" s="35">
        <f>Inputs!$D$8-A423-Inputs!$D$22*B423</f>
        <v>38</v>
      </c>
      <c r="D423" s="35">
        <f>A423*Inputs!$D$20+C423*Inputs!$D$21+B423*Inputs!$D$22</f>
        <v>120</v>
      </c>
      <c r="E423" s="36">
        <f>MIN(Inputs!$E$15,Inputs!$D$15*(C423/Inputs!$D$43)^Inputs!$D$44)</f>
        <v>0.36849910497273691</v>
      </c>
      <c r="F423" s="36">
        <f>MIN(Inputs!$E$16,Inputs!$D$16*(B423/Inputs!$D$42)^Inputs!$D$44)</f>
        <v>0.4</v>
      </c>
      <c r="G423" s="37">
        <f>Inputs!$D$26*(1+Inputs!$D$41*(B423-Inputs!$D$42))</f>
        <v>1.5</v>
      </c>
      <c r="H423" s="35">
        <f>Inputs!$D$6*Inputs!$D$14*G423*Inputs!$D$29</f>
        <v>1884.645</v>
      </c>
      <c r="I423" s="36">
        <f>H423/(A423*Inputs!$D$32)</f>
        <v>0.81586363636363635</v>
      </c>
      <c r="J423" s="38">
        <f>IF(I423&gt;=1,999,I423/(Inputs!$D$32*(1-I423))*60)</f>
        <v>4.8335540046228758</v>
      </c>
      <c r="K423" s="37">
        <f>MIN(1,MAX(0,(J423-Inputs!$D$36)/(Inputs!$D$37-Inputs!$D$36)))</f>
        <v>0</v>
      </c>
      <c r="L423" s="35">
        <f>Inputs!$D$6*Inputs!$D$14*G423*(1-Inputs!$D$38*K423)</f>
        <v>12564.300000000001</v>
      </c>
      <c r="M423" s="39">
        <f>L423*Inputs!$D$11</f>
        <v>270132.45</v>
      </c>
      <c r="N423" s="39">
        <f>M423*(1-Inputs!$D$17)</f>
        <v>94546.357499999998</v>
      </c>
      <c r="O423" s="35">
        <f>Inputs!$D$6*E423*Inputs!$D$27*Inputs!$D$30</f>
        <v>525.72145910398501</v>
      </c>
      <c r="P423" s="36">
        <f>O423/(C423*Inputs!$D$33)</f>
        <v>0.34586938098946385</v>
      </c>
      <c r="Q423" s="38">
        <f>IF(P423&gt;=1,999,P423/(Inputs!$D$33*(1-P423))*60)</f>
        <v>0.79311999225622454</v>
      </c>
      <c r="R423" s="37">
        <f>MIN(1,MAX(0,(Q423-Inputs!$D$36)/(Inputs!$D$37-Inputs!$D$36)))</f>
        <v>0</v>
      </c>
      <c r="S423" s="35">
        <f>Inputs!$D$6*E423*Inputs!$D$27*(1-Inputs!$D$38*R423)</f>
        <v>4381.012159199875</v>
      </c>
      <c r="T423" s="39">
        <f>S423*Inputs!$D$12</f>
        <v>70096.194547198</v>
      </c>
      <c r="U423" s="39">
        <f>T423*(1-Inputs!$D$18)</f>
        <v>31543.287546239098</v>
      </c>
      <c r="V423" s="35">
        <f>Inputs!$D$6*F423*Inputs!$D$28*Inputs!$D$31</f>
        <v>674.41919999999993</v>
      </c>
      <c r="W423" s="36">
        <f>V423/(B423*Inputs!$D$34)</f>
        <v>0.96345599999999987</v>
      </c>
      <c r="X423" s="38">
        <f>IF(W423&gt;=1,999,W423/(Inputs!$D$34*(1-W423))*60)</f>
        <v>45.195896922691851</v>
      </c>
      <c r="Y423" s="37">
        <f>MIN(1,MAX(0,(X423-Inputs!$D$36)/(Inputs!$D$37-Inputs!$D$36)))</f>
        <v>1</v>
      </c>
      <c r="Z423" s="35">
        <f>Inputs!$D$6*F423*Inputs!$D$28*(1-Inputs!$D$38*Y423)</f>
        <v>2853.3119999999999</v>
      </c>
      <c r="AA423" s="39">
        <f>Z423*Inputs!$D$13</f>
        <v>24253.151999999998</v>
      </c>
      <c r="AB423" s="39">
        <f>AA423*(1-Inputs!$D$19)</f>
        <v>14551.891199999998</v>
      </c>
      <c r="AC423" s="39">
        <f t="shared" si="24"/>
        <v>364481.79654719803</v>
      </c>
      <c r="AD423" s="39">
        <f t="shared" si="25"/>
        <v>140641.53624623909</v>
      </c>
      <c r="AE423" s="36">
        <f t="shared" si="26"/>
        <v>0.96345599999999987</v>
      </c>
      <c r="AF423" s="35">
        <f>IF(AND(AE423&lt;=Inputs!$D$35,C423&gt;=Inputs!$D$48*(A423+B423+C423),B423*Inputs!$D$22&lt;=Inputs!$D$50*Inputs!$D$8,B423*Inputs!$D$22&gt;=Inputs!$D$49*Inputs!$D$8,A423*Inputs!$D$20&lt;=Inputs!$D$47*Inputs!$D$8,C423&gt;=1),1,0)</f>
        <v>0</v>
      </c>
      <c r="AG423" s="39">
        <f t="shared" si="27"/>
        <v>-1</v>
      </c>
    </row>
    <row r="424" spans="1:33" x14ac:dyDescent="0.25">
      <c r="A424" s="35">
        <v>42</v>
      </c>
      <c r="B424" s="35">
        <v>21</v>
      </c>
      <c r="C424" s="35">
        <f>Inputs!$D$8-A424-Inputs!$D$22*B424</f>
        <v>36</v>
      </c>
      <c r="D424" s="35">
        <f>A424*Inputs!$D$20+C424*Inputs!$D$21+B424*Inputs!$D$22</f>
        <v>120</v>
      </c>
      <c r="E424" s="36">
        <f>MIN(Inputs!$E$15,Inputs!$D$15*(C424/Inputs!$D$43)^Inputs!$D$44)</f>
        <v>0.36257020206219398</v>
      </c>
      <c r="F424" s="36">
        <f>MIN(Inputs!$E$16,Inputs!$D$16*(B424/Inputs!$D$42)^Inputs!$D$44)</f>
        <v>0.40589787816896217</v>
      </c>
      <c r="G424" s="37">
        <f>Inputs!$D$26*(1+Inputs!$D$41*(B424-Inputs!$D$42))</f>
        <v>1.5150000000000001</v>
      </c>
      <c r="H424" s="35">
        <f>Inputs!$D$6*Inputs!$D$14*G424*Inputs!$D$29</f>
        <v>1903.4914500000004</v>
      </c>
      <c r="I424" s="36">
        <f>H424/(A424*Inputs!$D$32)</f>
        <v>0.82402227272727291</v>
      </c>
      <c r="J424" s="38">
        <f>IF(I424&gt;=1,999,I424/(Inputs!$D$32*(1-I424))*60)</f>
        <v>5.1082225140719189</v>
      </c>
      <c r="K424" s="37">
        <f>MIN(1,MAX(0,(J424-Inputs!$D$36)/(Inputs!$D$37-Inputs!$D$36)))</f>
        <v>7.2148342714612569E-3</v>
      </c>
      <c r="L424" s="35">
        <f>Inputs!$D$6*Inputs!$D$14*G424*(1-Inputs!$D$38*K424)</f>
        <v>12648.742873953322</v>
      </c>
      <c r="M424" s="39">
        <f>L424*Inputs!$D$11</f>
        <v>271947.97178999643</v>
      </c>
      <c r="N424" s="39">
        <f>M424*(1-Inputs!$D$17)</f>
        <v>95181.790126498745</v>
      </c>
      <c r="O424" s="35">
        <f>Inputs!$D$6*E424*Inputs!$D$27*Inputs!$D$30</f>
        <v>517.26295419324151</v>
      </c>
      <c r="P424" s="36">
        <f>O424/(C424*Inputs!$D$33)</f>
        <v>0.35921038485641771</v>
      </c>
      <c r="Q424" s="38">
        <f>IF(P424&gt;=1,999,P424/(Inputs!$D$33*(1-P424))*60)</f>
        <v>0.84086190623406665</v>
      </c>
      <c r="R424" s="37">
        <f>MIN(1,MAX(0,(Q424-Inputs!$D$36)/(Inputs!$D$37-Inputs!$D$36)))</f>
        <v>0</v>
      </c>
      <c r="S424" s="35">
        <f>Inputs!$D$6*E424*Inputs!$D$27*(1-Inputs!$D$38*R424)</f>
        <v>4310.5246182770125</v>
      </c>
      <c r="T424" s="39">
        <f>S424*Inputs!$D$12</f>
        <v>68968.393892432199</v>
      </c>
      <c r="U424" s="39">
        <f>T424*(1-Inputs!$D$18)</f>
        <v>31035.777251594485</v>
      </c>
      <c r="V424" s="35">
        <f>Inputs!$D$6*F424*Inputs!$D$28*Inputs!$D$31</f>
        <v>684.36330569102222</v>
      </c>
      <c r="W424" s="36">
        <f>V424/(B424*Inputs!$D$34)</f>
        <v>0.93110653835513224</v>
      </c>
      <c r="X424" s="38">
        <f>IF(W424&gt;=1,999,W424/(Inputs!$D$34*(1-W424))*60)</f>
        <v>23.16885520150278</v>
      </c>
      <c r="Y424" s="37">
        <f>MIN(1,MAX(0,(X424-Inputs!$D$36)/(Inputs!$D$37-Inputs!$D$36)))</f>
        <v>1</v>
      </c>
      <c r="Z424" s="35">
        <f>Inputs!$D$6*F424*Inputs!$D$28*(1-Inputs!$D$38*Y424)</f>
        <v>2895.3832163850943</v>
      </c>
      <c r="AA424" s="39">
        <f>Z424*Inputs!$D$13</f>
        <v>24610.757339273303</v>
      </c>
      <c r="AB424" s="39">
        <f>AA424*(1-Inputs!$D$19)</f>
        <v>14766.454403563981</v>
      </c>
      <c r="AC424" s="39">
        <f t="shared" si="24"/>
        <v>365527.12302170193</v>
      </c>
      <c r="AD424" s="39">
        <f t="shared" si="25"/>
        <v>140984.02178165721</v>
      </c>
      <c r="AE424" s="36">
        <f t="shared" si="26"/>
        <v>0.93110653835513224</v>
      </c>
      <c r="AF424" s="35">
        <f>IF(AND(AE424&lt;=Inputs!$D$35,C424&gt;=Inputs!$D$48*(A424+B424+C424),B424*Inputs!$D$22&lt;=Inputs!$D$50*Inputs!$D$8,B424*Inputs!$D$22&gt;=Inputs!$D$49*Inputs!$D$8,A424*Inputs!$D$20&lt;=Inputs!$D$47*Inputs!$D$8,C424&gt;=1),1,0)</f>
        <v>0</v>
      </c>
      <c r="AG424" s="39">
        <f t="shared" si="27"/>
        <v>-1</v>
      </c>
    </row>
    <row r="425" spans="1:33" x14ac:dyDescent="0.25">
      <c r="A425" s="35">
        <v>42</v>
      </c>
      <c r="B425" s="35">
        <v>22</v>
      </c>
      <c r="C425" s="35">
        <f>Inputs!$D$8-A425-Inputs!$D$22*B425</f>
        <v>34</v>
      </c>
      <c r="D425" s="35">
        <f>A425*Inputs!$D$20+C425*Inputs!$D$21+B425*Inputs!$D$22</f>
        <v>120</v>
      </c>
      <c r="E425" s="36">
        <f>MIN(Inputs!$E$15,Inputs!$D$15*(C425/Inputs!$D$43)^Inputs!$D$44)</f>
        <v>0.35640602201959876</v>
      </c>
      <c r="F425" s="36">
        <f>MIN(Inputs!$E$16,Inputs!$D$16*(B425/Inputs!$D$42)^Inputs!$D$44)</f>
        <v>0.41160230376843804</v>
      </c>
      <c r="G425" s="37">
        <f>Inputs!$D$26*(1+Inputs!$D$41*(B425-Inputs!$D$42))</f>
        <v>1.53</v>
      </c>
      <c r="H425" s="35">
        <f>Inputs!$D$6*Inputs!$D$14*G425*Inputs!$D$29</f>
        <v>1922.3379</v>
      </c>
      <c r="I425" s="36">
        <f>H425/(A425*Inputs!$D$32)</f>
        <v>0.83218090909090914</v>
      </c>
      <c r="J425" s="38">
        <f>IF(I425&gt;=1,999,I425/(Inputs!$D$32*(1-I425))*60)</f>
        <v>5.4095974068888646</v>
      </c>
      <c r="K425" s="37">
        <f>MIN(1,MAX(0,(J425-Inputs!$D$36)/(Inputs!$D$37-Inputs!$D$36)))</f>
        <v>2.7306493792590973E-2</v>
      </c>
      <c r="L425" s="35">
        <f>Inputs!$D$6*Inputs!$D$14*G425*(1-Inputs!$D$38*K425)</f>
        <v>12658.109076199164</v>
      </c>
      <c r="M425" s="39">
        <f>L425*Inputs!$D$11</f>
        <v>272149.34513828199</v>
      </c>
      <c r="N425" s="39">
        <f>M425*(1-Inputs!$D$17)</f>
        <v>95252.270798398691</v>
      </c>
      <c r="O425" s="35">
        <f>Inputs!$D$6*E425*Inputs!$D$27*Inputs!$D$30</f>
        <v>508.46878975039266</v>
      </c>
      <c r="P425" s="36">
        <f>O425/(C425*Inputs!$D$33)</f>
        <v>0.37387411011058286</v>
      </c>
      <c r="Q425" s="38">
        <f>IF(P425&gt;=1,999,P425/(Inputs!$D$33*(1-P425))*60)</f>
        <v>0.89568435712652228</v>
      </c>
      <c r="R425" s="37">
        <f>MIN(1,MAX(0,(Q425-Inputs!$D$36)/(Inputs!$D$37-Inputs!$D$36)))</f>
        <v>0</v>
      </c>
      <c r="S425" s="35">
        <f>Inputs!$D$6*E425*Inputs!$D$27*(1-Inputs!$D$38*R425)</f>
        <v>4237.2399145866057</v>
      </c>
      <c r="T425" s="39">
        <f>S425*Inputs!$D$12</f>
        <v>67795.838633385691</v>
      </c>
      <c r="U425" s="39">
        <f>T425*(1-Inputs!$D$18)</f>
        <v>30508.127385023559</v>
      </c>
      <c r="V425" s="35">
        <f>Inputs!$D$6*F425*Inputs!$D$28*Inputs!$D$31</f>
        <v>693.98124106416742</v>
      </c>
      <c r="W425" s="36">
        <f>V425/(B425*Inputs!$D$34)</f>
        <v>0.90127433904437326</v>
      </c>
      <c r="X425" s="38">
        <f>IF(W425&gt;=1,999,W425/(Inputs!$D$34*(1-W425))*60)</f>
        <v>15.649849381818807</v>
      </c>
      <c r="Y425" s="37">
        <f>MIN(1,MAX(0,(X425-Inputs!$D$36)/(Inputs!$D$37-Inputs!$D$36)))</f>
        <v>0.70998995878792048</v>
      </c>
      <c r="Z425" s="35">
        <f>Inputs!$D$6*F425*Inputs!$D$28*(1-Inputs!$D$38*Y425)</f>
        <v>3632.749002537963</v>
      </c>
      <c r="AA425" s="39">
        <f>Z425*Inputs!$D$13</f>
        <v>30878.366521572687</v>
      </c>
      <c r="AB425" s="39">
        <f>AA425*(1-Inputs!$D$19)</f>
        <v>18527.019912943611</v>
      </c>
      <c r="AC425" s="39">
        <f t="shared" si="24"/>
        <v>370823.55029324035</v>
      </c>
      <c r="AD425" s="39">
        <f t="shared" si="25"/>
        <v>144287.41809636587</v>
      </c>
      <c r="AE425" s="36">
        <f t="shared" si="26"/>
        <v>0.90127433904437326</v>
      </c>
      <c r="AF425" s="35">
        <f>IF(AND(AE425&lt;=Inputs!$D$35,C425&gt;=Inputs!$D$48*(A425+B425+C425),B425*Inputs!$D$22&lt;=Inputs!$D$50*Inputs!$D$8,B425*Inputs!$D$22&gt;=Inputs!$D$49*Inputs!$D$8,A425*Inputs!$D$20&lt;=Inputs!$D$47*Inputs!$D$8,C425&gt;=1),1,0)</f>
        <v>0</v>
      </c>
      <c r="AG425" s="39">
        <f t="shared" si="27"/>
        <v>-1</v>
      </c>
    </row>
    <row r="426" spans="1:33" x14ac:dyDescent="0.25">
      <c r="A426" s="35">
        <v>42</v>
      </c>
      <c r="B426" s="35">
        <v>23</v>
      </c>
      <c r="C426" s="35">
        <f>Inputs!$D$8-A426-Inputs!$D$22*B426</f>
        <v>32</v>
      </c>
      <c r="D426" s="35">
        <f>A426*Inputs!$D$20+C426*Inputs!$D$21+B426*Inputs!$D$22</f>
        <v>120</v>
      </c>
      <c r="E426" s="36">
        <f>MIN(Inputs!$E$15,Inputs!$D$15*(C426/Inputs!$D$43)^Inputs!$D$44)</f>
        <v>0.34998251836560429</v>
      </c>
      <c r="F426" s="36">
        <f>MIN(Inputs!$E$16,Inputs!$D$16*(B426/Inputs!$D$42)^Inputs!$D$44)</f>
        <v>0.41712800028621322</v>
      </c>
      <c r="G426" s="37">
        <f>Inputs!$D$26*(1+Inputs!$D$41*(B426-Inputs!$D$42))</f>
        <v>1.5449999999999999</v>
      </c>
      <c r="H426" s="35">
        <f>Inputs!$D$6*Inputs!$D$14*G426*Inputs!$D$29</f>
        <v>1941.18435</v>
      </c>
      <c r="I426" s="36">
        <f>H426/(A426*Inputs!$D$32)</f>
        <v>0.84033954545454548</v>
      </c>
      <c r="J426" s="38">
        <f>IF(I426&gt;=1,999,I426/(Inputs!$D$32*(1-I426))*60)</f>
        <v>5.7417727651889363</v>
      </c>
      <c r="K426" s="37">
        <f>MIN(1,MAX(0,(J426-Inputs!$D$36)/(Inputs!$D$37-Inputs!$D$36)))</f>
        <v>4.9451517679262418E-2</v>
      </c>
      <c r="L426" s="35">
        <f>Inputs!$D$6*Inputs!$D$14*G426*(1-Inputs!$D$38*K426)</f>
        <v>12653.245463391802</v>
      </c>
      <c r="M426" s="39">
        <f>L426*Inputs!$D$11</f>
        <v>272044.77746292372</v>
      </c>
      <c r="N426" s="39">
        <f>M426*(1-Inputs!$D$17)</f>
        <v>95215.672112023298</v>
      </c>
      <c r="O426" s="35">
        <f>Inputs!$D$6*E426*Inputs!$D$27*Inputs!$D$30</f>
        <v>499.30465972139962</v>
      </c>
      <c r="P426" s="36">
        <f>O426/(C426*Inputs!$D$33)</f>
        <v>0.39008176540734346</v>
      </c>
      <c r="Q426" s="38">
        <f>IF(P426&gt;=1,999,P426/(Inputs!$D$33*(1-P426))*60)</f>
        <v>0.95934604824825165</v>
      </c>
      <c r="R426" s="37">
        <f>MIN(1,MAX(0,(Q426-Inputs!$D$36)/(Inputs!$D$37-Inputs!$D$36)))</f>
        <v>0</v>
      </c>
      <c r="S426" s="35">
        <f>Inputs!$D$6*E426*Inputs!$D$27*(1-Inputs!$D$38*R426)</f>
        <v>4160.8721643449971</v>
      </c>
      <c r="T426" s="39">
        <f>S426*Inputs!$D$12</f>
        <v>66573.954629519954</v>
      </c>
      <c r="U426" s="39">
        <f>T426*(1-Inputs!$D$18)</f>
        <v>29958.279583283977</v>
      </c>
      <c r="V426" s="35">
        <f>Inputs!$D$6*F426*Inputs!$D$28*Inputs!$D$31</f>
        <v>703.29783062656929</v>
      </c>
      <c r="W426" s="36">
        <f>V426/(B426*Inputs!$D$34)</f>
        <v>0.87366190139946498</v>
      </c>
      <c r="X426" s="38">
        <f>IF(W426&gt;=1,999,W426/(Inputs!$D$34*(1-W426))*60)</f>
        <v>11.854746377182334</v>
      </c>
      <c r="Y426" s="37">
        <f>MIN(1,MAX(0,(X426-Inputs!$D$36)/(Inputs!$D$37-Inputs!$D$36)))</f>
        <v>0.45698309181215557</v>
      </c>
      <c r="Z426" s="35">
        <f>Inputs!$D$6*F426*Inputs!$D$28*(1-Inputs!$D$38*Y426)</f>
        <v>4297.4614071503011</v>
      </c>
      <c r="AA426" s="39">
        <f>Z426*Inputs!$D$13</f>
        <v>36528.421960777559</v>
      </c>
      <c r="AB426" s="39">
        <f>AA426*(1-Inputs!$D$19)</f>
        <v>21917.053176466536</v>
      </c>
      <c r="AC426" s="39">
        <f t="shared" si="24"/>
        <v>375147.15405322122</v>
      </c>
      <c r="AD426" s="39">
        <f t="shared" si="25"/>
        <v>147091.00487177382</v>
      </c>
      <c r="AE426" s="36">
        <f t="shared" si="26"/>
        <v>0.87366190139946498</v>
      </c>
      <c r="AF426" s="35">
        <f>IF(AND(AE426&lt;=Inputs!$D$35,C426&gt;=Inputs!$D$48*(A426+B426+C426),B426*Inputs!$D$22&lt;=Inputs!$D$50*Inputs!$D$8,B426*Inputs!$D$22&gt;=Inputs!$D$49*Inputs!$D$8,A426*Inputs!$D$20&lt;=Inputs!$D$47*Inputs!$D$8,C426&gt;=1),1,0)</f>
        <v>0</v>
      </c>
      <c r="AG426" s="39">
        <f t="shared" si="27"/>
        <v>-1</v>
      </c>
    </row>
    <row r="427" spans="1:33" x14ac:dyDescent="0.25">
      <c r="A427" s="35">
        <v>42</v>
      </c>
      <c r="B427" s="35">
        <v>24</v>
      </c>
      <c r="C427" s="35">
        <f>Inputs!$D$8-A427-Inputs!$D$22*B427</f>
        <v>30</v>
      </c>
      <c r="D427" s="35">
        <f>A427*Inputs!$D$20+C427*Inputs!$D$21+B427*Inputs!$D$22</f>
        <v>120</v>
      </c>
      <c r="E427" s="36">
        <f>MIN(Inputs!$E$15,Inputs!$D$15*(C427/Inputs!$D$43)^Inputs!$D$44)</f>
        <v>0.3432714897427589</v>
      </c>
      <c r="F427" s="36">
        <f>MIN(Inputs!$E$16,Inputs!$D$16*(B427/Inputs!$D$42)^Inputs!$D$44)</f>
        <v>0.42248798737570326</v>
      </c>
      <c r="G427" s="37">
        <f>Inputs!$D$26*(1+Inputs!$D$41*(B427-Inputs!$D$42))</f>
        <v>1.56</v>
      </c>
      <c r="H427" s="35">
        <f>Inputs!$D$6*Inputs!$D$14*G427*Inputs!$D$29</f>
        <v>1960.0308</v>
      </c>
      <c r="I427" s="36">
        <f>H427/(A427*Inputs!$D$32)</f>
        <v>0.84849818181818182</v>
      </c>
      <c r="J427" s="38">
        <f>IF(I427&gt;=1,999,I427/(Inputs!$D$32*(1-I427))*60)</f>
        <v>6.1097245648526162</v>
      </c>
      <c r="K427" s="37">
        <f>MIN(1,MAX(0,(J427-Inputs!$D$36)/(Inputs!$D$37-Inputs!$D$36)))</f>
        <v>7.3981637656841084E-2</v>
      </c>
      <c r="L427" s="35">
        <f>Inputs!$D$6*Inputs!$D$14*G427*(1-Inputs!$D$38*K427)</f>
        <v>12631.853134674455</v>
      </c>
      <c r="M427" s="39">
        <f>L427*Inputs!$D$11</f>
        <v>271584.8423955008</v>
      </c>
      <c r="N427" s="39">
        <f>M427*(1-Inputs!$D$17)</f>
        <v>95054.694838425276</v>
      </c>
      <c r="O427" s="35">
        <f>Inputs!$D$6*E427*Inputs!$D$27*Inputs!$D$30</f>
        <v>489.73033047044544</v>
      </c>
      <c r="P427" s="36">
        <f>O427/(C427*Inputs!$D$33)</f>
        <v>0.40810860872537119</v>
      </c>
      <c r="Q427" s="38">
        <f>IF(P427&gt;=1,999,P427/(Inputs!$D$33*(1-P427))*60)</f>
        <v>1.0342487187890559</v>
      </c>
      <c r="R427" s="37">
        <f>MIN(1,MAX(0,(Q427-Inputs!$D$36)/(Inputs!$D$37-Inputs!$D$36)))</f>
        <v>0</v>
      </c>
      <c r="S427" s="35">
        <f>Inputs!$D$6*E427*Inputs!$D$27*(1-Inputs!$D$38*R427)</f>
        <v>4081.0860872537123</v>
      </c>
      <c r="T427" s="39">
        <f>S427*Inputs!$D$12</f>
        <v>65297.377396059397</v>
      </c>
      <c r="U427" s="39">
        <f>T427*(1-Inputs!$D$18)</f>
        <v>29383.819828226726</v>
      </c>
      <c r="V427" s="35">
        <f>Inputs!$D$6*F427*Inputs!$D$28*Inputs!$D$31</f>
        <v>712.33502613882979</v>
      </c>
      <c r="W427" s="36">
        <f>V427/(B427*Inputs!$D$34)</f>
        <v>0.84801788826051161</v>
      </c>
      <c r="X427" s="38">
        <f>IF(W427&gt;=1,999,W427/(Inputs!$D$34*(1-W427))*60)</f>
        <v>9.5652372155190832</v>
      </c>
      <c r="Y427" s="37">
        <f>MIN(1,MAX(0,(X427-Inputs!$D$36)/(Inputs!$D$37-Inputs!$D$36)))</f>
        <v>0.30434914770127219</v>
      </c>
      <c r="Z427" s="35">
        <f>Inputs!$D$6*F427*Inputs!$D$28*(1-Inputs!$D$38*Y427)</f>
        <v>4729.0436538571339</v>
      </c>
      <c r="AA427" s="39">
        <f>Z427*Inputs!$D$13</f>
        <v>40196.87105778564</v>
      </c>
      <c r="AB427" s="39">
        <f>AA427*(1-Inputs!$D$19)</f>
        <v>24118.122634671385</v>
      </c>
      <c r="AC427" s="39">
        <f t="shared" si="24"/>
        <v>377079.09084934584</v>
      </c>
      <c r="AD427" s="39">
        <f t="shared" si="25"/>
        <v>148556.63730132338</v>
      </c>
      <c r="AE427" s="36">
        <f t="shared" si="26"/>
        <v>0.84849818181818182</v>
      </c>
      <c r="AF427" s="35">
        <f>IF(AND(AE427&lt;=Inputs!$D$35,C427&gt;=Inputs!$D$48*(A427+B427+C427),B427*Inputs!$D$22&lt;=Inputs!$D$50*Inputs!$D$8,B427*Inputs!$D$22&gt;=Inputs!$D$49*Inputs!$D$8,A427*Inputs!$D$20&lt;=Inputs!$D$47*Inputs!$D$8,C427&gt;=1),1,0)</f>
        <v>1</v>
      </c>
      <c r="AG427" s="39">
        <f t="shared" si="27"/>
        <v>148556.63730132338</v>
      </c>
    </row>
    <row r="428" spans="1:33" x14ac:dyDescent="0.25">
      <c r="A428" s="35">
        <v>42</v>
      </c>
      <c r="B428" s="35">
        <v>25</v>
      </c>
      <c r="C428" s="35">
        <f>Inputs!$D$8-A428-Inputs!$D$22*B428</f>
        <v>28</v>
      </c>
      <c r="D428" s="35">
        <f>A428*Inputs!$D$20+C428*Inputs!$D$21+B428*Inputs!$D$22</f>
        <v>120</v>
      </c>
      <c r="E428" s="36">
        <f>MIN(Inputs!$E$15,Inputs!$D$15*(C428/Inputs!$D$43)^Inputs!$D$44)</f>
        <v>0.33623952833125714</v>
      </c>
      <c r="F428" s="36">
        <f>MIN(Inputs!$E$16,Inputs!$D$16*(B428/Inputs!$D$42)^Inputs!$D$44)</f>
        <v>0.42769383999647526</v>
      </c>
      <c r="G428" s="37">
        <f>Inputs!$D$26*(1+Inputs!$D$41*(B428-Inputs!$D$42))</f>
        <v>1.5750000000000002</v>
      </c>
      <c r="H428" s="35">
        <f>Inputs!$D$6*Inputs!$D$14*G428*Inputs!$D$29</f>
        <v>1978.8772500000005</v>
      </c>
      <c r="I428" s="36">
        <f>H428/(A428*Inputs!$D$32)</f>
        <v>0.85665681818181838</v>
      </c>
      <c r="J428" s="38">
        <f>IF(I428&gt;=1,999,I428/(Inputs!$D$32*(1-I428))*60)</f>
        <v>6.5195616484164418</v>
      </c>
      <c r="K428" s="37">
        <f>MIN(1,MAX(0,(J428-Inputs!$D$36)/(Inputs!$D$37-Inputs!$D$36)))</f>
        <v>0.10130410989442945</v>
      </c>
      <c r="L428" s="35">
        <f>Inputs!$D$6*Inputs!$D$14*G428*(1-Inputs!$D$38*K428)</f>
        <v>12591.109804795244</v>
      </c>
      <c r="M428" s="39">
        <f>L428*Inputs!$D$11</f>
        <v>270708.86080309772</v>
      </c>
      <c r="N428" s="39">
        <f>M428*(1-Inputs!$D$17)</f>
        <v>94748.101281084193</v>
      </c>
      <c r="O428" s="35">
        <f>Inputs!$D$6*E428*Inputs!$D$27*Inputs!$D$30</f>
        <v>479.69814053095797</v>
      </c>
      <c r="P428" s="36">
        <f>O428/(C428*Inputs!$D$33)</f>
        <v>0.42830191118835531</v>
      </c>
      <c r="Q428" s="38">
        <f>IF(P428&gt;=1,999,P428/(Inputs!$D$33*(1-P428))*60)</f>
        <v>1.1237624882006552</v>
      </c>
      <c r="R428" s="37">
        <f>MIN(1,MAX(0,(Q428-Inputs!$D$36)/(Inputs!$D$37-Inputs!$D$36)))</f>
        <v>0</v>
      </c>
      <c r="S428" s="35">
        <f>Inputs!$D$6*E428*Inputs!$D$27*(1-Inputs!$D$38*R428)</f>
        <v>3997.4845044246499</v>
      </c>
      <c r="T428" s="39">
        <f>S428*Inputs!$D$12</f>
        <v>63959.752070794399</v>
      </c>
      <c r="U428" s="39">
        <f>T428*(1-Inputs!$D$18)</f>
        <v>28781.888431857478</v>
      </c>
      <c r="V428" s="35">
        <f>Inputs!$D$6*F428*Inputs!$D$28*Inputs!$D$31</f>
        <v>721.1123435383771</v>
      </c>
      <c r="W428" s="36">
        <f>V428/(B428*Inputs!$D$34)</f>
        <v>0.82412839261528814</v>
      </c>
      <c r="X428" s="38">
        <f>IF(W428&gt;=1,999,W428/(Inputs!$D$34*(1-W428))*60)</f>
        <v>8.0330847668163621</v>
      </c>
      <c r="Y428" s="37">
        <f>MIN(1,MAX(0,(X428-Inputs!$D$36)/(Inputs!$D$37-Inputs!$D$36)))</f>
        <v>0.20220565112109082</v>
      </c>
      <c r="Z428" s="35">
        <f>Inputs!$D$6*F428*Inputs!$D$28*(1-Inputs!$D$38*Y428)</f>
        <v>5042.2807508299393</v>
      </c>
      <c r="AA428" s="39">
        <f>Z428*Inputs!$D$13</f>
        <v>42859.386382054487</v>
      </c>
      <c r="AB428" s="39">
        <f>AA428*(1-Inputs!$D$19)</f>
        <v>25715.631829232691</v>
      </c>
      <c r="AC428" s="39">
        <f t="shared" si="24"/>
        <v>377527.9992559466</v>
      </c>
      <c r="AD428" s="39">
        <f t="shared" si="25"/>
        <v>149245.62154217437</v>
      </c>
      <c r="AE428" s="36">
        <f t="shared" si="26"/>
        <v>0.85665681818181838</v>
      </c>
      <c r="AF428" s="35">
        <f>IF(AND(AE428&lt;=Inputs!$D$35,C428&gt;=Inputs!$D$48*(A428+B428+C428),B428*Inputs!$D$22&lt;=Inputs!$D$50*Inputs!$D$8,B428*Inputs!$D$22&gt;=Inputs!$D$49*Inputs!$D$8,A428*Inputs!$D$20&lt;=Inputs!$D$47*Inputs!$D$8,C428&gt;=1),1,0)</f>
        <v>0</v>
      </c>
      <c r="AG428" s="39">
        <f t="shared" si="27"/>
        <v>-1</v>
      </c>
    </row>
    <row r="429" spans="1:33" x14ac:dyDescent="0.25">
      <c r="A429" s="35">
        <v>42</v>
      </c>
      <c r="B429" s="35">
        <v>26</v>
      </c>
      <c r="C429" s="35">
        <f>Inputs!$D$8-A429-Inputs!$D$22*B429</f>
        <v>26</v>
      </c>
      <c r="D429" s="35">
        <f>A429*Inputs!$D$20+C429*Inputs!$D$21+B429*Inputs!$D$22</f>
        <v>120</v>
      </c>
      <c r="E429" s="36">
        <f>MIN(Inputs!$E$15,Inputs!$D$15*(C429/Inputs!$D$43)^Inputs!$D$44)</f>
        <v>0.32884660514387515</v>
      </c>
      <c r="F429" s="36">
        <f>MIN(Inputs!$E$16,Inputs!$D$16*(B429/Inputs!$D$42)^Inputs!$D$44)</f>
        <v>0.43275589945781112</v>
      </c>
      <c r="G429" s="37">
        <f>Inputs!$D$26*(1+Inputs!$D$41*(B429-Inputs!$D$42))</f>
        <v>1.59</v>
      </c>
      <c r="H429" s="35">
        <f>Inputs!$D$6*Inputs!$D$14*G429*Inputs!$D$29</f>
        <v>1997.7237</v>
      </c>
      <c r="I429" s="36">
        <f>H429/(A429*Inputs!$D$32)</f>
        <v>0.8648154545454545</v>
      </c>
      <c r="J429" s="38">
        <f>IF(I429&gt;=1,999,I429/(Inputs!$D$32*(1-I429))*60)</f>
        <v>6.9788675780215934</v>
      </c>
      <c r="K429" s="37">
        <f>MIN(1,MAX(0,(J429-Inputs!$D$36)/(Inputs!$D$37-Inputs!$D$36)))</f>
        <v>0.13192450520143956</v>
      </c>
      <c r="L429" s="35">
        <f>Inputs!$D$6*Inputs!$D$14*G429*(1-Inputs!$D$38*K429)</f>
        <v>12527.511868044934</v>
      </c>
      <c r="M429" s="39">
        <f>L429*Inputs!$D$11</f>
        <v>269341.50516296609</v>
      </c>
      <c r="N429" s="39">
        <f>M429*(1-Inputs!$D$17)</f>
        <v>94269.526807038128</v>
      </c>
      <c r="O429" s="35">
        <f>Inputs!$D$6*E429*Inputs!$D$27*Inputs!$D$30</f>
        <v>469.15098230814039</v>
      </c>
      <c r="P429" s="36">
        <f>O429/(C429*Inputs!$D$33)</f>
        <v>0.45110671375782729</v>
      </c>
      <c r="Q429" s="38">
        <f>IF(P429&gt;=1,999,P429/(Inputs!$D$33*(1-P429))*60)</f>
        <v>1.2327716290160586</v>
      </c>
      <c r="R429" s="37">
        <f>MIN(1,MAX(0,(Q429-Inputs!$D$36)/(Inputs!$D$37-Inputs!$D$36)))</f>
        <v>0</v>
      </c>
      <c r="S429" s="35">
        <f>Inputs!$D$6*E429*Inputs!$D$27*(1-Inputs!$D$38*R429)</f>
        <v>3909.5915192345033</v>
      </c>
      <c r="T429" s="39">
        <f>S429*Inputs!$D$12</f>
        <v>62553.464307752052</v>
      </c>
      <c r="U429" s="39">
        <f>T429*(1-Inputs!$D$18)</f>
        <v>28149.058938488422</v>
      </c>
      <c r="V429" s="35">
        <f>Inputs!$D$6*F429*Inputs!$D$28*Inputs!$D$31</f>
        <v>729.64721876904355</v>
      </c>
      <c r="W429" s="36">
        <f>V429/(B429*Inputs!$D$34)</f>
        <v>0.80181013051543248</v>
      </c>
      <c r="X429" s="38">
        <f>IF(W429&gt;=1,999,W429/(Inputs!$D$34*(1-W429))*60)</f>
        <v>6.9354284146153136</v>
      </c>
      <c r="Y429" s="37">
        <f>MIN(1,MAX(0,(X429-Inputs!$D$36)/(Inputs!$D$37-Inputs!$D$36)))</f>
        <v>0.12902856097435425</v>
      </c>
      <c r="Z429" s="35">
        <f>Inputs!$D$6*F429*Inputs!$D$28*(1-Inputs!$D$38*Y429)</f>
        <v>5286.7832305655711</v>
      </c>
      <c r="AA429" s="39">
        <f>Z429*Inputs!$D$13</f>
        <v>44937.657459807357</v>
      </c>
      <c r="AB429" s="39">
        <f>AA429*(1-Inputs!$D$19)</f>
        <v>26962.594475884413</v>
      </c>
      <c r="AC429" s="39">
        <f t="shared" si="24"/>
        <v>376832.62693052547</v>
      </c>
      <c r="AD429" s="39">
        <f t="shared" si="25"/>
        <v>149381.18022141096</v>
      </c>
      <c r="AE429" s="36">
        <f t="shared" si="26"/>
        <v>0.8648154545454545</v>
      </c>
      <c r="AF429" s="35">
        <f>IF(AND(AE429&lt;=Inputs!$D$35,C429&gt;=Inputs!$D$48*(A429+B429+C429),B429*Inputs!$D$22&lt;=Inputs!$D$50*Inputs!$D$8,B429*Inputs!$D$22&gt;=Inputs!$D$49*Inputs!$D$8,A429*Inputs!$D$20&lt;=Inputs!$D$47*Inputs!$D$8,C429&gt;=1),1,0)</f>
        <v>0</v>
      </c>
      <c r="AG429" s="39">
        <f t="shared" si="27"/>
        <v>-1</v>
      </c>
    </row>
    <row r="430" spans="1:33" x14ac:dyDescent="0.25">
      <c r="A430" s="35">
        <v>42</v>
      </c>
      <c r="B430" s="35">
        <v>27</v>
      </c>
      <c r="C430" s="35">
        <f>Inputs!$D$8-A430-Inputs!$D$22*B430</f>
        <v>24</v>
      </c>
      <c r="D430" s="35">
        <f>A430*Inputs!$D$20+C430*Inputs!$D$21+B430*Inputs!$D$22</f>
        <v>120</v>
      </c>
      <c r="E430" s="36">
        <f>MIN(Inputs!$E$15,Inputs!$D$15*(C430/Inputs!$D$43)^Inputs!$D$44)</f>
        <v>0.32104412796367415</v>
      </c>
      <c r="F430" s="36">
        <f>MIN(Inputs!$E$16,Inputs!$D$16*(B430/Inputs!$D$42)^Inputs!$D$44)</f>
        <v>0.43768344678187454</v>
      </c>
      <c r="G430" s="37">
        <f>Inputs!$D$26*(1+Inputs!$D$41*(B430-Inputs!$D$42))</f>
        <v>1.605</v>
      </c>
      <c r="H430" s="35">
        <f>Inputs!$D$6*Inputs!$D$14*G430*Inputs!$D$29</f>
        <v>2016.57015</v>
      </c>
      <c r="I430" s="36">
        <f>H430/(A430*Inputs!$D$32)</f>
        <v>0.87297409090909095</v>
      </c>
      <c r="J430" s="38">
        <f>IF(I430&gt;=1,999,I430/(Inputs!$D$32*(1-I430))*60)</f>
        <v>7.4971742278125761</v>
      </c>
      <c r="K430" s="37">
        <f>MIN(1,MAX(0,(J430-Inputs!$D$36)/(Inputs!$D$37-Inputs!$D$36)))</f>
        <v>0.16647828185417174</v>
      </c>
      <c r="L430" s="35">
        <f>Inputs!$D$6*Inputs!$D$14*G430*(1-Inputs!$D$38*K430)</f>
        <v>12436.655598568772</v>
      </c>
      <c r="M430" s="39">
        <f>L430*Inputs!$D$11</f>
        <v>267388.09536922857</v>
      </c>
      <c r="N430" s="39">
        <f>M430*(1-Inputs!$D$17)</f>
        <v>93585.833379229996</v>
      </c>
      <c r="O430" s="35">
        <f>Inputs!$D$6*E430*Inputs!$D$27*Inputs!$D$30</f>
        <v>458.01953142414351</v>
      </c>
      <c r="P430" s="36">
        <f>O430/(C430*Inputs!$D$33)</f>
        <v>0.47710367856681618</v>
      </c>
      <c r="Q430" s="38">
        <f>IF(P430&gt;=1,999,P430/(Inputs!$D$33*(1-P430))*60)</f>
        <v>1.3686375071232384</v>
      </c>
      <c r="R430" s="37">
        <f>MIN(1,MAX(0,(Q430-Inputs!$D$36)/(Inputs!$D$37-Inputs!$D$36)))</f>
        <v>0</v>
      </c>
      <c r="S430" s="35">
        <f>Inputs!$D$6*E430*Inputs!$D$27*(1-Inputs!$D$38*R430)</f>
        <v>3816.8294285345296</v>
      </c>
      <c r="T430" s="39">
        <f>S430*Inputs!$D$12</f>
        <v>61069.270856552474</v>
      </c>
      <c r="U430" s="39">
        <f>T430*(1-Inputs!$D$18)</f>
        <v>27481.17188544861</v>
      </c>
      <c r="V430" s="35">
        <f>Inputs!$D$6*F430*Inputs!$D$28*Inputs!$D$31</f>
        <v>737.95530007968603</v>
      </c>
      <c r="W430" s="36">
        <f>V430/(B430*Inputs!$D$34)</f>
        <v>0.78090507944940324</v>
      </c>
      <c r="X430" s="38">
        <f>IF(W430&gt;=1,999,W430/(Inputs!$D$34*(1-W430))*60)</f>
        <v>6.1101116290101798</v>
      </c>
      <c r="Y430" s="37">
        <f>MIN(1,MAX(0,(X430-Inputs!$D$36)/(Inputs!$D$37-Inputs!$D$36)))</f>
        <v>7.4007441934011986E-2</v>
      </c>
      <c r="Z430" s="35">
        <f>Inputs!$D$6*F430*Inputs!$D$28*(1-Inputs!$D$38*Y430)</f>
        <v>5487.5301328495489</v>
      </c>
      <c r="AA430" s="39">
        <f>Z430*Inputs!$D$13</f>
        <v>46644.006129221169</v>
      </c>
      <c r="AB430" s="39">
        <f>AA430*(1-Inputs!$D$19)</f>
        <v>27986.4036775327</v>
      </c>
      <c r="AC430" s="39">
        <f t="shared" si="24"/>
        <v>375101.37235500221</v>
      </c>
      <c r="AD430" s="39">
        <f t="shared" si="25"/>
        <v>149053.4089422113</v>
      </c>
      <c r="AE430" s="36">
        <f t="shared" si="26"/>
        <v>0.87297409090909095</v>
      </c>
      <c r="AF430" s="35">
        <f>IF(AND(AE430&lt;=Inputs!$D$35,C430&gt;=Inputs!$D$48*(A430+B430+C430),B430*Inputs!$D$22&lt;=Inputs!$D$50*Inputs!$D$8,B430*Inputs!$D$22&gt;=Inputs!$D$49*Inputs!$D$8,A430*Inputs!$D$20&lt;=Inputs!$D$47*Inputs!$D$8,C430&gt;=1),1,0)</f>
        <v>0</v>
      </c>
      <c r="AG430" s="39">
        <f t="shared" si="27"/>
        <v>-1</v>
      </c>
    </row>
    <row r="431" spans="1:33" x14ac:dyDescent="0.25">
      <c r="A431" s="35">
        <v>42</v>
      </c>
      <c r="B431" s="35">
        <v>28</v>
      </c>
      <c r="C431" s="35">
        <f>Inputs!$D$8-A431-Inputs!$D$22*B431</f>
        <v>22</v>
      </c>
      <c r="D431" s="35">
        <f>A431*Inputs!$D$20+C431*Inputs!$D$21+B431*Inputs!$D$22</f>
        <v>120</v>
      </c>
      <c r="E431" s="36">
        <f>MIN(Inputs!$E$15,Inputs!$D$15*(C431/Inputs!$D$43)^Inputs!$D$44)</f>
        <v>0.31277221277221301</v>
      </c>
      <c r="F431" s="36">
        <f>MIN(Inputs!$E$16,Inputs!$D$16*(B431/Inputs!$D$42)^Inputs!$D$44)</f>
        <v>0.44248484624799689</v>
      </c>
      <c r="G431" s="37">
        <f>Inputs!$D$26*(1+Inputs!$D$41*(B431-Inputs!$D$42))</f>
        <v>1.62</v>
      </c>
      <c r="H431" s="35">
        <f>Inputs!$D$6*Inputs!$D$14*G431*Inputs!$D$29</f>
        <v>2035.4166</v>
      </c>
      <c r="I431" s="36">
        <f>H431/(A431*Inputs!$D$32)</f>
        <v>0.88113272727272729</v>
      </c>
      <c r="J431" s="38">
        <f>IF(I431&gt;=1,999,I431/(Inputs!$D$32*(1-I431))*60)</f>
        <v>8.0866304107505158</v>
      </c>
      <c r="K431" s="37">
        <f>MIN(1,MAX(0,(J431-Inputs!$D$36)/(Inputs!$D$37-Inputs!$D$36)))</f>
        <v>0.20577536071670105</v>
      </c>
      <c r="L431" s="35">
        <f>Inputs!$D$6*Inputs!$D$14*G431*(1-Inputs!$D$38*K431)</f>
        <v>12312.928244778717</v>
      </c>
      <c r="M431" s="39">
        <f>L431*Inputs!$D$11</f>
        <v>264727.95726274245</v>
      </c>
      <c r="N431" s="39">
        <f>M431*(1-Inputs!$D$17)</f>
        <v>92654.785041959854</v>
      </c>
      <c r="O431" s="35">
        <f>Inputs!$D$6*E431*Inputs!$D$27*Inputs!$D$30</f>
        <v>446.21835398475434</v>
      </c>
      <c r="P431" s="36">
        <f>O431/(C431*Inputs!$D$33)</f>
        <v>0.50706631134631175</v>
      </c>
      <c r="Q431" s="38">
        <f>IF(P431&gt;=1,999,P431/(Inputs!$D$33*(1-P431))*60)</f>
        <v>1.543005650713049</v>
      </c>
      <c r="R431" s="37">
        <f>MIN(1,MAX(0,(Q431-Inputs!$D$36)/(Inputs!$D$37-Inputs!$D$36)))</f>
        <v>0</v>
      </c>
      <c r="S431" s="35">
        <f>Inputs!$D$6*E431*Inputs!$D$27*(1-Inputs!$D$38*R431)</f>
        <v>3718.4862832062863</v>
      </c>
      <c r="T431" s="39">
        <f>S431*Inputs!$D$12</f>
        <v>59495.780531300581</v>
      </c>
      <c r="U431" s="39">
        <f>T431*(1-Inputs!$D$18)</f>
        <v>26773.101239085259</v>
      </c>
      <c r="V431" s="35">
        <f>Inputs!$D$6*F431*Inputs!$D$28*Inputs!$D$31</f>
        <v>746.05069004674272</v>
      </c>
      <c r="W431" s="36">
        <f>V431/(B431*Inputs!$D$34)</f>
        <v>0.76127621433341097</v>
      </c>
      <c r="X431" s="38">
        <f>IF(W431&gt;=1,999,W431/(Inputs!$D$34*(1-W431))*60)</f>
        <v>5.4667570523531852</v>
      </c>
      <c r="Y431" s="37">
        <f>MIN(1,MAX(0,(X431-Inputs!$D$36)/(Inputs!$D$37-Inputs!$D$36)))</f>
        <v>3.111713682354568E-2</v>
      </c>
      <c r="Z431" s="35">
        <f>Inputs!$D$6*F431*Inputs!$D$28*(1-Inputs!$D$38*Y431)</f>
        <v>5658.4919801305723</v>
      </c>
      <c r="AA431" s="39">
        <f>Z431*Inputs!$D$13</f>
        <v>48097.181831109861</v>
      </c>
      <c r="AB431" s="39">
        <f>AA431*(1-Inputs!$D$19)</f>
        <v>28858.309098665915</v>
      </c>
      <c r="AC431" s="39">
        <f t="shared" si="24"/>
        <v>372320.91962515289</v>
      </c>
      <c r="AD431" s="39">
        <f t="shared" si="25"/>
        <v>148286.19537971102</v>
      </c>
      <c r="AE431" s="36">
        <f t="shared" si="26"/>
        <v>0.88113272727272729</v>
      </c>
      <c r="AF431" s="35">
        <f>IF(AND(AE431&lt;=Inputs!$D$35,C431&gt;=Inputs!$D$48*(A431+B431+C431),B431*Inputs!$D$22&lt;=Inputs!$D$50*Inputs!$D$8,B431*Inputs!$D$22&gt;=Inputs!$D$49*Inputs!$D$8,A431*Inputs!$D$20&lt;=Inputs!$D$47*Inputs!$D$8,C431&gt;=1),1,0)</f>
        <v>0</v>
      </c>
      <c r="AG431" s="39">
        <f t="shared" si="27"/>
        <v>-1</v>
      </c>
    </row>
    <row r="432" spans="1:33" x14ac:dyDescent="0.25">
      <c r="A432" s="35">
        <v>42</v>
      </c>
      <c r="B432" s="35">
        <v>29</v>
      </c>
      <c r="C432" s="35">
        <f>Inputs!$D$8-A432-Inputs!$D$22*B432</f>
        <v>20</v>
      </c>
      <c r="D432" s="35">
        <f>A432*Inputs!$D$20+C432*Inputs!$D$21+B432*Inputs!$D$22</f>
        <v>120</v>
      </c>
      <c r="E432" s="36">
        <f>MIN(Inputs!$E$15,Inputs!$D$15*(C432/Inputs!$D$43)^Inputs!$D$44)</f>
        <v>0.30395574554235194</v>
      </c>
      <c r="F432" s="36">
        <f>MIN(Inputs!$E$16,Inputs!$D$16*(B432/Inputs!$D$42)^Inputs!$D$44)</f>
        <v>0.44716766511947192</v>
      </c>
      <c r="G432" s="37">
        <f>Inputs!$D$26*(1+Inputs!$D$41*(B432-Inputs!$D$42))</f>
        <v>1.6350000000000002</v>
      </c>
      <c r="H432" s="35">
        <f>Inputs!$D$6*Inputs!$D$14*G432*Inputs!$D$29</f>
        <v>2054.2630500000005</v>
      </c>
      <c r="I432" s="36">
        <f>H432/(A432*Inputs!$D$32)</f>
        <v>0.88929136363636385</v>
      </c>
      <c r="J432" s="38">
        <f>IF(I432&gt;=1,999,I432/(Inputs!$D$32*(1-I432))*60)</f>
        <v>8.7629661508188068</v>
      </c>
      <c r="K432" s="37">
        <f>MIN(1,MAX(0,(J432-Inputs!$D$36)/(Inputs!$D$37-Inputs!$D$36)))</f>
        <v>0.25086441005458709</v>
      </c>
      <c r="L432" s="35">
        <f>Inputs!$D$6*Inputs!$D$14*G432*(1-Inputs!$D$38*K432)</f>
        <v>12149.062535594443</v>
      </c>
      <c r="M432" s="39">
        <f>L432*Inputs!$D$11</f>
        <v>261204.84451528054</v>
      </c>
      <c r="N432" s="39">
        <f>M432*(1-Inputs!$D$17)</f>
        <v>91421.695580348183</v>
      </c>
      <c r="O432" s="35">
        <f>Inputs!$D$6*E432*Inputs!$D$27*Inputs!$D$30</f>
        <v>433.64028811246965</v>
      </c>
      <c r="P432" s="36">
        <f>O432/(C432*Inputs!$D$33)</f>
        <v>0.54205036014058705</v>
      </c>
      <c r="Q432" s="38">
        <f>IF(P432&gt;=1,999,P432/(Inputs!$D$33*(1-P432))*60)</f>
        <v>1.7754693299038049</v>
      </c>
      <c r="R432" s="37">
        <f>MIN(1,MAX(0,(Q432-Inputs!$D$36)/(Inputs!$D$37-Inputs!$D$36)))</f>
        <v>0</v>
      </c>
      <c r="S432" s="35">
        <f>Inputs!$D$6*E432*Inputs!$D$27*(1-Inputs!$D$38*R432)</f>
        <v>3613.6690676039138</v>
      </c>
      <c r="T432" s="39">
        <f>S432*Inputs!$D$12</f>
        <v>57818.705081662622</v>
      </c>
      <c r="U432" s="39">
        <f>T432*(1-Inputs!$D$18)</f>
        <v>26018.417286748176</v>
      </c>
      <c r="V432" s="35">
        <f>Inputs!$D$6*F432*Inputs!$D$28*Inputs!$D$31</f>
        <v>753.9461474393554</v>
      </c>
      <c r="W432" s="36">
        <f>V432/(B432*Inputs!$D$34)</f>
        <v>0.74280408614714821</v>
      </c>
      <c r="X432" s="38">
        <f>IF(W432&gt;=1,999,W432/(Inputs!$D$34*(1-W432))*60)</f>
        <v>4.9510056918075414</v>
      </c>
      <c r="Y432" s="37">
        <f>MIN(1,MAX(0,(X432-Inputs!$D$36)/(Inputs!$D$37-Inputs!$D$36)))</f>
        <v>0</v>
      </c>
      <c r="Z432" s="35">
        <f>Inputs!$D$6*F432*Inputs!$D$28*(1-Inputs!$D$38*Y432)</f>
        <v>5799.5857495335031</v>
      </c>
      <c r="AA432" s="39">
        <f>Z432*Inputs!$D$13</f>
        <v>49296.478871034778</v>
      </c>
      <c r="AB432" s="39">
        <f>AA432*(1-Inputs!$D$19)</f>
        <v>29577.887322620867</v>
      </c>
      <c r="AC432" s="39">
        <f t="shared" si="24"/>
        <v>368320.02846797789</v>
      </c>
      <c r="AD432" s="39">
        <f t="shared" si="25"/>
        <v>147018.00018971722</v>
      </c>
      <c r="AE432" s="36">
        <f t="shared" si="26"/>
        <v>0.88929136363636385</v>
      </c>
      <c r="AF432" s="35">
        <f>IF(AND(AE432&lt;=Inputs!$D$35,C432&gt;=Inputs!$D$48*(A432+B432+C432),B432*Inputs!$D$22&lt;=Inputs!$D$50*Inputs!$D$8,B432*Inputs!$D$22&gt;=Inputs!$D$49*Inputs!$D$8,A432*Inputs!$D$20&lt;=Inputs!$D$47*Inputs!$D$8,C432&gt;=1),1,0)</f>
        <v>0</v>
      </c>
      <c r="AG432" s="39">
        <f t="shared" si="27"/>
        <v>-1</v>
      </c>
    </row>
    <row r="433" spans="1:33" x14ac:dyDescent="0.25">
      <c r="A433" s="35">
        <v>42</v>
      </c>
      <c r="B433" s="35">
        <v>30</v>
      </c>
      <c r="C433" s="35">
        <f>Inputs!$D$8-A433-Inputs!$D$22*B433</f>
        <v>18</v>
      </c>
      <c r="D433" s="35">
        <f>A433*Inputs!$D$20+C433*Inputs!$D$21+B433*Inputs!$D$22</f>
        <v>120</v>
      </c>
      <c r="E433" s="36">
        <f>MIN(Inputs!$E$15,Inputs!$D$15*(C433/Inputs!$D$43)^Inputs!$D$44)</f>
        <v>0.29449851547238159</v>
      </c>
      <c r="F433" s="36">
        <f>MIN(Inputs!$E$16,Inputs!$D$16*(B433/Inputs!$D$42)^Inputs!$D$44)</f>
        <v>0.45173877418274222</v>
      </c>
      <c r="G433" s="37">
        <f>Inputs!$D$26*(1+Inputs!$D$41*(B433-Inputs!$D$42))</f>
        <v>1.6500000000000001</v>
      </c>
      <c r="H433" s="35">
        <f>Inputs!$D$6*Inputs!$D$14*G433*Inputs!$D$29</f>
        <v>2073.1095000000005</v>
      </c>
      <c r="I433" s="36">
        <f>H433/(A433*Inputs!$D$32)</f>
        <v>0.89745000000000019</v>
      </c>
      <c r="J433" s="38">
        <f>IF(I433&gt;=1,999,I433/(Inputs!$D$32*(1-I433))*60)</f>
        <v>9.5469172465759691</v>
      </c>
      <c r="K433" s="37">
        <f>MIN(1,MAX(0,(J433-Inputs!$D$36)/(Inputs!$D$37-Inputs!$D$36)))</f>
        <v>0.30312781643839792</v>
      </c>
      <c r="L433" s="35">
        <f>Inputs!$D$6*Inputs!$D$14*G433*(1-Inputs!$D$38*K433)</f>
        <v>11935.478532081906</v>
      </c>
      <c r="M433" s="39">
        <f>L433*Inputs!$D$11</f>
        <v>256612.78843976097</v>
      </c>
      <c r="N433" s="39">
        <f>M433*(1-Inputs!$D$17)</f>
        <v>89814.475953916335</v>
      </c>
      <c r="O433" s="35">
        <f>Inputs!$D$6*E433*Inputs!$D$27*Inputs!$D$30</f>
        <v>420.14807408976606</v>
      </c>
      <c r="P433" s="36">
        <f>O433/(C433*Inputs!$D$33)</f>
        <v>0.58353899179134172</v>
      </c>
      <c r="Q433" s="38">
        <f>IF(P433&gt;=1,999,P433/(Inputs!$D$33*(1-P433))*60)</f>
        <v>2.1017777665477375</v>
      </c>
      <c r="R433" s="37">
        <f>MIN(1,MAX(0,(Q433-Inputs!$D$36)/(Inputs!$D$37-Inputs!$D$36)))</f>
        <v>0</v>
      </c>
      <c r="S433" s="35">
        <f>Inputs!$D$6*E433*Inputs!$D$27*(1-Inputs!$D$38*R433)</f>
        <v>3501.2339507480506</v>
      </c>
      <c r="T433" s="39">
        <f>S433*Inputs!$D$12</f>
        <v>56019.743211968809</v>
      </c>
      <c r="U433" s="39">
        <f>T433*(1-Inputs!$D$18)</f>
        <v>25208.88444538596</v>
      </c>
      <c r="V433" s="35">
        <f>Inputs!$D$6*F433*Inputs!$D$28*Inputs!$D$31</f>
        <v>761.65325673326424</v>
      </c>
      <c r="W433" s="36">
        <f>V433/(B433*Inputs!$D$34)</f>
        <v>0.72538405403168027</v>
      </c>
      <c r="X433" s="38">
        <f>IF(W433&gt;=1,999,W433/(Inputs!$D$34*(1-W433))*60)</f>
        <v>4.5281985239874629</v>
      </c>
      <c r="Y433" s="37">
        <f>MIN(1,MAX(0,(X433-Inputs!$D$36)/(Inputs!$D$37-Inputs!$D$36)))</f>
        <v>0</v>
      </c>
      <c r="Z433" s="35">
        <f>Inputs!$D$6*F433*Inputs!$D$28*(1-Inputs!$D$38*Y433)</f>
        <v>5858.8712056404938</v>
      </c>
      <c r="AA433" s="39">
        <f>Z433*Inputs!$D$13</f>
        <v>49800.405247944196</v>
      </c>
      <c r="AB433" s="39">
        <f>AA433*(1-Inputs!$D$19)</f>
        <v>29880.243148766516</v>
      </c>
      <c r="AC433" s="39">
        <f t="shared" si="24"/>
        <v>362432.93689967395</v>
      </c>
      <c r="AD433" s="39">
        <f t="shared" si="25"/>
        <v>144903.60354806882</v>
      </c>
      <c r="AE433" s="36">
        <f t="shared" si="26"/>
        <v>0.89745000000000019</v>
      </c>
      <c r="AF433" s="35">
        <f>IF(AND(AE433&lt;=Inputs!$D$35,C433&gt;=Inputs!$D$48*(A433+B433+C433),B433*Inputs!$D$22&lt;=Inputs!$D$50*Inputs!$D$8,B433*Inputs!$D$22&gt;=Inputs!$D$49*Inputs!$D$8,A433*Inputs!$D$20&lt;=Inputs!$D$47*Inputs!$D$8,C433&gt;=1),1,0)</f>
        <v>0</v>
      </c>
      <c r="AG433" s="39">
        <f t="shared" si="27"/>
        <v>-1</v>
      </c>
    </row>
    <row r="434" spans="1:33" x14ac:dyDescent="0.25">
      <c r="A434" s="35">
        <v>42</v>
      </c>
      <c r="B434" s="35">
        <v>31</v>
      </c>
      <c r="C434" s="35">
        <f>Inputs!$D$8-A434-Inputs!$D$22*B434</f>
        <v>16</v>
      </c>
      <c r="D434" s="35">
        <f>A434*Inputs!$D$20+C434*Inputs!$D$21+B434*Inputs!$D$22</f>
        <v>120</v>
      </c>
      <c r="E434" s="36">
        <f>MIN(Inputs!$E$15,Inputs!$D$15*(C434/Inputs!$D$43)^Inputs!$D$44)</f>
        <v>0.2842741392252523</v>
      </c>
      <c r="F434" s="36">
        <f>MIN(Inputs!$E$16,Inputs!$D$16*(B434/Inputs!$D$42)^Inputs!$D$44)</f>
        <v>0.45620443270573335</v>
      </c>
      <c r="G434" s="37">
        <f>Inputs!$D$26*(1+Inputs!$D$41*(B434-Inputs!$D$42))</f>
        <v>1.665</v>
      </c>
      <c r="H434" s="35">
        <f>Inputs!$D$6*Inputs!$D$14*G434*Inputs!$D$29</f>
        <v>2091.95595</v>
      </c>
      <c r="I434" s="36">
        <f>H434/(A434*Inputs!$D$32)</f>
        <v>0.90560863636363642</v>
      </c>
      <c r="J434" s="38">
        <f>IF(I434&gt;=1,999,I434/(Inputs!$D$32*(1-I434))*60)</f>
        <v>10.466388620264414</v>
      </c>
      <c r="K434" s="37">
        <f>MIN(1,MAX(0,(J434-Inputs!$D$36)/(Inputs!$D$37-Inputs!$D$36)))</f>
        <v>0.36442590801762764</v>
      </c>
      <c r="L434" s="35">
        <f>Inputs!$D$6*Inputs!$D$14*G434*(1-Inputs!$D$38*K434)</f>
        <v>11659.284160165114</v>
      </c>
      <c r="M434" s="39">
        <f>L434*Inputs!$D$11</f>
        <v>250674.60944354997</v>
      </c>
      <c r="N434" s="39">
        <f>M434*(1-Inputs!$D$17)</f>
        <v>87736.113305242485</v>
      </c>
      <c r="O434" s="35">
        <f>Inputs!$D$6*E434*Inputs!$D$27*Inputs!$D$30</f>
        <v>405.56140637054153</v>
      </c>
      <c r="P434" s="36">
        <f>O434/(C434*Inputs!$D$33)</f>
        <v>0.63368969745397119</v>
      </c>
      <c r="Q434" s="38">
        <f>IF(P434&gt;=1,999,P434/(Inputs!$D$33*(1-P434))*60)</f>
        <v>2.5948889222451426</v>
      </c>
      <c r="R434" s="37">
        <f>MIN(1,MAX(0,(Q434-Inputs!$D$36)/(Inputs!$D$37-Inputs!$D$36)))</f>
        <v>0</v>
      </c>
      <c r="S434" s="35">
        <f>Inputs!$D$6*E434*Inputs!$D$27*(1-Inputs!$D$38*R434)</f>
        <v>3379.6783864211798</v>
      </c>
      <c r="T434" s="39">
        <f>S434*Inputs!$D$12</f>
        <v>54074.854182738876</v>
      </c>
      <c r="U434" s="39">
        <f>T434*(1-Inputs!$D$18)</f>
        <v>24333.684382232492</v>
      </c>
      <c r="V434" s="35">
        <f>Inputs!$D$6*F434*Inputs!$D$28*Inputs!$D$31</f>
        <v>769.18257135463637</v>
      </c>
      <c r="W434" s="36">
        <f>V434/(B434*Inputs!$D$34)</f>
        <v>0.70892402889828232</v>
      </c>
      <c r="X434" s="38">
        <f>IF(W434&gt;=1,999,W434/(Inputs!$D$34*(1-W434))*60)</f>
        <v>4.1751929252501148</v>
      </c>
      <c r="Y434" s="37">
        <f>MIN(1,MAX(0,(X434-Inputs!$D$36)/(Inputs!$D$37-Inputs!$D$36)))</f>
        <v>0</v>
      </c>
      <c r="Z434" s="35">
        <f>Inputs!$D$6*F434*Inputs!$D$28*(1-Inputs!$D$38*Y434)</f>
        <v>5916.7890104202797</v>
      </c>
      <c r="AA434" s="39">
        <f>Z434*Inputs!$D$13</f>
        <v>50292.706588572379</v>
      </c>
      <c r="AB434" s="39">
        <f>AA434*(1-Inputs!$D$19)</f>
        <v>30175.623953143426</v>
      </c>
      <c r="AC434" s="39">
        <f t="shared" si="24"/>
        <v>355042.17021486122</v>
      </c>
      <c r="AD434" s="39">
        <f t="shared" si="25"/>
        <v>142245.42164061841</v>
      </c>
      <c r="AE434" s="36">
        <f t="shared" si="26"/>
        <v>0.90560863636363642</v>
      </c>
      <c r="AF434" s="35">
        <f>IF(AND(AE434&lt;=Inputs!$D$35,C434&gt;=Inputs!$D$48*(A434+B434+C434),B434*Inputs!$D$22&lt;=Inputs!$D$50*Inputs!$D$8,B434*Inputs!$D$22&gt;=Inputs!$D$49*Inputs!$D$8,A434*Inputs!$D$20&lt;=Inputs!$D$47*Inputs!$D$8,C434&gt;=1),1,0)</f>
        <v>0</v>
      </c>
      <c r="AG434" s="39">
        <f t="shared" si="27"/>
        <v>-1</v>
      </c>
    </row>
    <row r="435" spans="1:33" x14ac:dyDescent="0.25">
      <c r="A435" s="35">
        <v>42</v>
      </c>
      <c r="B435" s="35">
        <v>32</v>
      </c>
      <c r="C435" s="35">
        <f>Inputs!$D$8-A435-Inputs!$D$22*B435</f>
        <v>14</v>
      </c>
      <c r="D435" s="35">
        <f>A435*Inputs!$D$20+C435*Inputs!$D$21+B435*Inputs!$D$22</f>
        <v>120</v>
      </c>
      <c r="E435" s="36">
        <f>MIN(Inputs!$E$15,Inputs!$D$15*(C435/Inputs!$D$43)^Inputs!$D$44)</f>
        <v>0.27311136263675401</v>
      </c>
      <c r="F435" s="36">
        <f>MIN(Inputs!$E$16,Inputs!$D$16*(B435/Inputs!$D$42)^Inputs!$D$44)</f>
        <v>0.46057036065052986</v>
      </c>
      <c r="G435" s="37">
        <f>Inputs!$D$26*(1+Inputs!$D$41*(B435-Inputs!$D$42))</f>
        <v>1.6800000000000002</v>
      </c>
      <c r="H435" s="35">
        <f>Inputs!$D$6*Inputs!$D$14*G435*Inputs!$D$29</f>
        <v>2110.8024000000005</v>
      </c>
      <c r="I435" s="36">
        <f>H435/(A435*Inputs!$D$32)</f>
        <v>0.91376727272727298</v>
      </c>
      <c r="J435" s="38">
        <f>IF(I435&gt;=1,999,I435/(Inputs!$D$32*(1-I435))*60)</f>
        <v>11.559845737462373</v>
      </c>
      <c r="K435" s="37">
        <f>MIN(1,MAX(0,(J435-Inputs!$D$36)/(Inputs!$D$37-Inputs!$D$36)))</f>
        <v>0.43732304916415821</v>
      </c>
      <c r="L435" s="35">
        <f>Inputs!$D$6*Inputs!$D$14*G435*(1-Inputs!$D$38*K435)</f>
        <v>11302.708374746933</v>
      </c>
      <c r="M435" s="39">
        <f>L435*Inputs!$D$11</f>
        <v>243008.23005705906</v>
      </c>
      <c r="N435" s="39">
        <f>M435*(1-Inputs!$D$17)</f>
        <v>85052.880519970669</v>
      </c>
      <c r="O435" s="35">
        <f>Inputs!$D$6*E435*Inputs!$D$27*Inputs!$D$30</f>
        <v>389.63596417390096</v>
      </c>
      <c r="P435" s="36">
        <f>O435/(C435*Inputs!$D$33)</f>
        <v>0.69577850745339453</v>
      </c>
      <c r="Q435" s="38">
        <f>IF(P435&gt;=1,999,P435/(Inputs!$D$33*(1-P435))*60)</f>
        <v>3.4306181080227471</v>
      </c>
      <c r="R435" s="37">
        <f>MIN(1,MAX(0,(Q435-Inputs!$D$36)/(Inputs!$D$37-Inputs!$D$36)))</f>
        <v>0</v>
      </c>
      <c r="S435" s="35">
        <f>Inputs!$D$6*E435*Inputs!$D$27*(1-Inputs!$D$38*R435)</f>
        <v>3246.9663681158413</v>
      </c>
      <c r="T435" s="39">
        <f>S435*Inputs!$D$12</f>
        <v>51951.461889853461</v>
      </c>
      <c r="U435" s="39">
        <f>T435*(1-Inputs!$D$18)</f>
        <v>23378.157850434054</v>
      </c>
      <c r="V435" s="35">
        <f>Inputs!$D$6*F435*Inputs!$D$28*Inputs!$D$31</f>
        <v>776.54373543410452</v>
      </c>
      <c r="W435" s="36">
        <f>V435/(B435*Inputs!$D$34)</f>
        <v>0.69334262092330756</v>
      </c>
      <c r="X435" s="38">
        <f>IF(W435&gt;=1,999,W435/(Inputs!$D$34*(1-W435))*60)</f>
        <v>3.8759457011369869</v>
      </c>
      <c r="Y435" s="37">
        <f>MIN(1,MAX(0,(X435-Inputs!$D$36)/(Inputs!$D$37-Inputs!$D$36)))</f>
        <v>0</v>
      </c>
      <c r="Z435" s="35">
        <f>Inputs!$D$6*F435*Inputs!$D$28*(1-Inputs!$D$38*Y435)</f>
        <v>5973.4133494931111</v>
      </c>
      <c r="AA435" s="39">
        <f>Z435*Inputs!$D$13</f>
        <v>50774.013470691447</v>
      </c>
      <c r="AB435" s="39">
        <f>AA435*(1-Inputs!$D$19)</f>
        <v>30464.408082414866</v>
      </c>
      <c r="AC435" s="39">
        <f t="shared" si="24"/>
        <v>345733.70541760395</v>
      </c>
      <c r="AD435" s="39">
        <f t="shared" si="25"/>
        <v>138895.4464528196</v>
      </c>
      <c r="AE435" s="36">
        <f t="shared" si="26"/>
        <v>0.91376727272727298</v>
      </c>
      <c r="AF435" s="35">
        <f>IF(AND(AE435&lt;=Inputs!$D$35,C435&gt;=Inputs!$D$48*(A435+B435+C435),B435*Inputs!$D$22&lt;=Inputs!$D$50*Inputs!$D$8,B435*Inputs!$D$22&gt;=Inputs!$D$49*Inputs!$D$8,A435*Inputs!$D$20&lt;=Inputs!$D$47*Inputs!$D$8,C435&gt;=1),1,0)</f>
        <v>0</v>
      </c>
      <c r="AG435" s="39">
        <f t="shared" si="27"/>
        <v>-1</v>
      </c>
    </row>
    <row r="436" spans="1:33" x14ac:dyDescent="0.25">
      <c r="A436" s="35">
        <v>42</v>
      </c>
      <c r="B436" s="35">
        <v>33</v>
      </c>
      <c r="C436" s="35">
        <f>Inputs!$D$8-A436-Inputs!$D$22*B436</f>
        <v>12</v>
      </c>
      <c r="D436" s="35">
        <f>A436*Inputs!$D$20+C436*Inputs!$D$21+B436*Inputs!$D$22</f>
        <v>120</v>
      </c>
      <c r="E436" s="36">
        <f>MIN(Inputs!$E$15,Inputs!$D$15*(C436/Inputs!$D$43)^Inputs!$D$44)</f>
        <v>0.26076886227459228</v>
      </c>
      <c r="F436" s="36">
        <f>MIN(Inputs!$E$16,Inputs!$D$16*(B436/Inputs!$D$42)^Inputs!$D$44)</f>
        <v>0.46484180038786721</v>
      </c>
      <c r="G436" s="37">
        <f>Inputs!$D$26*(1+Inputs!$D$41*(B436-Inputs!$D$42))</f>
        <v>1.6949999999999998</v>
      </c>
      <c r="H436" s="35">
        <f>Inputs!$D$6*Inputs!$D$14*G436*Inputs!$D$29</f>
        <v>2129.64885</v>
      </c>
      <c r="I436" s="36">
        <f>H436/(A436*Inputs!$D$32)</f>
        <v>0.9219259090909091</v>
      </c>
      <c r="J436" s="38">
        <f>IF(I436&gt;=1,999,I436/(Inputs!$D$32*(1-I436))*60)</f>
        <v>12.881832419194948</v>
      </c>
      <c r="K436" s="37">
        <f>MIN(1,MAX(0,(J436-Inputs!$D$36)/(Inputs!$D$37-Inputs!$D$36)))</f>
        <v>0.52545549461299657</v>
      </c>
      <c r="L436" s="35">
        <f>Inputs!$D$6*Inputs!$D$14*G436*(1-Inputs!$D$38*K436)</f>
        <v>10840.551930513751</v>
      </c>
      <c r="M436" s="39">
        <f>L436*Inputs!$D$11</f>
        <v>233071.86650604566</v>
      </c>
      <c r="N436" s="39">
        <f>M436*(1-Inputs!$D$17)</f>
        <v>81575.153277115969</v>
      </c>
      <c r="O436" s="35">
        <f>Inputs!$D$6*E436*Inputs!$D$27*Inputs!$D$30</f>
        <v>372.02746197722075</v>
      </c>
      <c r="P436" s="36">
        <f>O436/(C436*Inputs!$D$33)</f>
        <v>0.77505721245254322</v>
      </c>
      <c r="Q436" s="38">
        <f>IF(P436&gt;=1,999,P436/(Inputs!$D$33*(1-P436))*60)</f>
        <v>5.1683622816025654</v>
      </c>
      <c r="R436" s="37">
        <f>MIN(1,MAX(0,(Q436-Inputs!$D$36)/(Inputs!$D$37-Inputs!$D$36)))</f>
        <v>1.1224152106837693E-2</v>
      </c>
      <c r="S436" s="35">
        <f>Inputs!$D$6*E436*Inputs!$D$27*(1-Inputs!$D$38*R436)</f>
        <v>3084.5700017308486</v>
      </c>
      <c r="T436" s="39">
        <f>S436*Inputs!$D$12</f>
        <v>49353.120027693578</v>
      </c>
      <c r="U436" s="39">
        <f>T436*(1-Inputs!$D$18)</f>
        <v>22208.904012462106</v>
      </c>
      <c r="V436" s="35">
        <f>Inputs!$D$6*F436*Inputs!$D$28*Inputs!$D$31</f>
        <v>783.74558786036266</v>
      </c>
      <c r="W436" s="36">
        <f>V436/(B436*Inputs!$D$34)</f>
        <v>0.67856760853711051</v>
      </c>
      <c r="X436" s="38">
        <f>IF(W436&gt;=1,999,W436/(Inputs!$D$34*(1-W436))*60)</f>
        <v>3.6189842355277744</v>
      </c>
      <c r="Y436" s="37">
        <f>MIN(1,MAX(0,(X436-Inputs!$D$36)/(Inputs!$D$37-Inputs!$D$36)))</f>
        <v>0</v>
      </c>
      <c r="Z436" s="35">
        <f>Inputs!$D$6*F436*Inputs!$D$28*(1-Inputs!$D$38*Y436)</f>
        <v>6028.812214310482</v>
      </c>
      <c r="AA436" s="39">
        <f>Z436*Inputs!$D$13</f>
        <v>51244.903821639098</v>
      </c>
      <c r="AB436" s="39">
        <f>AA436*(1-Inputs!$D$19)</f>
        <v>30746.942292983458</v>
      </c>
      <c r="AC436" s="39">
        <f t="shared" si="24"/>
        <v>333669.89035537833</v>
      </c>
      <c r="AD436" s="39">
        <f t="shared" si="25"/>
        <v>134530.99958256155</v>
      </c>
      <c r="AE436" s="36">
        <f t="shared" si="26"/>
        <v>0.9219259090909091</v>
      </c>
      <c r="AF436" s="35">
        <f>IF(AND(AE436&lt;=Inputs!$D$35,C436&gt;=Inputs!$D$48*(A436+B436+C436),B436*Inputs!$D$22&lt;=Inputs!$D$50*Inputs!$D$8,B436*Inputs!$D$22&gt;=Inputs!$D$49*Inputs!$D$8,A436*Inputs!$D$20&lt;=Inputs!$D$47*Inputs!$D$8,C436&gt;=1),1,0)</f>
        <v>0</v>
      </c>
      <c r="AG436" s="39">
        <f t="shared" si="27"/>
        <v>-1</v>
      </c>
    </row>
    <row r="437" spans="1:33" x14ac:dyDescent="0.25">
      <c r="A437" s="35">
        <v>43</v>
      </c>
      <c r="B437" s="35">
        <v>10</v>
      </c>
      <c r="C437" s="35">
        <f>Inputs!$D$8-A437-Inputs!$D$22*B437</f>
        <v>57</v>
      </c>
      <c r="D437" s="35">
        <f>A437*Inputs!$D$20+C437*Inputs!$D$21+B437*Inputs!$D$22</f>
        <v>120</v>
      </c>
      <c r="E437" s="36">
        <f>MIN(Inputs!$E$15,Inputs!$D$15*(C437/Inputs!$D$43)^Inputs!$D$44)</f>
        <v>0.4</v>
      </c>
      <c r="F437" s="36">
        <f>MIN(Inputs!$E$16,Inputs!$D$16*(B437/Inputs!$D$42)^Inputs!$D$44)</f>
        <v>0.32490095854249423</v>
      </c>
      <c r="G437" s="37">
        <f>Inputs!$D$26*(1+Inputs!$D$41*(B437-Inputs!$D$42))</f>
        <v>1.35</v>
      </c>
      <c r="H437" s="35">
        <f>Inputs!$D$6*Inputs!$D$14*G437*Inputs!$D$29</f>
        <v>1696.1805000000004</v>
      </c>
      <c r="I437" s="36">
        <f>H437/(A437*Inputs!$D$32)</f>
        <v>0.71720105708245263</v>
      </c>
      <c r="J437" s="38">
        <f>IF(I437&gt;=1,999,I437/(Inputs!$D$32*(1-I437))*60)</f>
        <v>2.7666339382639551</v>
      </c>
      <c r="K437" s="37">
        <f>MIN(1,MAX(0,(J437-Inputs!$D$36)/(Inputs!$D$37-Inputs!$D$36)))</f>
        <v>0</v>
      </c>
      <c r="L437" s="35">
        <f>Inputs!$D$6*Inputs!$D$14*G437*(1-Inputs!$D$38*K437)</f>
        <v>11307.870000000003</v>
      </c>
      <c r="M437" s="39">
        <f>L437*Inputs!$D$11</f>
        <v>243119.20500000005</v>
      </c>
      <c r="N437" s="39">
        <f>M437*(1-Inputs!$D$17)</f>
        <v>85091.721750000012</v>
      </c>
      <c r="O437" s="35">
        <f>Inputs!$D$6*E437*Inputs!$D$27*Inputs!$D$30</f>
        <v>570.66240000000005</v>
      </c>
      <c r="P437" s="36">
        <f>O437/(C437*Inputs!$D$33)</f>
        <v>0.25029052631578952</v>
      </c>
      <c r="Q437" s="38">
        <f>IF(P437&gt;=1,999,P437/(Inputs!$D$33*(1-P437))*60)</f>
        <v>0.50077503706699034</v>
      </c>
      <c r="R437" s="37">
        <f>MIN(1,MAX(0,(Q437-Inputs!$D$36)/(Inputs!$D$37-Inputs!$D$36)))</f>
        <v>0</v>
      </c>
      <c r="S437" s="35">
        <f>Inputs!$D$6*E437*Inputs!$D$27*(1-Inputs!$D$38*R437)</f>
        <v>4755.5200000000004</v>
      </c>
      <c r="T437" s="39">
        <f>S437*Inputs!$D$12</f>
        <v>76088.320000000007</v>
      </c>
      <c r="U437" s="39">
        <f>T437*(1-Inputs!$D$18)</f>
        <v>34239.743999999999</v>
      </c>
      <c r="V437" s="35">
        <f>Inputs!$D$6*F437*Inputs!$D$28*Inputs!$D$31</f>
        <v>547.7986113486553</v>
      </c>
      <c r="W437" s="36">
        <f>V437/(B437*Inputs!$D$34)</f>
        <v>1.5651388895675866</v>
      </c>
      <c r="X437" s="38">
        <f>IF(W437&gt;=1,999,W437/(Inputs!$D$34*(1-W437))*60)</f>
        <v>999</v>
      </c>
      <c r="Y437" s="37">
        <f>MIN(1,MAX(0,(X437-Inputs!$D$36)/(Inputs!$D$37-Inputs!$D$36)))</f>
        <v>1</v>
      </c>
      <c r="Z437" s="35">
        <f>Inputs!$D$6*F437*Inputs!$D$28*(1-Inputs!$D$38*Y437)</f>
        <v>2317.6095095520031</v>
      </c>
      <c r="AA437" s="39">
        <f>Z437*Inputs!$D$13</f>
        <v>19699.680831192025</v>
      </c>
      <c r="AB437" s="39">
        <f>AA437*(1-Inputs!$D$19)</f>
        <v>11819.808498715214</v>
      </c>
      <c r="AC437" s="39">
        <f t="shared" si="24"/>
        <v>338907.20583119203</v>
      </c>
      <c r="AD437" s="39">
        <f t="shared" si="25"/>
        <v>131151.27424871523</v>
      </c>
      <c r="AE437" s="36">
        <f t="shared" si="26"/>
        <v>1.5651388895675866</v>
      </c>
      <c r="AF437" s="35">
        <f>IF(AND(AE437&lt;=Inputs!$D$35,C437&gt;=Inputs!$D$48*(A437+B437+C437),B437*Inputs!$D$22&lt;=Inputs!$D$50*Inputs!$D$8,B437*Inputs!$D$22&gt;=Inputs!$D$49*Inputs!$D$8,A437*Inputs!$D$20&lt;=Inputs!$D$47*Inputs!$D$8,C437&gt;=1),1,0)</f>
        <v>0</v>
      </c>
      <c r="AG437" s="39">
        <f t="shared" si="27"/>
        <v>-1</v>
      </c>
    </row>
    <row r="438" spans="1:33" x14ac:dyDescent="0.25">
      <c r="A438" s="35">
        <v>43</v>
      </c>
      <c r="B438" s="35">
        <v>11</v>
      </c>
      <c r="C438" s="35">
        <f>Inputs!$D$8-A438-Inputs!$D$22*B438</f>
        <v>55</v>
      </c>
      <c r="D438" s="35">
        <f>A438*Inputs!$D$20+C438*Inputs!$D$21+B438*Inputs!$D$22</f>
        <v>120</v>
      </c>
      <c r="E438" s="36">
        <f>MIN(Inputs!$E$15,Inputs!$D$15*(C438/Inputs!$D$43)^Inputs!$D$44)</f>
        <v>0.4</v>
      </c>
      <c r="F438" s="36">
        <f>MIN(Inputs!$E$16,Inputs!$D$16*(B438/Inputs!$D$42)^Inputs!$D$44)</f>
        <v>0.33432495758166098</v>
      </c>
      <c r="G438" s="37">
        <f>Inputs!$D$26*(1+Inputs!$D$41*(B438-Inputs!$D$42))</f>
        <v>1.365</v>
      </c>
      <c r="H438" s="35">
        <f>Inputs!$D$6*Inputs!$D$14*G438*Inputs!$D$29</f>
        <v>1715.0269500000002</v>
      </c>
      <c r="I438" s="36">
        <f>H438/(A438*Inputs!$D$32)</f>
        <v>0.72516995771670201</v>
      </c>
      <c r="J438" s="38">
        <f>IF(I438&gt;=1,999,I438/(Inputs!$D$32*(1-I438))*60)</f>
        <v>2.8784862555595065</v>
      </c>
      <c r="K438" s="37">
        <f>MIN(1,MAX(0,(J438-Inputs!$D$36)/(Inputs!$D$37-Inputs!$D$36)))</f>
        <v>0</v>
      </c>
      <c r="L438" s="35">
        <f>Inputs!$D$6*Inputs!$D$14*G438*(1-Inputs!$D$38*K438)</f>
        <v>11433.513000000001</v>
      </c>
      <c r="M438" s="39">
        <f>L438*Inputs!$D$11</f>
        <v>245820.5295</v>
      </c>
      <c r="N438" s="39">
        <f>M438*(1-Inputs!$D$17)</f>
        <v>86037.185324999999</v>
      </c>
      <c r="O438" s="35">
        <f>Inputs!$D$6*E438*Inputs!$D$27*Inputs!$D$30</f>
        <v>570.66240000000005</v>
      </c>
      <c r="P438" s="36">
        <f>O438/(C438*Inputs!$D$33)</f>
        <v>0.25939200000000001</v>
      </c>
      <c r="Q438" s="38">
        <f>IF(P438&gt;=1,999,P438/(Inputs!$D$33*(1-P438))*60)</f>
        <v>0.52536294503975123</v>
      </c>
      <c r="R438" s="37">
        <f>MIN(1,MAX(0,(Q438-Inputs!$D$36)/(Inputs!$D$37-Inputs!$D$36)))</f>
        <v>0</v>
      </c>
      <c r="S438" s="35">
        <f>Inputs!$D$6*E438*Inputs!$D$27*(1-Inputs!$D$38*R438)</f>
        <v>4755.5200000000004</v>
      </c>
      <c r="T438" s="39">
        <f>S438*Inputs!$D$12</f>
        <v>76088.320000000007</v>
      </c>
      <c r="U438" s="39">
        <f>T438*(1-Inputs!$D$18)</f>
        <v>34239.743999999999</v>
      </c>
      <c r="V438" s="35">
        <f>Inputs!$D$6*F438*Inputs!$D$28*Inputs!$D$31</f>
        <v>563.68792608064427</v>
      </c>
      <c r="W438" s="36">
        <f>V438/(B438*Inputs!$D$34)</f>
        <v>1.4641244833263487</v>
      </c>
      <c r="X438" s="38">
        <f>IF(W438&gt;=1,999,W438/(Inputs!$D$34*(1-W438))*60)</f>
        <v>999</v>
      </c>
      <c r="Y438" s="37">
        <f>MIN(1,MAX(0,(X438-Inputs!$D$36)/(Inputs!$D$37-Inputs!$D$36)))</f>
        <v>1</v>
      </c>
      <c r="Z438" s="35">
        <f>Inputs!$D$6*F438*Inputs!$D$28*(1-Inputs!$D$38*Y438)</f>
        <v>2384.8335334181106</v>
      </c>
      <c r="AA438" s="39">
        <f>Z438*Inputs!$D$13</f>
        <v>20271.08503405394</v>
      </c>
      <c r="AB438" s="39">
        <f>AA438*(1-Inputs!$D$19)</f>
        <v>12162.651020432364</v>
      </c>
      <c r="AC438" s="39">
        <f t="shared" si="24"/>
        <v>342179.93453405396</v>
      </c>
      <c r="AD438" s="39">
        <f t="shared" si="25"/>
        <v>132439.58034543236</v>
      </c>
      <c r="AE438" s="36">
        <f t="shared" si="26"/>
        <v>1.4641244833263487</v>
      </c>
      <c r="AF438" s="35">
        <f>IF(AND(AE438&lt;=Inputs!$D$35,C438&gt;=Inputs!$D$48*(A438+B438+C438),B438*Inputs!$D$22&lt;=Inputs!$D$50*Inputs!$D$8,B438*Inputs!$D$22&gt;=Inputs!$D$49*Inputs!$D$8,A438*Inputs!$D$20&lt;=Inputs!$D$47*Inputs!$D$8,C438&gt;=1),1,0)</f>
        <v>0</v>
      </c>
      <c r="AG438" s="39">
        <f t="shared" si="27"/>
        <v>-1</v>
      </c>
    </row>
    <row r="439" spans="1:33" x14ac:dyDescent="0.25">
      <c r="A439" s="35">
        <v>43</v>
      </c>
      <c r="B439" s="35">
        <v>12</v>
      </c>
      <c r="C439" s="35">
        <f>Inputs!$D$8-A439-Inputs!$D$22*B439</f>
        <v>53</v>
      </c>
      <c r="D439" s="35">
        <f>A439*Inputs!$D$20+C439*Inputs!$D$21+B439*Inputs!$D$22</f>
        <v>120</v>
      </c>
      <c r="E439" s="36">
        <f>MIN(Inputs!$E$15,Inputs!$D$15*(C439/Inputs!$D$43)^Inputs!$D$44)</f>
        <v>0.4</v>
      </c>
      <c r="F439" s="36">
        <f>MIN(Inputs!$E$16,Inputs!$D$16*(B439/Inputs!$D$42)^Inputs!$D$44)</f>
        <v>0.34316688017763797</v>
      </c>
      <c r="G439" s="37">
        <f>Inputs!$D$26*(1+Inputs!$D$41*(B439-Inputs!$D$42))</f>
        <v>1.3800000000000001</v>
      </c>
      <c r="H439" s="35">
        <f>Inputs!$D$6*Inputs!$D$14*G439*Inputs!$D$29</f>
        <v>1733.8734000000004</v>
      </c>
      <c r="I439" s="36">
        <f>H439/(A439*Inputs!$D$32)</f>
        <v>0.73313885835095149</v>
      </c>
      <c r="J439" s="38">
        <f>IF(I439&gt;=1,999,I439/(Inputs!$D$32*(1-I439))*60)</f>
        <v>2.9970187511435196</v>
      </c>
      <c r="K439" s="37">
        <f>MIN(1,MAX(0,(J439-Inputs!$D$36)/(Inputs!$D$37-Inputs!$D$36)))</f>
        <v>0</v>
      </c>
      <c r="L439" s="35">
        <f>Inputs!$D$6*Inputs!$D$14*G439*(1-Inputs!$D$38*K439)</f>
        <v>11559.156000000003</v>
      </c>
      <c r="M439" s="39">
        <f>L439*Inputs!$D$11</f>
        <v>248521.85400000005</v>
      </c>
      <c r="N439" s="39">
        <f>M439*(1-Inputs!$D$17)</f>
        <v>86982.648900000015</v>
      </c>
      <c r="O439" s="35">
        <f>Inputs!$D$6*E439*Inputs!$D$27*Inputs!$D$30</f>
        <v>570.66240000000005</v>
      </c>
      <c r="P439" s="36">
        <f>O439/(C439*Inputs!$D$33)</f>
        <v>0.2691803773584906</v>
      </c>
      <c r="Q439" s="38">
        <f>IF(P439&gt;=1,999,P439/(Inputs!$D$33*(1-P439))*60)</f>
        <v>0.5524900447778458</v>
      </c>
      <c r="R439" s="37">
        <f>MIN(1,MAX(0,(Q439-Inputs!$D$36)/(Inputs!$D$37-Inputs!$D$36)))</f>
        <v>0</v>
      </c>
      <c r="S439" s="35">
        <f>Inputs!$D$6*E439*Inputs!$D$27*(1-Inputs!$D$38*R439)</f>
        <v>4755.5200000000004</v>
      </c>
      <c r="T439" s="39">
        <f>S439*Inputs!$D$12</f>
        <v>76088.320000000007</v>
      </c>
      <c r="U439" s="39">
        <f>T439*(1-Inputs!$D$18)</f>
        <v>34239.743999999999</v>
      </c>
      <c r="V439" s="35">
        <f>Inputs!$D$6*F439*Inputs!$D$28*Inputs!$D$31</f>
        <v>578.5958319897461</v>
      </c>
      <c r="W439" s="36">
        <f>V439/(B439*Inputs!$D$34)</f>
        <v>1.3776091237851098</v>
      </c>
      <c r="X439" s="38">
        <f>IF(W439&gt;=1,999,W439/(Inputs!$D$34*(1-W439))*60)</f>
        <v>999</v>
      </c>
      <c r="Y439" s="37">
        <f>MIN(1,MAX(0,(X439-Inputs!$D$36)/(Inputs!$D$37-Inputs!$D$36)))</f>
        <v>1</v>
      </c>
      <c r="Z439" s="35">
        <f>Inputs!$D$6*F439*Inputs!$D$28*(1-Inputs!$D$38*Y439)</f>
        <v>2447.9054430335414</v>
      </c>
      <c r="AA439" s="39">
        <f>Z439*Inputs!$D$13</f>
        <v>20807.1962657851</v>
      </c>
      <c r="AB439" s="39">
        <f>AA439*(1-Inputs!$D$19)</f>
        <v>12484.31775947106</v>
      </c>
      <c r="AC439" s="39">
        <f t="shared" si="24"/>
        <v>345417.37026578514</v>
      </c>
      <c r="AD439" s="39">
        <f t="shared" si="25"/>
        <v>133706.71065947108</v>
      </c>
      <c r="AE439" s="36">
        <f t="shared" si="26"/>
        <v>1.3776091237851098</v>
      </c>
      <c r="AF439" s="35">
        <f>IF(AND(AE439&lt;=Inputs!$D$35,C439&gt;=Inputs!$D$48*(A439+B439+C439),B439*Inputs!$D$22&lt;=Inputs!$D$50*Inputs!$D$8,B439*Inputs!$D$22&gt;=Inputs!$D$49*Inputs!$D$8,A439*Inputs!$D$20&lt;=Inputs!$D$47*Inputs!$D$8,C439&gt;=1),1,0)</f>
        <v>0</v>
      </c>
      <c r="AG439" s="39">
        <f t="shared" si="27"/>
        <v>-1</v>
      </c>
    </row>
    <row r="440" spans="1:33" x14ac:dyDescent="0.25">
      <c r="A440" s="35">
        <v>43</v>
      </c>
      <c r="B440" s="35">
        <v>13</v>
      </c>
      <c r="C440" s="35">
        <f>Inputs!$D$8-A440-Inputs!$D$22*B440</f>
        <v>51</v>
      </c>
      <c r="D440" s="35">
        <f>A440*Inputs!$D$20+C440*Inputs!$D$21+B440*Inputs!$D$22</f>
        <v>120</v>
      </c>
      <c r="E440" s="36">
        <f>MIN(Inputs!$E$15,Inputs!$D$15*(C440/Inputs!$D$43)^Inputs!$D$44)</f>
        <v>0.4</v>
      </c>
      <c r="F440" s="36">
        <f>MIN(Inputs!$E$16,Inputs!$D$16*(B440/Inputs!$D$42)^Inputs!$D$44)</f>
        <v>0.35150701637190523</v>
      </c>
      <c r="G440" s="37">
        <f>Inputs!$D$26*(1+Inputs!$D$41*(B440-Inputs!$D$42))</f>
        <v>1.395</v>
      </c>
      <c r="H440" s="35">
        <f>Inputs!$D$6*Inputs!$D$14*G440*Inputs!$D$29</f>
        <v>1752.7198500000002</v>
      </c>
      <c r="I440" s="36">
        <f>H440/(A440*Inputs!$D$32)</f>
        <v>0.74110775898520087</v>
      </c>
      <c r="J440" s="38">
        <f>IF(I440&gt;=1,999,I440/(Inputs!$D$32*(1-I440))*60)</f>
        <v>3.1228482879639627</v>
      </c>
      <c r="K440" s="37">
        <f>MIN(1,MAX(0,(J440-Inputs!$D$36)/(Inputs!$D$37-Inputs!$D$36)))</f>
        <v>0</v>
      </c>
      <c r="L440" s="35">
        <f>Inputs!$D$6*Inputs!$D$14*G440*(1-Inputs!$D$38*K440)</f>
        <v>11684.799000000001</v>
      </c>
      <c r="M440" s="39">
        <f>L440*Inputs!$D$11</f>
        <v>251223.17850000001</v>
      </c>
      <c r="N440" s="39">
        <f>M440*(1-Inputs!$D$17)</f>
        <v>87928.112475000002</v>
      </c>
      <c r="O440" s="35">
        <f>Inputs!$D$6*E440*Inputs!$D$27*Inputs!$D$30</f>
        <v>570.66240000000005</v>
      </c>
      <c r="P440" s="36">
        <f>O440/(C440*Inputs!$D$33)</f>
        <v>0.27973647058823531</v>
      </c>
      <c r="Q440" s="38">
        <f>IF(P440&gt;=1,999,P440/(Inputs!$D$33*(1-P440))*60)</f>
        <v>0.5825710850930379</v>
      </c>
      <c r="R440" s="37">
        <f>MIN(1,MAX(0,(Q440-Inputs!$D$36)/(Inputs!$D$37-Inputs!$D$36)))</f>
        <v>0</v>
      </c>
      <c r="S440" s="35">
        <f>Inputs!$D$6*E440*Inputs!$D$27*(1-Inputs!$D$38*R440)</f>
        <v>4755.5200000000004</v>
      </c>
      <c r="T440" s="39">
        <f>S440*Inputs!$D$12</f>
        <v>76088.320000000007</v>
      </c>
      <c r="U440" s="39">
        <f>T440*(1-Inputs!$D$18)</f>
        <v>34239.743999999999</v>
      </c>
      <c r="V440" s="35">
        <f>Inputs!$D$6*F440*Inputs!$D$28*Inputs!$D$31</f>
        <v>592.65770193981814</v>
      </c>
      <c r="W440" s="36">
        <f>V440/(B440*Inputs!$D$34)</f>
        <v>1.3025443998677322</v>
      </c>
      <c r="X440" s="38">
        <f>IF(W440&gt;=1,999,W440/(Inputs!$D$34*(1-W440))*60)</f>
        <v>999</v>
      </c>
      <c r="Y440" s="37">
        <f>MIN(1,MAX(0,(X440-Inputs!$D$36)/(Inputs!$D$37-Inputs!$D$36)))</f>
        <v>1</v>
      </c>
      <c r="Z440" s="35">
        <f>Inputs!$D$6*F440*Inputs!$D$28*(1-Inputs!$D$38*Y440)</f>
        <v>2507.3979697453847</v>
      </c>
      <c r="AA440" s="39">
        <f>Z440*Inputs!$D$13</f>
        <v>21312.882742835769</v>
      </c>
      <c r="AB440" s="39">
        <f>AA440*(1-Inputs!$D$19)</f>
        <v>12787.729645701462</v>
      </c>
      <c r="AC440" s="39">
        <f t="shared" si="24"/>
        <v>348624.38124283578</v>
      </c>
      <c r="AD440" s="39">
        <f t="shared" si="25"/>
        <v>134955.58612070148</v>
      </c>
      <c r="AE440" s="36">
        <f t="shared" si="26"/>
        <v>1.3025443998677322</v>
      </c>
      <c r="AF440" s="35">
        <f>IF(AND(AE440&lt;=Inputs!$D$35,C440&gt;=Inputs!$D$48*(A440+B440+C440),B440*Inputs!$D$22&lt;=Inputs!$D$50*Inputs!$D$8,B440*Inputs!$D$22&gt;=Inputs!$D$49*Inputs!$D$8,A440*Inputs!$D$20&lt;=Inputs!$D$47*Inputs!$D$8,C440&gt;=1),1,0)</f>
        <v>0</v>
      </c>
      <c r="AG440" s="39">
        <f t="shared" si="27"/>
        <v>-1</v>
      </c>
    </row>
    <row r="441" spans="1:33" x14ac:dyDescent="0.25">
      <c r="A441" s="35">
        <v>43</v>
      </c>
      <c r="B441" s="35">
        <v>14</v>
      </c>
      <c r="C441" s="35">
        <f>Inputs!$D$8-A441-Inputs!$D$22*B441</f>
        <v>49</v>
      </c>
      <c r="D441" s="35">
        <f>A441*Inputs!$D$20+C441*Inputs!$D$21+B441*Inputs!$D$22</f>
        <v>120</v>
      </c>
      <c r="E441" s="36">
        <f>MIN(Inputs!$E$15,Inputs!$D$15*(C441/Inputs!$D$43)^Inputs!$D$44)</f>
        <v>0.39770420454194916</v>
      </c>
      <c r="F441" s="36">
        <f>MIN(Inputs!$E$16,Inputs!$D$16*(B441/Inputs!$D$42)^Inputs!$D$44)</f>
        <v>0.35940937671625589</v>
      </c>
      <c r="G441" s="37">
        <f>Inputs!$D$26*(1+Inputs!$D$41*(B441-Inputs!$D$42))</f>
        <v>1.41</v>
      </c>
      <c r="H441" s="35">
        <f>Inputs!$D$6*Inputs!$D$14*G441*Inputs!$D$29</f>
        <v>1771.5663000000002</v>
      </c>
      <c r="I441" s="36">
        <f>H441/(A441*Inputs!$D$32)</f>
        <v>0.74907665961945036</v>
      </c>
      <c r="J441" s="38">
        <f>IF(I441&gt;=1,999,I441/(Inputs!$D$32*(1-I441))*60)</f>
        <v>3.2566700910618698</v>
      </c>
      <c r="K441" s="37">
        <f>MIN(1,MAX(0,(J441-Inputs!$D$36)/(Inputs!$D$37-Inputs!$D$36)))</f>
        <v>0</v>
      </c>
      <c r="L441" s="35">
        <f>Inputs!$D$6*Inputs!$D$14*G441*(1-Inputs!$D$38*K441)</f>
        <v>11810.442000000001</v>
      </c>
      <c r="M441" s="39">
        <f>L441*Inputs!$D$11</f>
        <v>253924.50300000003</v>
      </c>
      <c r="N441" s="39">
        <f>M441*(1-Inputs!$D$17)</f>
        <v>88873.576050000003</v>
      </c>
      <c r="O441" s="35">
        <f>Inputs!$D$6*E441*Inputs!$D$27*Inputs!$D$30</f>
        <v>567.38708963499903</v>
      </c>
      <c r="P441" s="36">
        <f>O441/(C441*Inputs!$D$33)</f>
        <v>0.2894832089974485</v>
      </c>
      <c r="Q441" s="38">
        <f>IF(P441&gt;=1,999,P441/(Inputs!$D$33*(1-P441))*60)</f>
        <v>0.61113941147467321</v>
      </c>
      <c r="R441" s="37">
        <f>MIN(1,MAX(0,(Q441-Inputs!$D$36)/(Inputs!$D$37-Inputs!$D$36)))</f>
        <v>0</v>
      </c>
      <c r="S441" s="35">
        <f>Inputs!$D$6*E441*Inputs!$D$27*(1-Inputs!$D$38*R441)</f>
        <v>4728.2257469583255</v>
      </c>
      <c r="T441" s="39">
        <f>S441*Inputs!$D$12</f>
        <v>75651.611951333209</v>
      </c>
      <c r="U441" s="39">
        <f>T441*(1-Inputs!$D$18)</f>
        <v>34043.225378099938</v>
      </c>
      <c r="V441" s="35">
        <f>Inputs!$D$6*F441*Inputs!$D$28*Inputs!$D$31</f>
        <v>605.98146079368973</v>
      </c>
      <c r="W441" s="36">
        <f>V441/(B441*Inputs!$D$34)</f>
        <v>1.2366968587626321</v>
      </c>
      <c r="X441" s="38">
        <f>IF(W441&gt;=1,999,W441/(Inputs!$D$34*(1-W441))*60)</f>
        <v>999</v>
      </c>
      <c r="Y441" s="37">
        <f>MIN(1,MAX(0,(X441-Inputs!$D$36)/(Inputs!$D$37-Inputs!$D$36)))</f>
        <v>1</v>
      </c>
      <c r="Z441" s="35">
        <f>Inputs!$D$6*F441*Inputs!$D$28*(1-Inputs!$D$38*Y441)</f>
        <v>2563.7677187425338</v>
      </c>
      <c r="AA441" s="39">
        <f>Z441*Inputs!$D$13</f>
        <v>21792.025609311539</v>
      </c>
      <c r="AB441" s="39">
        <f>AA441*(1-Inputs!$D$19)</f>
        <v>13075.215365586922</v>
      </c>
      <c r="AC441" s="39">
        <f t="shared" si="24"/>
        <v>351368.1405606448</v>
      </c>
      <c r="AD441" s="39">
        <f t="shared" si="25"/>
        <v>135992.01679368687</v>
      </c>
      <c r="AE441" s="36">
        <f t="shared" si="26"/>
        <v>1.2366968587626321</v>
      </c>
      <c r="AF441" s="35">
        <f>IF(AND(AE441&lt;=Inputs!$D$35,C441&gt;=Inputs!$D$48*(A441+B441+C441),B441*Inputs!$D$22&lt;=Inputs!$D$50*Inputs!$D$8,B441*Inputs!$D$22&gt;=Inputs!$D$49*Inputs!$D$8,A441*Inputs!$D$20&lt;=Inputs!$D$47*Inputs!$D$8,C441&gt;=1),1,0)</f>
        <v>0</v>
      </c>
      <c r="AG441" s="39">
        <f t="shared" si="27"/>
        <v>-1</v>
      </c>
    </row>
    <row r="442" spans="1:33" x14ac:dyDescent="0.25">
      <c r="A442" s="35">
        <v>43</v>
      </c>
      <c r="B442" s="35">
        <v>15</v>
      </c>
      <c r="C442" s="35">
        <f>Inputs!$D$8-A442-Inputs!$D$22*B442</f>
        <v>47</v>
      </c>
      <c r="D442" s="35">
        <f>A442*Inputs!$D$20+C442*Inputs!$D$21+B442*Inputs!$D$22</f>
        <v>120</v>
      </c>
      <c r="E442" s="36">
        <f>MIN(Inputs!$E$15,Inputs!$D$15*(C442/Inputs!$D$43)^Inputs!$D$44)</f>
        <v>0.39276313309091065</v>
      </c>
      <c r="F442" s="36">
        <f>MIN(Inputs!$E$16,Inputs!$D$16*(B442/Inputs!$D$42)^Inputs!$D$44)</f>
        <v>0.36692590185696072</v>
      </c>
      <c r="G442" s="37">
        <f>Inputs!$D$26*(1+Inputs!$D$41*(B442-Inputs!$D$42))</f>
        <v>1.4249999999999998</v>
      </c>
      <c r="H442" s="35">
        <f>Inputs!$D$6*Inputs!$D$14*G442*Inputs!$D$29</f>
        <v>1790.4127499999997</v>
      </c>
      <c r="I442" s="36">
        <f>H442/(A442*Inputs!$D$32)</f>
        <v>0.75704556025369962</v>
      </c>
      <c r="J442" s="38">
        <f>IF(I442&gt;=1,999,I442/(Inputs!$D$32*(1-I442))*60)</f>
        <v>3.3992705989465373</v>
      </c>
      <c r="K442" s="37">
        <f>MIN(1,MAX(0,(J442-Inputs!$D$36)/(Inputs!$D$37-Inputs!$D$36)))</f>
        <v>0</v>
      </c>
      <c r="L442" s="35">
        <f>Inputs!$D$6*Inputs!$D$14*G442*(1-Inputs!$D$38*K442)</f>
        <v>11936.084999999999</v>
      </c>
      <c r="M442" s="39">
        <f>L442*Inputs!$D$11</f>
        <v>256625.82749999998</v>
      </c>
      <c r="N442" s="39">
        <f>M442*(1-Inputs!$D$17)</f>
        <v>89819.03962499999</v>
      </c>
      <c r="O442" s="35">
        <f>Inputs!$D$6*E442*Inputs!$D$27*Inputs!$D$30</f>
        <v>560.33788040294633</v>
      </c>
      <c r="P442" s="36">
        <f>O442/(C442*Inputs!$D$33)</f>
        <v>0.29805206404412038</v>
      </c>
      <c r="Q442" s="38">
        <f>IF(P442&gt;=1,999,P442/(Inputs!$D$33*(1-P442))*60)</f>
        <v>0.63691062138016075</v>
      </c>
      <c r="R442" s="37">
        <f>MIN(1,MAX(0,(Q442-Inputs!$D$36)/(Inputs!$D$37-Inputs!$D$36)))</f>
        <v>0</v>
      </c>
      <c r="S442" s="35">
        <f>Inputs!$D$6*E442*Inputs!$D$27*(1-Inputs!$D$38*R442)</f>
        <v>4669.4823366912196</v>
      </c>
      <c r="T442" s="39">
        <f>S442*Inputs!$D$12</f>
        <v>74711.717387059514</v>
      </c>
      <c r="U442" s="39">
        <f>T442*(1-Inputs!$D$18)</f>
        <v>33620.272824176776</v>
      </c>
      <c r="V442" s="35">
        <f>Inputs!$D$6*F442*Inputs!$D$28*Inputs!$D$31</f>
        <v>618.65468297412497</v>
      </c>
      <c r="W442" s="36">
        <f>V442/(B442*Inputs!$D$34)</f>
        <v>1.1783898723316666</v>
      </c>
      <c r="X442" s="38">
        <f>IF(W442&gt;=1,999,W442/(Inputs!$D$34*(1-W442))*60)</f>
        <v>999</v>
      </c>
      <c r="Y442" s="37">
        <f>MIN(1,MAX(0,(X442-Inputs!$D$36)/(Inputs!$D$37-Inputs!$D$36)))</f>
        <v>1</v>
      </c>
      <c r="Z442" s="35">
        <f>Inputs!$D$6*F442*Inputs!$D$28*(1-Inputs!$D$38*Y442)</f>
        <v>2617.3851971982212</v>
      </c>
      <c r="AA442" s="39">
        <f>Z442*Inputs!$D$13</f>
        <v>22247.774176184881</v>
      </c>
      <c r="AB442" s="39">
        <f>AA442*(1-Inputs!$D$19)</f>
        <v>13348.664505710929</v>
      </c>
      <c r="AC442" s="39">
        <f t="shared" si="24"/>
        <v>353585.31906324439</v>
      </c>
      <c r="AD442" s="39">
        <f t="shared" si="25"/>
        <v>136787.97695488771</v>
      </c>
      <c r="AE442" s="36">
        <f t="shared" si="26"/>
        <v>1.1783898723316666</v>
      </c>
      <c r="AF442" s="35">
        <f>IF(AND(AE442&lt;=Inputs!$D$35,C442&gt;=Inputs!$D$48*(A442+B442+C442),B442*Inputs!$D$22&lt;=Inputs!$D$50*Inputs!$D$8,B442*Inputs!$D$22&gt;=Inputs!$D$49*Inputs!$D$8,A442*Inputs!$D$20&lt;=Inputs!$D$47*Inputs!$D$8,C442&gt;=1),1,0)</f>
        <v>0</v>
      </c>
      <c r="AG442" s="39">
        <f t="shared" si="27"/>
        <v>-1</v>
      </c>
    </row>
    <row r="443" spans="1:33" x14ac:dyDescent="0.25">
      <c r="A443" s="35">
        <v>43</v>
      </c>
      <c r="B443" s="35">
        <v>16</v>
      </c>
      <c r="C443" s="35">
        <f>Inputs!$D$8-A443-Inputs!$D$22*B443</f>
        <v>45</v>
      </c>
      <c r="D443" s="35">
        <f>A443*Inputs!$D$20+C443*Inputs!$D$21+B443*Inputs!$D$22</f>
        <v>120</v>
      </c>
      <c r="E443" s="36">
        <f>MIN(Inputs!$E$15,Inputs!$D$15*(C443/Inputs!$D$43)^Inputs!$D$44)</f>
        <v>0.38767260497069417</v>
      </c>
      <c r="F443" s="36">
        <f>MIN(Inputs!$E$16,Inputs!$D$16*(B443/Inputs!$D$42)^Inputs!$D$44)</f>
        <v>0.37409937912904856</v>
      </c>
      <c r="G443" s="37">
        <f>Inputs!$D$26*(1+Inputs!$D$41*(B443-Inputs!$D$42))</f>
        <v>1.44</v>
      </c>
      <c r="H443" s="35">
        <f>Inputs!$D$6*Inputs!$D$14*G443*Inputs!$D$29</f>
        <v>1809.2592000000002</v>
      </c>
      <c r="I443" s="36">
        <f>H443/(A443*Inputs!$D$32)</f>
        <v>0.76501446088794933</v>
      </c>
      <c r="J443" s="38">
        <f>IF(I443&gt;=1,999,I443/(Inputs!$D$32*(1-I443))*60)</f>
        <v>3.5515429298890955</v>
      </c>
      <c r="K443" s="37">
        <f>MIN(1,MAX(0,(J443-Inputs!$D$36)/(Inputs!$D$37-Inputs!$D$36)))</f>
        <v>0</v>
      </c>
      <c r="L443" s="35">
        <f>Inputs!$D$6*Inputs!$D$14*G443*(1-Inputs!$D$38*K443)</f>
        <v>12061.728000000001</v>
      </c>
      <c r="M443" s="39">
        <f>L443*Inputs!$D$11</f>
        <v>259327.15200000003</v>
      </c>
      <c r="N443" s="39">
        <f>M443*(1-Inputs!$D$17)</f>
        <v>90764.503200000006</v>
      </c>
      <c r="O443" s="35">
        <f>Inputs!$D$6*E443*Inputs!$D$27*Inputs!$D$30</f>
        <v>553.07544791707073</v>
      </c>
      <c r="P443" s="36">
        <f>O443/(C443*Inputs!$D$33)</f>
        <v>0.30726413773170597</v>
      </c>
      <c r="Q443" s="38">
        <f>IF(P443&gt;=1,999,P443/(Inputs!$D$33*(1-P443))*60)</f>
        <v>0.66532748151423926</v>
      </c>
      <c r="R443" s="37">
        <f>MIN(1,MAX(0,(Q443-Inputs!$D$36)/(Inputs!$D$37-Inputs!$D$36)))</f>
        <v>0</v>
      </c>
      <c r="S443" s="35">
        <f>Inputs!$D$6*E443*Inputs!$D$27*(1-Inputs!$D$38*R443)</f>
        <v>4608.9620659755892</v>
      </c>
      <c r="T443" s="39">
        <f>S443*Inputs!$D$12</f>
        <v>73743.393055609427</v>
      </c>
      <c r="U443" s="39">
        <f>T443*(1-Inputs!$D$18)</f>
        <v>33184.526875024239</v>
      </c>
      <c r="V443" s="35">
        <f>Inputs!$D$6*F443*Inputs!$D$28*Inputs!$D$31</f>
        <v>630.74950998177405</v>
      </c>
      <c r="W443" s="36">
        <f>V443/(B443*Inputs!$D$34)</f>
        <v>1.1263384106817393</v>
      </c>
      <c r="X443" s="38">
        <f>IF(W443&gt;=1,999,W443/(Inputs!$D$34*(1-W443))*60)</f>
        <v>999</v>
      </c>
      <c r="Y443" s="37">
        <f>MIN(1,MAX(0,(X443-Inputs!$D$36)/(Inputs!$D$37-Inputs!$D$36)))</f>
        <v>1</v>
      </c>
      <c r="Z443" s="35">
        <f>Inputs!$D$6*F443*Inputs!$D$28*(1-Inputs!$D$38*Y443)</f>
        <v>2668.5556191536598</v>
      </c>
      <c r="AA443" s="39">
        <f>Z443*Inputs!$D$13</f>
        <v>22682.722762806108</v>
      </c>
      <c r="AB443" s="39">
        <f>AA443*(1-Inputs!$D$19)</f>
        <v>13609.633657683664</v>
      </c>
      <c r="AC443" s="39">
        <f t="shared" si="24"/>
        <v>355753.26781841554</v>
      </c>
      <c r="AD443" s="39">
        <f t="shared" si="25"/>
        <v>137558.66373270791</v>
      </c>
      <c r="AE443" s="36">
        <f t="shared" si="26"/>
        <v>1.1263384106817393</v>
      </c>
      <c r="AF443" s="35">
        <f>IF(AND(AE443&lt;=Inputs!$D$35,C443&gt;=Inputs!$D$48*(A443+B443+C443),B443*Inputs!$D$22&lt;=Inputs!$D$50*Inputs!$D$8,B443*Inputs!$D$22&gt;=Inputs!$D$49*Inputs!$D$8,A443*Inputs!$D$20&lt;=Inputs!$D$47*Inputs!$D$8,C443&gt;=1),1,0)</f>
        <v>0</v>
      </c>
      <c r="AG443" s="39">
        <f t="shared" si="27"/>
        <v>-1</v>
      </c>
    </row>
    <row r="444" spans="1:33" x14ac:dyDescent="0.25">
      <c r="A444" s="35">
        <v>43</v>
      </c>
      <c r="B444" s="35">
        <v>17</v>
      </c>
      <c r="C444" s="35">
        <f>Inputs!$D$8-A444-Inputs!$D$22*B444</f>
        <v>43</v>
      </c>
      <c r="D444" s="35">
        <f>A444*Inputs!$D$20+C444*Inputs!$D$21+B444*Inputs!$D$22</f>
        <v>120</v>
      </c>
      <c r="E444" s="36">
        <f>MIN(Inputs!$E$15,Inputs!$D$15*(C444/Inputs!$D$43)^Inputs!$D$44)</f>
        <v>0.38242114286867052</v>
      </c>
      <c r="F444" s="36">
        <f>MIN(Inputs!$E$16,Inputs!$D$16*(B444/Inputs!$D$42)^Inputs!$D$44)</f>
        <v>0.3809655184437048</v>
      </c>
      <c r="G444" s="37">
        <f>Inputs!$D$26*(1+Inputs!$D$41*(B444-Inputs!$D$42))</f>
        <v>1.4550000000000001</v>
      </c>
      <c r="H444" s="35">
        <f>Inputs!$D$6*Inputs!$D$14*G444*Inputs!$D$29</f>
        <v>1828.1056500000002</v>
      </c>
      <c r="I444" s="36">
        <f>H444/(A444*Inputs!$D$32)</f>
        <v>0.77298336152219882</v>
      </c>
      <c r="J444" s="38">
        <f>IF(I444&gt;=1,999,I444/(Inputs!$D$32*(1-I444))*60)</f>
        <v>3.7145056056694838</v>
      </c>
      <c r="K444" s="37">
        <f>MIN(1,MAX(0,(J444-Inputs!$D$36)/(Inputs!$D$37-Inputs!$D$36)))</f>
        <v>0</v>
      </c>
      <c r="L444" s="35">
        <f>Inputs!$D$6*Inputs!$D$14*G444*(1-Inputs!$D$38*K444)</f>
        <v>12187.371000000001</v>
      </c>
      <c r="M444" s="39">
        <f>L444*Inputs!$D$11</f>
        <v>262028.47650000002</v>
      </c>
      <c r="N444" s="39">
        <f>M444*(1-Inputs!$D$17)</f>
        <v>91709.966775000008</v>
      </c>
      <c r="O444" s="35">
        <f>Inputs!$D$6*E444*Inputs!$D$27*Inputs!$D$30</f>
        <v>545.58341800044604</v>
      </c>
      <c r="P444" s="36">
        <f>O444/(C444*Inputs!$D$33)</f>
        <v>0.31719966162816632</v>
      </c>
      <c r="Q444" s="38">
        <f>IF(P444&gt;=1,999,P444/(Inputs!$D$33*(1-P444))*60)</f>
        <v>0.69683546668534679</v>
      </c>
      <c r="R444" s="37">
        <f>MIN(1,MAX(0,(Q444-Inputs!$D$36)/(Inputs!$D$37-Inputs!$D$36)))</f>
        <v>0</v>
      </c>
      <c r="S444" s="35">
        <f>Inputs!$D$6*E444*Inputs!$D$27*(1-Inputs!$D$38*R444)</f>
        <v>4546.5284833370506</v>
      </c>
      <c r="T444" s="39">
        <f>S444*Inputs!$D$12</f>
        <v>72744.45573339281</v>
      </c>
      <c r="U444" s="39">
        <f>T444*(1-Inputs!$D$18)</f>
        <v>32735.00508002676</v>
      </c>
      <c r="V444" s="35">
        <f>Inputs!$D$6*F444*Inputs!$D$28*Inputs!$D$31</f>
        <v>642.32615044097156</v>
      </c>
      <c r="W444" s="36">
        <f>V444/(B444*Inputs!$D$34)</f>
        <v>1.0795397486402882</v>
      </c>
      <c r="X444" s="38">
        <f>IF(W444&gt;=1,999,W444/(Inputs!$D$34*(1-W444))*60)</f>
        <v>999</v>
      </c>
      <c r="Y444" s="37">
        <f>MIN(1,MAX(0,(X444-Inputs!$D$36)/(Inputs!$D$37-Inputs!$D$36)))</f>
        <v>1</v>
      </c>
      <c r="Z444" s="35">
        <f>Inputs!$D$6*F444*Inputs!$D$28*(1-Inputs!$D$38*Y444)</f>
        <v>2717.5337134041106</v>
      </c>
      <c r="AA444" s="39">
        <f>Z444*Inputs!$D$13</f>
        <v>23099.03656393494</v>
      </c>
      <c r="AB444" s="39">
        <f>AA444*(1-Inputs!$D$19)</f>
        <v>13859.421938360963</v>
      </c>
      <c r="AC444" s="39">
        <f t="shared" si="24"/>
        <v>357871.96879732778</v>
      </c>
      <c r="AD444" s="39">
        <f t="shared" si="25"/>
        <v>138304.39379338775</v>
      </c>
      <c r="AE444" s="36">
        <f t="shared" si="26"/>
        <v>1.0795397486402882</v>
      </c>
      <c r="AF444" s="35">
        <f>IF(AND(AE444&lt;=Inputs!$D$35,C444&gt;=Inputs!$D$48*(A444+B444+C444),B444*Inputs!$D$22&lt;=Inputs!$D$50*Inputs!$D$8,B444*Inputs!$D$22&gt;=Inputs!$D$49*Inputs!$D$8,A444*Inputs!$D$20&lt;=Inputs!$D$47*Inputs!$D$8,C444&gt;=1),1,0)</f>
        <v>0</v>
      </c>
      <c r="AG444" s="39">
        <f t="shared" si="27"/>
        <v>-1</v>
      </c>
    </row>
    <row r="445" spans="1:33" x14ac:dyDescent="0.25">
      <c r="A445" s="35">
        <v>43</v>
      </c>
      <c r="B445" s="35">
        <v>18</v>
      </c>
      <c r="C445" s="35">
        <f>Inputs!$D$8-A445-Inputs!$D$22*B445</f>
        <v>41</v>
      </c>
      <c r="D445" s="35">
        <f>A445*Inputs!$D$20+C445*Inputs!$D$21+B445*Inputs!$D$22</f>
        <v>120</v>
      </c>
      <c r="E445" s="36">
        <f>MIN(Inputs!$E$15,Inputs!$D$15*(C445/Inputs!$D$43)^Inputs!$D$44)</f>
        <v>0.37699580304543617</v>
      </c>
      <c r="F445" s="36">
        <f>MIN(Inputs!$E$16,Inputs!$D$16*(B445/Inputs!$D$42)^Inputs!$D$44)</f>
        <v>0.38755446447890535</v>
      </c>
      <c r="G445" s="37">
        <f>Inputs!$D$26*(1+Inputs!$D$41*(B445-Inputs!$D$42))</f>
        <v>1.47</v>
      </c>
      <c r="H445" s="35">
        <f>Inputs!$D$6*Inputs!$D$14*G445*Inputs!$D$29</f>
        <v>1846.9521</v>
      </c>
      <c r="I445" s="36">
        <f>H445/(A445*Inputs!$D$32)</f>
        <v>0.7809522621564482</v>
      </c>
      <c r="J445" s="38">
        <f>IF(I445&gt;=1,999,I445/(Inputs!$D$32*(1-I445))*60)</f>
        <v>3.8893253623142496</v>
      </c>
      <c r="K445" s="37">
        <f>MIN(1,MAX(0,(J445-Inputs!$D$36)/(Inputs!$D$37-Inputs!$D$36)))</f>
        <v>0</v>
      </c>
      <c r="L445" s="35">
        <f>Inputs!$D$6*Inputs!$D$14*G445*(1-Inputs!$D$38*K445)</f>
        <v>12313.014000000001</v>
      </c>
      <c r="M445" s="39">
        <f>L445*Inputs!$D$11</f>
        <v>264729.80100000004</v>
      </c>
      <c r="N445" s="39">
        <f>M445*(1-Inputs!$D$17)</f>
        <v>92655.43035000001</v>
      </c>
      <c r="O445" s="35">
        <f>Inputs!$D$6*E445*Inputs!$D$27*Inputs!$D$30</f>
        <v>537.84332438958984</v>
      </c>
      <c r="P445" s="36">
        <f>O445/(C445*Inputs!$D$33)</f>
        <v>0.3279532465790182</v>
      </c>
      <c r="Q445" s="38">
        <f>IF(P445&gt;=1,999,P445/(Inputs!$D$33*(1-P445))*60)</f>
        <v>0.73198756985940516</v>
      </c>
      <c r="R445" s="37">
        <f>MIN(1,MAX(0,(Q445-Inputs!$D$36)/(Inputs!$D$37-Inputs!$D$36)))</f>
        <v>0</v>
      </c>
      <c r="S445" s="35">
        <f>Inputs!$D$6*E445*Inputs!$D$27*(1-Inputs!$D$38*R445)</f>
        <v>4482.027703246582</v>
      </c>
      <c r="T445" s="39">
        <f>S445*Inputs!$D$12</f>
        <v>71712.443251945311</v>
      </c>
      <c r="U445" s="39">
        <f>T445*(1-Inputs!$D$18)</f>
        <v>32270.599463375387</v>
      </c>
      <c r="V445" s="35">
        <f>Inputs!$D$6*F445*Inputs!$D$28*Inputs!$D$31</f>
        <v>653.43542972572936</v>
      </c>
      <c r="W445" s="36">
        <f>V445/(B445*Inputs!$D$34)</f>
        <v>1.037199094802745</v>
      </c>
      <c r="X445" s="38">
        <f>IF(W445&gt;=1,999,W445/(Inputs!$D$34*(1-W445))*60)</f>
        <v>999</v>
      </c>
      <c r="Y445" s="37">
        <f>MIN(1,MAX(0,(X445-Inputs!$D$36)/(Inputs!$D$37-Inputs!$D$36)))</f>
        <v>1</v>
      </c>
      <c r="Z445" s="35">
        <f>Inputs!$D$6*F445*Inputs!$D$28*(1-Inputs!$D$38*Y445)</f>
        <v>2764.534510378086</v>
      </c>
      <c r="AA445" s="39">
        <f>Z445*Inputs!$D$13</f>
        <v>23498.543338213731</v>
      </c>
      <c r="AB445" s="39">
        <f>AA445*(1-Inputs!$D$19)</f>
        <v>14099.126002928238</v>
      </c>
      <c r="AC445" s="39">
        <f t="shared" si="24"/>
        <v>359940.7875901591</v>
      </c>
      <c r="AD445" s="39">
        <f t="shared" si="25"/>
        <v>139025.15581630362</v>
      </c>
      <c r="AE445" s="36">
        <f t="shared" si="26"/>
        <v>1.037199094802745</v>
      </c>
      <c r="AF445" s="35">
        <f>IF(AND(AE445&lt;=Inputs!$D$35,C445&gt;=Inputs!$D$48*(A445+B445+C445),B445*Inputs!$D$22&lt;=Inputs!$D$50*Inputs!$D$8,B445*Inputs!$D$22&gt;=Inputs!$D$49*Inputs!$D$8,A445*Inputs!$D$20&lt;=Inputs!$D$47*Inputs!$D$8,C445&gt;=1),1,0)</f>
        <v>0</v>
      </c>
      <c r="AG445" s="39">
        <f t="shared" si="27"/>
        <v>-1</v>
      </c>
    </row>
    <row r="446" spans="1:33" x14ac:dyDescent="0.25">
      <c r="A446" s="35">
        <v>43</v>
      </c>
      <c r="B446" s="35">
        <v>19</v>
      </c>
      <c r="C446" s="35">
        <f>Inputs!$D$8-A446-Inputs!$D$22*B446</f>
        <v>39</v>
      </c>
      <c r="D446" s="35">
        <f>A446*Inputs!$D$20+C446*Inputs!$D$21+B446*Inputs!$D$22</f>
        <v>120</v>
      </c>
      <c r="E446" s="36">
        <f>MIN(Inputs!$E$15,Inputs!$D$15*(C446/Inputs!$D$43)^Inputs!$D$44)</f>
        <v>0.37138190575462604</v>
      </c>
      <c r="F446" s="36">
        <f>MIN(Inputs!$E$16,Inputs!$D$16*(B446/Inputs!$D$42)^Inputs!$D$44)</f>
        <v>0.39389192072703005</v>
      </c>
      <c r="G446" s="37">
        <f>Inputs!$D$26*(1+Inputs!$D$41*(B446-Inputs!$D$42))</f>
        <v>1.4849999999999999</v>
      </c>
      <c r="H446" s="35">
        <f>Inputs!$D$6*Inputs!$D$14*G446*Inputs!$D$29</f>
        <v>1865.7985499999998</v>
      </c>
      <c r="I446" s="36">
        <f>H446/(A446*Inputs!$D$32)</f>
        <v>0.78892116279069757</v>
      </c>
      <c r="J446" s="38">
        <f>IF(I446&gt;=1,999,I446/(Inputs!$D$32*(1-I446))*60)</f>
        <v>4.0773451279037731</v>
      </c>
      <c r="K446" s="37">
        <f>MIN(1,MAX(0,(J446-Inputs!$D$36)/(Inputs!$D$37-Inputs!$D$36)))</f>
        <v>0</v>
      </c>
      <c r="L446" s="35">
        <f>Inputs!$D$6*Inputs!$D$14*G446*(1-Inputs!$D$38*K446)</f>
        <v>12438.656999999999</v>
      </c>
      <c r="M446" s="39">
        <f>L446*Inputs!$D$11</f>
        <v>267431.12549999997</v>
      </c>
      <c r="N446" s="39">
        <f>M446*(1-Inputs!$D$17)</f>
        <v>93600.893924999982</v>
      </c>
      <c r="O446" s="35">
        <f>Inputs!$D$6*E446*Inputs!$D$27*Inputs!$D$30</f>
        <v>529.8342241362717</v>
      </c>
      <c r="P446" s="36">
        <f>O446/(C446*Inputs!$D$33)</f>
        <v>0.33963732316427675</v>
      </c>
      <c r="Q446" s="38">
        <f>IF(P446&gt;=1,999,P446/(Inputs!$D$33*(1-P446))*60)</f>
        <v>0.77147907145144612</v>
      </c>
      <c r="R446" s="37">
        <f>MIN(1,MAX(0,(Q446-Inputs!$D$36)/(Inputs!$D$37-Inputs!$D$36)))</f>
        <v>0</v>
      </c>
      <c r="S446" s="35">
        <f>Inputs!$D$6*E446*Inputs!$D$27*(1-Inputs!$D$38*R446)</f>
        <v>4415.2852011355981</v>
      </c>
      <c r="T446" s="39">
        <f>S446*Inputs!$D$12</f>
        <v>70644.563218169569</v>
      </c>
      <c r="U446" s="39">
        <f>T446*(1-Inputs!$D$18)</f>
        <v>31790.053448176302</v>
      </c>
      <c r="V446" s="35">
        <f>Inputs!$D$6*F446*Inputs!$D$28*Inputs!$D$31</f>
        <v>664.12068515796761</v>
      </c>
      <c r="W446" s="36">
        <f>V446/(B446*Inputs!$D$34)</f>
        <v>0.99867772204205651</v>
      </c>
      <c r="X446" s="38">
        <f>IF(W446&gt;=1,999,W446/(Inputs!$D$34*(1-W446))*60)</f>
        <v>1294.749671797274</v>
      </c>
      <c r="Y446" s="37">
        <f>MIN(1,MAX(0,(X446-Inputs!$D$36)/(Inputs!$D$37-Inputs!$D$36)))</f>
        <v>1</v>
      </c>
      <c r="Z446" s="35">
        <f>Inputs!$D$6*F446*Inputs!$D$28*(1-Inputs!$D$38*Y446)</f>
        <v>2809.7413602837091</v>
      </c>
      <c r="AA446" s="39">
        <f>Z446*Inputs!$D$13</f>
        <v>23882.801562411529</v>
      </c>
      <c r="AB446" s="39">
        <f>AA446*(1-Inputs!$D$19)</f>
        <v>14329.680937446918</v>
      </c>
      <c r="AC446" s="39">
        <f t="shared" si="24"/>
        <v>361958.49028058106</v>
      </c>
      <c r="AD446" s="39">
        <f t="shared" si="25"/>
        <v>139720.6283106232</v>
      </c>
      <c r="AE446" s="36">
        <f t="shared" si="26"/>
        <v>0.99867772204205651</v>
      </c>
      <c r="AF446" s="35">
        <f>IF(AND(AE446&lt;=Inputs!$D$35,C446&gt;=Inputs!$D$48*(A446+B446+C446),B446*Inputs!$D$22&lt;=Inputs!$D$50*Inputs!$D$8,B446*Inputs!$D$22&gt;=Inputs!$D$49*Inputs!$D$8,A446*Inputs!$D$20&lt;=Inputs!$D$47*Inputs!$D$8,C446&gt;=1),1,0)</f>
        <v>0</v>
      </c>
      <c r="AG446" s="39">
        <f t="shared" si="27"/>
        <v>-1</v>
      </c>
    </row>
    <row r="447" spans="1:33" x14ac:dyDescent="0.25">
      <c r="A447" s="35">
        <v>43</v>
      </c>
      <c r="B447" s="35">
        <v>20</v>
      </c>
      <c r="C447" s="35">
        <f>Inputs!$D$8-A447-Inputs!$D$22*B447</f>
        <v>37</v>
      </c>
      <c r="D447" s="35">
        <f>A447*Inputs!$D$20+C447*Inputs!$D$21+B447*Inputs!$D$22</f>
        <v>120</v>
      </c>
      <c r="E447" s="36">
        <f>MIN(Inputs!$E$15,Inputs!$D$15*(C447/Inputs!$D$43)^Inputs!$D$44)</f>
        <v>0.36556269939951974</v>
      </c>
      <c r="F447" s="36">
        <f>MIN(Inputs!$E$16,Inputs!$D$16*(B447/Inputs!$D$42)^Inputs!$D$44)</f>
        <v>0.4</v>
      </c>
      <c r="G447" s="37">
        <f>Inputs!$D$26*(1+Inputs!$D$41*(B447-Inputs!$D$42))</f>
        <v>1.5</v>
      </c>
      <c r="H447" s="35">
        <f>Inputs!$D$6*Inputs!$D$14*G447*Inputs!$D$29</f>
        <v>1884.645</v>
      </c>
      <c r="I447" s="36">
        <f>H447/(A447*Inputs!$D$32)</f>
        <v>0.79689006342494717</v>
      </c>
      <c r="J447" s="38">
        <f>IF(I447&gt;=1,999,I447/(Inputs!$D$32*(1-I447))*60)</f>
        <v>4.2801185865377986</v>
      </c>
      <c r="K447" s="37">
        <f>MIN(1,MAX(0,(J447-Inputs!$D$36)/(Inputs!$D$37-Inputs!$D$36)))</f>
        <v>0</v>
      </c>
      <c r="L447" s="35">
        <f>Inputs!$D$6*Inputs!$D$14*G447*(1-Inputs!$D$38*K447)</f>
        <v>12564.300000000001</v>
      </c>
      <c r="M447" s="39">
        <f>L447*Inputs!$D$11</f>
        <v>270132.45</v>
      </c>
      <c r="N447" s="39">
        <f>M447*(1-Inputs!$D$17)</f>
        <v>94546.357499999998</v>
      </c>
      <c r="O447" s="35">
        <f>Inputs!$D$6*E447*Inputs!$D$27*Inputs!$D$30</f>
        <v>521.5322184745213</v>
      </c>
      <c r="P447" s="36">
        <f>O447/(C447*Inputs!$D$33)</f>
        <v>0.35238663410440629</v>
      </c>
      <c r="Q447" s="38">
        <f>IF(P447&gt;=1,999,P447/(Inputs!$D$33*(1-P447))*60)</f>
        <v>0.81619679116046151</v>
      </c>
      <c r="R447" s="37">
        <f>MIN(1,MAX(0,(Q447-Inputs!$D$36)/(Inputs!$D$37-Inputs!$D$36)))</f>
        <v>0</v>
      </c>
      <c r="S447" s="35">
        <f>Inputs!$D$6*E447*Inputs!$D$27*(1-Inputs!$D$38*R447)</f>
        <v>4346.101820621011</v>
      </c>
      <c r="T447" s="39">
        <f>S447*Inputs!$D$12</f>
        <v>69537.629129936176</v>
      </c>
      <c r="U447" s="39">
        <f>T447*(1-Inputs!$D$18)</f>
        <v>31291.933108471276</v>
      </c>
      <c r="V447" s="35">
        <f>Inputs!$D$6*F447*Inputs!$D$28*Inputs!$D$31</f>
        <v>674.41919999999993</v>
      </c>
      <c r="W447" s="36">
        <f>V447/(B447*Inputs!$D$34)</f>
        <v>0.96345599999999987</v>
      </c>
      <c r="X447" s="38">
        <f>IF(W447&gt;=1,999,W447/(Inputs!$D$34*(1-W447))*60)</f>
        <v>45.195896922691851</v>
      </c>
      <c r="Y447" s="37">
        <f>MIN(1,MAX(0,(X447-Inputs!$D$36)/(Inputs!$D$37-Inputs!$D$36)))</f>
        <v>1</v>
      </c>
      <c r="Z447" s="35">
        <f>Inputs!$D$6*F447*Inputs!$D$28*(1-Inputs!$D$38*Y447)</f>
        <v>2853.3119999999999</v>
      </c>
      <c r="AA447" s="39">
        <f>Z447*Inputs!$D$13</f>
        <v>24253.151999999998</v>
      </c>
      <c r="AB447" s="39">
        <f>AA447*(1-Inputs!$D$19)</f>
        <v>14551.891199999998</v>
      </c>
      <c r="AC447" s="39">
        <f t="shared" si="24"/>
        <v>363923.23112993618</v>
      </c>
      <c r="AD447" s="39">
        <f t="shared" si="25"/>
        <v>140390.18180847127</v>
      </c>
      <c r="AE447" s="36">
        <f t="shared" si="26"/>
        <v>0.96345599999999987</v>
      </c>
      <c r="AF447" s="35">
        <f>IF(AND(AE447&lt;=Inputs!$D$35,C447&gt;=Inputs!$D$48*(A447+B447+C447),B447*Inputs!$D$22&lt;=Inputs!$D$50*Inputs!$D$8,B447*Inputs!$D$22&gt;=Inputs!$D$49*Inputs!$D$8,A447*Inputs!$D$20&lt;=Inputs!$D$47*Inputs!$D$8,C447&gt;=1),1,0)</f>
        <v>0</v>
      </c>
      <c r="AG447" s="39">
        <f t="shared" si="27"/>
        <v>-1</v>
      </c>
    </row>
    <row r="448" spans="1:33" x14ac:dyDescent="0.25">
      <c r="A448" s="35">
        <v>43</v>
      </c>
      <c r="B448" s="35">
        <v>21</v>
      </c>
      <c r="C448" s="35">
        <f>Inputs!$D$8-A448-Inputs!$D$22*B448</f>
        <v>35</v>
      </c>
      <c r="D448" s="35">
        <f>A448*Inputs!$D$20+C448*Inputs!$D$21+B448*Inputs!$D$22</f>
        <v>120</v>
      </c>
      <c r="E448" s="36">
        <f>MIN(Inputs!$E$15,Inputs!$D$15*(C448/Inputs!$D$43)^Inputs!$D$44)</f>
        <v>0.3595189375764975</v>
      </c>
      <c r="F448" s="36">
        <f>MIN(Inputs!$E$16,Inputs!$D$16*(B448/Inputs!$D$42)^Inputs!$D$44)</f>
        <v>0.40589787816896217</v>
      </c>
      <c r="G448" s="37">
        <f>Inputs!$D$26*(1+Inputs!$D$41*(B448-Inputs!$D$42))</f>
        <v>1.5150000000000001</v>
      </c>
      <c r="H448" s="35">
        <f>Inputs!$D$6*Inputs!$D$14*G448*Inputs!$D$29</f>
        <v>1903.4914500000004</v>
      </c>
      <c r="I448" s="36">
        <f>H448/(A448*Inputs!$D$32)</f>
        <v>0.80485896405919677</v>
      </c>
      <c r="J448" s="38">
        <f>IF(I448&gt;=1,999,I448/(Inputs!$D$32*(1-I448))*60)</f>
        <v>4.4994532111544405</v>
      </c>
      <c r="K448" s="37">
        <f>MIN(1,MAX(0,(J448-Inputs!$D$36)/(Inputs!$D$37-Inputs!$D$36)))</f>
        <v>0</v>
      </c>
      <c r="L448" s="35">
        <f>Inputs!$D$6*Inputs!$D$14*G448*(1-Inputs!$D$38*K448)</f>
        <v>12689.943000000003</v>
      </c>
      <c r="M448" s="39">
        <f>L448*Inputs!$D$11</f>
        <v>272833.77450000006</v>
      </c>
      <c r="N448" s="39">
        <f>M448*(1-Inputs!$D$17)</f>
        <v>95491.821075000014</v>
      </c>
      <c r="O448" s="35">
        <f>Inputs!$D$6*E448*Inputs!$D$27*Inputs!$D$30</f>
        <v>512.90984940713565</v>
      </c>
      <c r="P448" s="36">
        <f>O448/(C448*Inputs!$D$33)</f>
        <v>0.36636417814795402</v>
      </c>
      <c r="Q448" s="38">
        <f>IF(P448&gt;=1,999,P448/(Inputs!$D$33*(1-P448))*60)</f>
        <v>0.86729040289368331</v>
      </c>
      <c r="R448" s="37">
        <f>MIN(1,MAX(0,(Q448-Inputs!$D$36)/(Inputs!$D$37-Inputs!$D$36)))</f>
        <v>0</v>
      </c>
      <c r="S448" s="35">
        <f>Inputs!$D$6*E448*Inputs!$D$27*(1-Inputs!$D$38*R448)</f>
        <v>4274.2487450594635</v>
      </c>
      <c r="T448" s="39">
        <f>S448*Inputs!$D$12</f>
        <v>68387.979920951417</v>
      </c>
      <c r="U448" s="39">
        <f>T448*(1-Inputs!$D$18)</f>
        <v>30774.590964428135</v>
      </c>
      <c r="V448" s="35">
        <f>Inputs!$D$6*F448*Inputs!$D$28*Inputs!$D$31</f>
        <v>684.36330569102222</v>
      </c>
      <c r="W448" s="36">
        <f>V448/(B448*Inputs!$D$34)</f>
        <v>0.93110653835513224</v>
      </c>
      <c r="X448" s="38">
        <f>IF(W448&gt;=1,999,W448/(Inputs!$D$34*(1-W448))*60)</f>
        <v>23.16885520150278</v>
      </c>
      <c r="Y448" s="37">
        <f>MIN(1,MAX(0,(X448-Inputs!$D$36)/(Inputs!$D$37-Inputs!$D$36)))</f>
        <v>1</v>
      </c>
      <c r="Z448" s="35">
        <f>Inputs!$D$6*F448*Inputs!$D$28*(1-Inputs!$D$38*Y448)</f>
        <v>2895.3832163850943</v>
      </c>
      <c r="AA448" s="39">
        <f>Z448*Inputs!$D$13</f>
        <v>24610.757339273303</v>
      </c>
      <c r="AB448" s="39">
        <f>AA448*(1-Inputs!$D$19)</f>
        <v>14766.454403563981</v>
      </c>
      <c r="AC448" s="39">
        <f t="shared" si="24"/>
        <v>365832.51176022476</v>
      </c>
      <c r="AD448" s="39">
        <f t="shared" si="25"/>
        <v>141032.86644299212</v>
      </c>
      <c r="AE448" s="36">
        <f t="shared" si="26"/>
        <v>0.93110653835513224</v>
      </c>
      <c r="AF448" s="35">
        <f>IF(AND(AE448&lt;=Inputs!$D$35,C448&gt;=Inputs!$D$48*(A448+B448+C448),B448*Inputs!$D$22&lt;=Inputs!$D$50*Inputs!$D$8,B448*Inputs!$D$22&gt;=Inputs!$D$49*Inputs!$D$8,A448*Inputs!$D$20&lt;=Inputs!$D$47*Inputs!$D$8,C448&gt;=1),1,0)</f>
        <v>0</v>
      </c>
      <c r="AG448" s="39">
        <f t="shared" si="27"/>
        <v>-1</v>
      </c>
    </row>
    <row r="449" spans="1:33" x14ac:dyDescent="0.25">
      <c r="A449" s="35">
        <v>43</v>
      </c>
      <c r="B449" s="35">
        <v>22</v>
      </c>
      <c r="C449" s="35">
        <f>Inputs!$D$8-A449-Inputs!$D$22*B449</f>
        <v>33</v>
      </c>
      <c r="D449" s="35">
        <f>A449*Inputs!$D$20+C449*Inputs!$D$21+B449*Inputs!$D$22</f>
        <v>120</v>
      </c>
      <c r="E449" s="36">
        <f>MIN(Inputs!$E$15,Inputs!$D$15*(C449/Inputs!$D$43)^Inputs!$D$44)</f>
        <v>0.35322833999035824</v>
      </c>
      <c r="F449" s="36">
        <f>MIN(Inputs!$E$16,Inputs!$D$16*(B449/Inputs!$D$42)^Inputs!$D$44)</f>
        <v>0.41160230376843804</v>
      </c>
      <c r="G449" s="37">
        <f>Inputs!$D$26*(1+Inputs!$D$41*(B449-Inputs!$D$42))</f>
        <v>1.53</v>
      </c>
      <c r="H449" s="35">
        <f>Inputs!$D$6*Inputs!$D$14*G449*Inputs!$D$29</f>
        <v>1922.3379</v>
      </c>
      <c r="I449" s="36">
        <f>H449/(A449*Inputs!$D$32)</f>
        <v>0.81282786469344603</v>
      </c>
      <c r="J449" s="38">
        <f>IF(I449&gt;=1,999,I449/(Inputs!$D$32*(1-I449))*60)</f>
        <v>4.7374642891476144</v>
      </c>
      <c r="K449" s="37">
        <f>MIN(1,MAX(0,(J449-Inputs!$D$36)/(Inputs!$D$37-Inputs!$D$36)))</f>
        <v>0</v>
      </c>
      <c r="L449" s="35">
        <f>Inputs!$D$6*Inputs!$D$14*G449*(1-Inputs!$D$38*K449)</f>
        <v>12815.586000000001</v>
      </c>
      <c r="M449" s="39">
        <f>L449*Inputs!$D$11</f>
        <v>275535.09900000005</v>
      </c>
      <c r="N449" s="39">
        <f>M449*(1-Inputs!$D$17)</f>
        <v>96437.284650000016</v>
      </c>
      <c r="O449" s="35">
        <f>Inputs!$D$6*E449*Inputs!$D$27*Inputs!$D$30</f>
        <v>503.93533061728459</v>
      </c>
      <c r="P449" s="36">
        <f>O449/(C449*Inputs!$D$33)</f>
        <v>0.38176918986157926</v>
      </c>
      <c r="Q449" s="38">
        <f>IF(P449&gt;=1,999,P449/(Inputs!$D$33*(1-P449))*60)</f>
        <v>0.92627830156855617</v>
      </c>
      <c r="R449" s="37">
        <f>MIN(1,MAX(0,(Q449-Inputs!$D$36)/(Inputs!$D$37-Inputs!$D$36)))</f>
        <v>0</v>
      </c>
      <c r="S449" s="35">
        <f>Inputs!$D$6*E449*Inputs!$D$27*(1-Inputs!$D$38*R449)</f>
        <v>4199.461088477372</v>
      </c>
      <c r="T449" s="39">
        <f>S449*Inputs!$D$12</f>
        <v>67191.377415637951</v>
      </c>
      <c r="U449" s="39">
        <f>T449*(1-Inputs!$D$18)</f>
        <v>30236.119837037077</v>
      </c>
      <c r="V449" s="35">
        <f>Inputs!$D$6*F449*Inputs!$D$28*Inputs!$D$31</f>
        <v>693.98124106416742</v>
      </c>
      <c r="W449" s="36">
        <f>V449/(B449*Inputs!$D$34)</f>
        <v>0.90127433904437326</v>
      </c>
      <c r="X449" s="38">
        <f>IF(W449&gt;=1,999,W449/(Inputs!$D$34*(1-W449))*60)</f>
        <v>15.649849381818807</v>
      </c>
      <c r="Y449" s="37">
        <f>MIN(1,MAX(0,(X449-Inputs!$D$36)/(Inputs!$D$37-Inputs!$D$36)))</f>
        <v>0.70998995878792048</v>
      </c>
      <c r="Z449" s="35">
        <f>Inputs!$D$6*F449*Inputs!$D$28*(1-Inputs!$D$38*Y449)</f>
        <v>3632.749002537963</v>
      </c>
      <c r="AA449" s="39">
        <f>Z449*Inputs!$D$13</f>
        <v>30878.366521572687</v>
      </c>
      <c r="AB449" s="39">
        <f>AA449*(1-Inputs!$D$19)</f>
        <v>18527.019912943611</v>
      </c>
      <c r="AC449" s="39">
        <f t="shared" si="24"/>
        <v>373604.84293721069</v>
      </c>
      <c r="AD449" s="39">
        <f t="shared" si="25"/>
        <v>145200.42439998072</v>
      </c>
      <c r="AE449" s="36">
        <f t="shared" si="26"/>
        <v>0.90127433904437326</v>
      </c>
      <c r="AF449" s="35">
        <f>IF(AND(AE449&lt;=Inputs!$D$35,C449&gt;=Inputs!$D$48*(A449+B449+C449),B449*Inputs!$D$22&lt;=Inputs!$D$50*Inputs!$D$8,B449*Inputs!$D$22&gt;=Inputs!$D$49*Inputs!$D$8,A449*Inputs!$D$20&lt;=Inputs!$D$47*Inputs!$D$8,C449&gt;=1),1,0)</f>
        <v>0</v>
      </c>
      <c r="AG449" s="39">
        <f t="shared" si="27"/>
        <v>-1</v>
      </c>
    </row>
    <row r="450" spans="1:33" x14ac:dyDescent="0.25">
      <c r="A450" s="35">
        <v>43</v>
      </c>
      <c r="B450" s="35">
        <v>23</v>
      </c>
      <c r="C450" s="35">
        <f>Inputs!$D$8-A450-Inputs!$D$22*B450</f>
        <v>31</v>
      </c>
      <c r="D450" s="35">
        <f>A450*Inputs!$D$20+C450*Inputs!$D$21+B450*Inputs!$D$22</f>
        <v>120</v>
      </c>
      <c r="E450" s="36">
        <f>MIN(Inputs!$E$15,Inputs!$D$15*(C450/Inputs!$D$43)^Inputs!$D$44)</f>
        <v>0.34666489615699225</v>
      </c>
      <c r="F450" s="36">
        <f>MIN(Inputs!$E$16,Inputs!$D$16*(B450/Inputs!$D$42)^Inputs!$D$44)</f>
        <v>0.41712800028621322</v>
      </c>
      <c r="G450" s="37">
        <f>Inputs!$D$26*(1+Inputs!$D$41*(B450-Inputs!$D$42))</f>
        <v>1.5449999999999999</v>
      </c>
      <c r="H450" s="35">
        <f>Inputs!$D$6*Inputs!$D$14*G450*Inputs!$D$29</f>
        <v>1941.18435</v>
      </c>
      <c r="I450" s="36">
        <f>H450/(A450*Inputs!$D$32)</f>
        <v>0.82079676532769552</v>
      </c>
      <c r="J450" s="38">
        <f>IF(I450&gt;=1,999,I450/(Inputs!$D$32*(1-I450))*60)</f>
        <v>4.9966433626163971</v>
      </c>
      <c r="K450" s="37">
        <f>MIN(1,MAX(0,(J450-Inputs!$D$36)/(Inputs!$D$37-Inputs!$D$36)))</f>
        <v>0</v>
      </c>
      <c r="L450" s="35">
        <f>Inputs!$D$6*Inputs!$D$14*G450*(1-Inputs!$D$38*K450)</f>
        <v>12941.229000000001</v>
      </c>
      <c r="M450" s="39">
        <f>L450*Inputs!$D$11</f>
        <v>278236.42350000003</v>
      </c>
      <c r="N450" s="39">
        <f>M450*(1-Inputs!$D$17)</f>
        <v>97382.748225000003</v>
      </c>
      <c r="O450" s="35">
        <f>Inputs!$D$6*E450*Inputs!$D$27*Inputs!$D$30</f>
        <v>494.57155409174993</v>
      </c>
      <c r="P450" s="36">
        <f>O450/(C450*Inputs!$D$33)</f>
        <v>0.39884802749334675</v>
      </c>
      <c r="Q450" s="38">
        <f>IF(P450&gt;=1,999,P450/(Inputs!$D$33*(1-P450))*60)</f>
        <v>0.9952093124561755</v>
      </c>
      <c r="R450" s="37">
        <f>MIN(1,MAX(0,(Q450-Inputs!$D$36)/(Inputs!$D$37-Inputs!$D$36)))</f>
        <v>0</v>
      </c>
      <c r="S450" s="35">
        <f>Inputs!$D$6*E450*Inputs!$D$27*(1-Inputs!$D$38*R450)</f>
        <v>4121.4296174312494</v>
      </c>
      <c r="T450" s="39">
        <f>S450*Inputs!$D$12</f>
        <v>65942.873878899991</v>
      </c>
      <c r="U450" s="39">
        <f>T450*(1-Inputs!$D$18)</f>
        <v>29674.293245504992</v>
      </c>
      <c r="V450" s="35">
        <f>Inputs!$D$6*F450*Inputs!$D$28*Inputs!$D$31</f>
        <v>703.29783062656929</v>
      </c>
      <c r="W450" s="36">
        <f>V450/(B450*Inputs!$D$34)</f>
        <v>0.87366190139946498</v>
      </c>
      <c r="X450" s="38">
        <f>IF(W450&gt;=1,999,W450/(Inputs!$D$34*(1-W450))*60)</f>
        <v>11.854746377182334</v>
      </c>
      <c r="Y450" s="37">
        <f>MIN(1,MAX(0,(X450-Inputs!$D$36)/(Inputs!$D$37-Inputs!$D$36)))</f>
        <v>0.45698309181215557</v>
      </c>
      <c r="Z450" s="35">
        <f>Inputs!$D$6*F450*Inputs!$D$28*(1-Inputs!$D$38*Y450)</f>
        <v>4297.4614071503011</v>
      </c>
      <c r="AA450" s="39">
        <f>Z450*Inputs!$D$13</f>
        <v>36528.421960777559</v>
      </c>
      <c r="AB450" s="39">
        <f>AA450*(1-Inputs!$D$19)</f>
        <v>21917.053176466536</v>
      </c>
      <c r="AC450" s="39">
        <f t="shared" si="24"/>
        <v>380707.71933967754</v>
      </c>
      <c r="AD450" s="39">
        <f t="shared" si="25"/>
        <v>148974.09464697153</v>
      </c>
      <c r="AE450" s="36">
        <f t="shared" si="26"/>
        <v>0.87366190139946498</v>
      </c>
      <c r="AF450" s="35">
        <f>IF(AND(AE450&lt;=Inputs!$D$35,C450&gt;=Inputs!$D$48*(A450+B450+C450),B450*Inputs!$D$22&lt;=Inputs!$D$50*Inputs!$D$8,B450*Inputs!$D$22&gt;=Inputs!$D$49*Inputs!$D$8,A450*Inputs!$D$20&lt;=Inputs!$D$47*Inputs!$D$8,C450&gt;=1),1,0)</f>
        <v>0</v>
      </c>
      <c r="AG450" s="39">
        <f t="shared" si="27"/>
        <v>-1</v>
      </c>
    </row>
    <row r="451" spans="1:33" x14ac:dyDescent="0.25">
      <c r="A451" s="35">
        <v>43</v>
      </c>
      <c r="B451" s="35">
        <v>24</v>
      </c>
      <c r="C451" s="35">
        <f>Inputs!$D$8-A451-Inputs!$D$22*B451</f>
        <v>29</v>
      </c>
      <c r="D451" s="35">
        <f>A451*Inputs!$D$20+C451*Inputs!$D$21+B451*Inputs!$D$22</f>
        <v>120</v>
      </c>
      <c r="E451" s="36">
        <f>MIN(Inputs!$E$15,Inputs!$D$15*(C451/Inputs!$D$43)^Inputs!$D$44)</f>
        <v>0.33979795258455459</v>
      </c>
      <c r="F451" s="36">
        <f>MIN(Inputs!$E$16,Inputs!$D$16*(B451/Inputs!$D$42)^Inputs!$D$44)</f>
        <v>0.42248798737570326</v>
      </c>
      <c r="G451" s="37">
        <f>Inputs!$D$26*(1+Inputs!$D$41*(B451-Inputs!$D$42))</f>
        <v>1.56</v>
      </c>
      <c r="H451" s="35">
        <f>Inputs!$D$6*Inputs!$D$14*G451*Inputs!$D$29</f>
        <v>1960.0308</v>
      </c>
      <c r="I451" s="36">
        <f>H451/(A451*Inputs!$D$32)</f>
        <v>0.82876566596194501</v>
      </c>
      <c r="J451" s="38">
        <f>IF(I451&gt;=1,999,I451/(Inputs!$D$32*(1-I451))*60)</f>
        <v>5.2799457790415119</v>
      </c>
      <c r="K451" s="37">
        <f>MIN(1,MAX(0,(J451-Inputs!$D$36)/(Inputs!$D$37-Inputs!$D$36)))</f>
        <v>1.8663051936100791E-2</v>
      </c>
      <c r="L451" s="35">
        <f>Inputs!$D$6*Inputs!$D$14*G451*(1-Inputs!$D$38*K451)</f>
        <v>12957.131530149729</v>
      </c>
      <c r="M451" s="39">
        <f>L451*Inputs!$D$11</f>
        <v>278578.32789821917</v>
      </c>
      <c r="N451" s="39">
        <f>M451*(1-Inputs!$D$17)</f>
        <v>97502.414764376706</v>
      </c>
      <c r="O451" s="35">
        <f>Inputs!$D$6*E451*Inputs!$D$27*Inputs!$D$30</f>
        <v>484.77478784247035</v>
      </c>
      <c r="P451" s="36">
        <f>O451/(C451*Inputs!$D$33)</f>
        <v>0.41790929986419856</v>
      </c>
      <c r="Q451" s="38">
        <f>IF(P451&gt;=1,999,P451/(Inputs!$D$33*(1-P451))*60)</f>
        <v>1.0769179951681944</v>
      </c>
      <c r="R451" s="37">
        <f>MIN(1,MAX(0,(Q451-Inputs!$D$36)/(Inputs!$D$37-Inputs!$D$36)))</f>
        <v>0</v>
      </c>
      <c r="S451" s="35">
        <f>Inputs!$D$6*E451*Inputs!$D$27*(1-Inputs!$D$38*R451)</f>
        <v>4039.7898986872528</v>
      </c>
      <c r="T451" s="39">
        <f>S451*Inputs!$D$12</f>
        <v>64636.638378996046</v>
      </c>
      <c r="U451" s="39">
        <f>T451*(1-Inputs!$D$18)</f>
        <v>29086.487270548219</v>
      </c>
      <c r="V451" s="35">
        <f>Inputs!$D$6*F451*Inputs!$D$28*Inputs!$D$31</f>
        <v>712.33502613882979</v>
      </c>
      <c r="W451" s="36">
        <f>V451/(B451*Inputs!$D$34)</f>
        <v>0.84801788826051161</v>
      </c>
      <c r="X451" s="38">
        <f>IF(W451&gt;=1,999,W451/(Inputs!$D$34*(1-W451))*60)</f>
        <v>9.5652372155190832</v>
      </c>
      <c r="Y451" s="37">
        <f>MIN(1,MAX(0,(X451-Inputs!$D$36)/(Inputs!$D$37-Inputs!$D$36)))</f>
        <v>0.30434914770127219</v>
      </c>
      <c r="Z451" s="35">
        <f>Inputs!$D$6*F451*Inputs!$D$28*(1-Inputs!$D$38*Y451)</f>
        <v>4729.0436538571339</v>
      </c>
      <c r="AA451" s="39">
        <f>Z451*Inputs!$D$13</f>
        <v>40196.87105778564</v>
      </c>
      <c r="AB451" s="39">
        <f>AA451*(1-Inputs!$D$19)</f>
        <v>24118.122634671385</v>
      </c>
      <c r="AC451" s="39">
        <f t="shared" si="24"/>
        <v>383411.83733500086</v>
      </c>
      <c r="AD451" s="39">
        <f t="shared" si="25"/>
        <v>150707.02466959631</v>
      </c>
      <c r="AE451" s="36">
        <f t="shared" si="26"/>
        <v>0.84801788826051161</v>
      </c>
      <c r="AF451" s="35">
        <f>IF(AND(AE451&lt;=Inputs!$D$35,C451&gt;=Inputs!$D$48*(A451+B451+C451),B451*Inputs!$D$22&lt;=Inputs!$D$50*Inputs!$D$8,B451*Inputs!$D$22&gt;=Inputs!$D$49*Inputs!$D$8,A451*Inputs!$D$20&lt;=Inputs!$D$47*Inputs!$D$8,C451&gt;=1),1,0)</f>
        <v>1</v>
      </c>
      <c r="AG451" s="39">
        <f t="shared" si="27"/>
        <v>150707.02466959631</v>
      </c>
    </row>
    <row r="452" spans="1:33" x14ac:dyDescent="0.25">
      <c r="A452" s="35">
        <v>43</v>
      </c>
      <c r="B452" s="35">
        <v>25</v>
      </c>
      <c r="C452" s="35">
        <f>Inputs!$D$8-A452-Inputs!$D$22*B452</f>
        <v>27</v>
      </c>
      <c r="D452" s="35">
        <f>A452*Inputs!$D$20+C452*Inputs!$D$21+B452*Inputs!$D$22</f>
        <v>120</v>
      </c>
      <c r="E452" s="36">
        <f>MIN(Inputs!$E$15,Inputs!$D$15*(C452/Inputs!$D$43)^Inputs!$D$44)</f>
        <v>0.33259099594532748</v>
      </c>
      <c r="F452" s="36">
        <f>MIN(Inputs!$E$16,Inputs!$D$16*(B452/Inputs!$D$42)^Inputs!$D$44)</f>
        <v>0.42769383999647526</v>
      </c>
      <c r="G452" s="37">
        <f>Inputs!$D$26*(1+Inputs!$D$41*(B452-Inputs!$D$42))</f>
        <v>1.5750000000000002</v>
      </c>
      <c r="H452" s="35">
        <f>Inputs!$D$6*Inputs!$D$14*G452*Inputs!$D$29</f>
        <v>1978.8772500000005</v>
      </c>
      <c r="I452" s="36">
        <f>H452/(A452*Inputs!$D$32)</f>
        <v>0.83673456659619472</v>
      </c>
      <c r="J452" s="38">
        <f>IF(I452&gt;=1,999,I452/(Inputs!$D$32*(1-I452))*60)</f>
        <v>5.5909038817790071</v>
      </c>
      <c r="K452" s="37">
        <f>MIN(1,MAX(0,(J452-Inputs!$D$36)/(Inputs!$D$37-Inputs!$D$36)))</f>
        <v>3.9393592118600475E-2</v>
      </c>
      <c r="L452" s="35">
        <f>Inputs!$D$6*Inputs!$D$14*G452*(1-Inputs!$D$38*K452)</f>
        <v>12958.649750282169</v>
      </c>
      <c r="M452" s="39">
        <f>L452*Inputs!$D$11</f>
        <v>278610.96963106666</v>
      </c>
      <c r="N452" s="39">
        <f>M452*(1-Inputs!$D$17)</f>
        <v>97513.83937087332</v>
      </c>
      <c r="O452" s="35">
        <f>Inputs!$D$6*E452*Inputs!$D$27*Inputs!$D$30</f>
        <v>474.49293991137716</v>
      </c>
      <c r="P452" s="36">
        <f>O452/(C452*Inputs!$D$33)</f>
        <v>0.43934531473275662</v>
      </c>
      <c r="Q452" s="38">
        <f>IF(P452&gt;=1,999,P452/(Inputs!$D$33*(1-P452))*60)</f>
        <v>1.1754436187133714</v>
      </c>
      <c r="R452" s="37">
        <f>MIN(1,MAX(0,(Q452-Inputs!$D$36)/(Inputs!$D$37-Inputs!$D$36)))</f>
        <v>0</v>
      </c>
      <c r="S452" s="35">
        <f>Inputs!$D$6*E452*Inputs!$D$27*(1-Inputs!$D$38*R452)</f>
        <v>3954.1078325948097</v>
      </c>
      <c r="T452" s="39">
        <f>S452*Inputs!$D$12</f>
        <v>63265.725321516955</v>
      </c>
      <c r="U452" s="39">
        <f>T452*(1-Inputs!$D$18)</f>
        <v>28469.576394682626</v>
      </c>
      <c r="V452" s="35">
        <f>Inputs!$D$6*F452*Inputs!$D$28*Inputs!$D$31</f>
        <v>721.1123435383771</v>
      </c>
      <c r="W452" s="36">
        <f>V452/(B452*Inputs!$D$34)</f>
        <v>0.82412839261528814</v>
      </c>
      <c r="X452" s="38">
        <f>IF(W452&gt;=1,999,W452/(Inputs!$D$34*(1-W452))*60)</f>
        <v>8.0330847668163621</v>
      </c>
      <c r="Y452" s="37">
        <f>MIN(1,MAX(0,(X452-Inputs!$D$36)/(Inputs!$D$37-Inputs!$D$36)))</f>
        <v>0.20220565112109082</v>
      </c>
      <c r="Z452" s="35">
        <f>Inputs!$D$6*F452*Inputs!$D$28*(1-Inputs!$D$38*Y452)</f>
        <v>5042.2807508299393</v>
      </c>
      <c r="AA452" s="39">
        <f>Z452*Inputs!$D$13</f>
        <v>42859.386382054487</v>
      </c>
      <c r="AB452" s="39">
        <f>AA452*(1-Inputs!$D$19)</f>
        <v>25715.631829232691</v>
      </c>
      <c r="AC452" s="39">
        <f t="shared" si="24"/>
        <v>384736.08133463812</v>
      </c>
      <c r="AD452" s="39">
        <f t="shared" si="25"/>
        <v>151699.04759478866</v>
      </c>
      <c r="AE452" s="36">
        <f t="shared" si="26"/>
        <v>0.83673456659619472</v>
      </c>
      <c r="AF452" s="35">
        <f>IF(AND(AE452&lt;=Inputs!$D$35,C452&gt;=Inputs!$D$48*(A452+B452+C452),B452*Inputs!$D$22&lt;=Inputs!$D$50*Inputs!$D$8,B452*Inputs!$D$22&gt;=Inputs!$D$49*Inputs!$D$8,A452*Inputs!$D$20&lt;=Inputs!$D$47*Inputs!$D$8,C452&gt;=1),1,0)</f>
        <v>1</v>
      </c>
      <c r="AG452" s="39">
        <f t="shared" si="27"/>
        <v>151699.04759478866</v>
      </c>
    </row>
    <row r="453" spans="1:33" x14ac:dyDescent="0.25">
      <c r="A453" s="35">
        <v>43</v>
      </c>
      <c r="B453" s="35">
        <v>26</v>
      </c>
      <c r="C453" s="35">
        <f>Inputs!$D$8-A453-Inputs!$D$22*B453</f>
        <v>25</v>
      </c>
      <c r="D453" s="35">
        <f>A453*Inputs!$D$20+C453*Inputs!$D$21+B453*Inputs!$D$22</f>
        <v>120</v>
      </c>
      <c r="E453" s="36">
        <f>MIN(Inputs!$E$15,Inputs!$D$15*(C453/Inputs!$D$43)^Inputs!$D$44)</f>
        <v>0.32500000000000001</v>
      </c>
      <c r="F453" s="36">
        <f>MIN(Inputs!$E$16,Inputs!$D$16*(B453/Inputs!$D$42)^Inputs!$D$44)</f>
        <v>0.43275589945781112</v>
      </c>
      <c r="G453" s="37">
        <f>Inputs!$D$26*(1+Inputs!$D$41*(B453-Inputs!$D$42))</f>
        <v>1.59</v>
      </c>
      <c r="H453" s="35">
        <f>Inputs!$D$6*Inputs!$D$14*G453*Inputs!$D$29</f>
        <v>1997.7237</v>
      </c>
      <c r="I453" s="36">
        <f>H453/(A453*Inputs!$D$32)</f>
        <v>0.84470346723044398</v>
      </c>
      <c r="J453" s="38">
        <f>IF(I453&gt;=1,999,I453/(Inputs!$D$32*(1-I453))*60)</f>
        <v>5.9337750501585464</v>
      </c>
      <c r="K453" s="37">
        <f>MIN(1,MAX(0,(J453-Inputs!$D$36)/(Inputs!$D$37-Inputs!$D$36)))</f>
        <v>6.2251670010569762E-2</v>
      </c>
      <c r="L453" s="35">
        <f>Inputs!$D$6*Inputs!$D$14*G453*(1-Inputs!$D$38*K453)</f>
        <v>12945.073090365917</v>
      </c>
      <c r="M453" s="39">
        <f>L453*Inputs!$D$11</f>
        <v>278319.07144286722</v>
      </c>
      <c r="N453" s="39">
        <f>M453*(1-Inputs!$D$17)</f>
        <v>97411.675005003519</v>
      </c>
      <c r="O453" s="35">
        <f>Inputs!$D$6*E453*Inputs!$D$27*Inputs!$D$30</f>
        <v>463.66320000000002</v>
      </c>
      <c r="P453" s="36">
        <f>O453/(C453*Inputs!$D$33)</f>
        <v>0.4636632</v>
      </c>
      <c r="Q453" s="38">
        <f>IF(P453&gt;=1,999,P453/(Inputs!$D$33*(1-P453))*60)</f>
        <v>1.296750101801704</v>
      </c>
      <c r="R453" s="37">
        <f>MIN(1,MAX(0,(Q453-Inputs!$D$36)/(Inputs!$D$37-Inputs!$D$36)))</f>
        <v>0</v>
      </c>
      <c r="S453" s="35">
        <f>Inputs!$D$6*E453*Inputs!$D$27*(1-Inputs!$D$38*R453)</f>
        <v>3863.86</v>
      </c>
      <c r="T453" s="39">
        <f>S453*Inputs!$D$12</f>
        <v>61821.760000000002</v>
      </c>
      <c r="U453" s="39">
        <f>T453*(1-Inputs!$D$18)</f>
        <v>27819.791999999998</v>
      </c>
      <c r="V453" s="35">
        <f>Inputs!$D$6*F453*Inputs!$D$28*Inputs!$D$31</f>
        <v>729.64721876904355</v>
      </c>
      <c r="W453" s="36">
        <f>V453/(B453*Inputs!$D$34)</f>
        <v>0.80181013051543248</v>
      </c>
      <c r="X453" s="38">
        <f>IF(W453&gt;=1,999,W453/(Inputs!$D$34*(1-W453))*60)</f>
        <v>6.9354284146153136</v>
      </c>
      <c r="Y453" s="37">
        <f>MIN(1,MAX(0,(X453-Inputs!$D$36)/(Inputs!$D$37-Inputs!$D$36)))</f>
        <v>0.12902856097435425</v>
      </c>
      <c r="Z453" s="35">
        <f>Inputs!$D$6*F453*Inputs!$D$28*(1-Inputs!$D$38*Y453)</f>
        <v>5286.7832305655711</v>
      </c>
      <c r="AA453" s="39">
        <f>Z453*Inputs!$D$13</f>
        <v>44937.657459807357</v>
      </c>
      <c r="AB453" s="39">
        <f>AA453*(1-Inputs!$D$19)</f>
        <v>26962.594475884413</v>
      </c>
      <c r="AC453" s="39">
        <f t="shared" ref="AC453:AC516" si="28">M453+T453+AA453</f>
        <v>385078.48890267458</v>
      </c>
      <c r="AD453" s="39">
        <f t="shared" ref="AD453:AD516" si="29">N453+U453+AB453</f>
        <v>152194.06148088793</v>
      </c>
      <c r="AE453" s="36">
        <f t="shared" ref="AE453:AE516" si="30">MAX(I453,P453,W453)</f>
        <v>0.84470346723044398</v>
      </c>
      <c r="AF453" s="35">
        <f>IF(AND(AE453&lt;=Inputs!$D$35,C453&gt;=Inputs!$D$48*(A453+B453+C453),B453*Inputs!$D$22&lt;=Inputs!$D$50*Inputs!$D$8,B453*Inputs!$D$22&gt;=Inputs!$D$49*Inputs!$D$8,A453*Inputs!$D$20&lt;=Inputs!$D$47*Inputs!$D$8,C453&gt;=1),1,0)</f>
        <v>1</v>
      </c>
      <c r="AG453" s="39">
        <f t="shared" ref="AG453:AG516" si="31">IF(AF453=1,AD453,-1)</f>
        <v>152194.06148088793</v>
      </c>
    </row>
    <row r="454" spans="1:33" x14ac:dyDescent="0.25">
      <c r="A454" s="35">
        <v>43</v>
      </c>
      <c r="B454" s="35">
        <v>27</v>
      </c>
      <c r="C454" s="35">
        <f>Inputs!$D$8-A454-Inputs!$D$22*B454</f>
        <v>23</v>
      </c>
      <c r="D454" s="35">
        <f>A454*Inputs!$D$20+C454*Inputs!$D$21+B454*Inputs!$D$22</f>
        <v>120</v>
      </c>
      <c r="E454" s="36">
        <f>MIN(Inputs!$E$15,Inputs!$D$15*(C454/Inputs!$D$43)^Inputs!$D$44)</f>
        <v>0.31697113078396583</v>
      </c>
      <c r="F454" s="36">
        <f>MIN(Inputs!$E$16,Inputs!$D$16*(B454/Inputs!$D$42)^Inputs!$D$44)</f>
        <v>0.43768344678187454</v>
      </c>
      <c r="G454" s="37">
        <f>Inputs!$D$26*(1+Inputs!$D$41*(B454-Inputs!$D$42))</f>
        <v>1.605</v>
      </c>
      <c r="H454" s="35">
        <f>Inputs!$D$6*Inputs!$D$14*G454*Inputs!$D$29</f>
        <v>2016.57015</v>
      </c>
      <c r="I454" s="36">
        <f>H454/(A454*Inputs!$D$32)</f>
        <v>0.85267236786469347</v>
      </c>
      <c r="J454" s="38">
        <f>IF(I454&gt;=1,999,I454/(Inputs!$D$32*(1-I454))*60)</f>
        <v>6.3137377842079525</v>
      </c>
      <c r="K454" s="37">
        <f>MIN(1,MAX(0,(J454-Inputs!$D$36)/(Inputs!$D$37-Inputs!$D$36)))</f>
        <v>8.7582518947196833E-2</v>
      </c>
      <c r="L454" s="35">
        <f>Inputs!$D$6*Inputs!$D$14*G454*(1-Inputs!$D$38*K454)</f>
        <v>12913.952119887821</v>
      </c>
      <c r="M454" s="39">
        <f>L454*Inputs!$D$11</f>
        <v>277649.97057758813</v>
      </c>
      <c r="N454" s="39">
        <f>M454*(1-Inputs!$D$17)</f>
        <v>97177.489702155843</v>
      </c>
      <c r="O454" s="35">
        <f>Inputs!$D$6*E454*Inputs!$D$27*Inputs!$D$30</f>
        <v>452.20876555972956</v>
      </c>
      <c r="P454" s="36">
        <f>O454/(C454*Inputs!$D$33)</f>
        <v>0.49153126691274951</v>
      </c>
      <c r="Q454" s="38">
        <f>IF(P454&gt;=1,999,P454/(Inputs!$D$33*(1-P454))*60)</f>
        <v>1.4500339005950402</v>
      </c>
      <c r="R454" s="37">
        <f>MIN(1,MAX(0,(Q454-Inputs!$D$36)/(Inputs!$D$37-Inputs!$D$36)))</f>
        <v>0</v>
      </c>
      <c r="S454" s="35">
        <f>Inputs!$D$6*E454*Inputs!$D$27*(1-Inputs!$D$38*R454)</f>
        <v>3768.4063796644132</v>
      </c>
      <c r="T454" s="39">
        <f>S454*Inputs!$D$12</f>
        <v>60294.502074630611</v>
      </c>
      <c r="U454" s="39">
        <f>T454*(1-Inputs!$D$18)</f>
        <v>27132.525933583773</v>
      </c>
      <c r="V454" s="35">
        <f>Inputs!$D$6*F454*Inputs!$D$28*Inputs!$D$31</f>
        <v>737.95530007968603</v>
      </c>
      <c r="W454" s="36">
        <f>V454/(B454*Inputs!$D$34)</f>
        <v>0.78090507944940324</v>
      </c>
      <c r="X454" s="38">
        <f>IF(W454&gt;=1,999,W454/(Inputs!$D$34*(1-W454))*60)</f>
        <v>6.1101116290101798</v>
      </c>
      <c r="Y454" s="37">
        <f>MIN(1,MAX(0,(X454-Inputs!$D$36)/(Inputs!$D$37-Inputs!$D$36)))</f>
        <v>7.4007441934011986E-2</v>
      </c>
      <c r="Z454" s="35">
        <f>Inputs!$D$6*F454*Inputs!$D$28*(1-Inputs!$D$38*Y454)</f>
        <v>5487.5301328495489</v>
      </c>
      <c r="AA454" s="39">
        <f>Z454*Inputs!$D$13</f>
        <v>46644.006129221169</v>
      </c>
      <c r="AB454" s="39">
        <f>AA454*(1-Inputs!$D$19)</f>
        <v>27986.4036775327</v>
      </c>
      <c r="AC454" s="39">
        <f t="shared" si="28"/>
        <v>384588.47878143995</v>
      </c>
      <c r="AD454" s="39">
        <f t="shared" si="29"/>
        <v>152296.41931327232</v>
      </c>
      <c r="AE454" s="36">
        <f t="shared" si="30"/>
        <v>0.85267236786469347</v>
      </c>
      <c r="AF454" s="35">
        <f>IF(AND(AE454&lt;=Inputs!$D$35,C454&gt;=Inputs!$D$48*(A454+B454+C454),B454*Inputs!$D$22&lt;=Inputs!$D$50*Inputs!$D$8,B454*Inputs!$D$22&gt;=Inputs!$D$49*Inputs!$D$8,A454*Inputs!$D$20&lt;=Inputs!$D$47*Inputs!$D$8,C454&gt;=1),1,0)</f>
        <v>0</v>
      </c>
      <c r="AG454" s="39">
        <f t="shared" si="31"/>
        <v>-1</v>
      </c>
    </row>
    <row r="455" spans="1:33" x14ac:dyDescent="0.25">
      <c r="A455" s="35">
        <v>43</v>
      </c>
      <c r="B455" s="35">
        <v>28</v>
      </c>
      <c r="C455" s="35">
        <f>Inputs!$D$8-A455-Inputs!$D$22*B455</f>
        <v>21</v>
      </c>
      <c r="D455" s="35">
        <f>A455*Inputs!$D$20+C455*Inputs!$D$21+B455*Inputs!$D$22</f>
        <v>120</v>
      </c>
      <c r="E455" s="36">
        <f>MIN(Inputs!$E$15,Inputs!$D$15*(C455/Inputs!$D$43)^Inputs!$D$44)</f>
        <v>0.30843748043226404</v>
      </c>
      <c r="F455" s="36">
        <f>MIN(Inputs!$E$16,Inputs!$D$16*(B455/Inputs!$D$42)^Inputs!$D$44)</f>
        <v>0.44248484624799689</v>
      </c>
      <c r="G455" s="37">
        <f>Inputs!$D$26*(1+Inputs!$D$41*(B455-Inputs!$D$42))</f>
        <v>1.62</v>
      </c>
      <c r="H455" s="35">
        <f>Inputs!$D$6*Inputs!$D$14*G455*Inputs!$D$29</f>
        <v>2035.4166</v>
      </c>
      <c r="I455" s="36">
        <f>H455/(A455*Inputs!$D$32)</f>
        <v>0.86064126849894296</v>
      </c>
      <c r="J455" s="38">
        <f>IF(I455&gt;=1,999,I455/(Inputs!$D$32*(1-I455))*60)</f>
        <v>6.7371550652346972</v>
      </c>
      <c r="K455" s="37">
        <f>MIN(1,MAX(0,(J455-Inputs!$D$36)/(Inputs!$D$37-Inputs!$D$36)))</f>
        <v>0.11581033768231315</v>
      </c>
      <c r="L455" s="35">
        <f>Inputs!$D$6*Inputs!$D$14*G455*(1-Inputs!$D$38*K455)</f>
        <v>12862.277148689443</v>
      </c>
      <c r="M455" s="39">
        <f>L455*Inputs!$D$11</f>
        <v>276538.95869682304</v>
      </c>
      <c r="N455" s="39">
        <f>M455*(1-Inputs!$D$17)</f>
        <v>96788.635543888056</v>
      </c>
      <c r="O455" s="35">
        <f>Inputs!$D$6*E455*Inputs!$D$27*Inputs!$D$30</f>
        <v>440.03418208357215</v>
      </c>
      <c r="P455" s="36">
        <f>O455/(C455*Inputs!$D$33)</f>
        <v>0.52385021676615728</v>
      </c>
      <c r="Q455" s="38">
        <f>IF(P455&gt;=1,999,P455/(Inputs!$D$33*(1-P455))*60)</f>
        <v>1.6502692069132636</v>
      </c>
      <c r="R455" s="37">
        <f>MIN(1,MAX(0,(Q455-Inputs!$D$36)/(Inputs!$D$37-Inputs!$D$36)))</f>
        <v>0</v>
      </c>
      <c r="S455" s="35">
        <f>Inputs!$D$6*E455*Inputs!$D$27*(1-Inputs!$D$38*R455)</f>
        <v>3666.9515173631012</v>
      </c>
      <c r="T455" s="39">
        <f>S455*Inputs!$D$12</f>
        <v>58671.224277809619</v>
      </c>
      <c r="U455" s="39">
        <f>T455*(1-Inputs!$D$18)</f>
        <v>26402.050925014326</v>
      </c>
      <c r="V455" s="35">
        <f>Inputs!$D$6*F455*Inputs!$D$28*Inputs!$D$31</f>
        <v>746.05069004674272</v>
      </c>
      <c r="W455" s="36">
        <f>V455/(B455*Inputs!$D$34)</f>
        <v>0.76127621433341097</v>
      </c>
      <c r="X455" s="38">
        <f>IF(W455&gt;=1,999,W455/(Inputs!$D$34*(1-W455))*60)</f>
        <v>5.4667570523531852</v>
      </c>
      <c r="Y455" s="37">
        <f>MIN(1,MAX(0,(X455-Inputs!$D$36)/(Inputs!$D$37-Inputs!$D$36)))</f>
        <v>3.111713682354568E-2</v>
      </c>
      <c r="Z455" s="35">
        <f>Inputs!$D$6*F455*Inputs!$D$28*(1-Inputs!$D$38*Y455)</f>
        <v>5658.4919801305723</v>
      </c>
      <c r="AA455" s="39">
        <f>Z455*Inputs!$D$13</f>
        <v>48097.181831109861</v>
      </c>
      <c r="AB455" s="39">
        <f>AA455*(1-Inputs!$D$19)</f>
        <v>28858.309098665915</v>
      </c>
      <c r="AC455" s="39">
        <f t="shared" si="28"/>
        <v>383307.36480574252</v>
      </c>
      <c r="AD455" s="39">
        <f t="shared" si="29"/>
        <v>152048.99556756829</v>
      </c>
      <c r="AE455" s="36">
        <f t="shared" si="30"/>
        <v>0.86064126849894296</v>
      </c>
      <c r="AF455" s="35">
        <f>IF(AND(AE455&lt;=Inputs!$D$35,C455&gt;=Inputs!$D$48*(A455+B455+C455),B455*Inputs!$D$22&lt;=Inputs!$D$50*Inputs!$D$8,B455*Inputs!$D$22&gt;=Inputs!$D$49*Inputs!$D$8,A455*Inputs!$D$20&lt;=Inputs!$D$47*Inputs!$D$8,C455&gt;=1),1,0)</f>
        <v>0</v>
      </c>
      <c r="AG455" s="39">
        <f t="shared" si="31"/>
        <v>-1</v>
      </c>
    </row>
    <row r="456" spans="1:33" x14ac:dyDescent="0.25">
      <c r="A456" s="35">
        <v>43</v>
      </c>
      <c r="B456" s="35">
        <v>29</v>
      </c>
      <c r="C456" s="35">
        <f>Inputs!$D$8-A456-Inputs!$D$22*B456</f>
        <v>19</v>
      </c>
      <c r="D456" s="35">
        <f>A456*Inputs!$D$20+C456*Inputs!$D$21+B456*Inputs!$D$22</f>
        <v>120</v>
      </c>
      <c r="E456" s="36">
        <f>MIN(Inputs!$E$15,Inputs!$D$15*(C456/Inputs!$D$43)^Inputs!$D$44)</f>
        <v>0.29931428106923352</v>
      </c>
      <c r="F456" s="36">
        <f>MIN(Inputs!$E$16,Inputs!$D$16*(B456/Inputs!$D$42)^Inputs!$D$44)</f>
        <v>0.44716766511947192</v>
      </c>
      <c r="G456" s="37">
        <f>Inputs!$D$26*(1+Inputs!$D$41*(B456-Inputs!$D$42))</f>
        <v>1.6350000000000002</v>
      </c>
      <c r="H456" s="35">
        <f>Inputs!$D$6*Inputs!$D$14*G456*Inputs!$D$29</f>
        <v>2054.2630500000005</v>
      </c>
      <c r="I456" s="36">
        <f>H456/(A456*Inputs!$D$32)</f>
        <v>0.86861016913319256</v>
      </c>
      <c r="J456" s="38">
        <f>IF(I456&gt;=1,999,I456/(Inputs!$D$32*(1-I456))*60)</f>
        <v>7.2119335546147303</v>
      </c>
      <c r="K456" s="37">
        <f>MIN(1,MAX(0,(J456-Inputs!$D$36)/(Inputs!$D$37-Inputs!$D$36)))</f>
        <v>0.14746223697431535</v>
      </c>
      <c r="L456" s="35">
        <f>Inputs!$D$6*Inputs!$D$14*G456*(1-Inputs!$D$38*K456)</f>
        <v>12786.308325939963</v>
      </c>
      <c r="M456" s="39">
        <f>L456*Inputs!$D$11</f>
        <v>274905.62900770921</v>
      </c>
      <c r="N456" s="39">
        <f>M456*(1-Inputs!$D$17)</f>
        <v>96216.970152698224</v>
      </c>
      <c r="O456" s="35">
        <f>Inputs!$D$6*E456*Inputs!$D$27*Inputs!$D$30</f>
        <v>427.01851497310844</v>
      </c>
      <c r="P456" s="36">
        <f>O456/(C456*Inputs!$D$33)</f>
        <v>0.56186646706987953</v>
      </c>
      <c r="Q456" s="38">
        <f>IF(P456&gt;=1,999,P456/(Inputs!$D$33*(1-P456))*60)</f>
        <v>1.9236137781292366</v>
      </c>
      <c r="R456" s="37">
        <f>MIN(1,MAX(0,(Q456-Inputs!$D$36)/(Inputs!$D$37-Inputs!$D$36)))</f>
        <v>0</v>
      </c>
      <c r="S456" s="35">
        <f>Inputs!$D$6*E456*Inputs!$D$27*(1-Inputs!$D$38*R456)</f>
        <v>3558.4876247759039</v>
      </c>
      <c r="T456" s="39">
        <f>S456*Inputs!$D$12</f>
        <v>56935.801996414462</v>
      </c>
      <c r="U456" s="39">
        <f>T456*(1-Inputs!$D$18)</f>
        <v>25621.110898386505</v>
      </c>
      <c r="V456" s="35">
        <f>Inputs!$D$6*F456*Inputs!$D$28*Inputs!$D$31</f>
        <v>753.9461474393554</v>
      </c>
      <c r="W456" s="36">
        <f>V456/(B456*Inputs!$D$34)</f>
        <v>0.74280408614714821</v>
      </c>
      <c r="X456" s="38">
        <f>IF(W456&gt;=1,999,W456/(Inputs!$D$34*(1-W456))*60)</f>
        <v>4.9510056918075414</v>
      </c>
      <c r="Y456" s="37">
        <f>MIN(1,MAX(0,(X456-Inputs!$D$36)/(Inputs!$D$37-Inputs!$D$36)))</f>
        <v>0</v>
      </c>
      <c r="Z456" s="35">
        <f>Inputs!$D$6*F456*Inputs!$D$28*(1-Inputs!$D$38*Y456)</f>
        <v>5799.5857495335031</v>
      </c>
      <c r="AA456" s="39">
        <f>Z456*Inputs!$D$13</f>
        <v>49296.478871034778</v>
      </c>
      <c r="AB456" s="39">
        <f>AA456*(1-Inputs!$D$19)</f>
        <v>29577.887322620867</v>
      </c>
      <c r="AC456" s="39">
        <f t="shared" si="28"/>
        <v>381137.90987515845</v>
      </c>
      <c r="AD456" s="39">
        <f t="shared" si="29"/>
        <v>151415.9683737056</v>
      </c>
      <c r="AE456" s="36">
        <f t="shared" si="30"/>
        <v>0.86861016913319256</v>
      </c>
      <c r="AF456" s="35">
        <f>IF(AND(AE456&lt;=Inputs!$D$35,C456&gt;=Inputs!$D$48*(A456+B456+C456),B456*Inputs!$D$22&lt;=Inputs!$D$50*Inputs!$D$8,B456*Inputs!$D$22&gt;=Inputs!$D$49*Inputs!$D$8,A456*Inputs!$D$20&lt;=Inputs!$D$47*Inputs!$D$8,C456&gt;=1),1,0)</f>
        <v>0</v>
      </c>
      <c r="AG456" s="39">
        <f t="shared" si="31"/>
        <v>-1</v>
      </c>
    </row>
    <row r="457" spans="1:33" x14ac:dyDescent="0.25">
      <c r="A457" s="35">
        <v>43</v>
      </c>
      <c r="B457" s="35">
        <v>30</v>
      </c>
      <c r="C457" s="35">
        <f>Inputs!$D$8-A457-Inputs!$D$22*B457</f>
        <v>17</v>
      </c>
      <c r="D457" s="35">
        <f>A457*Inputs!$D$20+C457*Inputs!$D$21+B457*Inputs!$D$22</f>
        <v>120</v>
      </c>
      <c r="E457" s="36">
        <f>MIN(Inputs!$E$15,Inputs!$D$15*(C457/Inputs!$D$43)^Inputs!$D$44)</f>
        <v>0.28949164546121231</v>
      </c>
      <c r="F457" s="36">
        <f>MIN(Inputs!$E$16,Inputs!$D$16*(B457/Inputs!$D$42)^Inputs!$D$44)</f>
        <v>0.45173877418274222</v>
      </c>
      <c r="G457" s="37">
        <f>Inputs!$D$26*(1+Inputs!$D$41*(B457-Inputs!$D$42))</f>
        <v>1.6500000000000001</v>
      </c>
      <c r="H457" s="35">
        <f>Inputs!$D$6*Inputs!$D$14*G457*Inputs!$D$29</f>
        <v>2073.1095000000005</v>
      </c>
      <c r="I457" s="36">
        <f>H457/(A457*Inputs!$D$32)</f>
        <v>0.87657906976744204</v>
      </c>
      <c r="J457" s="38">
        <f>IF(I457&gt;=1,999,I457/(Inputs!$D$32*(1-I457))*60)</f>
        <v>7.7480219465861477</v>
      </c>
      <c r="K457" s="37">
        <f>MIN(1,MAX(0,(J457-Inputs!$D$36)/(Inputs!$D$37-Inputs!$D$36)))</f>
        <v>0.18320146310574317</v>
      </c>
      <c r="L457" s="35">
        <f>Inputs!$D$6*Inputs!$D$14*G457*(1-Inputs!$D$38*K457)</f>
        <v>12681.339919264756</v>
      </c>
      <c r="M457" s="39">
        <f>L457*Inputs!$D$11</f>
        <v>272648.80826419225</v>
      </c>
      <c r="N457" s="39">
        <f>M457*(1-Inputs!$D$17)</f>
        <v>95427.082892467282</v>
      </c>
      <c r="O457" s="35">
        <f>Inputs!$D$6*E457*Inputs!$D$27*Inputs!$D$30</f>
        <v>413.00499294711136</v>
      </c>
      <c r="P457" s="36">
        <f>O457/(C457*Inputs!$D$33)</f>
        <v>0.60736028374575202</v>
      </c>
      <c r="Q457" s="38">
        <f>IF(P457&gt;=1,999,P457/(Inputs!$D$33*(1-P457))*60)</f>
        <v>2.3202961593133828</v>
      </c>
      <c r="R457" s="37">
        <f>MIN(1,MAX(0,(Q457-Inputs!$D$36)/(Inputs!$D$37-Inputs!$D$36)))</f>
        <v>0</v>
      </c>
      <c r="S457" s="35">
        <f>Inputs!$D$6*E457*Inputs!$D$27*(1-Inputs!$D$38*R457)</f>
        <v>3441.7082745592616</v>
      </c>
      <c r="T457" s="39">
        <f>S457*Inputs!$D$12</f>
        <v>55067.332392948185</v>
      </c>
      <c r="U457" s="39">
        <f>T457*(1-Inputs!$D$18)</f>
        <v>24780.299576826681</v>
      </c>
      <c r="V457" s="35">
        <f>Inputs!$D$6*F457*Inputs!$D$28*Inputs!$D$31</f>
        <v>761.65325673326424</v>
      </c>
      <c r="W457" s="36">
        <f>V457/(B457*Inputs!$D$34)</f>
        <v>0.72538405403168027</v>
      </c>
      <c r="X457" s="38">
        <f>IF(W457&gt;=1,999,W457/(Inputs!$D$34*(1-W457))*60)</f>
        <v>4.5281985239874629</v>
      </c>
      <c r="Y457" s="37">
        <f>MIN(1,MAX(0,(X457-Inputs!$D$36)/(Inputs!$D$37-Inputs!$D$36)))</f>
        <v>0</v>
      </c>
      <c r="Z457" s="35">
        <f>Inputs!$D$6*F457*Inputs!$D$28*(1-Inputs!$D$38*Y457)</f>
        <v>5858.8712056404938</v>
      </c>
      <c r="AA457" s="39">
        <f>Z457*Inputs!$D$13</f>
        <v>49800.405247944196</v>
      </c>
      <c r="AB457" s="39">
        <f>AA457*(1-Inputs!$D$19)</f>
        <v>29880.243148766516</v>
      </c>
      <c r="AC457" s="39">
        <f t="shared" si="28"/>
        <v>377516.54590508458</v>
      </c>
      <c r="AD457" s="39">
        <f t="shared" si="29"/>
        <v>150087.62561806047</v>
      </c>
      <c r="AE457" s="36">
        <f t="shared" si="30"/>
        <v>0.87657906976744204</v>
      </c>
      <c r="AF457" s="35">
        <f>IF(AND(AE457&lt;=Inputs!$D$35,C457&gt;=Inputs!$D$48*(A457+B457+C457),B457*Inputs!$D$22&lt;=Inputs!$D$50*Inputs!$D$8,B457*Inputs!$D$22&gt;=Inputs!$D$49*Inputs!$D$8,A457*Inputs!$D$20&lt;=Inputs!$D$47*Inputs!$D$8,C457&gt;=1),1,0)</f>
        <v>0</v>
      </c>
      <c r="AG457" s="39">
        <f t="shared" si="31"/>
        <v>-1</v>
      </c>
    </row>
    <row r="458" spans="1:33" x14ac:dyDescent="0.25">
      <c r="A458" s="35">
        <v>43</v>
      </c>
      <c r="B458" s="35">
        <v>31</v>
      </c>
      <c r="C458" s="35">
        <f>Inputs!$D$8-A458-Inputs!$D$22*B458</f>
        <v>15</v>
      </c>
      <c r="D458" s="35">
        <f>A458*Inputs!$D$20+C458*Inputs!$D$21+B458*Inputs!$D$22</f>
        <v>120</v>
      </c>
      <c r="E458" s="36">
        <f>MIN(Inputs!$E$15,Inputs!$D$15*(C458/Inputs!$D$43)^Inputs!$D$44)</f>
        <v>0.27882309014433088</v>
      </c>
      <c r="F458" s="36">
        <f>MIN(Inputs!$E$16,Inputs!$D$16*(B458/Inputs!$D$42)^Inputs!$D$44)</f>
        <v>0.45620443270573335</v>
      </c>
      <c r="G458" s="37">
        <f>Inputs!$D$26*(1+Inputs!$D$41*(B458-Inputs!$D$42))</f>
        <v>1.665</v>
      </c>
      <c r="H458" s="35">
        <f>Inputs!$D$6*Inputs!$D$14*G458*Inputs!$D$29</f>
        <v>2091.95595</v>
      </c>
      <c r="I458" s="36">
        <f>H458/(A458*Inputs!$D$32)</f>
        <v>0.88454797040169131</v>
      </c>
      <c r="J458" s="38">
        <f>IF(I458&gt;=1,999,I458/(Inputs!$D$32*(1-I458))*60)</f>
        <v>8.3581157093017158</v>
      </c>
      <c r="K458" s="37">
        <f>MIN(1,MAX(0,(J458-Inputs!$D$36)/(Inputs!$D$37-Inputs!$D$36)))</f>
        <v>0.22387438062011439</v>
      </c>
      <c r="L458" s="35">
        <f>Inputs!$D$6*Inputs!$D$14*G458*(1-Inputs!$D$38*K458)</f>
        <v>12541.366972227563</v>
      </c>
      <c r="M458" s="39">
        <f>L458*Inputs!$D$11</f>
        <v>269639.38990289258</v>
      </c>
      <c r="N458" s="39">
        <f>M458*(1-Inputs!$D$17)</f>
        <v>94373.786466012403</v>
      </c>
      <c r="O458" s="35">
        <f>Inputs!$D$6*E458*Inputs!$D$27*Inputs!$D$30</f>
        <v>397.78463449295054</v>
      </c>
      <c r="P458" s="36">
        <f>O458/(C458*Inputs!$D$33)</f>
        <v>0.66297439082158427</v>
      </c>
      <c r="Q458" s="38">
        <f>IF(P458&gt;=1,999,P458/(Inputs!$D$33*(1-P458))*60)</f>
        <v>2.9507003597044905</v>
      </c>
      <c r="R458" s="37">
        <f>MIN(1,MAX(0,(Q458-Inputs!$D$36)/(Inputs!$D$37-Inputs!$D$36)))</f>
        <v>0</v>
      </c>
      <c r="S458" s="35">
        <f>Inputs!$D$6*E458*Inputs!$D$27*(1-Inputs!$D$38*R458)</f>
        <v>3314.8719541079213</v>
      </c>
      <c r="T458" s="39">
        <f>S458*Inputs!$D$12</f>
        <v>53037.951265726741</v>
      </c>
      <c r="U458" s="39">
        <f>T458*(1-Inputs!$D$18)</f>
        <v>23867.07806957703</v>
      </c>
      <c r="V458" s="35">
        <f>Inputs!$D$6*F458*Inputs!$D$28*Inputs!$D$31</f>
        <v>769.18257135463637</v>
      </c>
      <c r="W458" s="36">
        <f>V458/(B458*Inputs!$D$34)</f>
        <v>0.70892402889828232</v>
      </c>
      <c r="X458" s="38">
        <f>IF(W458&gt;=1,999,W458/(Inputs!$D$34*(1-W458))*60)</f>
        <v>4.1751929252501148</v>
      </c>
      <c r="Y458" s="37">
        <f>MIN(1,MAX(0,(X458-Inputs!$D$36)/(Inputs!$D$37-Inputs!$D$36)))</f>
        <v>0</v>
      </c>
      <c r="Z458" s="35">
        <f>Inputs!$D$6*F458*Inputs!$D$28*(1-Inputs!$D$38*Y458)</f>
        <v>5916.7890104202797</v>
      </c>
      <c r="AA458" s="39">
        <f>Z458*Inputs!$D$13</f>
        <v>50292.706588572379</v>
      </c>
      <c r="AB458" s="39">
        <f>AA458*(1-Inputs!$D$19)</f>
        <v>30175.623953143426</v>
      </c>
      <c r="AC458" s="39">
        <f t="shared" si="28"/>
        <v>372970.0477571917</v>
      </c>
      <c r="AD458" s="39">
        <f t="shared" si="29"/>
        <v>148416.48848873287</v>
      </c>
      <c r="AE458" s="36">
        <f t="shared" si="30"/>
        <v>0.88454797040169131</v>
      </c>
      <c r="AF458" s="35">
        <f>IF(AND(AE458&lt;=Inputs!$D$35,C458&gt;=Inputs!$D$48*(A458+B458+C458),B458*Inputs!$D$22&lt;=Inputs!$D$50*Inputs!$D$8,B458*Inputs!$D$22&gt;=Inputs!$D$49*Inputs!$D$8,A458*Inputs!$D$20&lt;=Inputs!$D$47*Inputs!$D$8,C458&gt;=1),1,0)</f>
        <v>0</v>
      </c>
      <c r="AG458" s="39">
        <f t="shared" si="31"/>
        <v>-1</v>
      </c>
    </row>
    <row r="459" spans="1:33" x14ac:dyDescent="0.25">
      <c r="A459" s="35">
        <v>43</v>
      </c>
      <c r="B459" s="35">
        <v>32</v>
      </c>
      <c r="C459" s="35">
        <f>Inputs!$D$8-A459-Inputs!$D$22*B459</f>
        <v>13</v>
      </c>
      <c r="D459" s="35">
        <f>A459*Inputs!$D$20+C459*Inputs!$D$21+B459*Inputs!$D$22</f>
        <v>120</v>
      </c>
      <c r="E459" s="36">
        <f>MIN(Inputs!$E$15,Inputs!$D$15*(C459/Inputs!$D$43)^Inputs!$D$44)</f>
        <v>0.26710644306172537</v>
      </c>
      <c r="F459" s="36">
        <f>MIN(Inputs!$E$16,Inputs!$D$16*(B459/Inputs!$D$42)^Inputs!$D$44)</f>
        <v>0.46057036065052986</v>
      </c>
      <c r="G459" s="37">
        <f>Inputs!$D$26*(1+Inputs!$D$41*(B459-Inputs!$D$42))</f>
        <v>1.6800000000000002</v>
      </c>
      <c r="H459" s="35">
        <f>Inputs!$D$6*Inputs!$D$14*G459*Inputs!$D$29</f>
        <v>2110.8024000000005</v>
      </c>
      <c r="I459" s="36">
        <f>H459/(A459*Inputs!$D$32)</f>
        <v>0.89251687103594102</v>
      </c>
      <c r="J459" s="38">
        <f>IF(I459&gt;=1,999,I459/(Inputs!$D$32*(1-I459))*60)</f>
        <v>9.0586753268824438</v>
      </c>
      <c r="K459" s="37">
        <f>MIN(1,MAX(0,(J459-Inputs!$D$36)/(Inputs!$D$37-Inputs!$D$36)))</f>
        <v>0.27057835512549627</v>
      </c>
      <c r="L459" s="35">
        <f>Inputs!$D$6*Inputs!$D$14*G459*(1-Inputs!$D$38*K459)</f>
        <v>12358.603675839153</v>
      </c>
      <c r="M459" s="39">
        <f>L459*Inputs!$D$11</f>
        <v>265709.97903054178</v>
      </c>
      <c r="N459" s="39">
        <f>M459*(1-Inputs!$D$17)</f>
        <v>92998.492660689619</v>
      </c>
      <c r="O459" s="35">
        <f>Inputs!$D$6*E459*Inputs!$D$27*Inputs!$D$30</f>
        <v>381.06900963266889</v>
      </c>
      <c r="P459" s="36">
        <f>O459/(C459*Inputs!$D$33)</f>
        <v>0.73282501852436321</v>
      </c>
      <c r="Q459" s="38">
        <f>IF(P459&gt;=1,999,P459/(Inputs!$D$33*(1-P459))*60)</f>
        <v>4.1142981341865736</v>
      </c>
      <c r="R459" s="37">
        <f>MIN(1,MAX(0,(Q459-Inputs!$D$36)/(Inputs!$D$37-Inputs!$D$36)))</f>
        <v>0</v>
      </c>
      <c r="S459" s="35">
        <f>Inputs!$D$6*E459*Inputs!$D$27*(1-Inputs!$D$38*R459)</f>
        <v>3175.5750802722409</v>
      </c>
      <c r="T459" s="39">
        <f>S459*Inputs!$D$12</f>
        <v>50809.201284355855</v>
      </c>
      <c r="U459" s="39">
        <f>T459*(1-Inputs!$D$18)</f>
        <v>22864.140577960134</v>
      </c>
      <c r="V459" s="35">
        <f>Inputs!$D$6*F459*Inputs!$D$28*Inputs!$D$31</f>
        <v>776.54373543410452</v>
      </c>
      <c r="W459" s="36">
        <f>V459/(B459*Inputs!$D$34)</f>
        <v>0.69334262092330756</v>
      </c>
      <c r="X459" s="38">
        <f>IF(W459&gt;=1,999,W459/(Inputs!$D$34*(1-W459))*60)</f>
        <v>3.8759457011369869</v>
      </c>
      <c r="Y459" s="37">
        <f>MIN(1,MAX(0,(X459-Inputs!$D$36)/(Inputs!$D$37-Inputs!$D$36)))</f>
        <v>0</v>
      </c>
      <c r="Z459" s="35">
        <f>Inputs!$D$6*F459*Inputs!$D$28*(1-Inputs!$D$38*Y459)</f>
        <v>5973.4133494931111</v>
      </c>
      <c r="AA459" s="39">
        <f>Z459*Inputs!$D$13</f>
        <v>50774.013470691447</v>
      </c>
      <c r="AB459" s="39">
        <f>AA459*(1-Inputs!$D$19)</f>
        <v>30464.408082414866</v>
      </c>
      <c r="AC459" s="39">
        <f t="shared" si="28"/>
        <v>367293.19378558907</v>
      </c>
      <c r="AD459" s="39">
        <f t="shared" si="29"/>
        <v>146327.04132106461</v>
      </c>
      <c r="AE459" s="36">
        <f t="shared" si="30"/>
        <v>0.89251687103594102</v>
      </c>
      <c r="AF459" s="35">
        <f>IF(AND(AE459&lt;=Inputs!$D$35,C459&gt;=Inputs!$D$48*(A459+B459+C459),B459*Inputs!$D$22&lt;=Inputs!$D$50*Inputs!$D$8,B459*Inputs!$D$22&gt;=Inputs!$D$49*Inputs!$D$8,A459*Inputs!$D$20&lt;=Inputs!$D$47*Inputs!$D$8,C459&gt;=1),1,0)</f>
        <v>0</v>
      </c>
      <c r="AG459" s="39">
        <f t="shared" si="31"/>
        <v>-1</v>
      </c>
    </row>
    <row r="460" spans="1:33" x14ac:dyDescent="0.25">
      <c r="A460" s="35">
        <v>43</v>
      </c>
      <c r="B460" s="35">
        <v>33</v>
      </c>
      <c r="C460" s="35">
        <f>Inputs!$D$8-A460-Inputs!$D$22*B460</f>
        <v>11</v>
      </c>
      <c r="D460" s="35">
        <f>A460*Inputs!$D$20+C460*Inputs!$D$21+B460*Inputs!$D$22</f>
        <v>120</v>
      </c>
      <c r="E460" s="36">
        <f>MIN(Inputs!$E$15,Inputs!$D$15*(C460/Inputs!$D$43)^Inputs!$D$44)</f>
        <v>0.25404997933787238</v>
      </c>
      <c r="F460" s="36">
        <f>MIN(Inputs!$E$16,Inputs!$D$16*(B460/Inputs!$D$42)^Inputs!$D$44)</f>
        <v>0.46484180038786721</v>
      </c>
      <c r="G460" s="37">
        <f>Inputs!$D$26*(1+Inputs!$D$41*(B460-Inputs!$D$42))</f>
        <v>1.6949999999999998</v>
      </c>
      <c r="H460" s="35">
        <f>Inputs!$D$6*Inputs!$D$14*G460*Inputs!$D$29</f>
        <v>2129.64885</v>
      </c>
      <c r="I460" s="36">
        <f>H460/(A460*Inputs!$D$32)</f>
        <v>0.90048577167019028</v>
      </c>
      <c r="J460" s="38">
        <f>IF(I460&gt;=1,999,I460/(Inputs!$D$32*(1-I460))*60)</f>
        <v>9.8714337742096898</v>
      </c>
      <c r="K460" s="37">
        <f>MIN(1,MAX(0,(J460-Inputs!$D$36)/(Inputs!$D$37-Inputs!$D$36)))</f>
        <v>0.32476225161397931</v>
      </c>
      <c r="L460" s="35">
        <f>Inputs!$D$6*Inputs!$D$14*G460*(1-Inputs!$D$38*K460)</f>
        <v>12122.770332980635</v>
      </c>
      <c r="M460" s="39">
        <f>L460*Inputs!$D$11</f>
        <v>260639.56215908367</v>
      </c>
      <c r="N460" s="39">
        <f>M460*(1-Inputs!$D$17)</f>
        <v>91223.846755679275</v>
      </c>
      <c r="O460" s="35">
        <f>Inputs!$D$6*E460*Inputs!$D$27*Inputs!$D$30</f>
        <v>362.44192732225167</v>
      </c>
      <c r="P460" s="36">
        <f>O460/(C460*Inputs!$D$33)</f>
        <v>0.82373165300511741</v>
      </c>
      <c r="Q460" s="38">
        <f>IF(P460&gt;=1,999,P460/(Inputs!$D$33*(1-P460))*60)</f>
        <v>7.0097524630644434</v>
      </c>
      <c r="R460" s="37">
        <f>MIN(1,MAX(0,(Q460-Inputs!$D$36)/(Inputs!$D$37-Inputs!$D$36)))</f>
        <v>0.13398349753762956</v>
      </c>
      <c r="S460" s="35">
        <f>Inputs!$D$6*E460*Inputs!$D$27*(1-Inputs!$D$38*R460)</f>
        <v>2838.2447553136676</v>
      </c>
      <c r="T460" s="39">
        <f>S460*Inputs!$D$12</f>
        <v>45411.916085018682</v>
      </c>
      <c r="U460" s="39">
        <f>T460*(1-Inputs!$D$18)</f>
        <v>20435.362238258404</v>
      </c>
      <c r="V460" s="35">
        <f>Inputs!$D$6*F460*Inputs!$D$28*Inputs!$D$31</f>
        <v>783.74558786036266</v>
      </c>
      <c r="W460" s="36">
        <f>V460/(B460*Inputs!$D$34)</f>
        <v>0.67856760853711051</v>
      </c>
      <c r="X460" s="38">
        <f>IF(W460&gt;=1,999,W460/(Inputs!$D$34*(1-W460))*60)</f>
        <v>3.6189842355277744</v>
      </c>
      <c r="Y460" s="37">
        <f>MIN(1,MAX(0,(X460-Inputs!$D$36)/(Inputs!$D$37-Inputs!$D$36)))</f>
        <v>0</v>
      </c>
      <c r="Z460" s="35">
        <f>Inputs!$D$6*F460*Inputs!$D$28*(1-Inputs!$D$38*Y460)</f>
        <v>6028.812214310482</v>
      </c>
      <c r="AA460" s="39">
        <f>Z460*Inputs!$D$13</f>
        <v>51244.903821639098</v>
      </c>
      <c r="AB460" s="39">
        <f>AA460*(1-Inputs!$D$19)</f>
        <v>30746.942292983458</v>
      </c>
      <c r="AC460" s="39">
        <f t="shared" si="28"/>
        <v>357296.3820657414</v>
      </c>
      <c r="AD460" s="39">
        <f t="shared" si="29"/>
        <v>142406.15128692114</v>
      </c>
      <c r="AE460" s="36">
        <f t="shared" si="30"/>
        <v>0.90048577167019028</v>
      </c>
      <c r="AF460" s="35">
        <f>IF(AND(AE460&lt;=Inputs!$D$35,C460&gt;=Inputs!$D$48*(A460+B460+C460),B460*Inputs!$D$22&lt;=Inputs!$D$50*Inputs!$D$8,B460*Inputs!$D$22&gt;=Inputs!$D$49*Inputs!$D$8,A460*Inputs!$D$20&lt;=Inputs!$D$47*Inputs!$D$8,C460&gt;=1),1,0)</f>
        <v>0</v>
      </c>
      <c r="AG460" s="39">
        <f t="shared" si="31"/>
        <v>-1</v>
      </c>
    </row>
    <row r="461" spans="1:33" x14ac:dyDescent="0.25">
      <c r="A461" s="35">
        <v>44</v>
      </c>
      <c r="B461" s="35">
        <v>10</v>
      </c>
      <c r="C461" s="35">
        <f>Inputs!$D$8-A461-Inputs!$D$22*B461</f>
        <v>56</v>
      </c>
      <c r="D461" s="35">
        <f>A461*Inputs!$D$20+C461*Inputs!$D$21+B461*Inputs!$D$22</f>
        <v>120</v>
      </c>
      <c r="E461" s="36">
        <f>MIN(Inputs!$E$15,Inputs!$D$15*(C461/Inputs!$D$43)^Inputs!$D$44)</f>
        <v>0.4</v>
      </c>
      <c r="F461" s="36">
        <f>MIN(Inputs!$E$16,Inputs!$D$16*(B461/Inputs!$D$42)^Inputs!$D$44)</f>
        <v>0.32490095854249423</v>
      </c>
      <c r="G461" s="37">
        <f>Inputs!$D$26*(1+Inputs!$D$41*(B461-Inputs!$D$42))</f>
        <v>1.35</v>
      </c>
      <c r="H461" s="35">
        <f>Inputs!$D$6*Inputs!$D$14*G461*Inputs!$D$29</f>
        <v>1696.1805000000004</v>
      </c>
      <c r="I461" s="36">
        <f>H461/(A461*Inputs!$D$32)</f>
        <v>0.70090103305785145</v>
      </c>
      <c r="J461" s="38">
        <f>IF(I461&gt;=1,999,I461/(Inputs!$D$32*(1-I461))*60)</f>
        <v>2.5564090595414037</v>
      </c>
      <c r="K461" s="37">
        <f>MIN(1,MAX(0,(J461-Inputs!$D$36)/(Inputs!$D$37-Inputs!$D$36)))</f>
        <v>0</v>
      </c>
      <c r="L461" s="35">
        <f>Inputs!$D$6*Inputs!$D$14*G461*(1-Inputs!$D$38*K461)</f>
        <v>11307.870000000003</v>
      </c>
      <c r="M461" s="39">
        <f>L461*Inputs!$D$11</f>
        <v>243119.20500000005</v>
      </c>
      <c r="N461" s="39">
        <f>M461*(1-Inputs!$D$17)</f>
        <v>85091.721750000012</v>
      </c>
      <c r="O461" s="35">
        <f>Inputs!$D$6*E461*Inputs!$D$27*Inputs!$D$30</f>
        <v>570.66240000000005</v>
      </c>
      <c r="P461" s="36">
        <f>O461/(C461*Inputs!$D$33)</f>
        <v>0.25476000000000004</v>
      </c>
      <c r="Q461" s="38">
        <f>IF(P461&gt;=1,999,P461/(Inputs!$D$33*(1-P461))*60)</f>
        <v>0.51277440824432408</v>
      </c>
      <c r="R461" s="37">
        <f>MIN(1,MAX(0,(Q461-Inputs!$D$36)/(Inputs!$D$37-Inputs!$D$36)))</f>
        <v>0</v>
      </c>
      <c r="S461" s="35">
        <f>Inputs!$D$6*E461*Inputs!$D$27*(1-Inputs!$D$38*R461)</f>
        <v>4755.5200000000004</v>
      </c>
      <c r="T461" s="39">
        <f>S461*Inputs!$D$12</f>
        <v>76088.320000000007</v>
      </c>
      <c r="U461" s="39">
        <f>T461*(1-Inputs!$D$18)</f>
        <v>34239.743999999999</v>
      </c>
      <c r="V461" s="35">
        <f>Inputs!$D$6*F461*Inputs!$D$28*Inputs!$D$31</f>
        <v>547.7986113486553</v>
      </c>
      <c r="W461" s="36">
        <f>V461/(B461*Inputs!$D$34)</f>
        <v>1.5651388895675866</v>
      </c>
      <c r="X461" s="38">
        <f>IF(W461&gt;=1,999,W461/(Inputs!$D$34*(1-W461))*60)</f>
        <v>999</v>
      </c>
      <c r="Y461" s="37">
        <f>MIN(1,MAX(0,(X461-Inputs!$D$36)/(Inputs!$D$37-Inputs!$D$36)))</f>
        <v>1</v>
      </c>
      <c r="Z461" s="35">
        <f>Inputs!$D$6*F461*Inputs!$D$28*(1-Inputs!$D$38*Y461)</f>
        <v>2317.6095095520031</v>
      </c>
      <c r="AA461" s="39">
        <f>Z461*Inputs!$D$13</f>
        <v>19699.680831192025</v>
      </c>
      <c r="AB461" s="39">
        <f>AA461*(1-Inputs!$D$19)</f>
        <v>11819.808498715214</v>
      </c>
      <c r="AC461" s="39">
        <f t="shared" si="28"/>
        <v>338907.20583119203</v>
      </c>
      <c r="AD461" s="39">
        <f t="shared" si="29"/>
        <v>131151.27424871523</v>
      </c>
      <c r="AE461" s="36">
        <f t="shared" si="30"/>
        <v>1.5651388895675866</v>
      </c>
      <c r="AF461" s="35">
        <f>IF(AND(AE461&lt;=Inputs!$D$35,C461&gt;=Inputs!$D$48*(A461+B461+C461),B461*Inputs!$D$22&lt;=Inputs!$D$50*Inputs!$D$8,B461*Inputs!$D$22&gt;=Inputs!$D$49*Inputs!$D$8,A461*Inputs!$D$20&lt;=Inputs!$D$47*Inputs!$D$8,C461&gt;=1),1,0)</f>
        <v>0</v>
      </c>
      <c r="AG461" s="39">
        <f t="shared" si="31"/>
        <v>-1</v>
      </c>
    </row>
    <row r="462" spans="1:33" x14ac:dyDescent="0.25">
      <c r="A462" s="35">
        <v>44</v>
      </c>
      <c r="B462" s="35">
        <v>11</v>
      </c>
      <c r="C462" s="35">
        <f>Inputs!$D$8-A462-Inputs!$D$22*B462</f>
        <v>54</v>
      </c>
      <c r="D462" s="35">
        <f>A462*Inputs!$D$20+C462*Inputs!$D$21+B462*Inputs!$D$22</f>
        <v>120</v>
      </c>
      <c r="E462" s="36">
        <f>MIN(Inputs!$E$15,Inputs!$D$15*(C462/Inputs!$D$43)^Inputs!$D$44)</f>
        <v>0.4</v>
      </c>
      <c r="F462" s="36">
        <f>MIN(Inputs!$E$16,Inputs!$D$16*(B462/Inputs!$D$42)^Inputs!$D$44)</f>
        <v>0.33432495758166098</v>
      </c>
      <c r="G462" s="37">
        <f>Inputs!$D$26*(1+Inputs!$D$41*(B462-Inputs!$D$42))</f>
        <v>1.365</v>
      </c>
      <c r="H462" s="35">
        <f>Inputs!$D$6*Inputs!$D$14*G462*Inputs!$D$29</f>
        <v>1715.0269500000002</v>
      </c>
      <c r="I462" s="36">
        <f>H462/(A462*Inputs!$D$32)</f>
        <v>0.70868882231404962</v>
      </c>
      <c r="J462" s="38">
        <f>IF(I462&gt;=1,999,I462/(Inputs!$D$32*(1-I462))*60)</f>
        <v>2.6539149133560369</v>
      </c>
      <c r="K462" s="37">
        <f>MIN(1,MAX(0,(J462-Inputs!$D$36)/(Inputs!$D$37-Inputs!$D$36)))</f>
        <v>0</v>
      </c>
      <c r="L462" s="35">
        <f>Inputs!$D$6*Inputs!$D$14*G462*(1-Inputs!$D$38*K462)</f>
        <v>11433.513000000001</v>
      </c>
      <c r="M462" s="39">
        <f>L462*Inputs!$D$11</f>
        <v>245820.5295</v>
      </c>
      <c r="N462" s="39">
        <f>M462*(1-Inputs!$D$17)</f>
        <v>86037.185324999999</v>
      </c>
      <c r="O462" s="35">
        <f>Inputs!$D$6*E462*Inputs!$D$27*Inputs!$D$30</f>
        <v>570.66240000000005</v>
      </c>
      <c r="P462" s="36">
        <f>O462/(C462*Inputs!$D$33)</f>
        <v>0.26419555555555557</v>
      </c>
      <c r="Q462" s="38">
        <f>IF(P462&gt;=1,999,P462/(Inputs!$D$33*(1-P462))*60)</f>
        <v>0.53858513131508379</v>
      </c>
      <c r="R462" s="37">
        <f>MIN(1,MAX(0,(Q462-Inputs!$D$36)/(Inputs!$D$37-Inputs!$D$36)))</f>
        <v>0</v>
      </c>
      <c r="S462" s="35">
        <f>Inputs!$D$6*E462*Inputs!$D$27*(1-Inputs!$D$38*R462)</f>
        <v>4755.5200000000004</v>
      </c>
      <c r="T462" s="39">
        <f>S462*Inputs!$D$12</f>
        <v>76088.320000000007</v>
      </c>
      <c r="U462" s="39">
        <f>T462*(1-Inputs!$D$18)</f>
        <v>34239.743999999999</v>
      </c>
      <c r="V462" s="35">
        <f>Inputs!$D$6*F462*Inputs!$D$28*Inputs!$D$31</f>
        <v>563.68792608064427</v>
      </c>
      <c r="W462" s="36">
        <f>V462/(B462*Inputs!$D$34)</f>
        <v>1.4641244833263487</v>
      </c>
      <c r="X462" s="38">
        <f>IF(W462&gt;=1,999,W462/(Inputs!$D$34*(1-W462))*60)</f>
        <v>999</v>
      </c>
      <c r="Y462" s="37">
        <f>MIN(1,MAX(0,(X462-Inputs!$D$36)/(Inputs!$D$37-Inputs!$D$36)))</f>
        <v>1</v>
      </c>
      <c r="Z462" s="35">
        <f>Inputs!$D$6*F462*Inputs!$D$28*(1-Inputs!$D$38*Y462)</f>
        <v>2384.8335334181106</v>
      </c>
      <c r="AA462" s="39">
        <f>Z462*Inputs!$D$13</f>
        <v>20271.08503405394</v>
      </c>
      <c r="AB462" s="39">
        <f>AA462*(1-Inputs!$D$19)</f>
        <v>12162.651020432364</v>
      </c>
      <c r="AC462" s="39">
        <f t="shared" si="28"/>
        <v>342179.93453405396</v>
      </c>
      <c r="AD462" s="39">
        <f t="shared" si="29"/>
        <v>132439.58034543236</v>
      </c>
      <c r="AE462" s="36">
        <f t="shared" si="30"/>
        <v>1.4641244833263487</v>
      </c>
      <c r="AF462" s="35">
        <f>IF(AND(AE462&lt;=Inputs!$D$35,C462&gt;=Inputs!$D$48*(A462+B462+C462),B462*Inputs!$D$22&lt;=Inputs!$D$50*Inputs!$D$8,B462*Inputs!$D$22&gt;=Inputs!$D$49*Inputs!$D$8,A462*Inputs!$D$20&lt;=Inputs!$D$47*Inputs!$D$8,C462&gt;=1),1,0)</f>
        <v>0</v>
      </c>
      <c r="AG462" s="39">
        <f t="shared" si="31"/>
        <v>-1</v>
      </c>
    </row>
    <row r="463" spans="1:33" x14ac:dyDescent="0.25">
      <c r="A463" s="35">
        <v>44</v>
      </c>
      <c r="B463" s="35">
        <v>12</v>
      </c>
      <c r="C463" s="35">
        <f>Inputs!$D$8-A463-Inputs!$D$22*B463</f>
        <v>52</v>
      </c>
      <c r="D463" s="35">
        <f>A463*Inputs!$D$20+C463*Inputs!$D$21+B463*Inputs!$D$22</f>
        <v>120</v>
      </c>
      <c r="E463" s="36">
        <f>MIN(Inputs!$E$15,Inputs!$D$15*(C463/Inputs!$D$43)^Inputs!$D$44)</f>
        <v>0.4</v>
      </c>
      <c r="F463" s="36">
        <f>MIN(Inputs!$E$16,Inputs!$D$16*(B463/Inputs!$D$42)^Inputs!$D$44)</f>
        <v>0.34316688017763797</v>
      </c>
      <c r="G463" s="37">
        <f>Inputs!$D$26*(1+Inputs!$D$41*(B463-Inputs!$D$42))</f>
        <v>1.3800000000000001</v>
      </c>
      <c r="H463" s="35">
        <f>Inputs!$D$6*Inputs!$D$14*G463*Inputs!$D$29</f>
        <v>1733.8734000000004</v>
      </c>
      <c r="I463" s="36">
        <f>H463/(A463*Inputs!$D$32)</f>
        <v>0.71647661157024811</v>
      </c>
      <c r="J463" s="38">
        <f>IF(I463&gt;=1,999,I463/(Inputs!$D$32*(1-I463))*60)</f>
        <v>2.7567773273116889</v>
      </c>
      <c r="K463" s="37">
        <f>MIN(1,MAX(0,(J463-Inputs!$D$36)/(Inputs!$D$37-Inputs!$D$36)))</f>
        <v>0</v>
      </c>
      <c r="L463" s="35">
        <f>Inputs!$D$6*Inputs!$D$14*G463*(1-Inputs!$D$38*K463)</f>
        <v>11559.156000000003</v>
      </c>
      <c r="M463" s="39">
        <f>L463*Inputs!$D$11</f>
        <v>248521.85400000005</v>
      </c>
      <c r="N463" s="39">
        <f>M463*(1-Inputs!$D$17)</f>
        <v>86982.648900000015</v>
      </c>
      <c r="O463" s="35">
        <f>Inputs!$D$6*E463*Inputs!$D$27*Inputs!$D$30</f>
        <v>570.66240000000005</v>
      </c>
      <c r="P463" s="36">
        <f>O463/(C463*Inputs!$D$33)</f>
        <v>0.27435692307692311</v>
      </c>
      <c r="Q463" s="38">
        <f>IF(P463&gt;=1,999,P463/(Inputs!$D$33*(1-P463))*60)</f>
        <v>0.56713196570469071</v>
      </c>
      <c r="R463" s="37">
        <f>MIN(1,MAX(0,(Q463-Inputs!$D$36)/(Inputs!$D$37-Inputs!$D$36)))</f>
        <v>0</v>
      </c>
      <c r="S463" s="35">
        <f>Inputs!$D$6*E463*Inputs!$D$27*(1-Inputs!$D$38*R463)</f>
        <v>4755.5200000000004</v>
      </c>
      <c r="T463" s="39">
        <f>S463*Inputs!$D$12</f>
        <v>76088.320000000007</v>
      </c>
      <c r="U463" s="39">
        <f>T463*(1-Inputs!$D$18)</f>
        <v>34239.743999999999</v>
      </c>
      <c r="V463" s="35">
        <f>Inputs!$D$6*F463*Inputs!$D$28*Inputs!$D$31</f>
        <v>578.5958319897461</v>
      </c>
      <c r="W463" s="36">
        <f>V463/(B463*Inputs!$D$34)</f>
        <v>1.3776091237851098</v>
      </c>
      <c r="X463" s="38">
        <f>IF(W463&gt;=1,999,W463/(Inputs!$D$34*(1-W463))*60)</f>
        <v>999</v>
      </c>
      <c r="Y463" s="37">
        <f>MIN(1,MAX(0,(X463-Inputs!$D$36)/(Inputs!$D$37-Inputs!$D$36)))</f>
        <v>1</v>
      </c>
      <c r="Z463" s="35">
        <f>Inputs!$D$6*F463*Inputs!$D$28*(1-Inputs!$D$38*Y463)</f>
        <v>2447.9054430335414</v>
      </c>
      <c r="AA463" s="39">
        <f>Z463*Inputs!$D$13</f>
        <v>20807.1962657851</v>
      </c>
      <c r="AB463" s="39">
        <f>AA463*(1-Inputs!$D$19)</f>
        <v>12484.31775947106</v>
      </c>
      <c r="AC463" s="39">
        <f t="shared" si="28"/>
        <v>345417.37026578514</v>
      </c>
      <c r="AD463" s="39">
        <f t="shared" si="29"/>
        <v>133706.71065947108</v>
      </c>
      <c r="AE463" s="36">
        <f t="shared" si="30"/>
        <v>1.3776091237851098</v>
      </c>
      <c r="AF463" s="35">
        <f>IF(AND(AE463&lt;=Inputs!$D$35,C463&gt;=Inputs!$D$48*(A463+B463+C463),B463*Inputs!$D$22&lt;=Inputs!$D$50*Inputs!$D$8,B463*Inputs!$D$22&gt;=Inputs!$D$49*Inputs!$D$8,A463*Inputs!$D$20&lt;=Inputs!$D$47*Inputs!$D$8,C463&gt;=1),1,0)</f>
        <v>0</v>
      </c>
      <c r="AG463" s="39">
        <f t="shared" si="31"/>
        <v>-1</v>
      </c>
    </row>
    <row r="464" spans="1:33" x14ac:dyDescent="0.25">
      <c r="A464" s="35">
        <v>44</v>
      </c>
      <c r="B464" s="35">
        <v>13</v>
      </c>
      <c r="C464" s="35">
        <f>Inputs!$D$8-A464-Inputs!$D$22*B464</f>
        <v>50</v>
      </c>
      <c r="D464" s="35">
        <f>A464*Inputs!$D$20+C464*Inputs!$D$21+B464*Inputs!$D$22</f>
        <v>120</v>
      </c>
      <c r="E464" s="36">
        <f>MIN(Inputs!$E$15,Inputs!$D$15*(C464/Inputs!$D$43)^Inputs!$D$44)</f>
        <v>0.4</v>
      </c>
      <c r="F464" s="36">
        <f>MIN(Inputs!$E$16,Inputs!$D$16*(B464/Inputs!$D$42)^Inputs!$D$44)</f>
        <v>0.35150701637190523</v>
      </c>
      <c r="G464" s="37">
        <f>Inputs!$D$26*(1+Inputs!$D$41*(B464-Inputs!$D$42))</f>
        <v>1.395</v>
      </c>
      <c r="H464" s="35">
        <f>Inputs!$D$6*Inputs!$D$14*G464*Inputs!$D$29</f>
        <v>1752.7198500000002</v>
      </c>
      <c r="I464" s="36">
        <f>H464/(A464*Inputs!$D$32)</f>
        <v>0.72426440082644639</v>
      </c>
      <c r="J464" s="38">
        <f>IF(I464&gt;=1,999,I464/(Inputs!$D$32*(1-I464))*60)</f>
        <v>2.8654501683915208</v>
      </c>
      <c r="K464" s="37">
        <f>MIN(1,MAX(0,(J464-Inputs!$D$36)/(Inputs!$D$37-Inputs!$D$36)))</f>
        <v>0</v>
      </c>
      <c r="L464" s="35">
        <f>Inputs!$D$6*Inputs!$D$14*G464*(1-Inputs!$D$38*K464)</f>
        <v>11684.799000000001</v>
      </c>
      <c r="M464" s="39">
        <f>L464*Inputs!$D$11</f>
        <v>251223.17850000001</v>
      </c>
      <c r="N464" s="39">
        <f>M464*(1-Inputs!$D$17)</f>
        <v>87928.112475000002</v>
      </c>
      <c r="O464" s="35">
        <f>Inputs!$D$6*E464*Inputs!$D$27*Inputs!$D$30</f>
        <v>570.66240000000005</v>
      </c>
      <c r="P464" s="36">
        <f>O464/(C464*Inputs!$D$33)</f>
        <v>0.28533120000000001</v>
      </c>
      <c r="Q464" s="38">
        <f>IF(P464&gt;=1,999,P464/(Inputs!$D$33*(1-P464))*60)</f>
        <v>0.59887433171841276</v>
      </c>
      <c r="R464" s="37">
        <f>MIN(1,MAX(0,(Q464-Inputs!$D$36)/(Inputs!$D$37-Inputs!$D$36)))</f>
        <v>0</v>
      </c>
      <c r="S464" s="35">
        <f>Inputs!$D$6*E464*Inputs!$D$27*(1-Inputs!$D$38*R464)</f>
        <v>4755.5200000000004</v>
      </c>
      <c r="T464" s="39">
        <f>S464*Inputs!$D$12</f>
        <v>76088.320000000007</v>
      </c>
      <c r="U464" s="39">
        <f>T464*(1-Inputs!$D$18)</f>
        <v>34239.743999999999</v>
      </c>
      <c r="V464" s="35">
        <f>Inputs!$D$6*F464*Inputs!$D$28*Inputs!$D$31</f>
        <v>592.65770193981814</v>
      </c>
      <c r="W464" s="36">
        <f>V464/(B464*Inputs!$D$34)</f>
        <v>1.3025443998677322</v>
      </c>
      <c r="X464" s="38">
        <f>IF(W464&gt;=1,999,W464/(Inputs!$D$34*(1-W464))*60)</f>
        <v>999</v>
      </c>
      <c r="Y464" s="37">
        <f>MIN(1,MAX(0,(X464-Inputs!$D$36)/(Inputs!$D$37-Inputs!$D$36)))</f>
        <v>1</v>
      </c>
      <c r="Z464" s="35">
        <f>Inputs!$D$6*F464*Inputs!$D$28*(1-Inputs!$D$38*Y464)</f>
        <v>2507.3979697453847</v>
      </c>
      <c r="AA464" s="39">
        <f>Z464*Inputs!$D$13</f>
        <v>21312.882742835769</v>
      </c>
      <c r="AB464" s="39">
        <f>AA464*(1-Inputs!$D$19)</f>
        <v>12787.729645701462</v>
      </c>
      <c r="AC464" s="39">
        <f t="shared" si="28"/>
        <v>348624.38124283578</v>
      </c>
      <c r="AD464" s="39">
        <f t="shared" si="29"/>
        <v>134955.58612070148</v>
      </c>
      <c r="AE464" s="36">
        <f t="shared" si="30"/>
        <v>1.3025443998677322</v>
      </c>
      <c r="AF464" s="35">
        <f>IF(AND(AE464&lt;=Inputs!$D$35,C464&gt;=Inputs!$D$48*(A464+B464+C464),B464*Inputs!$D$22&lt;=Inputs!$D$50*Inputs!$D$8,B464*Inputs!$D$22&gt;=Inputs!$D$49*Inputs!$D$8,A464*Inputs!$D$20&lt;=Inputs!$D$47*Inputs!$D$8,C464&gt;=1),1,0)</f>
        <v>0</v>
      </c>
      <c r="AG464" s="39">
        <f t="shared" si="31"/>
        <v>-1</v>
      </c>
    </row>
    <row r="465" spans="1:33" x14ac:dyDescent="0.25">
      <c r="A465" s="35">
        <v>44</v>
      </c>
      <c r="B465" s="35">
        <v>14</v>
      </c>
      <c r="C465" s="35">
        <f>Inputs!$D$8-A465-Inputs!$D$22*B465</f>
        <v>48</v>
      </c>
      <c r="D465" s="35">
        <f>A465*Inputs!$D$20+C465*Inputs!$D$21+B465*Inputs!$D$22</f>
        <v>120</v>
      </c>
      <c r="E465" s="36">
        <f>MIN(Inputs!$E$15,Inputs!$D$15*(C465/Inputs!$D$43)^Inputs!$D$44)</f>
        <v>0.39525168457966786</v>
      </c>
      <c r="F465" s="36">
        <f>MIN(Inputs!$E$16,Inputs!$D$16*(B465/Inputs!$D$42)^Inputs!$D$44)</f>
        <v>0.35940937671625589</v>
      </c>
      <c r="G465" s="37">
        <f>Inputs!$D$26*(1+Inputs!$D$41*(B465-Inputs!$D$42))</f>
        <v>1.41</v>
      </c>
      <c r="H465" s="35">
        <f>Inputs!$D$6*Inputs!$D$14*G465*Inputs!$D$29</f>
        <v>1771.5663000000002</v>
      </c>
      <c r="I465" s="36">
        <f>H465/(A465*Inputs!$D$32)</f>
        <v>0.73205219008264466</v>
      </c>
      <c r="J465" s="38">
        <f>IF(I465&gt;=1,999,I465/(Inputs!$D$32*(1-I465))*60)</f>
        <v>2.9804400693828561</v>
      </c>
      <c r="K465" s="37">
        <f>MIN(1,MAX(0,(J465-Inputs!$D$36)/(Inputs!$D$37-Inputs!$D$36)))</f>
        <v>0</v>
      </c>
      <c r="L465" s="35">
        <f>Inputs!$D$6*Inputs!$D$14*G465*(1-Inputs!$D$38*K465)</f>
        <v>11810.442000000001</v>
      </c>
      <c r="M465" s="39">
        <f>L465*Inputs!$D$11</f>
        <v>253924.50300000003</v>
      </c>
      <c r="N465" s="39">
        <f>M465*(1-Inputs!$D$17)</f>
        <v>88873.576050000003</v>
      </c>
      <c r="O465" s="35">
        <f>Inputs!$D$6*E465*Inputs!$D$27*Inputs!$D$30</f>
        <v>563.88818731569074</v>
      </c>
      <c r="P465" s="36">
        <f>O465/(C465*Inputs!$D$33)</f>
        <v>0.29369176422692228</v>
      </c>
      <c r="Q465" s="38">
        <f>IF(P465&gt;=1,999,P465/(Inputs!$D$33*(1-P465))*60)</f>
        <v>0.62371868828373556</v>
      </c>
      <c r="R465" s="37">
        <f>MIN(1,MAX(0,(Q465-Inputs!$D$36)/(Inputs!$D$37-Inputs!$D$36)))</f>
        <v>0</v>
      </c>
      <c r="S465" s="35">
        <f>Inputs!$D$6*E465*Inputs!$D$27*(1-Inputs!$D$38*R465)</f>
        <v>4699.0682276307562</v>
      </c>
      <c r="T465" s="39">
        <f>S465*Inputs!$D$12</f>
        <v>75185.091642092098</v>
      </c>
      <c r="U465" s="39">
        <f>T465*(1-Inputs!$D$18)</f>
        <v>33833.291238941441</v>
      </c>
      <c r="V465" s="35">
        <f>Inputs!$D$6*F465*Inputs!$D$28*Inputs!$D$31</f>
        <v>605.98146079368973</v>
      </c>
      <c r="W465" s="36">
        <f>V465/(B465*Inputs!$D$34)</f>
        <v>1.2366968587626321</v>
      </c>
      <c r="X465" s="38">
        <f>IF(W465&gt;=1,999,W465/(Inputs!$D$34*(1-W465))*60)</f>
        <v>999</v>
      </c>
      <c r="Y465" s="37">
        <f>MIN(1,MAX(0,(X465-Inputs!$D$36)/(Inputs!$D$37-Inputs!$D$36)))</f>
        <v>1</v>
      </c>
      <c r="Z465" s="35">
        <f>Inputs!$D$6*F465*Inputs!$D$28*(1-Inputs!$D$38*Y465)</f>
        <v>2563.7677187425338</v>
      </c>
      <c r="AA465" s="39">
        <f>Z465*Inputs!$D$13</f>
        <v>21792.025609311539</v>
      </c>
      <c r="AB465" s="39">
        <f>AA465*(1-Inputs!$D$19)</f>
        <v>13075.215365586922</v>
      </c>
      <c r="AC465" s="39">
        <f t="shared" si="28"/>
        <v>350901.62025140366</v>
      </c>
      <c r="AD465" s="39">
        <f t="shared" si="29"/>
        <v>135782.08265452838</v>
      </c>
      <c r="AE465" s="36">
        <f t="shared" si="30"/>
        <v>1.2366968587626321</v>
      </c>
      <c r="AF465" s="35">
        <f>IF(AND(AE465&lt;=Inputs!$D$35,C465&gt;=Inputs!$D$48*(A465+B465+C465),B465*Inputs!$D$22&lt;=Inputs!$D$50*Inputs!$D$8,B465*Inputs!$D$22&gt;=Inputs!$D$49*Inputs!$D$8,A465*Inputs!$D$20&lt;=Inputs!$D$47*Inputs!$D$8,C465&gt;=1),1,0)</f>
        <v>0</v>
      </c>
      <c r="AG465" s="39">
        <f t="shared" si="31"/>
        <v>-1</v>
      </c>
    </row>
    <row r="466" spans="1:33" x14ac:dyDescent="0.25">
      <c r="A466" s="35">
        <v>44</v>
      </c>
      <c r="B466" s="35">
        <v>15</v>
      </c>
      <c r="C466" s="35">
        <f>Inputs!$D$8-A466-Inputs!$D$22*B466</f>
        <v>46</v>
      </c>
      <c r="D466" s="35">
        <f>A466*Inputs!$D$20+C466*Inputs!$D$21+B466*Inputs!$D$22</f>
        <v>120</v>
      </c>
      <c r="E466" s="36">
        <f>MIN(Inputs!$E$15,Inputs!$D$15*(C466/Inputs!$D$43)^Inputs!$D$44)</f>
        <v>0.39023723685630041</v>
      </c>
      <c r="F466" s="36">
        <f>MIN(Inputs!$E$16,Inputs!$D$16*(B466/Inputs!$D$42)^Inputs!$D$44)</f>
        <v>0.36692590185696072</v>
      </c>
      <c r="G466" s="37">
        <f>Inputs!$D$26*(1+Inputs!$D$41*(B466-Inputs!$D$42))</f>
        <v>1.4249999999999998</v>
      </c>
      <c r="H466" s="35">
        <f>Inputs!$D$6*Inputs!$D$14*G466*Inputs!$D$29</f>
        <v>1790.4127499999997</v>
      </c>
      <c r="I466" s="36">
        <f>H466/(A466*Inputs!$D$32)</f>
        <v>0.73983997933884282</v>
      </c>
      <c r="J466" s="38">
        <f>IF(I466&gt;=1,999,I466/(Inputs!$D$32*(1-I466))*60)</f>
        <v>3.1023143264965163</v>
      </c>
      <c r="K466" s="37">
        <f>MIN(1,MAX(0,(J466-Inputs!$D$36)/(Inputs!$D$37-Inputs!$D$36)))</f>
        <v>0</v>
      </c>
      <c r="L466" s="35">
        <f>Inputs!$D$6*Inputs!$D$14*G466*(1-Inputs!$D$38*K466)</f>
        <v>11936.084999999999</v>
      </c>
      <c r="M466" s="39">
        <f>L466*Inputs!$D$11</f>
        <v>256625.82749999998</v>
      </c>
      <c r="N466" s="39">
        <f>M466*(1-Inputs!$D$17)</f>
        <v>89819.03962499999</v>
      </c>
      <c r="O466" s="35">
        <f>Inputs!$D$6*E466*Inputs!$D$27*Inputs!$D$30</f>
        <v>556.73429538446214</v>
      </c>
      <c r="P466" s="36">
        <f>O466/(C466*Inputs!$D$33)</f>
        <v>0.30257298662199028</v>
      </c>
      <c r="Q466" s="38">
        <f>IF(P466&gt;=1,999,P466/(Inputs!$D$33*(1-P466))*60)</f>
        <v>0.65076269090109196</v>
      </c>
      <c r="R466" s="37">
        <f>MIN(1,MAX(0,(Q466-Inputs!$D$36)/(Inputs!$D$37-Inputs!$D$36)))</f>
        <v>0</v>
      </c>
      <c r="S466" s="35">
        <f>Inputs!$D$6*E466*Inputs!$D$27*(1-Inputs!$D$38*R466)</f>
        <v>4639.4524615371847</v>
      </c>
      <c r="T466" s="39">
        <f>S466*Inputs!$D$12</f>
        <v>74231.239384594955</v>
      </c>
      <c r="U466" s="39">
        <f>T466*(1-Inputs!$D$18)</f>
        <v>33404.05772306773</v>
      </c>
      <c r="V466" s="35">
        <f>Inputs!$D$6*F466*Inputs!$D$28*Inputs!$D$31</f>
        <v>618.65468297412497</v>
      </c>
      <c r="W466" s="36">
        <f>V466/(B466*Inputs!$D$34)</f>
        <v>1.1783898723316666</v>
      </c>
      <c r="X466" s="38">
        <f>IF(W466&gt;=1,999,W466/(Inputs!$D$34*(1-W466))*60)</f>
        <v>999</v>
      </c>
      <c r="Y466" s="37">
        <f>MIN(1,MAX(0,(X466-Inputs!$D$36)/(Inputs!$D$37-Inputs!$D$36)))</f>
        <v>1</v>
      </c>
      <c r="Z466" s="35">
        <f>Inputs!$D$6*F466*Inputs!$D$28*(1-Inputs!$D$38*Y466)</f>
        <v>2617.3851971982212</v>
      </c>
      <c r="AA466" s="39">
        <f>Z466*Inputs!$D$13</f>
        <v>22247.774176184881</v>
      </c>
      <c r="AB466" s="39">
        <f>AA466*(1-Inputs!$D$19)</f>
        <v>13348.664505710929</v>
      </c>
      <c r="AC466" s="39">
        <f t="shared" si="28"/>
        <v>353104.84106077987</v>
      </c>
      <c r="AD466" s="39">
        <f t="shared" si="29"/>
        <v>136571.76185377865</v>
      </c>
      <c r="AE466" s="36">
        <f t="shared" si="30"/>
        <v>1.1783898723316666</v>
      </c>
      <c r="AF466" s="35">
        <f>IF(AND(AE466&lt;=Inputs!$D$35,C466&gt;=Inputs!$D$48*(A466+B466+C466),B466*Inputs!$D$22&lt;=Inputs!$D$50*Inputs!$D$8,B466*Inputs!$D$22&gt;=Inputs!$D$49*Inputs!$D$8,A466*Inputs!$D$20&lt;=Inputs!$D$47*Inputs!$D$8,C466&gt;=1),1,0)</f>
        <v>0</v>
      </c>
      <c r="AG466" s="39">
        <f t="shared" si="31"/>
        <v>-1</v>
      </c>
    </row>
    <row r="467" spans="1:33" x14ac:dyDescent="0.25">
      <c r="A467" s="35">
        <v>44</v>
      </c>
      <c r="B467" s="35">
        <v>16</v>
      </c>
      <c r="C467" s="35">
        <f>Inputs!$D$8-A467-Inputs!$D$22*B467</f>
        <v>44</v>
      </c>
      <c r="D467" s="35">
        <f>A467*Inputs!$D$20+C467*Inputs!$D$21+B467*Inputs!$D$22</f>
        <v>120</v>
      </c>
      <c r="E467" s="36">
        <f>MIN(Inputs!$E$15,Inputs!$D$15*(C467/Inputs!$D$43)^Inputs!$D$44)</f>
        <v>0.38506776240403751</v>
      </c>
      <c r="F467" s="36">
        <f>MIN(Inputs!$E$16,Inputs!$D$16*(B467/Inputs!$D$42)^Inputs!$D$44)</f>
        <v>0.37409937912904856</v>
      </c>
      <c r="G467" s="37">
        <f>Inputs!$D$26*(1+Inputs!$D$41*(B467-Inputs!$D$42))</f>
        <v>1.44</v>
      </c>
      <c r="H467" s="35">
        <f>Inputs!$D$6*Inputs!$D$14*G467*Inputs!$D$29</f>
        <v>1809.2592000000002</v>
      </c>
      <c r="I467" s="36">
        <f>H467/(A467*Inputs!$D$32)</f>
        <v>0.74762776859504143</v>
      </c>
      <c r="J467" s="38">
        <f>IF(I467&gt;=1,999,I467/(Inputs!$D$32*(1-I467))*60)</f>
        <v>3.2317102592309377</v>
      </c>
      <c r="K467" s="37">
        <f>MIN(1,MAX(0,(J467-Inputs!$D$36)/(Inputs!$D$37-Inputs!$D$36)))</f>
        <v>0</v>
      </c>
      <c r="L467" s="35">
        <f>Inputs!$D$6*Inputs!$D$14*G467*(1-Inputs!$D$38*K467)</f>
        <v>12061.728000000001</v>
      </c>
      <c r="M467" s="39">
        <f>L467*Inputs!$D$11</f>
        <v>259327.15200000003</v>
      </c>
      <c r="N467" s="39">
        <f>M467*(1-Inputs!$D$17)</f>
        <v>90764.503200000006</v>
      </c>
      <c r="O467" s="35">
        <f>Inputs!$D$6*E467*Inputs!$D$27*Inputs!$D$30</f>
        <v>549.35923364029463</v>
      </c>
      <c r="P467" s="36">
        <f>O467/(C467*Inputs!$D$33)</f>
        <v>0.31213592820471286</v>
      </c>
      <c r="Q467" s="38">
        <f>IF(P467&gt;=1,999,P467/(Inputs!$D$33*(1-P467))*60)</f>
        <v>0.6806633919476025</v>
      </c>
      <c r="R467" s="37">
        <f>MIN(1,MAX(0,(Q467-Inputs!$D$36)/(Inputs!$D$37-Inputs!$D$36)))</f>
        <v>0</v>
      </c>
      <c r="S467" s="35">
        <f>Inputs!$D$6*E467*Inputs!$D$27*(1-Inputs!$D$38*R467)</f>
        <v>4577.9936136691222</v>
      </c>
      <c r="T467" s="39">
        <f>S467*Inputs!$D$12</f>
        <v>73247.897818705955</v>
      </c>
      <c r="U467" s="39">
        <f>T467*(1-Inputs!$D$18)</f>
        <v>32961.554018417679</v>
      </c>
      <c r="V467" s="35">
        <f>Inputs!$D$6*F467*Inputs!$D$28*Inputs!$D$31</f>
        <v>630.74950998177405</v>
      </c>
      <c r="W467" s="36">
        <f>V467/(B467*Inputs!$D$34)</f>
        <v>1.1263384106817393</v>
      </c>
      <c r="X467" s="38">
        <f>IF(W467&gt;=1,999,W467/(Inputs!$D$34*(1-W467))*60)</f>
        <v>999</v>
      </c>
      <c r="Y467" s="37">
        <f>MIN(1,MAX(0,(X467-Inputs!$D$36)/(Inputs!$D$37-Inputs!$D$36)))</f>
        <v>1</v>
      </c>
      <c r="Z467" s="35">
        <f>Inputs!$D$6*F467*Inputs!$D$28*(1-Inputs!$D$38*Y467)</f>
        <v>2668.5556191536598</v>
      </c>
      <c r="AA467" s="39">
        <f>Z467*Inputs!$D$13</f>
        <v>22682.722762806108</v>
      </c>
      <c r="AB467" s="39">
        <f>AA467*(1-Inputs!$D$19)</f>
        <v>13609.633657683664</v>
      </c>
      <c r="AC467" s="39">
        <f t="shared" si="28"/>
        <v>355257.77258151211</v>
      </c>
      <c r="AD467" s="39">
        <f t="shared" si="29"/>
        <v>137335.69087610135</v>
      </c>
      <c r="AE467" s="36">
        <f t="shared" si="30"/>
        <v>1.1263384106817393</v>
      </c>
      <c r="AF467" s="35">
        <f>IF(AND(AE467&lt;=Inputs!$D$35,C467&gt;=Inputs!$D$48*(A467+B467+C467),B467*Inputs!$D$22&lt;=Inputs!$D$50*Inputs!$D$8,B467*Inputs!$D$22&gt;=Inputs!$D$49*Inputs!$D$8,A467*Inputs!$D$20&lt;=Inputs!$D$47*Inputs!$D$8,C467&gt;=1),1,0)</f>
        <v>0</v>
      </c>
      <c r="AG467" s="39">
        <f t="shared" si="31"/>
        <v>-1</v>
      </c>
    </row>
    <row r="468" spans="1:33" x14ac:dyDescent="0.25">
      <c r="A468" s="35">
        <v>44</v>
      </c>
      <c r="B468" s="35">
        <v>17</v>
      </c>
      <c r="C468" s="35">
        <f>Inputs!$D$8-A468-Inputs!$D$22*B468</f>
        <v>42</v>
      </c>
      <c r="D468" s="35">
        <f>A468*Inputs!$D$20+C468*Inputs!$D$21+B468*Inputs!$D$22</f>
        <v>120</v>
      </c>
      <c r="E468" s="36">
        <f>MIN(Inputs!$E$15,Inputs!$D$15*(C468/Inputs!$D$43)^Inputs!$D$44)</f>
        <v>0.37973108090036384</v>
      </c>
      <c r="F468" s="36">
        <f>MIN(Inputs!$E$16,Inputs!$D$16*(B468/Inputs!$D$42)^Inputs!$D$44)</f>
        <v>0.3809655184437048</v>
      </c>
      <c r="G468" s="37">
        <f>Inputs!$D$26*(1+Inputs!$D$41*(B468-Inputs!$D$42))</f>
        <v>1.4550000000000001</v>
      </c>
      <c r="H468" s="35">
        <f>Inputs!$D$6*Inputs!$D$14*G468*Inputs!$D$29</f>
        <v>1828.1056500000002</v>
      </c>
      <c r="I468" s="36">
        <f>H468/(A468*Inputs!$D$32)</f>
        <v>0.75541555785123971</v>
      </c>
      <c r="J468" s="38">
        <f>IF(I468&gt;=1,999,I468/(Inputs!$D$32*(1-I468))*60)</f>
        <v>3.369346358395334</v>
      </c>
      <c r="K468" s="37">
        <f>MIN(1,MAX(0,(J468-Inputs!$D$36)/(Inputs!$D$37-Inputs!$D$36)))</f>
        <v>0</v>
      </c>
      <c r="L468" s="35">
        <f>Inputs!$D$6*Inputs!$D$14*G468*(1-Inputs!$D$38*K468)</f>
        <v>12187.371000000001</v>
      </c>
      <c r="M468" s="39">
        <f>L468*Inputs!$D$11</f>
        <v>262028.47650000002</v>
      </c>
      <c r="N468" s="39">
        <f>M468*(1-Inputs!$D$17)</f>
        <v>91709.966775000008</v>
      </c>
      <c r="O468" s="35">
        <f>Inputs!$D$6*E468*Inputs!$D$27*Inputs!$D$30</f>
        <v>541.74562495298949</v>
      </c>
      <c r="P468" s="36">
        <f>O468/(C468*Inputs!$D$33)</f>
        <v>0.32246763390058897</v>
      </c>
      <c r="Q468" s="38">
        <f>IF(P468&gt;=1,999,P468/(Inputs!$D$33*(1-P468))*60)</f>
        <v>0.71391637514762252</v>
      </c>
      <c r="R468" s="37">
        <f>MIN(1,MAX(0,(Q468-Inputs!$D$36)/(Inputs!$D$37-Inputs!$D$36)))</f>
        <v>0</v>
      </c>
      <c r="S468" s="35">
        <f>Inputs!$D$6*E468*Inputs!$D$27*(1-Inputs!$D$38*R468)</f>
        <v>4514.5468746082461</v>
      </c>
      <c r="T468" s="39">
        <f>S468*Inputs!$D$12</f>
        <v>72232.749993731937</v>
      </c>
      <c r="U468" s="39">
        <f>T468*(1-Inputs!$D$18)</f>
        <v>32504.737497179369</v>
      </c>
      <c r="V468" s="35">
        <f>Inputs!$D$6*F468*Inputs!$D$28*Inputs!$D$31</f>
        <v>642.32615044097156</v>
      </c>
      <c r="W468" s="36">
        <f>V468/(B468*Inputs!$D$34)</f>
        <v>1.0795397486402882</v>
      </c>
      <c r="X468" s="38">
        <f>IF(W468&gt;=1,999,W468/(Inputs!$D$34*(1-W468))*60)</f>
        <v>999</v>
      </c>
      <c r="Y468" s="37">
        <f>MIN(1,MAX(0,(X468-Inputs!$D$36)/(Inputs!$D$37-Inputs!$D$36)))</f>
        <v>1</v>
      </c>
      <c r="Z468" s="35">
        <f>Inputs!$D$6*F468*Inputs!$D$28*(1-Inputs!$D$38*Y468)</f>
        <v>2717.5337134041106</v>
      </c>
      <c r="AA468" s="39">
        <f>Z468*Inputs!$D$13</f>
        <v>23099.03656393494</v>
      </c>
      <c r="AB468" s="39">
        <f>AA468*(1-Inputs!$D$19)</f>
        <v>13859.421938360963</v>
      </c>
      <c r="AC468" s="39">
        <f t="shared" si="28"/>
        <v>357360.26305766689</v>
      </c>
      <c r="AD468" s="39">
        <f t="shared" si="29"/>
        <v>138074.12621054033</v>
      </c>
      <c r="AE468" s="36">
        <f t="shared" si="30"/>
        <v>1.0795397486402882</v>
      </c>
      <c r="AF468" s="35">
        <f>IF(AND(AE468&lt;=Inputs!$D$35,C468&gt;=Inputs!$D$48*(A468+B468+C468),B468*Inputs!$D$22&lt;=Inputs!$D$50*Inputs!$D$8,B468*Inputs!$D$22&gt;=Inputs!$D$49*Inputs!$D$8,A468*Inputs!$D$20&lt;=Inputs!$D$47*Inputs!$D$8,C468&gt;=1),1,0)</f>
        <v>0</v>
      </c>
      <c r="AG468" s="39">
        <f t="shared" si="31"/>
        <v>-1</v>
      </c>
    </row>
    <row r="469" spans="1:33" x14ac:dyDescent="0.25">
      <c r="A469" s="35">
        <v>44</v>
      </c>
      <c r="B469" s="35">
        <v>18</v>
      </c>
      <c r="C469" s="35">
        <f>Inputs!$D$8-A469-Inputs!$D$22*B469</f>
        <v>40</v>
      </c>
      <c r="D469" s="35">
        <f>A469*Inputs!$D$20+C469*Inputs!$D$21+B469*Inputs!$D$22</f>
        <v>120</v>
      </c>
      <c r="E469" s="36">
        <f>MIN(Inputs!$E$15,Inputs!$D$15*(C469/Inputs!$D$43)^Inputs!$D$44)</f>
        <v>0.37421341802855551</v>
      </c>
      <c r="F469" s="36">
        <f>MIN(Inputs!$E$16,Inputs!$D$16*(B469/Inputs!$D$42)^Inputs!$D$44)</f>
        <v>0.38755446447890535</v>
      </c>
      <c r="G469" s="37">
        <f>Inputs!$D$26*(1+Inputs!$D$41*(B469-Inputs!$D$42))</f>
        <v>1.47</v>
      </c>
      <c r="H469" s="35">
        <f>Inputs!$D$6*Inputs!$D$14*G469*Inputs!$D$29</f>
        <v>1846.9521</v>
      </c>
      <c r="I469" s="36">
        <f>H469/(A469*Inputs!$D$32)</f>
        <v>0.76320334710743798</v>
      </c>
      <c r="J469" s="38">
        <f>IF(I469&gt;=1,999,I469/(Inputs!$D$32*(1-I469))*60)</f>
        <v>3.5160356339559677</v>
      </c>
      <c r="K469" s="37">
        <f>MIN(1,MAX(0,(J469-Inputs!$D$36)/(Inputs!$D$37-Inputs!$D$36)))</f>
        <v>0</v>
      </c>
      <c r="L469" s="35">
        <f>Inputs!$D$6*Inputs!$D$14*G469*(1-Inputs!$D$38*K469)</f>
        <v>12313.014000000001</v>
      </c>
      <c r="M469" s="39">
        <f>L469*Inputs!$D$11</f>
        <v>264729.80100000004</v>
      </c>
      <c r="N469" s="39">
        <f>M469*(1-Inputs!$D$17)</f>
        <v>92655.43035000001</v>
      </c>
      <c r="O469" s="35">
        <f>Inputs!$D$6*E469*Inputs!$D$27*Inputs!$D$30</f>
        <v>533.8738181109469</v>
      </c>
      <c r="P469" s="36">
        <f>O469/(C469*Inputs!$D$33)</f>
        <v>0.33367113631934181</v>
      </c>
      <c r="Q469" s="38">
        <f>IF(P469&gt;=1,999,P469/(Inputs!$D$33*(1-P469))*60)</f>
        <v>0.75114066305685867</v>
      </c>
      <c r="R469" s="37">
        <f>MIN(1,MAX(0,(Q469-Inputs!$D$36)/(Inputs!$D$37-Inputs!$D$36)))</f>
        <v>0</v>
      </c>
      <c r="S469" s="35">
        <f>Inputs!$D$6*E469*Inputs!$D$27*(1-Inputs!$D$38*R469)</f>
        <v>4448.9484842578913</v>
      </c>
      <c r="T469" s="39">
        <f>S469*Inputs!$D$12</f>
        <v>71183.175748126261</v>
      </c>
      <c r="U469" s="39">
        <f>T469*(1-Inputs!$D$18)</f>
        <v>32032.429086656815</v>
      </c>
      <c r="V469" s="35">
        <f>Inputs!$D$6*F469*Inputs!$D$28*Inputs!$D$31</f>
        <v>653.43542972572936</v>
      </c>
      <c r="W469" s="36">
        <f>V469/(B469*Inputs!$D$34)</f>
        <v>1.037199094802745</v>
      </c>
      <c r="X469" s="38">
        <f>IF(W469&gt;=1,999,W469/(Inputs!$D$34*(1-W469))*60)</f>
        <v>999</v>
      </c>
      <c r="Y469" s="37">
        <f>MIN(1,MAX(0,(X469-Inputs!$D$36)/(Inputs!$D$37-Inputs!$D$36)))</f>
        <v>1</v>
      </c>
      <c r="Z469" s="35">
        <f>Inputs!$D$6*F469*Inputs!$D$28*(1-Inputs!$D$38*Y469)</f>
        <v>2764.534510378086</v>
      </c>
      <c r="AA469" s="39">
        <f>Z469*Inputs!$D$13</f>
        <v>23498.543338213731</v>
      </c>
      <c r="AB469" s="39">
        <f>AA469*(1-Inputs!$D$19)</f>
        <v>14099.126002928238</v>
      </c>
      <c r="AC469" s="39">
        <f t="shared" si="28"/>
        <v>359411.52008634008</v>
      </c>
      <c r="AD469" s="39">
        <f t="shared" si="29"/>
        <v>138786.98543958506</v>
      </c>
      <c r="AE469" s="36">
        <f t="shared" si="30"/>
        <v>1.037199094802745</v>
      </c>
      <c r="AF469" s="35">
        <f>IF(AND(AE469&lt;=Inputs!$D$35,C469&gt;=Inputs!$D$48*(A469+B469+C469),B469*Inputs!$D$22&lt;=Inputs!$D$50*Inputs!$D$8,B469*Inputs!$D$22&gt;=Inputs!$D$49*Inputs!$D$8,A469*Inputs!$D$20&lt;=Inputs!$D$47*Inputs!$D$8,C469&gt;=1),1,0)</f>
        <v>0</v>
      </c>
      <c r="AG469" s="39">
        <f t="shared" si="31"/>
        <v>-1</v>
      </c>
    </row>
    <row r="470" spans="1:33" x14ac:dyDescent="0.25">
      <c r="A470" s="35">
        <v>44</v>
      </c>
      <c r="B470" s="35">
        <v>19</v>
      </c>
      <c r="C470" s="35">
        <f>Inputs!$D$8-A470-Inputs!$D$22*B470</f>
        <v>38</v>
      </c>
      <c r="D470" s="35">
        <f>A470*Inputs!$D$20+C470*Inputs!$D$21+B470*Inputs!$D$22</f>
        <v>120</v>
      </c>
      <c r="E470" s="36">
        <f>MIN(Inputs!$E$15,Inputs!$D$15*(C470/Inputs!$D$43)^Inputs!$D$44)</f>
        <v>0.36849910497273691</v>
      </c>
      <c r="F470" s="36">
        <f>MIN(Inputs!$E$16,Inputs!$D$16*(B470/Inputs!$D$42)^Inputs!$D$44)</f>
        <v>0.39389192072703005</v>
      </c>
      <c r="G470" s="37">
        <f>Inputs!$D$26*(1+Inputs!$D$41*(B470-Inputs!$D$42))</f>
        <v>1.4849999999999999</v>
      </c>
      <c r="H470" s="35">
        <f>Inputs!$D$6*Inputs!$D$14*G470*Inputs!$D$29</f>
        <v>1865.7985499999998</v>
      </c>
      <c r="I470" s="36">
        <f>H470/(A470*Inputs!$D$32)</f>
        <v>0.77099113636363625</v>
      </c>
      <c r="J470" s="38">
        <f>IF(I470&gt;=1,999,I470/(Inputs!$D$32*(1-I470))*60)</f>
        <v>3.6727016863633226</v>
      </c>
      <c r="K470" s="37">
        <f>MIN(1,MAX(0,(J470-Inputs!$D$36)/(Inputs!$D$37-Inputs!$D$36)))</f>
        <v>0</v>
      </c>
      <c r="L470" s="35">
        <f>Inputs!$D$6*Inputs!$D$14*G470*(1-Inputs!$D$38*K470)</f>
        <v>12438.656999999999</v>
      </c>
      <c r="M470" s="39">
        <f>L470*Inputs!$D$11</f>
        <v>267431.12549999997</v>
      </c>
      <c r="N470" s="39">
        <f>M470*(1-Inputs!$D$17)</f>
        <v>93600.893924999982</v>
      </c>
      <c r="O470" s="35">
        <f>Inputs!$D$6*E470*Inputs!$D$27*Inputs!$D$30</f>
        <v>525.72145910398501</v>
      </c>
      <c r="P470" s="36">
        <f>O470/(C470*Inputs!$D$33)</f>
        <v>0.34586938098946385</v>
      </c>
      <c r="Q470" s="38">
        <f>IF(P470&gt;=1,999,P470/(Inputs!$D$33*(1-P470))*60)</f>
        <v>0.79311999225622454</v>
      </c>
      <c r="R470" s="37">
        <f>MIN(1,MAX(0,(Q470-Inputs!$D$36)/(Inputs!$D$37-Inputs!$D$36)))</f>
        <v>0</v>
      </c>
      <c r="S470" s="35">
        <f>Inputs!$D$6*E470*Inputs!$D$27*(1-Inputs!$D$38*R470)</f>
        <v>4381.012159199875</v>
      </c>
      <c r="T470" s="39">
        <f>S470*Inputs!$D$12</f>
        <v>70096.194547198</v>
      </c>
      <c r="U470" s="39">
        <f>T470*(1-Inputs!$D$18)</f>
        <v>31543.287546239098</v>
      </c>
      <c r="V470" s="35">
        <f>Inputs!$D$6*F470*Inputs!$D$28*Inputs!$D$31</f>
        <v>664.12068515796761</v>
      </c>
      <c r="W470" s="36">
        <f>V470/(B470*Inputs!$D$34)</f>
        <v>0.99867772204205651</v>
      </c>
      <c r="X470" s="38">
        <f>IF(W470&gt;=1,999,W470/(Inputs!$D$34*(1-W470))*60)</f>
        <v>1294.749671797274</v>
      </c>
      <c r="Y470" s="37">
        <f>MIN(1,MAX(0,(X470-Inputs!$D$36)/(Inputs!$D$37-Inputs!$D$36)))</f>
        <v>1</v>
      </c>
      <c r="Z470" s="35">
        <f>Inputs!$D$6*F470*Inputs!$D$28*(1-Inputs!$D$38*Y470)</f>
        <v>2809.7413602837091</v>
      </c>
      <c r="AA470" s="39">
        <f>Z470*Inputs!$D$13</f>
        <v>23882.801562411529</v>
      </c>
      <c r="AB470" s="39">
        <f>AA470*(1-Inputs!$D$19)</f>
        <v>14329.680937446918</v>
      </c>
      <c r="AC470" s="39">
        <f t="shared" si="28"/>
        <v>361410.12160960952</v>
      </c>
      <c r="AD470" s="39">
        <f t="shared" si="29"/>
        <v>139473.86240868599</v>
      </c>
      <c r="AE470" s="36">
        <f t="shared" si="30"/>
        <v>0.99867772204205651</v>
      </c>
      <c r="AF470" s="35">
        <f>IF(AND(AE470&lt;=Inputs!$D$35,C470&gt;=Inputs!$D$48*(A470+B470+C470),B470*Inputs!$D$22&lt;=Inputs!$D$50*Inputs!$D$8,B470*Inputs!$D$22&gt;=Inputs!$D$49*Inputs!$D$8,A470*Inputs!$D$20&lt;=Inputs!$D$47*Inputs!$D$8,C470&gt;=1),1,0)</f>
        <v>0</v>
      </c>
      <c r="AG470" s="39">
        <f t="shared" si="31"/>
        <v>-1</v>
      </c>
    </row>
    <row r="471" spans="1:33" x14ac:dyDescent="0.25">
      <c r="A471" s="35">
        <v>44</v>
      </c>
      <c r="B471" s="35">
        <v>20</v>
      </c>
      <c r="C471" s="35">
        <f>Inputs!$D$8-A471-Inputs!$D$22*B471</f>
        <v>36</v>
      </c>
      <c r="D471" s="35">
        <f>A471*Inputs!$D$20+C471*Inputs!$D$21+B471*Inputs!$D$22</f>
        <v>120</v>
      </c>
      <c r="E471" s="36">
        <f>MIN(Inputs!$E$15,Inputs!$D$15*(C471/Inputs!$D$43)^Inputs!$D$44)</f>
        <v>0.36257020206219398</v>
      </c>
      <c r="F471" s="36">
        <f>MIN(Inputs!$E$16,Inputs!$D$16*(B471/Inputs!$D$42)^Inputs!$D$44)</f>
        <v>0.4</v>
      </c>
      <c r="G471" s="37">
        <f>Inputs!$D$26*(1+Inputs!$D$41*(B471-Inputs!$D$42))</f>
        <v>1.5</v>
      </c>
      <c r="H471" s="35">
        <f>Inputs!$D$6*Inputs!$D$14*G471*Inputs!$D$29</f>
        <v>1884.645</v>
      </c>
      <c r="I471" s="36">
        <f>H471/(A471*Inputs!$D$32)</f>
        <v>0.77877892561983475</v>
      </c>
      <c r="J471" s="38">
        <f>IF(I471&gt;=1,999,I471/(Inputs!$D$32*(1-I471))*60)</f>
        <v>3.8403981724955667</v>
      </c>
      <c r="K471" s="37">
        <f>MIN(1,MAX(0,(J471-Inputs!$D$36)/(Inputs!$D$37-Inputs!$D$36)))</f>
        <v>0</v>
      </c>
      <c r="L471" s="35">
        <f>Inputs!$D$6*Inputs!$D$14*G471*(1-Inputs!$D$38*K471)</f>
        <v>12564.300000000001</v>
      </c>
      <c r="M471" s="39">
        <f>L471*Inputs!$D$11</f>
        <v>270132.45</v>
      </c>
      <c r="N471" s="39">
        <f>M471*(1-Inputs!$D$17)</f>
        <v>94546.357499999998</v>
      </c>
      <c r="O471" s="35">
        <f>Inputs!$D$6*E471*Inputs!$D$27*Inputs!$D$30</f>
        <v>517.26295419324151</v>
      </c>
      <c r="P471" s="36">
        <f>O471/(C471*Inputs!$D$33)</f>
        <v>0.35921038485641771</v>
      </c>
      <c r="Q471" s="38">
        <f>IF(P471&gt;=1,999,P471/(Inputs!$D$33*(1-P471))*60)</f>
        <v>0.84086190623406665</v>
      </c>
      <c r="R471" s="37">
        <f>MIN(1,MAX(0,(Q471-Inputs!$D$36)/(Inputs!$D$37-Inputs!$D$36)))</f>
        <v>0</v>
      </c>
      <c r="S471" s="35">
        <f>Inputs!$D$6*E471*Inputs!$D$27*(1-Inputs!$D$38*R471)</f>
        <v>4310.5246182770125</v>
      </c>
      <c r="T471" s="39">
        <f>S471*Inputs!$D$12</f>
        <v>68968.393892432199</v>
      </c>
      <c r="U471" s="39">
        <f>T471*(1-Inputs!$D$18)</f>
        <v>31035.777251594485</v>
      </c>
      <c r="V471" s="35">
        <f>Inputs!$D$6*F471*Inputs!$D$28*Inputs!$D$31</f>
        <v>674.41919999999993</v>
      </c>
      <c r="W471" s="36">
        <f>V471/(B471*Inputs!$D$34)</f>
        <v>0.96345599999999987</v>
      </c>
      <c r="X471" s="38">
        <f>IF(W471&gt;=1,999,W471/(Inputs!$D$34*(1-W471))*60)</f>
        <v>45.195896922691851</v>
      </c>
      <c r="Y471" s="37">
        <f>MIN(1,MAX(0,(X471-Inputs!$D$36)/(Inputs!$D$37-Inputs!$D$36)))</f>
        <v>1</v>
      </c>
      <c r="Z471" s="35">
        <f>Inputs!$D$6*F471*Inputs!$D$28*(1-Inputs!$D$38*Y471)</f>
        <v>2853.3119999999999</v>
      </c>
      <c r="AA471" s="39">
        <f>Z471*Inputs!$D$13</f>
        <v>24253.151999999998</v>
      </c>
      <c r="AB471" s="39">
        <f>AA471*(1-Inputs!$D$19)</f>
        <v>14551.891199999998</v>
      </c>
      <c r="AC471" s="39">
        <f t="shared" si="28"/>
        <v>363353.99589243223</v>
      </c>
      <c r="AD471" s="39">
        <f t="shared" si="29"/>
        <v>140134.02595159446</v>
      </c>
      <c r="AE471" s="36">
        <f t="shared" si="30"/>
        <v>0.96345599999999987</v>
      </c>
      <c r="AF471" s="35">
        <f>IF(AND(AE471&lt;=Inputs!$D$35,C471&gt;=Inputs!$D$48*(A471+B471+C471),B471*Inputs!$D$22&lt;=Inputs!$D$50*Inputs!$D$8,B471*Inputs!$D$22&gt;=Inputs!$D$49*Inputs!$D$8,A471*Inputs!$D$20&lt;=Inputs!$D$47*Inputs!$D$8,C471&gt;=1),1,0)</f>
        <v>0</v>
      </c>
      <c r="AG471" s="39">
        <f t="shared" si="31"/>
        <v>-1</v>
      </c>
    </row>
    <row r="472" spans="1:33" x14ac:dyDescent="0.25">
      <c r="A472" s="35">
        <v>44</v>
      </c>
      <c r="B472" s="35">
        <v>21</v>
      </c>
      <c r="C472" s="35">
        <f>Inputs!$D$8-A472-Inputs!$D$22*B472</f>
        <v>34</v>
      </c>
      <c r="D472" s="35">
        <f>A472*Inputs!$D$20+C472*Inputs!$D$21+B472*Inputs!$D$22</f>
        <v>120</v>
      </c>
      <c r="E472" s="36">
        <f>MIN(Inputs!$E$15,Inputs!$D$15*(C472/Inputs!$D$43)^Inputs!$D$44)</f>
        <v>0.35640602201959876</v>
      </c>
      <c r="F472" s="36">
        <f>MIN(Inputs!$E$16,Inputs!$D$16*(B472/Inputs!$D$42)^Inputs!$D$44)</f>
        <v>0.40589787816896217</v>
      </c>
      <c r="G472" s="37">
        <f>Inputs!$D$26*(1+Inputs!$D$41*(B472-Inputs!$D$42))</f>
        <v>1.5150000000000001</v>
      </c>
      <c r="H472" s="35">
        <f>Inputs!$D$6*Inputs!$D$14*G472*Inputs!$D$29</f>
        <v>1903.4914500000004</v>
      </c>
      <c r="I472" s="36">
        <f>H472/(A472*Inputs!$D$32)</f>
        <v>0.78656671487603325</v>
      </c>
      <c r="J472" s="38">
        <f>IF(I472&gt;=1,999,I472/(Inputs!$D$32*(1-I472))*60)</f>
        <v>4.0203325332615103</v>
      </c>
      <c r="K472" s="37">
        <f>MIN(1,MAX(0,(J472-Inputs!$D$36)/(Inputs!$D$37-Inputs!$D$36)))</f>
        <v>0</v>
      </c>
      <c r="L472" s="35">
        <f>Inputs!$D$6*Inputs!$D$14*G472*(1-Inputs!$D$38*K472)</f>
        <v>12689.943000000003</v>
      </c>
      <c r="M472" s="39">
        <f>L472*Inputs!$D$11</f>
        <v>272833.77450000006</v>
      </c>
      <c r="N472" s="39">
        <f>M472*(1-Inputs!$D$17)</f>
        <v>95491.821075000014</v>
      </c>
      <c r="O472" s="35">
        <f>Inputs!$D$6*E472*Inputs!$D$27*Inputs!$D$30</f>
        <v>508.46878975039266</v>
      </c>
      <c r="P472" s="36">
        <f>O472/(C472*Inputs!$D$33)</f>
        <v>0.37387411011058286</v>
      </c>
      <c r="Q472" s="38">
        <f>IF(P472&gt;=1,999,P472/(Inputs!$D$33*(1-P472))*60)</f>
        <v>0.89568435712652228</v>
      </c>
      <c r="R472" s="37">
        <f>MIN(1,MAX(0,(Q472-Inputs!$D$36)/(Inputs!$D$37-Inputs!$D$36)))</f>
        <v>0</v>
      </c>
      <c r="S472" s="35">
        <f>Inputs!$D$6*E472*Inputs!$D$27*(1-Inputs!$D$38*R472)</f>
        <v>4237.2399145866057</v>
      </c>
      <c r="T472" s="39">
        <f>S472*Inputs!$D$12</f>
        <v>67795.838633385691</v>
      </c>
      <c r="U472" s="39">
        <f>T472*(1-Inputs!$D$18)</f>
        <v>30508.127385023559</v>
      </c>
      <c r="V472" s="35">
        <f>Inputs!$D$6*F472*Inputs!$D$28*Inputs!$D$31</f>
        <v>684.36330569102222</v>
      </c>
      <c r="W472" s="36">
        <f>V472/(B472*Inputs!$D$34)</f>
        <v>0.93110653835513224</v>
      </c>
      <c r="X472" s="38">
        <f>IF(W472&gt;=1,999,W472/(Inputs!$D$34*(1-W472))*60)</f>
        <v>23.16885520150278</v>
      </c>
      <c r="Y472" s="37">
        <f>MIN(1,MAX(0,(X472-Inputs!$D$36)/(Inputs!$D$37-Inputs!$D$36)))</f>
        <v>1</v>
      </c>
      <c r="Z472" s="35">
        <f>Inputs!$D$6*F472*Inputs!$D$28*(1-Inputs!$D$38*Y472)</f>
        <v>2895.3832163850943</v>
      </c>
      <c r="AA472" s="39">
        <f>Z472*Inputs!$D$13</f>
        <v>24610.757339273303</v>
      </c>
      <c r="AB472" s="39">
        <f>AA472*(1-Inputs!$D$19)</f>
        <v>14766.454403563981</v>
      </c>
      <c r="AC472" s="39">
        <f t="shared" si="28"/>
        <v>365240.37047265907</v>
      </c>
      <c r="AD472" s="39">
        <f t="shared" si="29"/>
        <v>140766.40286358754</v>
      </c>
      <c r="AE472" s="36">
        <f t="shared" si="30"/>
        <v>0.93110653835513224</v>
      </c>
      <c r="AF472" s="35">
        <f>IF(AND(AE472&lt;=Inputs!$D$35,C472&gt;=Inputs!$D$48*(A472+B472+C472),B472*Inputs!$D$22&lt;=Inputs!$D$50*Inputs!$D$8,B472*Inputs!$D$22&gt;=Inputs!$D$49*Inputs!$D$8,A472*Inputs!$D$20&lt;=Inputs!$D$47*Inputs!$D$8,C472&gt;=1),1,0)</f>
        <v>0</v>
      </c>
      <c r="AG472" s="39">
        <f t="shared" si="31"/>
        <v>-1</v>
      </c>
    </row>
    <row r="473" spans="1:33" x14ac:dyDescent="0.25">
      <c r="A473" s="35">
        <v>44</v>
      </c>
      <c r="B473" s="35">
        <v>22</v>
      </c>
      <c r="C473" s="35">
        <f>Inputs!$D$8-A473-Inputs!$D$22*B473</f>
        <v>32</v>
      </c>
      <c r="D473" s="35">
        <f>A473*Inputs!$D$20+C473*Inputs!$D$21+B473*Inputs!$D$22</f>
        <v>120</v>
      </c>
      <c r="E473" s="36">
        <f>MIN(Inputs!$E$15,Inputs!$D$15*(C473/Inputs!$D$43)^Inputs!$D$44)</f>
        <v>0.34998251836560429</v>
      </c>
      <c r="F473" s="36">
        <f>MIN(Inputs!$E$16,Inputs!$D$16*(B473/Inputs!$D$42)^Inputs!$D$44)</f>
        <v>0.41160230376843804</v>
      </c>
      <c r="G473" s="37">
        <f>Inputs!$D$26*(1+Inputs!$D$41*(B473-Inputs!$D$42))</f>
        <v>1.53</v>
      </c>
      <c r="H473" s="35">
        <f>Inputs!$D$6*Inputs!$D$14*G473*Inputs!$D$29</f>
        <v>1922.3379</v>
      </c>
      <c r="I473" s="36">
        <f>H473/(A473*Inputs!$D$32)</f>
        <v>0.79435450413223141</v>
      </c>
      <c r="J473" s="38">
        <f>IF(I473&gt;=1,999,I473/(Inputs!$D$32*(1-I473))*60)</f>
        <v>4.2138951125856092</v>
      </c>
      <c r="K473" s="37">
        <f>MIN(1,MAX(0,(J473-Inputs!$D$36)/(Inputs!$D$37-Inputs!$D$36)))</f>
        <v>0</v>
      </c>
      <c r="L473" s="35">
        <f>Inputs!$D$6*Inputs!$D$14*G473*(1-Inputs!$D$38*K473)</f>
        <v>12815.586000000001</v>
      </c>
      <c r="M473" s="39">
        <f>L473*Inputs!$D$11</f>
        <v>275535.09900000005</v>
      </c>
      <c r="N473" s="39">
        <f>M473*(1-Inputs!$D$17)</f>
        <v>96437.284650000016</v>
      </c>
      <c r="O473" s="35">
        <f>Inputs!$D$6*E473*Inputs!$D$27*Inputs!$D$30</f>
        <v>499.30465972139962</v>
      </c>
      <c r="P473" s="36">
        <f>O473/(C473*Inputs!$D$33)</f>
        <v>0.39008176540734346</v>
      </c>
      <c r="Q473" s="38">
        <f>IF(P473&gt;=1,999,P473/(Inputs!$D$33*(1-P473))*60)</f>
        <v>0.95934604824825165</v>
      </c>
      <c r="R473" s="37">
        <f>MIN(1,MAX(0,(Q473-Inputs!$D$36)/(Inputs!$D$37-Inputs!$D$36)))</f>
        <v>0</v>
      </c>
      <c r="S473" s="35">
        <f>Inputs!$D$6*E473*Inputs!$D$27*(1-Inputs!$D$38*R473)</f>
        <v>4160.8721643449971</v>
      </c>
      <c r="T473" s="39">
        <f>S473*Inputs!$D$12</f>
        <v>66573.954629519954</v>
      </c>
      <c r="U473" s="39">
        <f>T473*(1-Inputs!$D$18)</f>
        <v>29958.279583283977</v>
      </c>
      <c r="V473" s="35">
        <f>Inputs!$D$6*F473*Inputs!$D$28*Inputs!$D$31</f>
        <v>693.98124106416742</v>
      </c>
      <c r="W473" s="36">
        <f>V473/(B473*Inputs!$D$34)</f>
        <v>0.90127433904437326</v>
      </c>
      <c r="X473" s="38">
        <f>IF(W473&gt;=1,999,W473/(Inputs!$D$34*(1-W473))*60)</f>
        <v>15.649849381818807</v>
      </c>
      <c r="Y473" s="37">
        <f>MIN(1,MAX(0,(X473-Inputs!$D$36)/(Inputs!$D$37-Inputs!$D$36)))</f>
        <v>0.70998995878792048</v>
      </c>
      <c r="Z473" s="35">
        <f>Inputs!$D$6*F473*Inputs!$D$28*(1-Inputs!$D$38*Y473)</f>
        <v>3632.749002537963</v>
      </c>
      <c r="AA473" s="39">
        <f>Z473*Inputs!$D$13</f>
        <v>30878.366521572687</v>
      </c>
      <c r="AB473" s="39">
        <f>AA473*(1-Inputs!$D$19)</f>
        <v>18527.019912943611</v>
      </c>
      <c r="AC473" s="39">
        <f t="shared" si="28"/>
        <v>372987.42015109269</v>
      </c>
      <c r="AD473" s="39">
        <f t="shared" si="29"/>
        <v>144922.5841462276</v>
      </c>
      <c r="AE473" s="36">
        <f t="shared" si="30"/>
        <v>0.90127433904437326</v>
      </c>
      <c r="AF473" s="35">
        <f>IF(AND(AE473&lt;=Inputs!$D$35,C473&gt;=Inputs!$D$48*(A473+B473+C473),B473*Inputs!$D$22&lt;=Inputs!$D$50*Inputs!$D$8,B473*Inputs!$D$22&gt;=Inputs!$D$49*Inputs!$D$8,A473*Inputs!$D$20&lt;=Inputs!$D$47*Inputs!$D$8,C473&gt;=1),1,0)</f>
        <v>0</v>
      </c>
      <c r="AG473" s="39">
        <f t="shared" si="31"/>
        <v>-1</v>
      </c>
    </row>
    <row r="474" spans="1:33" x14ac:dyDescent="0.25">
      <c r="A474" s="35">
        <v>44</v>
      </c>
      <c r="B474" s="35">
        <v>23</v>
      </c>
      <c r="C474" s="35">
        <f>Inputs!$D$8-A474-Inputs!$D$22*B474</f>
        <v>30</v>
      </c>
      <c r="D474" s="35">
        <f>A474*Inputs!$D$20+C474*Inputs!$D$21+B474*Inputs!$D$22</f>
        <v>120</v>
      </c>
      <c r="E474" s="36">
        <f>MIN(Inputs!$E$15,Inputs!$D$15*(C474/Inputs!$D$43)^Inputs!$D$44)</f>
        <v>0.3432714897427589</v>
      </c>
      <c r="F474" s="36">
        <f>MIN(Inputs!$E$16,Inputs!$D$16*(B474/Inputs!$D$42)^Inputs!$D$44)</f>
        <v>0.41712800028621322</v>
      </c>
      <c r="G474" s="37">
        <f>Inputs!$D$26*(1+Inputs!$D$41*(B474-Inputs!$D$42))</f>
        <v>1.5449999999999999</v>
      </c>
      <c r="H474" s="35">
        <f>Inputs!$D$6*Inputs!$D$14*G474*Inputs!$D$29</f>
        <v>1941.18435</v>
      </c>
      <c r="I474" s="36">
        <f>H474/(A474*Inputs!$D$32)</f>
        <v>0.80214229338842979</v>
      </c>
      <c r="J474" s="38">
        <f>IF(I474&gt;=1,999,I474/(Inputs!$D$32*(1-I474))*60)</f>
        <v>4.4226951532295473</v>
      </c>
      <c r="K474" s="37">
        <f>MIN(1,MAX(0,(J474-Inputs!$D$36)/(Inputs!$D$37-Inputs!$D$36)))</f>
        <v>0</v>
      </c>
      <c r="L474" s="35">
        <f>Inputs!$D$6*Inputs!$D$14*G474*(1-Inputs!$D$38*K474)</f>
        <v>12941.229000000001</v>
      </c>
      <c r="M474" s="39">
        <f>L474*Inputs!$D$11</f>
        <v>278236.42350000003</v>
      </c>
      <c r="N474" s="39">
        <f>M474*(1-Inputs!$D$17)</f>
        <v>97382.748225000003</v>
      </c>
      <c r="O474" s="35">
        <f>Inputs!$D$6*E474*Inputs!$D$27*Inputs!$D$30</f>
        <v>489.73033047044544</v>
      </c>
      <c r="P474" s="36">
        <f>O474/(C474*Inputs!$D$33)</f>
        <v>0.40810860872537119</v>
      </c>
      <c r="Q474" s="38">
        <f>IF(P474&gt;=1,999,P474/(Inputs!$D$33*(1-P474))*60)</f>
        <v>1.0342487187890559</v>
      </c>
      <c r="R474" s="37">
        <f>MIN(1,MAX(0,(Q474-Inputs!$D$36)/(Inputs!$D$37-Inputs!$D$36)))</f>
        <v>0</v>
      </c>
      <c r="S474" s="35">
        <f>Inputs!$D$6*E474*Inputs!$D$27*(1-Inputs!$D$38*R474)</f>
        <v>4081.0860872537123</v>
      </c>
      <c r="T474" s="39">
        <f>S474*Inputs!$D$12</f>
        <v>65297.377396059397</v>
      </c>
      <c r="U474" s="39">
        <f>T474*(1-Inputs!$D$18)</f>
        <v>29383.819828226726</v>
      </c>
      <c r="V474" s="35">
        <f>Inputs!$D$6*F474*Inputs!$D$28*Inputs!$D$31</f>
        <v>703.29783062656929</v>
      </c>
      <c r="W474" s="36">
        <f>V474/(B474*Inputs!$D$34)</f>
        <v>0.87366190139946498</v>
      </c>
      <c r="X474" s="38">
        <f>IF(W474&gt;=1,999,W474/(Inputs!$D$34*(1-W474))*60)</f>
        <v>11.854746377182334</v>
      </c>
      <c r="Y474" s="37">
        <f>MIN(1,MAX(0,(X474-Inputs!$D$36)/(Inputs!$D$37-Inputs!$D$36)))</f>
        <v>0.45698309181215557</v>
      </c>
      <c r="Z474" s="35">
        <f>Inputs!$D$6*F474*Inputs!$D$28*(1-Inputs!$D$38*Y474)</f>
        <v>4297.4614071503011</v>
      </c>
      <c r="AA474" s="39">
        <f>Z474*Inputs!$D$13</f>
        <v>36528.421960777559</v>
      </c>
      <c r="AB474" s="39">
        <f>AA474*(1-Inputs!$D$19)</f>
        <v>21917.053176466536</v>
      </c>
      <c r="AC474" s="39">
        <f t="shared" si="28"/>
        <v>380062.22285683698</v>
      </c>
      <c r="AD474" s="39">
        <f t="shared" si="29"/>
        <v>148683.62122969326</v>
      </c>
      <c r="AE474" s="36">
        <f t="shared" si="30"/>
        <v>0.87366190139946498</v>
      </c>
      <c r="AF474" s="35">
        <f>IF(AND(AE474&lt;=Inputs!$D$35,C474&gt;=Inputs!$D$48*(A474+B474+C474),B474*Inputs!$D$22&lt;=Inputs!$D$50*Inputs!$D$8,B474*Inputs!$D$22&gt;=Inputs!$D$49*Inputs!$D$8,A474*Inputs!$D$20&lt;=Inputs!$D$47*Inputs!$D$8,C474&gt;=1),1,0)</f>
        <v>0</v>
      </c>
      <c r="AG474" s="39">
        <f t="shared" si="31"/>
        <v>-1</v>
      </c>
    </row>
    <row r="475" spans="1:33" x14ac:dyDescent="0.25">
      <c r="A475" s="35">
        <v>44</v>
      </c>
      <c r="B475" s="35">
        <v>24</v>
      </c>
      <c r="C475" s="35">
        <f>Inputs!$D$8-A475-Inputs!$D$22*B475</f>
        <v>28</v>
      </c>
      <c r="D475" s="35">
        <f>A475*Inputs!$D$20+C475*Inputs!$D$21+B475*Inputs!$D$22</f>
        <v>120</v>
      </c>
      <c r="E475" s="36">
        <f>MIN(Inputs!$E$15,Inputs!$D$15*(C475/Inputs!$D$43)^Inputs!$D$44)</f>
        <v>0.33623952833125714</v>
      </c>
      <c r="F475" s="36">
        <f>MIN(Inputs!$E$16,Inputs!$D$16*(B475/Inputs!$D$42)^Inputs!$D$44)</f>
        <v>0.42248798737570326</v>
      </c>
      <c r="G475" s="37">
        <f>Inputs!$D$26*(1+Inputs!$D$41*(B475-Inputs!$D$42))</f>
        <v>1.56</v>
      </c>
      <c r="H475" s="35">
        <f>Inputs!$D$6*Inputs!$D$14*G475*Inputs!$D$29</f>
        <v>1960.0308</v>
      </c>
      <c r="I475" s="36">
        <f>H475/(A475*Inputs!$D$32)</f>
        <v>0.80993008264462807</v>
      </c>
      <c r="J475" s="38">
        <f>IF(I475&gt;=1,999,I475/(Inputs!$D$32*(1-I475))*60)</f>
        <v>4.6486056418164905</v>
      </c>
      <c r="K475" s="37">
        <f>MIN(1,MAX(0,(J475-Inputs!$D$36)/(Inputs!$D$37-Inputs!$D$36)))</f>
        <v>0</v>
      </c>
      <c r="L475" s="35">
        <f>Inputs!$D$6*Inputs!$D$14*G475*(1-Inputs!$D$38*K475)</f>
        <v>13066.872000000001</v>
      </c>
      <c r="M475" s="39">
        <f>L475*Inputs!$D$11</f>
        <v>280937.74800000002</v>
      </c>
      <c r="N475" s="39">
        <f>M475*(1-Inputs!$D$17)</f>
        <v>98328.211800000005</v>
      </c>
      <c r="O475" s="35">
        <f>Inputs!$D$6*E475*Inputs!$D$27*Inputs!$D$30</f>
        <v>479.69814053095797</v>
      </c>
      <c r="P475" s="36">
        <f>O475/(C475*Inputs!$D$33)</f>
        <v>0.42830191118835531</v>
      </c>
      <c r="Q475" s="38">
        <f>IF(P475&gt;=1,999,P475/(Inputs!$D$33*(1-P475))*60)</f>
        <v>1.1237624882006552</v>
      </c>
      <c r="R475" s="37">
        <f>MIN(1,MAX(0,(Q475-Inputs!$D$36)/(Inputs!$D$37-Inputs!$D$36)))</f>
        <v>0</v>
      </c>
      <c r="S475" s="35">
        <f>Inputs!$D$6*E475*Inputs!$D$27*(1-Inputs!$D$38*R475)</f>
        <v>3997.4845044246499</v>
      </c>
      <c r="T475" s="39">
        <f>S475*Inputs!$D$12</f>
        <v>63959.752070794399</v>
      </c>
      <c r="U475" s="39">
        <f>T475*(1-Inputs!$D$18)</f>
        <v>28781.888431857478</v>
      </c>
      <c r="V475" s="35">
        <f>Inputs!$D$6*F475*Inputs!$D$28*Inputs!$D$31</f>
        <v>712.33502613882979</v>
      </c>
      <c r="W475" s="36">
        <f>V475/(B475*Inputs!$D$34)</f>
        <v>0.84801788826051161</v>
      </c>
      <c r="X475" s="38">
        <f>IF(W475&gt;=1,999,W475/(Inputs!$D$34*(1-W475))*60)</f>
        <v>9.5652372155190832</v>
      </c>
      <c r="Y475" s="37">
        <f>MIN(1,MAX(0,(X475-Inputs!$D$36)/(Inputs!$D$37-Inputs!$D$36)))</f>
        <v>0.30434914770127219</v>
      </c>
      <c r="Z475" s="35">
        <f>Inputs!$D$6*F475*Inputs!$D$28*(1-Inputs!$D$38*Y475)</f>
        <v>4729.0436538571339</v>
      </c>
      <c r="AA475" s="39">
        <f>Z475*Inputs!$D$13</f>
        <v>40196.87105778564</v>
      </c>
      <c r="AB475" s="39">
        <f>AA475*(1-Inputs!$D$19)</f>
        <v>24118.122634671385</v>
      </c>
      <c r="AC475" s="39">
        <f t="shared" si="28"/>
        <v>385094.37112858007</v>
      </c>
      <c r="AD475" s="39">
        <f t="shared" si="29"/>
        <v>151228.22286652887</v>
      </c>
      <c r="AE475" s="36">
        <f t="shared" si="30"/>
        <v>0.84801788826051161</v>
      </c>
      <c r="AF475" s="35">
        <f>IF(AND(AE475&lt;=Inputs!$D$35,C475&gt;=Inputs!$D$48*(A475+B475+C475),B475*Inputs!$D$22&lt;=Inputs!$D$50*Inputs!$D$8,B475*Inputs!$D$22&gt;=Inputs!$D$49*Inputs!$D$8,A475*Inputs!$D$20&lt;=Inputs!$D$47*Inputs!$D$8,C475&gt;=1),1,0)</f>
        <v>1</v>
      </c>
      <c r="AG475" s="39">
        <f t="shared" si="31"/>
        <v>151228.22286652887</v>
      </c>
    </row>
    <row r="476" spans="1:33" x14ac:dyDescent="0.25">
      <c r="A476" s="35">
        <v>44</v>
      </c>
      <c r="B476" s="35">
        <v>25</v>
      </c>
      <c r="C476" s="35">
        <f>Inputs!$D$8-A476-Inputs!$D$22*B476</f>
        <v>26</v>
      </c>
      <c r="D476" s="35">
        <f>A476*Inputs!$D$20+C476*Inputs!$D$21+B476*Inputs!$D$22</f>
        <v>120</v>
      </c>
      <c r="E476" s="36">
        <f>MIN(Inputs!$E$15,Inputs!$D$15*(C476/Inputs!$D$43)^Inputs!$D$44)</f>
        <v>0.32884660514387515</v>
      </c>
      <c r="F476" s="36">
        <f>MIN(Inputs!$E$16,Inputs!$D$16*(B476/Inputs!$D$42)^Inputs!$D$44)</f>
        <v>0.42769383999647526</v>
      </c>
      <c r="G476" s="37">
        <f>Inputs!$D$26*(1+Inputs!$D$41*(B476-Inputs!$D$42))</f>
        <v>1.5750000000000002</v>
      </c>
      <c r="H476" s="35">
        <f>Inputs!$D$6*Inputs!$D$14*G476*Inputs!$D$29</f>
        <v>1978.8772500000005</v>
      </c>
      <c r="I476" s="36">
        <f>H476/(A476*Inputs!$D$32)</f>
        <v>0.81771787190082668</v>
      </c>
      <c r="J476" s="38">
        <f>IF(I476&gt;=1,999,I476/(Inputs!$D$32*(1-I476))*60)</f>
        <v>4.8938196495605482</v>
      </c>
      <c r="K476" s="37">
        <f>MIN(1,MAX(0,(J476-Inputs!$D$36)/(Inputs!$D$37-Inputs!$D$36)))</f>
        <v>0</v>
      </c>
      <c r="L476" s="35">
        <f>Inputs!$D$6*Inputs!$D$14*G476*(1-Inputs!$D$38*K476)</f>
        <v>13192.515000000003</v>
      </c>
      <c r="M476" s="39">
        <f>L476*Inputs!$D$11</f>
        <v>283639.07250000007</v>
      </c>
      <c r="N476" s="39">
        <f>M476*(1-Inputs!$D$17)</f>
        <v>99273.675375000021</v>
      </c>
      <c r="O476" s="35">
        <f>Inputs!$D$6*E476*Inputs!$D$27*Inputs!$D$30</f>
        <v>469.15098230814039</v>
      </c>
      <c r="P476" s="36">
        <f>O476/(C476*Inputs!$D$33)</f>
        <v>0.45110671375782729</v>
      </c>
      <c r="Q476" s="38">
        <f>IF(P476&gt;=1,999,P476/(Inputs!$D$33*(1-P476))*60)</f>
        <v>1.2327716290160586</v>
      </c>
      <c r="R476" s="37">
        <f>MIN(1,MAX(0,(Q476-Inputs!$D$36)/(Inputs!$D$37-Inputs!$D$36)))</f>
        <v>0</v>
      </c>
      <c r="S476" s="35">
        <f>Inputs!$D$6*E476*Inputs!$D$27*(1-Inputs!$D$38*R476)</f>
        <v>3909.5915192345033</v>
      </c>
      <c r="T476" s="39">
        <f>S476*Inputs!$D$12</f>
        <v>62553.464307752052</v>
      </c>
      <c r="U476" s="39">
        <f>T476*(1-Inputs!$D$18)</f>
        <v>28149.058938488422</v>
      </c>
      <c r="V476" s="35">
        <f>Inputs!$D$6*F476*Inputs!$D$28*Inputs!$D$31</f>
        <v>721.1123435383771</v>
      </c>
      <c r="W476" s="36">
        <f>V476/(B476*Inputs!$D$34)</f>
        <v>0.82412839261528814</v>
      </c>
      <c r="X476" s="38">
        <f>IF(W476&gt;=1,999,W476/(Inputs!$D$34*(1-W476))*60)</f>
        <v>8.0330847668163621</v>
      </c>
      <c r="Y476" s="37">
        <f>MIN(1,MAX(0,(X476-Inputs!$D$36)/(Inputs!$D$37-Inputs!$D$36)))</f>
        <v>0.20220565112109082</v>
      </c>
      <c r="Z476" s="35">
        <f>Inputs!$D$6*F476*Inputs!$D$28*(1-Inputs!$D$38*Y476)</f>
        <v>5042.2807508299393</v>
      </c>
      <c r="AA476" s="39">
        <f>Z476*Inputs!$D$13</f>
        <v>42859.386382054487</v>
      </c>
      <c r="AB476" s="39">
        <f>AA476*(1-Inputs!$D$19)</f>
        <v>25715.631829232691</v>
      </c>
      <c r="AC476" s="39">
        <f t="shared" si="28"/>
        <v>389051.92318980658</v>
      </c>
      <c r="AD476" s="39">
        <f t="shared" si="29"/>
        <v>153138.36614272115</v>
      </c>
      <c r="AE476" s="36">
        <f t="shared" si="30"/>
        <v>0.82412839261528814</v>
      </c>
      <c r="AF476" s="35">
        <f>IF(AND(AE476&lt;=Inputs!$D$35,C476&gt;=Inputs!$D$48*(A476+B476+C476),B476*Inputs!$D$22&lt;=Inputs!$D$50*Inputs!$D$8,B476*Inputs!$D$22&gt;=Inputs!$D$49*Inputs!$D$8,A476*Inputs!$D$20&lt;=Inputs!$D$47*Inputs!$D$8,C476&gt;=1),1,0)</f>
        <v>1</v>
      </c>
      <c r="AG476" s="39">
        <f t="shared" si="31"/>
        <v>153138.36614272115</v>
      </c>
    </row>
    <row r="477" spans="1:33" x14ac:dyDescent="0.25">
      <c r="A477" s="35">
        <v>44</v>
      </c>
      <c r="B477" s="35">
        <v>26</v>
      </c>
      <c r="C477" s="35">
        <f>Inputs!$D$8-A477-Inputs!$D$22*B477</f>
        <v>24</v>
      </c>
      <c r="D477" s="35">
        <f>A477*Inputs!$D$20+C477*Inputs!$D$21+B477*Inputs!$D$22</f>
        <v>120</v>
      </c>
      <c r="E477" s="36">
        <f>MIN(Inputs!$E$15,Inputs!$D$15*(C477/Inputs!$D$43)^Inputs!$D$44)</f>
        <v>0.32104412796367415</v>
      </c>
      <c r="F477" s="36">
        <f>MIN(Inputs!$E$16,Inputs!$D$16*(B477/Inputs!$D$42)^Inputs!$D$44)</f>
        <v>0.43275589945781112</v>
      </c>
      <c r="G477" s="37">
        <f>Inputs!$D$26*(1+Inputs!$D$41*(B477-Inputs!$D$42))</f>
        <v>1.59</v>
      </c>
      <c r="H477" s="35">
        <f>Inputs!$D$6*Inputs!$D$14*G477*Inputs!$D$29</f>
        <v>1997.7237</v>
      </c>
      <c r="I477" s="36">
        <f>H477/(A477*Inputs!$D$32)</f>
        <v>0.82550566115702484</v>
      </c>
      <c r="J477" s="38">
        <f>IF(I477&gt;=1,999,I477/(Inputs!$D$32*(1-I477))*60)</f>
        <v>5.1609217601237543</v>
      </c>
      <c r="K477" s="37">
        <f>MIN(1,MAX(0,(J477-Inputs!$D$36)/(Inputs!$D$37-Inputs!$D$36)))</f>
        <v>1.0728117341583616E-2</v>
      </c>
      <c r="L477" s="35">
        <f>Inputs!$D$6*Inputs!$D$14*G477*(1-Inputs!$D$38*K477)</f>
        <v>13253.862557191012</v>
      </c>
      <c r="M477" s="39">
        <f>L477*Inputs!$D$11</f>
        <v>284958.04497960676</v>
      </c>
      <c r="N477" s="39">
        <f>M477*(1-Inputs!$D$17)</f>
        <v>99735.315742862353</v>
      </c>
      <c r="O477" s="35">
        <f>Inputs!$D$6*E477*Inputs!$D$27*Inputs!$D$30</f>
        <v>458.01953142414351</v>
      </c>
      <c r="P477" s="36">
        <f>O477/(C477*Inputs!$D$33)</f>
        <v>0.47710367856681618</v>
      </c>
      <c r="Q477" s="38">
        <f>IF(P477&gt;=1,999,P477/(Inputs!$D$33*(1-P477))*60)</f>
        <v>1.3686375071232384</v>
      </c>
      <c r="R477" s="37">
        <f>MIN(1,MAX(0,(Q477-Inputs!$D$36)/(Inputs!$D$37-Inputs!$D$36)))</f>
        <v>0</v>
      </c>
      <c r="S477" s="35">
        <f>Inputs!$D$6*E477*Inputs!$D$27*(1-Inputs!$D$38*R477)</f>
        <v>3816.8294285345296</v>
      </c>
      <c r="T477" s="39">
        <f>S477*Inputs!$D$12</f>
        <v>61069.270856552474</v>
      </c>
      <c r="U477" s="39">
        <f>T477*(1-Inputs!$D$18)</f>
        <v>27481.17188544861</v>
      </c>
      <c r="V477" s="35">
        <f>Inputs!$D$6*F477*Inputs!$D$28*Inputs!$D$31</f>
        <v>729.64721876904355</v>
      </c>
      <c r="W477" s="36">
        <f>V477/(B477*Inputs!$D$34)</f>
        <v>0.80181013051543248</v>
      </c>
      <c r="X477" s="38">
        <f>IF(W477&gt;=1,999,W477/(Inputs!$D$34*(1-W477))*60)</f>
        <v>6.9354284146153136</v>
      </c>
      <c r="Y477" s="37">
        <f>MIN(1,MAX(0,(X477-Inputs!$D$36)/(Inputs!$D$37-Inputs!$D$36)))</f>
        <v>0.12902856097435425</v>
      </c>
      <c r="Z477" s="35">
        <f>Inputs!$D$6*F477*Inputs!$D$28*(1-Inputs!$D$38*Y477)</f>
        <v>5286.7832305655711</v>
      </c>
      <c r="AA477" s="39">
        <f>Z477*Inputs!$D$13</f>
        <v>44937.657459807357</v>
      </c>
      <c r="AB477" s="39">
        <f>AA477*(1-Inputs!$D$19)</f>
        <v>26962.594475884413</v>
      </c>
      <c r="AC477" s="39">
        <f t="shared" si="28"/>
        <v>390964.97329596657</v>
      </c>
      <c r="AD477" s="39">
        <f t="shared" si="29"/>
        <v>154179.08210419537</v>
      </c>
      <c r="AE477" s="36">
        <f t="shared" si="30"/>
        <v>0.82550566115702484</v>
      </c>
      <c r="AF477" s="35">
        <f>IF(AND(AE477&lt;=Inputs!$D$35,C477&gt;=Inputs!$D$48*(A477+B477+C477),B477*Inputs!$D$22&lt;=Inputs!$D$50*Inputs!$D$8,B477*Inputs!$D$22&gt;=Inputs!$D$49*Inputs!$D$8,A477*Inputs!$D$20&lt;=Inputs!$D$47*Inputs!$D$8,C477&gt;=1),1,0)</f>
        <v>1</v>
      </c>
      <c r="AG477" s="39">
        <f t="shared" si="31"/>
        <v>154179.08210419537</v>
      </c>
    </row>
    <row r="478" spans="1:33" x14ac:dyDescent="0.25">
      <c r="A478" s="35">
        <v>44</v>
      </c>
      <c r="B478" s="35">
        <v>27</v>
      </c>
      <c r="C478" s="35">
        <f>Inputs!$D$8-A478-Inputs!$D$22*B478</f>
        <v>22</v>
      </c>
      <c r="D478" s="35">
        <f>A478*Inputs!$D$20+C478*Inputs!$D$21+B478*Inputs!$D$22</f>
        <v>120</v>
      </c>
      <c r="E478" s="36">
        <f>MIN(Inputs!$E$15,Inputs!$D$15*(C478/Inputs!$D$43)^Inputs!$D$44)</f>
        <v>0.31277221277221301</v>
      </c>
      <c r="F478" s="36">
        <f>MIN(Inputs!$E$16,Inputs!$D$16*(B478/Inputs!$D$42)^Inputs!$D$44)</f>
        <v>0.43768344678187454</v>
      </c>
      <c r="G478" s="37">
        <f>Inputs!$D$26*(1+Inputs!$D$41*(B478-Inputs!$D$42))</f>
        <v>1.605</v>
      </c>
      <c r="H478" s="35">
        <f>Inputs!$D$6*Inputs!$D$14*G478*Inputs!$D$29</f>
        <v>2016.57015</v>
      </c>
      <c r="I478" s="36">
        <f>H478/(A478*Inputs!$D$32)</f>
        <v>0.83329345041322311</v>
      </c>
      <c r="J478" s="38">
        <f>IF(I478&gt;=1,999,I478/(Inputs!$D$32*(1-I478))*60)</f>
        <v>5.4529795182258045</v>
      </c>
      <c r="K478" s="37">
        <f>MIN(1,MAX(0,(J478-Inputs!$D$36)/(Inputs!$D$37-Inputs!$D$36)))</f>
        <v>3.0198634548386966E-2</v>
      </c>
      <c r="L478" s="35">
        <f>Inputs!$D$6*Inputs!$D$14*G478*(1-Inputs!$D$38*K478)</f>
        <v>13261.108004996893</v>
      </c>
      <c r="M478" s="39">
        <f>L478*Inputs!$D$11</f>
        <v>285113.82210743323</v>
      </c>
      <c r="N478" s="39">
        <f>M478*(1-Inputs!$D$17)</f>
        <v>99789.837737601629</v>
      </c>
      <c r="O478" s="35">
        <f>Inputs!$D$6*E478*Inputs!$D$27*Inputs!$D$30</f>
        <v>446.21835398475434</v>
      </c>
      <c r="P478" s="36">
        <f>O478/(C478*Inputs!$D$33)</f>
        <v>0.50706631134631175</v>
      </c>
      <c r="Q478" s="38">
        <f>IF(P478&gt;=1,999,P478/(Inputs!$D$33*(1-P478))*60)</f>
        <v>1.543005650713049</v>
      </c>
      <c r="R478" s="37">
        <f>MIN(1,MAX(0,(Q478-Inputs!$D$36)/(Inputs!$D$37-Inputs!$D$36)))</f>
        <v>0</v>
      </c>
      <c r="S478" s="35">
        <f>Inputs!$D$6*E478*Inputs!$D$27*(1-Inputs!$D$38*R478)</f>
        <v>3718.4862832062863</v>
      </c>
      <c r="T478" s="39">
        <f>S478*Inputs!$D$12</f>
        <v>59495.780531300581</v>
      </c>
      <c r="U478" s="39">
        <f>T478*(1-Inputs!$D$18)</f>
        <v>26773.101239085259</v>
      </c>
      <c r="V478" s="35">
        <f>Inputs!$D$6*F478*Inputs!$D$28*Inputs!$D$31</f>
        <v>737.95530007968603</v>
      </c>
      <c r="W478" s="36">
        <f>V478/(B478*Inputs!$D$34)</f>
        <v>0.78090507944940324</v>
      </c>
      <c r="X478" s="38">
        <f>IF(W478&gt;=1,999,W478/(Inputs!$D$34*(1-W478))*60)</f>
        <v>6.1101116290101798</v>
      </c>
      <c r="Y478" s="37">
        <f>MIN(1,MAX(0,(X478-Inputs!$D$36)/(Inputs!$D$37-Inputs!$D$36)))</f>
        <v>7.4007441934011986E-2</v>
      </c>
      <c r="Z478" s="35">
        <f>Inputs!$D$6*F478*Inputs!$D$28*(1-Inputs!$D$38*Y478)</f>
        <v>5487.5301328495489</v>
      </c>
      <c r="AA478" s="39">
        <f>Z478*Inputs!$D$13</f>
        <v>46644.006129221169</v>
      </c>
      <c r="AB478" s="39">
        <f>AA478*(1-Inputs!$D$19)</f>
        <v>27986.4036775327</v>
      </c>
      <c r="AC478" s="39">
        <f t="shared" si="28"/>
        <v>391253.60876795498</v>
      </c>
      <c r="AD478" s="39">
        <f t="shared" si="29"/>
        <v>154549.3426542196</v>
      </c>
      <c r="AE478" s="36">
        <f t="shared" si="30"/>
        <v>0.83329345041322311</v>
      </c>
      <c r="AF478" s="35">
        <f>IF(AND(AE478&lt;=Inputs!$D$35,C478&gt;=Inputs!$D$48*(A478+B478+C478),B478*Inputs!$D$22&lt;=Inputs!$D$50*Inputs!$D$8,B478*Inputs!$D$22&gt;=Inputs!$D$49*Inputs!$D$8,A478*Inputs!$D$20&lt;=Inputs!$D$47*Inputs!$D$8,C478&gt;=1),1,0)</f>
        <v>1</v>
      </c>
      <c r="AG478" s="39">
        <f t="shared" si="31"/>
        <v>154549.3426542196</v>
      </c>
    </row>
    <row r="479" spans="1:33" x14ac:dyDescent="0.25">
      <c r="A479" s="35">
        <v>44</v>
      </c>
      <c r="B479" s="35">
        <v>28</v>
      </c>
      <c r="C479" s="35">
        <f>Inputs!$D$8-A479-Inputs!$D$22*B479</f>
        <v>20</v>
      </c>
      <c r="D479" s="35">
        <f>A479*Inputs!$D$20+C479*Inputs!$D$21+B479*Inputs!$D$22</f>
        <v>120</v>
      </c>
      <c r="E479" s="36">
        <f>MIN(Inputs!$E$15,Inputs!$D$15*(C479/Inputs!$D$43)^Inputs!$D$44)</f>
        <v>0.30395574554235194</v>
      </c>
      <c r="F479" s="36">
        <f>MIN(Inputs!$E$16,Inputs!$D$16*(B479/Inputs!$D$42)^Inputs!$D$44)</f>
        <v>0.44248484624799689</v>
      </c>
      <c r="G479" s="37">
        <f>Inputs!$D$26*(1+Inputs!$D$41*(B479-Inputs!$D$42))</f>
        <v>1.62</v>
      </c>
      <c r="H479" s="35">
        <f>Inputs!$D$6*Inputs!$D$14*G479*Inputs!$D$29</f>
        <v>2035.4166</v>
      </c>
      <c r="I479" s="36">
        <f>H479/(A479*Inputs!$D$32)</f>
        <v>0.8410812396694215</v>
      </c>
      <c r="J479" s="38">
        <f>IF(I479&gt;=1,999,I479/(Inputs!$D$32*(1-I479))*60)</f>
        <v>5.7736617668034365</v>
      </c>
      <c r="K479" s="37">
        <f>MIN(1,MAX(0,(J479-Inputs!$D$36)/(Inputs!$D$37-Inputs!$D$36)))</f>
        <v>5.1577451120229094E-2</v>
      </c>
      <c r="L479" s="35">
        <f>Inputs!$D$6*Inputs!$D$14*G479*(1-Inputs!$D$38*K479)</f>
        <v>13254.499199412594</v>
      </c>
      <c r="M479" s="39">
        <f>L479*Inputs!$D$11</f>
        <v>284971.7327873708</v>
      </c>
      <c r="N479" s="39">
        <f>M479*(1-Inputs!$D$17)</f>
        <v>99740.106475579771</v>
      </c>
      <c r="O479" s="35">
        <f>Inputs!$D$6*E479*Inputs!$D$27*Inputs!$D$30</f>
        <v>433.64028811246965</v>
      </c>
      <c r="P479" s="36">
        <f>O479/(C479*Inputs!$D$33)</f>
        <v>0.54205036014058705</v>
      </c>
      <c r="Q479" s="38">
        <f>IF(P479&gt;=1,999,P479/(Inputs!$D$33*(1-P479))*60)</f>
        <v>1.7754693299038049</v>
      </c>
      <c r="R479" s="37">
        <f>MIN(1,MAX(0,(Q479-Inputs!$D$36)/(Inputs!$D$37-Inputs!$D$36)))</f>
        <v>0</v>
      </c>
      <c r="S479" s="35">
        <f>Inputs!$D$6*E479*Inputs!$D$27*(1-Inputs!$D$38*R479)</f>
        <v>3613.6690676039138</v>
      </c>
      <c r="T479" s="39">
        <f>S479*Inputs!$D$12</f>
        <v>57818.705081662622</v>
      </c>
      <c r="U479" s="39">
        <f>T479*(1-Inputs!$D$18)</f>
        <v>26018.417286748176</v>
      </c>
      <c r="V479" s="35">
        <f>Inputs!$D$6*F479*Inputs!$D$28*Inputs!$D$31</f>
        <v>746.05069004674272</v>
      </c>
      <c r="W479" s="36">
        <f>V479/(B479*Inputs!$D$34)</f>
        <v>0.76127621433341097</v>
      </c>
      <c r="X479" s="38">
        <f>IF(W479&gt;=1,999,W479/(Inputs!$D$34*(1-W479))*60)</f>
        <v>5.4667570523531852</v>
      </c>
      <c r="Y479" s="37">
        <f>MIN(1,MAX(0,(X479-Inputs!$D$36)/(Inputs!$D$37-Inputs!$D$36)))</f>
        <v>3.111713682354568E-2</v>
      </c>
      <c r="Z479" s="35">
        <f>Inputs!$D$6*F479*Inputs!$D$28*(1-Inputs!$D$38*Y479)</f>
        <v>5658.4919801305723</v>
      </c>
      <c r="AA479" s="39">
        <f>Z479*Inputs!$D$13</f>
        <v>48097.181831109861</v>
      </c>
      <c r="AB479" s="39">
        <f>AA479*(1-Inputs!$D$19)</f>
        <v>28858.309098665915</v>
      </c>
      <c r="AC479" s="39">
        <f t="shared" si="28"/>
        <v>390887.61970014329</v>
      </c>
      <c r="AD479" s="39">
        <f t="shared" si="29"/>
        <v>154616.83286099386</v>
      </c>
      <c r="AE479" s="36">
        <f t="shared" si="30"/>
        <v>0.8410812396694215</v>
      </c>
      <c r="AF479" s="35">
        <f>IF(AND(AE479&lt;=Inputs!$D$35,C479&gt;=Inputs!$D$48*(A479+B479+C479),B479*Inputs!$D$22&lt;=Inputs!$D$50*Inputs!$D$8,B479*Inputs!$D$22&gt;=Inputs!$D$49*Inputs!$D$8,A479*Inputs!$D$20&lt;=Inputs!$D$47*Inputs!$D$8,C479&gt;=1),1,0)</f>
        <v>0</v>
      </c>
      <c r="AG479" s="39">
        <f t="shared" si="31"/>
        <v>-1</v>
      </c>
    </row>
    <row r="480" spans="1:33" x14ac:dyDescent="0.25">
      <c r="A480" s="35">
        <v>44</v>
      </c>
      <c r="B480" s="35">
        <v>29</v>
      </c>
      <c r="C480" s="35">
        <f>Inputs!$D$8-A480-Inputs!$D$22*B480</f>
        <v>18</v>
      </c>
      <c r="D480" s="35">
        <f>A480*Inputs!$D$20+C480*Inputs!$D$21+B480*Inputs!$D$22</f>
        <v>120</v>
      </c>
      <c r="E480" s="36">
        <f>MIN(Inputs!$E$15,Inputs!$D$15*(C480/Inputs!$D$43)^Inputs!$D$44)</f>
        <v>0.29449851547238159</v>
      </c>
      <c r="F480" s="36">
        <f>MIN(Inputs!$E$16,Inputs!$D$16*(B480/Inputs!$D$42)^Inputs!$D$44)</f>
        <v>0.44716766511947192</v>
      </c>
      <c r="G480" s="37">
        <f>Inputs!$D$26*(1+Inputs!$D$41*(B480-Inputs!$D$42))</f>
        <v>1.6350000000000002</v>
      </c>
      <c r="H480" s="35">
        <f>Inputs!$D$6*Inputs!$D$14*G480*Inputs!$D$29</f>
        <v>2054.2630500000005</v>
      </c>
      <c r="I480" s="36">
        <f>H480/(A480*Inputs!$D$32)</f>
        <v>0.84886902892562</v>
      </c>
      <c r="J480" s="38">
        <f>IF(I480&gt;=1,999,I480/(Inputs!$D$32*(1-I480))*60)</f>
        <v>6.1273935717012984</v>
      </c>
      <c r="K480" s="37">
        <f>MIN(1,MAX(0,(J480-Inputs!$D$36)/(Inputs!$D$37-Inputs!$D$36)))</f>
        <v>7.5159571446753226E-2</v>
      </c>
      <c r="L480" s="35">
        <f>Inputs!$D$6*Inputs!$D$14*G480*(1-Inputs!$D$38*K480)</f>
        <v>13231.894408569302</v>
      </c>
      <c r="M480" s="39">
        <f>L480*Inputs!$D$11</f>
        <v>284485.72978424001</v>
      </c>
      <c r="N480" s="39">
        <f>M480*(1-Inputs!$D$17)</f>
        <v>99570.005424483999</v>
      </c>
      <c r="O480" s="35">
        <f>Inputs!$D$6*E480*Inputs!$D$27*Inputs!$D$30</f>
        <v>420.14807408976606</v>
      </c>
      <c r="P480" s="36">
        <f>O480/(C480*Inputs!$D$33)</f>
        <v>0.58353899179134172</v>
      </c>
      <c r="Q480" s="38">
        <f>IF(P480&gt;=1,999,P480/(Inputs!$D$33*(1-P480))*60)</f>
        <v>2.1017777665477375</v>
      </c>
      <c r="R480" s="37">
        <f>MIN(1,MAX(0,(Q480-Inputs!$D$36)/(Inputs!$D$37-Inputs!$D$36)))</f>
        <v>0</v>
      </c>
      <c r="S480" s="35">
        <f>Inputs!$D$6*E480*Inputs!$D$27*(1-Inputs!$D$38*R480)</f>
        <v>3501.2339507480506</v>
      </c>
      <c r="T480" s="39">
        <f>S480*Inputs!$D$12</f>
        <v>56019.743211968809</v>
      </c>
      <c r="U480" s="39">
        <f>T480*(1-Inputs!$D$18)</f>
        <v>25208.88444538596</v>
      </c>
      <c r="V480" s="35">
        <f>Inputs!$D$6*F480*Inputs!$D$28*Inputs!$D$31</f>
        <v>753.9461474393554</v>
      </c>
      <c r="W480" s="36">
        <f>V480/(B480*Inputs!$D$34)</f>
        <v>0.74280408614714821</v>
      </c>
      <c r="X480" s="38">
        <f>IF(W480&gt;=1,999,W480/(Inputs!$D$34*(1-W480))*60)</f>
        <v>4.9510056918075414</v>
      </c>
      <c r="Y480" s="37">
        <f>MIN(1,MAX(0,(X480-Inputs!$D$36)/(Inputs!$D$37-Inputs!$D$36)))</f>
        <v>0</v>
      </c>
      <c r="Z480" s="35">
        <f>Inputs!$D$6*F480*Inputs!$D$28*(1-Inputs!$D$38*Y480)</f>
        <v>5799.5857495335031</v>
      </c>
      <c r="AA480" s="39">
        <f>Z480*Inputs!$D$13</f>
        <v>49296.478871034778</v>
      </c>
      <c r="AB480" s="39">
        <f>AA480*(1-Inputs!$D$19)</f>
        <v>29577.887322620867</v>
      </c>
      <c r="AC480" s="39">
        <f t="shared" si="28"/>
        <v>389801.95186724362</v>
      </c>
      <c r="AD480" s="39">
        <f t="shared" si="29"/>
        <v>154356.77719249082</v>
      </c>
      <c r="AE480" s="36">
        <f t="shared" si="30"/>
        <v>0.84886902892562</v>
      </c>
      <c r="AF480" s="35">
        <f>IF(AND(AE480&lt;=Inputs!$D$35,C480&gt;=Inputs!$D$48*(A480+B480+C480),B480*Inputs!$D$22&lt;=Inputs!$D$50*Inputs!$D$8,B480*Inputs!$D$22&gt;=Inputs!$D$49*Inputs!$D$8,A480*Inputs!$D$20&lt;=Inputs!$D$47*Inputs!$D$8,C480&gt;=1),1,0)</f>
        <v>0</v>
      </c>
      <c r="AG480" s="39">
        <f t="shared" si="31"/>
        <v>-1</v>
      </c>
    </row>
    <row r="481" spans="1:33" x14ac:dyDescent="0.25">
      <c r="A481" s="35">
        <v>44</v>
      </c>
      <c r="B481" s="35">
        <v>30</v>
      </c>
      <c r="C481" s="35">
        <f>Inputs!$D$8-A481-Inputs!$D$22*B481</f>
        <v>16</v>
      </c>
      <c r="D481" s="35">
        <f>A481*Inputs!$D$20+C481*Inputs!$D$21+B481*Inputs!$D$22</f>
        <v>120</v>
      </c>
      <c r="E481" s="36">
        <f>MIN(Inputs!$E$15,Inputs!$D$15*(C481/Inputs!$D$43)^Inputs!$D$44)</f>
        <v>0.2842741392252523</v>
      </c>
      <c r="F481" s="36">
        <f>MIN(Inputs!$E$16,Inputs!$D$16*(B481/Inputs!$D$42)^Inputs!$D$44)</f>
        <v>0.45173877418274222</v>
      </c>
      <c r="G481" s="37">
        <f>Inputs!$D$26*(1+Inputs!$D$41*(B481-Inputs!$D$42))</f>
        <v>1.6500000000000001</v>
      </c>
      <c r="H481" s="35">
        <f>Inputs!$D$6*Inputs!$D$14*G481*Inputs!$D$29</f>
        <v>2073.1095000000005</v>
      </c>
      <c r="I481" s="36">
        <f>H481/(A481*Inputs!$D$32)</f>
        <v>0.85665681818181838</v>
      </c>
      <c r="J481" s="38">
        <f>IF(I481&gt;=1,999,I481/(Inputs!$D$32*(1-I481))*60)</f>
        <v>6.5195616484164418</v>
      </c>
      <c r="K481" s="37">
        <f>MIN(1,MAX(0,(J481-Inputs!$D$36)/(Inputs!$D$37-Inputs!$D$36)))</f>
        <v>0.10130410989442945</v>
      </c>
      <c r="L481" s="35">
        <f>Inputs!$D$6*Inputs!$D$14*G481*(1-Inputs!$D$38*K481)</f>
        <v>13190.686462166446</v>
      </c>
      <c r="M481" s="39">
        <f>L481*Inputs!$D$11</f>
        <v>283599.75893657858</v>
      </c>
      <c r="N481" s="39">
        <f>M481*(1-Inputs!$D$17)</f>
        <v>99259.915627802504</v>
      </c>
      <c r="O481" s="35">
        <f>Inputs!$D$6*E481*Inputs!$D$27*Inputs!$D$30</f>
        <v>405.56140637054153</v>
      </c>
      <c r="P481" s="36">
        <f>O481/(C481*Inputs!$D$33)</f>
        <v>0.63368969745397119</v>
      </c>
      <c r="Q481" s="38">
        <f>IF(P481&gt;=1,999,P481/(Inputs!$D$33*(1-P481))*60)</f>
        <v>2.5948889222451426</v>
      </c>
      <c r="R481" s="37">
        <f>MIN(1,MAX(0,(Q481-Inputs!$D$36)/(Inputs!$D$37-Inputs!$D$36)))</f>
        <v>0</v>
      </c>
      <c r="S481" s="35">
        <f>Inputs!$D$6*E481*Inputs!$D$27*(1-Inputs!$D$38*R481)</f>
        <v>3379.6783864211798</v>
      </c>
      <c r="T481" s="39">
        <f>S481*Inputs!$D$12</f>
        <v>54074.854182738876</v>
      </c>
      <c r="U481" s="39">
        <f>T481*(1-Inputs!$D$18)</f>
        <v>24333.684382232492</v>
      </c>
      <c r="V481" s="35">
        <f>Inputs!$D$6*F481*Inputs!$D$28*Inputs!$D$31</f>
        <v>761.65325673326424</v>
      </c>
      <c r="W481" s="36">
        <f>V481/(B481*Inputs!$D$34)</f>
        <v>0.72538405403168027</v>
      </c>
      <c r="X481" s="38">
        <f>IF(W481&gt;=1,999,W481/(Inputs!$D$34*(1-W481))*60)</f>
        <v>4.5281985239874629</v>
      </c>
      <c r="Y481" s="37">
        <f>MIN(1,MAX(0,(X481-Inputs!$D$36)/(Inputs!$D$37-Inputs!$D$36)))</f>
        <v>0</v>
      </c>
      <c r="Z481" s="35">
        <f>Inputs!$D$6*F481*Inputs!$D$28*(1-Inputs!$D$38*Y481)</f>
        <v>5858.8712056404938</v>
      </c>
      <c r="AA481" s="39">
        <f>Z481*Inputs!$D$13</f>
        <v>49800.405247944196</v>
      </c>
      <c r="AB481" s="39">
        <f>AA481*(1-Inputs!$D$19)</f>
        <v>29880.243148766516</v>
      </c>
      <c r="AC481" s="39">
        <f t="shared" si="28"/>
        <v>387475.01836726163</v>
      </c>
      <c r="AD481" s="39">
        <f t="shared" si="29"/>
        <v>153473.84315880149</v>
      </c>
      <c r="AE481" s="36">
        <f t="shared" si="30"/>
        <v>0.85665681818181838</v>
      </c>
      <c r="AF481" s="35">
        <f>IF(AND(AE481&lt;=Inputs!$D$35,C481&gt;=Inputs!$D$48*(A481+B481+C481),B481*Inputs!$D$22&lt;=Inputs!$D$50*Inputs!$D$8,B481*Inputs!$D$22&gt;=Inputs!$D$49*Inputs!$D$8,A481*Inputs!$D$20&lt;=Inputs!$D$47*Inputs!$D$8,C481&gt;=1),1,0)</f>
        <v>0</v>
      </c>
      <c r="AG481" s="39">
        <f t="shared" si="31"/>
        <v>-1</v>
      </c>
    </row>
    <row r="482" spans="1:33" x14ac:dyDescent="0.25">
      <c r="A482" s="35">
        <v>44</v>
      </c>
      <c r="B482" s="35">
        <v>31</v>
      </c>
      <c r="C482" s="35">
        <f>Inputs!$D$8-A482-Inputs!$D$22*B482</f>
        <v>14</v>
      </c>
      <c r="D482" s="35">
        <f>A482*Inputs!$D$20+C482*Inputs!$D$21+B482*Inputs!$D$22</f>
        <v>120</v>
      </c>
      <c r="E482" s="36">
        <f>MIN(Inputs!$E$15,Inputs!$D$15*(C482/Inputs!$D$43)^Inputs!$D$44)</f>
        <v>0.27311136263675401</v>
      </c>
      <c r="F482" s="36">
        <f>MIN(Inputs!$E$16,Inputs!$D$16*(B482/Inputs!$D$42)^Inputs!$D$44)</f>
        <v>0.45620443270573335</v>
      </c>
      <c r="G482" s="37">
        <f>Inputs!$D$26*(1+Inputs!$D$41*(B482-Inputs!$D$42))</f>
        <v>1.665</v>
      </c>
      <c r="H482" s="35">
        <f>Inputs!$D$6*Inputs!$D$14*G482*Inputs!$D$29</f>
        <v>2091.95595</v>
      </c>
      <c r="I482" s="36">
        <f>H482/(A482*Inputs!$D$32)</f>
        <v>0.86444460743801654</v>
      </c>
      <c r="J482" s="38">
        <f>IF(I482&gt;=1,999,I482/(Inputs!$D$32*(1-I482))*60)</f>
        <v>6.9567906006414804</v>
      </c>
      <c r="K482" s="37">
        <f>MIN(1,MAX(0,(J482-Inputs!$D$36)/(Inputs!$D$37-Inputs!$D$36)))</f>
        <v>0.13045270670943201</v>
      </c>
      <c r="L482" s="35">
        <f>Inputs!$D$6*Inputs!$D$14*G482*(1-Inputs!$D$38*K482)</f>
        <v>13127.669052016798</v>
      </c>
      <c r="M482" s="39">
        <f>L482*Inputs!$D$11</f>
        <v>282244.88461836113</v>
      </c>
      <c r="N482" s="39">
        <f>M482*(1-Inputs!$D$17)</f>
        <v>98785.709616426393</v>
      </c>
      <c r="O482" s="35">
        <f>Inputs!$D$6*E482*Inputs!$D$27*Inputs!$D$30</f>
        <v>389.63596417390096</v>
      </c>
      <c r="P482" s="36">
        <f>O482/(C482*Inputs!$D$33)</f>
        <v>0.69577850745339453</v>
      </c>
      <c r="Q482" s="38">
        <f>IF(P482&gt;=1,999,P482/(Inputs!$D$33*(1-P482))*60)</f>
        <v>3.4306181080227471</v>
      </c>
      <c r="R482" s="37">
        <f>MIN(1,MAX(0,(Q482-Inputs!$D$36)/(Inputs!$D$37-Inputs!$D$36)))</f>
        <v>0</v>
      </c>
      <c r="S482" s="35">
        <f>Inputs!$D$6*E482*Inputs!$D$27*(1-Inputs!$D$38*R482)</f>
        <v>3246.9663681158413</v>
      </c>
      <c r="T482" s="39">
        <f>S482*Inputs!$D$12</f>
        <v>51951.461889853461</v>
      </c>
      <c r="U482" s="39">
        <f>T482*(1-Inputs!$D$18)</f>
        <v>23378.157850434054</v>
      </c>
      <c r="V482" s="35">
        <f>Inputs!$D$6*F482*Inputs!$D$28*Inputs!$D$31</f>
        <v>769.18257135463637</v>
      </c>
      <c r="W482" s="36">
        <f>V482/(B482*Inputs!$D$34)</f>
        <v>0.70892402889828232</v>
      </c>
      <c r="X482" s="38">
        <f>IF(W482&gt;=1,999,W482/(Inputs!$D$34*(1-W482))*60)</f>
        <v>4.1751929252501148</v>
      </c>
      <c r="Y482" s="37">
        <f>MIN(1,MAX(0,(X482-Inputs!$D$36)/(Inputs!$D$37-Inputs!$D$36)))</f>
        <v>0</v>
      </c>
      <c r="Z482" s="35">
        <f>Inputs!$D$6*F482*Inputs!$D$28*(1-Inputs!$D$38*Y482)</f>
        <v>5916.7890104202797</v>
      </c>
      <c r="AA482" s="39">
        <f>Z482*Inputs!$D$13</f>
        <v>50292.706588572379</v>
      </c>
      <c r="AB482" s="39">
        <f>AA482*(1-Inputs!$D$19)</f>
        <v>30175.623953143426</v>
      </c>
      <c r="AC482" s="39">
        <f t="shared" si="28"/>
        <v>384489.05309678696</v>
      </c>
      <c r="AD482" s="39">
        <f t="shared" si="29"/>
        <v>152339.49142000388</v>
      </c>
      <c r="AE482" s="36">
        <f t="shared" si="30"/>
        <v>0.86444460743801654</v>
      </c>
      <c r="AF482" s="35">
        <f>IF(AND(AE482&lt;=Inputs!$D$35,C482&gt;=Inputs!$D$48*(A482+B482+C482),B482*Inputs!$D$22&lt;=Inputs!$D$50*Inputs!$D$8,B482*Inputs!$D$22&gt;=Inputs!$D$49*Inputs!$D$8,A482*Inputs!$D$20&lt;=Inputs!$D$47*Inputs!$D$8,C482&gt;=1),1,0)</f>
        <v>0</v>
      </c>
      <c r="AG482" s="39">
        <f t="shared" si="31"/>
        <v>-1</v>
      </c>
    </row>
    <row r="483" spans="1:33" x14ac:dyDescent="0.25">
      <c r="A483" s="35">
        <v>44</v>
      </c>
      <c r="B483" s="35">
        <v>32</v>
      </c>
      <c r="C483" s="35">
        <f>Inputs!$D$8-A483-Inputs!$D$22*B483</f>
        <v>12</v>
      </c>
      <c r="D483" s="35">
        <f>A483*Inputs!$D$20+C483*Inputs!$D$21+B483*Inputs!$D$22</f>
        <v>120</v>
      </c>
      <c r="E483" s="36">
        <f>MIN(Inputs!$E$15,Inputs!$D$15*(C483/Inputs!$D$43)^Inputs!$D$44)</f>
        <v>0.26076886227459228</v>
      </c>
      <c r="F483" s="36">
        <f>MIN(Inputs!$E$16,Inputs!$D$16*(B483/Inputs!$D$42)^Inputs!$D$44)</f>
        <v>0.46057036065052986</v>
      </c>
      <c r="G483" s="37">
        <f>Inputs!$D$26*(1+Inputs!$D$41*(B483-Inputs!$D$42))</f>
        <v>1.6800000000000002</v>
      </c>
      <c r="H483" s="35">
        <f>Inputs!$D$6*Inputs!$D$14*G483*Inputs!$D$29</f>
        <v>2110.8024000000005</v>
      </c>
      <c r="I483" s="36">
        <f>H483/(A483*Inputs!$D$32)</f>
        <v>0.87223239669421504</v>
      </c>
      <c r="J483" s="38">
        <f>IF(I483&gt;=1,999,I483/(Inputs!$D$32*(1-I483))*60)</f>
        <v>7.4473201838330265</v>
      </c>
      <c r="K483" s="37">
        <f>MIN(1,MAX(0,(J483-Inputs!$D$36)/(Inputs!$D$37-Inputs!$D$36)))</f>
        <v>0.16315467892220176</v>
      </c>
      <c r="L483" s="35">
        <f>Inputs!$D$6*Inputs!$D$14*G483*(1-Inputs!$D$38*K483)</f>
        <v>13038.854136479364</v>
      </c>
      <c r="M483" s="39">
        <f>L483*Inputs!$D$11</f>
        <v>280335.36393430631</v>
      </c>
      <c r="N483" s="39">
        <f>M483*(1-Inputs!$D$17)</f>
        <v>98117.3773770072</v>
      </c>
      <c r="O483" s="35">
        <f>Inputs!$D$6*E483*Inputs!$D$27*Inputs!$D$30</f>
        <v>372.02746197722075</v>
      </c>
      <c r="P483" s="36">
        <f>O483/(C483*Inputs!$D$33)</f>
        <v>0.77505721245254322</v>
      </c>
      <c r="Q483" s="38">
        <f>IF(P483&gt;=1,999,P483/(Inputs!$D$33*(1-P483))*60)</f>
        <v>5.1683622816025654</v>
      </c>
      <c r="R483" s="37">
        <f>MIN(1,MAX(0,(Q483-Inputs!$D$36)/(Inputs!$D$37-Inputs!$D$36)))</f>
        <v>1.1224152106837693E-2</v>
      </c>
      <c r="S483" s="35">
        <f>Inputs!$D$6*E483*Inputs!$D$27*(1-Inputs!$D$38*R483)</f>
        <v>3084.5700017308486</v>
      </c>
      <c r="T483" s="39">
        <f>S483*Inputs!$D$12</f>
        <v>49353.120027693578</v>
      </c>
      <c r="U483" s="39">
        <f>T483*(1-Inputs!$D$18)</f>
        <v>22208.904012462106</v>
      </c>
      <c r="V483" s="35">
        <f>Inputs!$D$6*F483*Inputs!$D$28*Inputs!$D$31</f>
        <v>776.54373543410452</v>
      </c>
      <c r="W483" s="36">
        <f>V483/(B483*Inputs!$D$34)</f>
        <v>0.69334262092330756</v>
      </c>
      <c r="X483" s="38">
        <f>IF(W483&gt;=1,999,W483/(Inputs!$D$34*(1-W483))*60)</f>
        <v>3.8759457011369869</v>
      </c>
      <c r="Y483" s="37">
        <f>MIN(1,MAX(0,(X483-Inputs!$D$36)/(Inputs!$D$37-Inputs!$D$36)))</f>
        <v>0</v>
      </c>
      <c r="Z483" s="35">
        <f>Inputs!$D$6*F483*Inputs!$D$28*(1-Inputs!$D$38*Y483)</f>
        <v>5973.4133494931111</v>
      </c>
      <c r="AA483" s="39">
        <f>Z483*Inputs!$D$13</f>
        <v>50774.013470691447</v>
      </c>
      <c r="AB483" s="39">
        <f>AA483*(1-Inputs!$D$19)</f>
        <v>30464.408082414866</v>
      </c>
      <c r="AC483" s="39">
        <f t="shared" si="28"/>
        <v>380462.49743269134</v>
      </c>
      <c r="AD483" s="39">
        <f t="shared" si="29"/>
        <v>150790.68947188416</v>
      </c>
      <c r="AE483" s="36">
        <f t="shared" si="30"/>
        <v>0.87223239669421504</v>
      </c>
      <c r="AF483" s="35">
        <f>IF(AND(AE483&lt;=Inputs!$D$35,C483&gt;=Inputs!$D$48*(A483+B483+C483),B483*Inputs!$D$22&lt;=Inputs!$D$50*Inputs!$D$8,B483*Inputs!$D$22&gt;=Inputs!$D$49*Inputs!$D$8,A483*Inputs!$D$20&lt;=Inputs!$D$47*Inputs!$D$8,C483&gt;=1),1,0)</f>
        <v>0</v>
      </c>
      <c r="AG483" s="39">
        <f t="shared" si="31"/>
        <v>-1</v>
      </c>
    </row>
    <row r="484" spans="1:33" x14ac:dyDescent="0.25">
      <c r="A484" s="35">
        <v>44</v>
      </c>
      <c r="B484" s="35">
        <v>33</v>
      </c>
      <c r="C484" s="35">
        <f>Inputs!$D$8-A484-Inputs!$D$22*B484</f>
        <v>10</v>
      </c>
      <c r="D484" s="35">
        <f>A484*Inputs!$D$20+C484*Inputs!$D$21+B484*Inputs!$D$22</f>
        <v>120</v>
      </c>
      <c r="E484" s="36">
        <f>MIN(Inputs!$E$15,Inputs!$D$15*(C484/Inputs!$D$43)^Inputs!$D$44)</f>
        <v>0.24688878270302153</v>
      </c>
      <c r="F484" s="36">
        <f>MIN(Inputs!$E$16,Inputs!$D$16*(B484/Inputs!$D$42)^Inputs!$D$44)</f>
        <v>0.46484180038786721</v>
      </c>
      <c r="G484" s="37">
        <f>Inputs!$D$26*(1+Inputs!$D$41*(B484-Inputs!$D$42))</f>
        <v>1.6949999999999998</v>
      </c>
      <c r="H484" s="35">
        <f>Inputs!$D$6*Inputs!$D$14*G484*Inputs!$D$29</f>
        <v>2129.64885</v>
      </c>
      <c r="I484" s="36">
        <f>H484/(A484*Inputs!$D$32)</f>
        <v>0.8800201859504132</v>
      </c>
      <c r="J484" s="38">
        <f>IF(I484&gt;=1,999,I484/(Inputs!$D$32*(1-I484))*60)</f>
        <v>8.0015294959537453</v>
      </c>
      <c r="K484" s="37">
        <f>MIN(1,MAX(0,(J484-Inputs!$D$36)/(Inputs!$D$37-Inputs!$D$36)))</f>
        <v>0.20010196639691635</v>
      </c>
      <c r="L484" s="35">
        <f>Inputs!$D$6*Inputs!$D$14*G484*(1-Inputs!$D$38*K484)</f>
        <v>12919.218232140205</v>
      </c>
      <c r="M484" s="39">
        <f>L484*Inputs!$D$11</f>
        <v>277763.19199101441</v>
      </c>
      <c r="N484" s="39">
        <f>M484*(1-Inputs!$D$17)</f>
        <v>97217.117196855033</v>
      </c>
      <c r="O484" s="35">
        <f>Inputs!$D$6*E484*Inputs!$D$27*Inputs!$D$30</f>
        <v>352.22536317596189</v>
      </c>
      <c r="P484" s="36">
        <f>O484/(C484*Inputs!$D$33)</f>
        <v>0.88056340793990473</v>
      </c>
      <c r="Q484" s="38">
        <f>IF(P484&gt;=1,999,P484/(Inputs!$D$33*(1-P484))*60)</f>
        <v>11.05896517245959</v>
      </c>
      <c r="R484" s="37">
        <f>MIN(1,MAX(0,(Q484-Inputs!$D$36)/(Inputs!$D$37-Inputs!$D$36)))</f>
        <v>0.40393101149730604</v>
      </c>
      <c r="S484" s="35">
        <f>Inputs!$D$6*E484*Inputs!$D$27*(1-Inputs!$D$38*R484)</f>
        <v>2401.6810577146616</v>
      </c>
      <c r="T484" s="39">
        <f>S484*Inputs!$D$12</f>
        <v>38426.896923434586</v>
      </c>
      <c r="U484" s="39">
        <f>T484*(1-Inputs!$D$18)</f>
        <v>17292.103615545562</v>
      </c>
      <c r="V484" s="35">
        <f>Inputs!$D$6*F484*Inputs!$D$28*Inputs!$D$31</f>
        <v>783.74558786036266</v>
      </c>
      <c r="W484" s="36">
        <f>V484/(B484*Inputs!$D$34)</f>
        <v>0.67856760853711051</v>
      </c>
      <c r="X484" s="38">
        <f>IF(W484&gt;=1,999,W484/(Inputs!$D$34*(1-W484))*60)</f>
        <v>3.6189842355277744</v>
      </c>
      <c r="Y484" s="37">
        <f>MIN(1,MAX(0,(X484-Inputs!$D$36)/(Inputs!$D$37-Inputs!$D$36)))</f>
        <v>0</v>
      </c>
      <c r="Z484" s="35">
        <f>Inputs!$D$6*F484*Inputs!$D$28*(1-Inputs!$D$38*Y484)</f>
        <v>6028.812214310482</v>
      </c>
      <c r="AA484" s="39">
        <f>Z484*Inputs!$D$13</f>
        <v>51244.903821639098</v>
      </c>
      <c r="AB484" s="39">
        <f>AA484*(1-Inputs!$D$19)</f>
        <v>30746.942292983458</v>
      </c>
      <c r="AC484" s="39">
        <f t="shared" si="28"/>
        <v>367434.99273608805</v>
      </c>
      <c r="AD484" s="39">
        <f t="shared" si="29"/>
        <v>145256.16310538407</v>
      </c>
      <c r="AE484" s="36">
        <f t="shared" si="30"/>
        <v>0.88056340793990473</v>
      </c>
      <c r="AF484" s="35">
        <f>IF(AND(AE484&lt;=Inputs!$D$35,C484&gt;=Inputs!$D$48*(A484+B484+C484),B484*Inputs!$D$22&lt;=Inputs!$D$50*Inputs!$D$8,B484*Inputs!$D$22&gt;=Inputs!$D$49*Inputs!$D$8,A484*Inputs!$D$20&lt;=Inputs!$D$47*Inputs!$D$8,C484&gt;=1),1,0)</f>
        <v>0</v>
      </c>
      <c r="AG484" s="39">
        <f t="shared" si="31"/>
        <v>-1</v>
      </c>
    </row>
    <row r="485" spans="1:33" x14ac:dyDescent="0.25">
      <c r="A485" s="35">
        <v>45</v>
      </c>
      <c r="B485" s="35">
        <v>10</v>
      </c>
      <c r="C485" s="35">
        <f>Inputs!$D$8-A485-Inputs!$D$22*B485</f>
        <v>55</v>
      </c>
      <c r="D485" s="35">
        <f>A485*Inputs!$D$20+C485*Inputs!$D$21+B485*Inputs!$D$22</f>
        <v>120</v>
      </c>
      <c r="E485" s="36">
        <f>MIN(Inputs!$E$15,Inputs!$D$15*(C485/Inputs!$D$43)^Inputs!$D$44)</f>
        <v>0.4</v>
      </c>
      <c r="F485" s="36">
        <f>MIN(Inputs!$E$16,Inputs!$D$16*(B485/Inputs!$D$42)^Inputs!$D$44)</f>
        <v>0.32490095854249423</v>
      </c>
      <c r="G485" s="37">
        <f>Inputs!$D$26*(1+Inputs!$D$41*(B485-Inputs!$D$42))</f>
        <v>1.35</v>
      </c>
      <c r="H485" s="35">
        <f>Inputs!$D$6*Inputs!$D$14*G485*Inputs!$D$29</f>
        <v>1696.1805000000004</v>
      </c>
      <c r="I485" s="36">
        <f>H485/(A485*Inputs!$D$32)</f>
        <v>0.68532545454545468</v>
      </c>
      <c r="J485" s="38">
        <f>IF(I485&gt;=1,999,I485/(Inputs!$D$32*(1-I485))*60)</f>
        <v>2.3758762168547762</v>
      </c>
      <c r="K485" s="37">
        <f>MIN(1,MAX(0,(J485-Inputs!$D$36)/(Inputs!$D$37-Inputs!$D$36)))</f>
        <v>0</v>
      </c>
      <c r="L485" s="35">
        <f>Inputs!$D$6*Inputs!$D$14*G485*(1-Inputs!$D$38*K485)</f>
        <v>11307.870000000003</v>
      </c>
      <c r="M485" s="39">
        <f>L485*Inputs!$D$11</f>
        <v>243119.20500000005</v>
      </c>
      <c r="N485" s="39">
        <f>M485*(1-Inputs!$D$17)</f>
        <v>85091.721750000012</v>
      </c>
      <c r="O485" s="35">
        <f>Inputs!$D$6*E485*Inputs!$D$27*Inputs!$D$30</f>
        <v>570.66240000000005</v>
      </c>
      <c r="P485" s="36">
        <f>O485/(C485*Inputs!$D$33)</f>
        <v>0.25939200000000001</v>
      </c>
      <c r="Q485" s="38">
        <f>IF(P485&gt;=1,999,P485/(Inputs!$D$33*(1-P485))*60)</f>
        <v>0.52536294503975123</v>
      </c>
      <c r="R485" s="37">
        <f>MIN(1,MAX(0,(Q485-Inputs!$D$36)/(Inputs!$D$37-Inputs!$D$36)))</f>
        <v>0</v>
      </c>
      <c r="S485" s="35">
        <f>Inputs!$D$6*E485*Inputs!$D$27*(1-Inputs!$D$38*R485)</f>
        <v>4755.5200000000004</v>
      </c>
      <c r="T485" s="39">
        <f>S485*Inputs!$D$12</f>
        <v>76088.320000000007</v>
      </c>
      <c r="U485" s="39">
        <f>T485*(1-Inputs!$D$18)</f>
        <v>34239.743999999999</v>
      </c>
      <c r="V485" s="35">
        <f>Inputs!$D$6*F485*Inputs!$D$28*Inputs!$D$31</f>
        <v>547.7986113486553</v>
      </c>
      <c r="W485" s="36">
        <f>V485/(B485*Inputs!$D$34)</f>
        <v>1.5651388895675866</v>
      </c>
      <c r="X485" s="38">
        <f>IF(W485&gt;=1,999,W485/(Inputs!$D$34*(1-W485))*60)</f>
        <v>999</v>
      </c>
      <c r="Y485" s="37">
        <f>MIN(1,MAX(0,(X485-Inputs!$D$36)/(Inputs!$D$37-Inputs!$D$36)))</f>
        <v>1</v>
      </c>
      <c r="Z485" s="35">
        <f>Inputs!$D$6*F485*Inputs!$D$28*(1-Inputs!$D$38*Y485)</f>
        <v>2317.6095095520031</v>
      </c>
      <c r="AA485" s="39">
        <f>Z485*Inputs!$D$13</f>
        <v>19699.680831192025</v>
      </c>
      <c r="AB485" s="39">
        <f>AA485*(1-Inputs!$D$19)</f>
        <v>11819.808498715214</v>
      </c>
      <c r="AC485" s="39">
        <f t="shared" si="28"/>
        <v>338907.20583119203</v>
      </c>
      <c r="AD485" s="39">
        <f t="shared" si="29"/>
        <v>131151.27424871523</v>
      </c>
      <c r="AE485" s="36">
        <f t="shared" si="30"/>
        <v>1.5651388895675866</v>
      </c>
      <c r="AF485" s="35">
        <f>IF(AND(AE485&lt;=Inputs!$D$35,C485&gt;=Inputs!$D$48*(A485+B485+C485),B485*Inputs!$D$22&lt;=Inputs!$D$50*Inputs!$D$8,B485*Inputs!$D$22&gt;=Inputs!$D$49*Inputs!$D$8,A485*Inputs!$D$20&lt;=Inputs!$D$47*Inputs!$D$8,C485&gt;=1),1,0)</f>
        <v>0</v>
      </c>
      <c r="AG485" s="39">
        <f t="shared" si="31"/>
        <v>-1</v>
      </c>
    </row>
    <row r="486" spans="1:33" x14ac:dyDescent="0.25">
      <c r="A486" s="35">
        <v>45</v>
      </c>
      <c r="B486" s="35">
        <v>11</v>
      </c>
      <c r="C486" s="35">
        <f>Inputs!$D$8-A486-Inputs!$D$22*B486</f>
        <v>53</v>
      </c>
      <c r="D486" s="35">
        <f>A486*Inputs!$D$20+C486*Inputs!$D$21+B486*Inputs!$D$22</f>
        <v>120</v>
      </c>
      <c r="E486" s="36">
        <f>MIN(Inputs!$E$15,Inputs!$D$15*(C486/Inputs!$D$43)^Inputs!$D$44)</f>
        <v>0.4</v>
      </c>
      <c r="F486" s="36">
        <f>MIN(Inputs!$E$16,Inputs!$D$16*(B486/Inputs!$D$42)^Inputs!$D$44)</f>
        <v>0.33432495758166098</v>
      </c>
      <c r="G486" s="37">
        <f>Inputs!$D$26*(1+Inputs!$D$41*(B486-Inputs!$D$42))</f>
        <v>1.365</v>
      </c>
      <c r="H486" s="35">
        <f>Inputs!$D$6*Inputs!$D$14*G486*Inputs!$D$29</f>
        <v>1715.0269500000002</v>
      </c>
      <c r="I486" s="36">
        <f>H486/(A486*Inputs!$D$32)</f>
        <v>0.69294018181818184</v>
      </c>
      <c r="J486" s="38">
        <f>IF(I486&gt;=1,999,I486/(Inputs!$D$32*(1-I486))*60)</f>
        <v>2.4618484706912849</v>
      </c>
      <c r="K486" s="37">
        <f>MIN(1,MAX(0,(J486-Inputs!$D$36)/(Inputs!$D$37-Inputs!$D$36)))</f>
        <v>0</v>
      </c>
      <c r="L486" s="35">
        <f>Inputs!$D$6*Inputs!$D$14*G486*(1-Inputs!$D$38*K486)</f>
        <v>11433.513000000001</v>
      </c>
      <c r="M486" s="39">
        <f>L486*Inputs!$D$11</f>
        <v>245820.5295</v>
      </c>
      <c r="N486" s="39">
        <f>M486*(1-Inputs!$D$17)</f>
        <v>86037.185324999999</v>
      </c>
      <c r="O486" s="35">
        <f>Inputs!$D$6*E486*Inputs!$D$27*Inputs!$D$30</f>
        <v>570.66240000000005</v>
      </c>
      <c r="P486" s="36">
        <f>O486/(C486*Inputs!$D$33)</f>
        <v>0.2691803773584906</v>
      </c>
      <c r="Q486" s="38">
        <f>IF(P486&gt;=1,999,P486/(Inputs!$D$33*(1-P486))*60)</f>
        <v>0.5524900447778458</v>
      </c>
      <c r="R486" s="37">
        <f>MIN(1,MAX(0,(Q486-Inputs!$D$36)/(Inputs!$D$37-Inputs!$D$36)))</f>
        <v>0</v>
      </c>
      <c r="S486" s="35">
        <f>Inputs!$D$6*E486*Inputs!$D$27*(1-Inputs!$D$38*R486)</f>
        <v>4755.5200000000004</v>
      </c>
      <c r="T486" s="39">
        <f>S486*Inputs!$D$12</f>
        <v>76088.320000000007</v>
      </c>
      <c r="U486" s="39">
        <f>T486*(1-Inputs!$D$18)</f>
        <v>34239.743999999999</v>
      </c>
      <c r="V486" s="35">
        <f>Inputs!$D$6*F486*Inputs!$D$28*Inputs!$D$31</f>
        <v>563.68792608064427</v>
      </c>
      <c r="W486" s="36">
        <f>V486/(B486*Inputs!$D$34)</f>
        <v>1.4641244833263487</v>
      </c>
      <c r="X486" s="38">
        <f>IF(W486&gt;=1,999,W486/(Inputs!$D$34*(1-W486))*60)</f>
        <v>999</v>
      </c>
      <c r="Y486" s="37">
        <f>MIN(1,MAX(0,(X486-Inputs!$D$36)/(Inputs!$D$37-Inputs!$D$36)))</f>
        <v>1</v>
      </c>
      <c r="Z486" s="35">
        <f>Inputs!$D$6*F486*Inputs!$D$28*(1-Inputs!$D$38*Y486)</f>
        <v>2384.8335334181106</v>
      </c>
      <c r="AA486" s="39">
        <f>Z486*Inputs!$D$13</f>
        <v>20271.08503405394</v>
      </c>
      <c r="AB486" s="39">
        <f>AA486*(1-Inputs!$D$19)</f>
        <v>12162.651020432364</v>
      </c>
      <c r="AC486" s="39">
        <f t="shared" si="28"/>
        <v>342179.93453405396</v>
      </c>
      <c r="AD486" s="39">
        <f t="shared" si="29"/>
        <v>132439.58034543236</v>
      </c>
      <c r="AE486" s="36">
        <f t="shared" si="30"/>
        <v>1.4641244833263487</v>
      </c>
      <c r="AF486" s="35">
        <f>IF(AND(AE486&lt;=Inputs!$D$35,C486&gt;=Inputs!$D$48*(A486+B486+C486),B486*Inputs!$D$22&lt;=Inputs!$D$50*Inputs!$D$8,B486*Inputs!$D$22&gt;=Inputs!$D$49*Inputs!$D$8,A486*Inputs!$D$20&lt;=Inputs!$D$47*Inputs!$D$8,C486&gt;=1),1,0)</f>
        <v>0</v>
      </c>
      <c r="AG486" s="39">
        <f t="shared" si="31"/>
        <v>-1</v>
      </c>
    </row>
    <row r="487" spans="1:33" x14ac:dyDescent="0.25">
      <c r="A487" s="35">
        <v>45</v>
      </c>
      <c r="B487" s="35">
        <v>12</v>
      </c>
      <c r="C487" s="35">
        <f>Inputs!$D$8-A487-Inputs!$D$22*B487</f>
        <v>51</v>
      </c>
      <c r="D487" s="35">
        <f>A487*Inputs!$D$20+C487*Inputs!$D$21+B487*Inputs!$D$22</f>
        <v>120</v>
      </c>
      <c r="E487" s="36">
        <f>MIN(Inputs!$E$15,Inputs!$D$15*(C487/Inputs!$D$43)^Inputs!$D$44)</f>
        <v>0.4</v>
      </c>
      <c r="F487" s="36">
        <f>MIN(Inputs!$E$16,Inputs!$D$16*(B487/Inputs!$D$42)^Inputs!$D$44)</f>
        <v>0.34316688017763797</v>
      </c>
      <c r="G487" s="37">
        <f>Inputs!$D$26*(1+Inputs!$D$41*(B487-Inputs!$D$42))</f>
        <v>1.3800000000000001</v>
      </c>
      <c r="H487" s="35">
        <f>Inputs!$D$6*Inputs!$D$14*G487*Inputs!$D$29</f>
        <v>1733.8734000000004</v>
      </c>
      <c r="I487" s="36">
        <f>H487/(A487*Inputs!$D$32)</f>
        <v>0.70055490909090923</v>
      </c>
      <c r="J487" s="38">
        <f>IF(I487&gt;=1,999,I487/(Inputs!$D$32*(1-I487))*60)</f>
        <v>2.5521931806866136</v>
      </c>
      <c r="K487" s="37">
        <f>MIN(1,MAX(0,(J487-Inputs!$D$36)/(Inputs!$D$37-Inputs!$D$36)))</f>
        <v>0</v>
      </c>
      <c r="L487" s="35">
        <f>Inputs!$D$6*Inputs!$D$14*G487*(1-Inputs!$D$38*K487)</f>
        <v>11559.156000000003</v>
      </c>
      <c r="M487" s="39">
        <f>L487*Inputs!$D$11</f>
        <v>248521.85400000005</v>
      </c>
      <c r="N487" s="39">
        <f>M487*(1-Inputs!$D$17)</f>
        <v>86982.648900000015</v>
      </c>
      <c r="O487" s="35">
        <f>Inputs!$D$6*E487*Inputs!$D$27*Inputs!$D$30</f>
        <v>570.66240000000005</v>
      </c>
      <c r="P487" s="36">
        <f>O487/(C487*Inputs!$D$33)</f>
        <v>0.27973647058823531</v>
      </c>
      <c r="Q487" s="38">
        <f>IF(P487&gt;=1,999,P487/(Inputs!$D$33*(1-P487))*60)</f>
        <v>0.5825710850930379</v>
      </c>
      <c r="R487" s="37">
        <f>MIN(1,MAX(0,(Q487-Inputs!$D$36)/(Inputs!$D$37-Inputs!$D$36)))</f>
        <v>0</v>
      </c>
      <c r="S487" s="35">
        <f>Inputs!$D$6*E487*Inputs!$D$27*(1-Inputs!$D$38*R487)</f>
        <v>4755.5200000000004</v>
      </c>
      <c r="T487" s="39">
        <f>S487*Inputs!$D$12</f>
        <v>76088.320000000007</v>
      </c>
      <c r="U487" s="39">
        <f>T487*(1-Inputs!$D$18)</f>
        <v>34239.743999999999</v>
      </c>
      <c r="V487" s="35">
        <f>Inputs!$D$6*F487*Inputs!$D$28*Inputs!$D$31</f>
        <v>578.5958319897461</v>
      </c>
      <c r="W487" s="36">
        <f>V487/(B487*Inputs!$D$34)</f>
        <v>1.3776091237851098</v>
      </c>
      <c r="X487" s="38">
        <f>IF(W487&gt;=1,999,W487/(Inputs!$D$34*(1-W487))*60)</f>
        <v>999</v>
      </c>
      <c r="Y487" s="37">
        <f>MIN(1,MAX(0,(X487-Inputs!$D$36)/(Inputs!$D$37-Inputs!$D$36)))</f>
        <v>1</v>
      </c>
      <c r="Z487" s="35">
        <f>Inputs!$D$6*F487*Inputs!$D$28*(1-Inputs!$D$38*Y487)</f>
        <v>2447.9054430335414</v>
      </c>
      <c r="AA487" s="39">
        <f>Z487*Inputs!$D$13</f>
        <v>20807.1962657851</v>
      </c>
      <c r="AB487" s="39">
        <f>AA487*(1-Inputs!$D$19)</f>
        <v>12484.31775947106</v>
      </c>
      <c r="AC487" s="39">
        <f t="shared" si="28"/>
        <v>345417.37026578514</v>
      </c>
      <c r="AD487" s="39">
        <f t="shared" si="29"/>
        <v>133706.71065947108</v>
      </c>
      <c r="AE487" s="36">
        <f t="shared" si="30"/>
        <v>1.3776091237851098</v>
      </c>
      <c r="AF487" s="35">
        <f>IF(AND(AE487&lt;=Inputs!$D$35,C487&gt;=Inputs!$D$48*(A487+B487+C487),B487*Inputs!$D$22&lt;=Inputs!$D$50*Inputs!$D$8,B487*Inputs!$D$22&gt;=Inputs!$D$49*Inputs!$D$8,A487*Inputs!$D$20&lt;=Inputs!$D$47*Inputs!$D$8,C487&gt;=1),1,0)</f>
        <v>0</v>
      </c>
      <c r="AG487" s="39">
        <f t="shared" si="31"/>
        <v>-1</v>
      </c>
    </row>
    <row r="488" spans="1:33" x14ac:dyDescent="0.25">
      <c r="A488" s="35">
        <v>45</v>
      </c>
      <c r="B488" s="35">
        <v>13</v>
      </c>
      <c r="C488" s="35">
        <f>Inputs!$D$8-A488-Inputs!$D$22*B488</f>
        <v>49</v>
      </c>
      <c r="D488" s="35">
        <f>A488*Inputs!$D$20+C488*Inputs!$D$21+B488*Inputs!$D$22</f>
        <v>120</v>
      </c>
      <c r="E488" s="36">
        <f>MIN(Inputs!$E$15,Inputs!$D$15*(C488/Inputs!$D$43)^Inputs!$D$44)</f>
        <v>0.39770420454194916</v>
      </c>
      <c r="F488" s="36">
        <f>MIN(Inputs!$E$16,Inputs!$D$16*(B488/Inputs!$D$42)^Inputs!$D$44)</f>
        <v>0.35150701637190523</v>
      </c>
      <c r="G488" s="37">
        <f>Inputs!$D$26*(1+Inputs!$D$41*(B488-Inputs!$D$42))</f>
        <v>1.395</v>
      </c>
      <c r="H488" s="35">
        <f>Inputs!$D$6*Inputs!$D$14*G488*Inputs!$D$29</f>
        <v>1752.7198500000002</v>
      </c>
      <c r="I488" s="36">
        <f>H488/(A488*Inputs!$D$32)</f>
        <v>0.70816963636363639</v>
      </c>
      <c r="J488" s="38">
        <f>IF(I488&gt;=1,999,I488/(Inputs!$D$32*(1-I488))*60)</f>
        <v>2.6472526182282849</v>
      </c>
      <c r="K488" s="37">
        <f>MIN(1,MAX(0,(J488-Inputs!$D$36)/(Inputs!$D$37-Inputs!$D$36)))</f>
        <v>0</v>
      </c>
      <c r="L488" s="35">
        <f>Inputs!$D$6*Inputs!$D$14*G488*(1-Inputs!$D$38*K488)</f>
        <v>11684.799000000001</v>
      </c>
      <c r="M488" s="39">
        <f>L488*Inputs!$D$11</f>
        <v>251223.17850000001</v>
      </c>
      <c r="N488" s="39">
        <f>M488*(1-Inputs!$D$17)</f>
        <v>87928.112475000002</v>
      </c>
      <c r="O488" s="35">
        <f>Inputs!$D$6*E488*Inputs!$D$27*Inputs!$D$30</f>
        <v>567.38708963499903</v>
      </c>
      <c r="P488" s="36">
        <f>O488/(C488*Inputs!$D$33)</f>
        <v>0.2894832089974485</v>
      </c>
      <c r="Q488" s="38">
        <f>IF(P488&gt;=1,999,P488/(Inputs!$D$33*(1-P488))*60)</f>
        <v>0.61113941147467321</v>
      </c>
      <c r="R488" s="37">
        <f>MIN(1,MAX(0,(Q488-Inputs!$D$36)/(Inputs!$D$37-Inputs!$D$36)))</f>
        <v>0</v>
      </c>
      <c r="S488" s="35">
        <f>Inputs!$D$6*E488*Inputs!$D$27*(1-Inputs!$D$38*R488)</f>
        <v>4728.2257469583255</v>
      </c>
      <c r="T488" s="39">
        <f>S488*Inputs!$D$12</f>
        <v>75651.611951333209</v>
      </c>
      <c r="U488" s="39">
        <f>T488*(1-Inputs!$D$18)</f>
        <v>34043.225378099938</v>
      </c>
      <c r="V488" s="35">
        <f>Inputs!$D$6*F488*Inputs!$D$28*Inputs!$D$31</f>
        <v>592.65770193981814</v>
      </c>
      <c r="W488" s="36">
        <f>V488/(B488*Inputs!$D$34)</f>
        <v>1.3025443998677322</v>
      </c>
      <c r="X488" s="38">
        <f>IF(W488&gt;=1,999,W488/(Inputs!$D$34*(1-W488))*60)</f>
        <v>999</v>
      </c>
      <c r="Y488" s="37">
        <f>MIN(1,MAX(0,(X488-Inputs!$D$36)/(Inputs!$D$37-Inputs!$D$36)))</f>
        <v>1</v>
      </c>
      <c r="Z488" s="35">
        <f>Inputs!$D$6*F488*Inputs!$D$28*(1-Inputs!$D$38*Y488)</f>
        <v>2507.3979697453847</v>
      </c>
      <c r="AA488" s="39">
        <f>Z488*Inputs!$D$13</f>
        <v>21312.882742835769</v>
      </c>
      <c r="AB488" s="39">
        <f>AA488*(1-Inputs!$D$19)</f>
        <v>12787.729645701462</v>
      </c>
      <c r="AC488" s="39">
        <f t="shared" si="28"/>
        <v>348187.67319416901</v>
      </c>
      <c r="AD488" s="39">
        <f t="shared" si="29"/>
        <v>134759.06749880142</v>
      </c>
      <c r="AE488" s="36">
        <f t="shared" si="30"/>
        <v>1.3025443998677322</v>
      </c>
      <c r="AF488" s="35">
        <f>IF(AND(AE488&lt;=Inputs!$D$35,C488&gt;=Inputs!$D$48*(A488+B488+C488),B488*Inputs!$D$22&lt;=Inputs!$D$50*Inputs!$D$8,B488*Inputs!$D$22&gt;=Inputs!$D$49*Inputs!$D$8,A488*Inputs!$D$20&lt;=Inputs!$D$47*Inputs!$D$8,C488&gt;=1),1,0)</f>
        <v>0</v>
      </c>
      <c r="AG488" s="39">
        <f t="shared" si="31"/>
        <v>-1</v>
      </c>
    </row>
    <row r="489" spans="1:33" x14ac:dyDescent="0.25">
      <c r="A489" s="35">
        <v>45</v>
      </c>
      <c r="B489" s="35">
        <v>14</v>
      </c>
      <c r="C489" s="35">
        <f>Inputs!$D$8-A489-Inputs!$D$22*B489</f>
        <v>47</v>
      </c>
      <c r="D489" s="35">
        <f>A489*Inputs!$D$20+C489*Inputs!$D$21+B489*Inputs!$D$22</f>
        <v>120</v>
      </c>
      <c r="E489" s="36">
        <f>MIN(Inputs!$E$15,Inputs!$D$15*(C489/Inputs!$D$43)^Inputs!$D$44)</f>
        <v>0.39276313309091065</v>
      </c>
      <c r="F489" s="36">
        <f>MIN(Inputs!$E$16,Inputs!$D$16*(B489/Inputs!$D$42)^Inputs!$D$44)</f>
        <v>0.35940937671625589</v>
      </c>
      <c r="G489" s="37">
        <f>Inputs!$D$26*(1+Inputs!$D$41*(B489-Inputs!$D$42))</f>
        <v>1.41</v>
      </c>
      <c r="H489" s="35">
        <f>Inputs!$D$6*Inputs!$D$14*G489*Inputs!$D$29</f>
        <v>1771.5663000000002</v>
      </c>
      <c r="I489" s="36">
        <f>H489/(A489*Inputs!$D$32)</f>
        <v>0.71578436363636366</v>
      </c>
      <c r="J489" s="38">
        <f>IF(I489&gt;=1,999,I489/(Inputs!$D$32*(1-I489))*60)</f>
        <v>2.7474057353495889</v>
      </c>
      <c r="K489" s="37">
        <f>MIN(1,MAX(0,(J489-Inputs!$D$36)/(Inputs!$D$37-Inputs!$D$36)))</f>
        <v>0</v>
      </c>
      <c r="L489" s="35">
        <f>Inputs!$D$6*Inputs!$D$14*G489*(1-Inputs!$D$38*K489)</f>
        <v>11810.442000000001</v>
      </c>
      <c r="M489" s="39">
        <f>L489*Inputs!$D$11</f>
        <v>253924.50300000003</v>
      </c>
      <c r="N489" s="39">
        <f>M489*(1-Inputs!$D$17)</f>
        <v>88873.576050000003</v>
      </c>
      <c r="O489" s="35">
        <f>Inputs!$D$6*E489*Inputs!$D$27*Inputs!$D$30</f>
        <v>560.33788040294633</v>
      </c>
      <c r="P489" s="36">
        <f>O489/(C489*Inputs!$D$33)</f>
        <v>0.29805206404412038</v>
      </c>
      <c r="Q489" s="38">
        <f>IF(P489&gt;=1,999,P489/(Inputs!$D$33*(1-P489))*60)</f>
        <v>0.63691062138016075</v>
      </c>
      <c r="R489" s="37">
        <f>MIN(1,MAX(0,(Q489-Inputs!$D$36)/(Inputs!$D$37-Inputs!$D$36)))</f>
        <v>0</v>
      </c>
      <c r="S489" s="35">
        <f>Inputs!$D$6*E489*Inputs!$D$27*(1-Inputs!$D$38*R489)</f>
        <v>4669.4823366912196</v>
      </c>
      <c r="T489" s="39">
        <f>S489*Inputs!$D$12</f>
        <v>74711.717387059514</v>
      </c>
      <c r="U489" s="39">
        <f>T489*(1-Inputs!$D$18)</f>
        <v>33620.272824176776</v>
      </c>
      <c r="V489" s="35">
        <f>Inputs!$D$6*F489*Inputs!$D$28*Inputs!$D$31</f>
        <v>605.98146079368973</v>
      </c>
      <c r="W489" s="36">
        <f>V489/(B489*Inputs!$D$34)</f>
        <v>1.2366968587626321</v>
      </c>
      <c r="X489" s="38">
        <f>IF(W489&gt;=1,999,W489/(Inputs!$D$34*(1-W489))*60)</f>
        <v>999</v>
      </c>
      <c r="Y489" s="37">
        <f>MIN(1,MAX(0,(X489-Inputs!$D$36)/(Inputs!$D$37-Inputs!$D$36)))</f>
        <v>1</v>
      </c>
      <c r="Z489" s="35">
        <f>Inputs!$D$6*F489*Inputs!$D$28*(1-Inputs!$D$38*Y489)</f>
        <v>2563.7677187425338</v>
      </c>
      <c r="AA489" s="39">
        <f>Z489*Inputs!$D$13</f>
        <v>21792.025609311539</v>
      </c>
      <c r="AB489" s="39">
        <f>AA489*(1-Inputs!$D$19)</f>
        <v>13075.215365586922</v>
      </c>
      <c r="AC489" s="39">
        <f t="shared" si="28"/>
        <v>350428.24599637109</v>
      </c>
      <c r="AD489" s="39">
        <f t="shared" si="29"/>
        <v>135569.06423976371</v>
      </c>
      <c r="AE489" s="36">
        <f t="shared" si="30"/>
        <v>1.2366968587626321</v>
      </c>
      <c r="AF489" s="35">
        <f>IF(AND(AE489&lt;=Inputs!$D$35,C489&gt;=Inputs!$D$48*(A489+B489+C489),B489*Inputs!$D$22&lt;=Inputs!$D$50*Inputs!$D$8,B489*Inputs!$D$22&gt;=Inputs!$D$49*Inputs!$D$8,A489*Inputs!$D$20&lt;=Inputs!$D$47*Inputs!$D$8,C489&gt;=1),1,0)</f>
        <v>0</v>
      </c>
      <c r="AG489" s="39">
        <f t="shared" si="31"/>
        <v>-1</v>
      </c>
    </row>
    <row r="490" spans="1:33" x14ac:dyDescent="0.25">
      <c r="A490" s="35">
        <v>45</v>
      </c>
      <c r="B490" s="35">
        <v>15</v>
      </c>
      <c r="C490" s="35">
        <f>Inputs!$D$8-A490-Inputs!$D$22*B490</f>
        <v>45</v>
      </c>
      <c r="D490" s="35">
        <f>A490*Inputs!$D$20+C490*Inputs!$D$21+B490*Inputs!$D$22</f>
        <v>120</v>
      </c>
      <c r="E490" s="36">
        <f>MIN(Inputs!$E$15,Inputs!$D$15*(C490/Inputs!$D$43)^Inputs!$D$44)</f>
        <v>0.38767260497069417</v>
      </c>
      <c r="F490" s="36">
        <f>MIN(Inputs!$E$16,Inputs!$D$16*(B490/Inputs!$D$42)^Inputs!$D$44)</f>
        <v>0.36692590185696072</v>
      </c>
      <c r="G490" s="37">
        <f>Inputs!$D$26*(1+Inputs!$D$41*(B490-Inputs!$D$42))</f>
        <v>1.4249999999999998</v>
      </c>
      <c r="H490" s="35">
        <f>Inputs!$D$6*Inputs!$D$14*G490*Inputs!$D$29</f>
        <v>1790.4127499999997</v>
      </c>
      <c r="I490" s="36">
        <f>H490/(A490*Inputs!$D$32)</f>
        <v>0.72339909090909083</v>
      </c>
      <c r="J490" s="38">
        <f>IF(I490&gt;=1,999,I490/(Inputs!$D$32*(1-I490))*60)</f>
        <v>2.8530732137569674</v>
      </c>
      <c r="K490" s="37">
        <f>MIN(1,MAX(0,(J490-Inputs!$D$36)/(Inputs!$D$37-Inputs!$D$36)))</f>
        <v>0</v>
      </c>
      <c r="L490" s="35">
        <f>Inputs!$D$6*Inputs!$D$14*G490*(1-Inputs!$D$38*K490)</f>
        <v>11936.084999999999</v>
      </c>
      <c r="M490" s="39">
        <f>L490*Inputs!$D$11</f>
        <v>256625.82749999998</v>
      </c>
      <c r="N490" s="39">
        <f>M490*(1-Inputs!$D$17)</f>
        <v>89819.03962499999</v>
      </c>
      <c r="O490" s="35">
        <f>Inputs!$D$6*E490*Inputs!$D$27*Inputs!$D$30</f>
        <v>553.07544791707073</v>
      </c>
      <c r="P490" s="36">
        <f>O490/(C490*Inputs!$D$33)</f>
        <v>0.30726413773170597</v>
      </c>
      <c r="Q490" s="38">
        <f>IF(P490&gt;=1,999,P490/(Inputs!$D$33*(1-P490))*60)</f>
        <v>0.66532748151423926</v>
      </c>
      <c r="R490" s="37">
        <f>MIN(1,MAX(0,(Q490-Inputs!$D$36)/(Inputs!$D$37-Inputs!$D$36)))</f>
        <v>0</v>
      </c>
      <c r="S490" s="35">
        <f>Inputs!$D$6*E490*Inputs!$D$27*(1-Inputs!$D$38*R490)</f>
        <v>4608.9620659755892</v>
      </c>
      <c r="T490" s="39">
        <f>S490*Inputs!$D$12</f>
        <v>73743.393055609427</v>
      </c>
      <c r="U490" s="39">
        <f>T490*(1-Inputs!$D$18)</f>
        <v>33184.526875024239</v>
      </c>
      <c r="V490" s="35">
        <f>Inputs!$D$6*F490*Inputs!$D$28*Inputs!$D$31</f>
        <v>618.65468297412497</v>
      </c>
      <c r="W490" s="36">
        <f>V490/(B490*Inputs!$D$34)</f>
        <v>1.1783898723316666</v>
      </c>
      <c r="X490" s="38">
        <f>IF(W490&gt;=1,999,W490/(Inputs!$D$34*(1-W490))*60)</f>
        <v>999</v>
      </c>
      <c r="Y490" s="37">
        <f>MIN(1,MAX(0,(X490-Inputs!$D$36)/(Inputs!$D$37-Inputs!$D$36)))</f>
        <v>1</v>
      </c>
      <c r="Z490" s="35">
        <f>Inputs!$D$6*F490*Inputs!$D$28*(1-Inputs!$D$38*Y490)</f>
        <v>2617.3851971982212</v>
      </c>
      <c r="AA490" s="39">
        <f>Z490*Inputs!$D$13</f>
        <v>22247.774176184881</v>
      </c>
      <c r="AB490" s="39">
        <f>AA490*(1-Inputs!$D$19)</f>
        <v>13348.664505710929</v>
      </c>
      <c r="AC490" s="39">
        <f t="shared" si="28"/>
        <v>352616.99473179434</v>
      </c>
      <c r="AD490" s="39">
        <f t="shared" si="29"/>
        <v>136352.23100573517</v>
      </c>
      <c r="AE490" s="36">
        <f t="shared" si="30"/>
        <v>1.1783898723316666</v>
      </c>
      <c r="AF490" s="35">
        <f>IF(AND(AE490&lt;=Inputs!$D$35,C490&gt;=Inputs!$D$48*(A490+B490+C490),B490*Inputs!$D$22&lt;=Inputs!$D$50*Inputs!$D$8,B490*Inputs!$D$22&gt;=Inputs!$D$49*Inputs!$D$8,A490*Inputs!$D$20&lt;=Inputs!$D$47*Inputs!$D$8,C490&gt;=1),1,0)</f>
        <v>0</v>
      </c>
      <c r="AG490" s="39">
        <f t="shared" si="31"/>
        <v>-1</v>
      </c>
    </row>
    <row r="491" spans="1:33" x14ac:dyDescent="0.25">
      <c r="A491" s="35">
        <v>45</v>
      </c>
      <c r="B491" s="35">
        <v>16</v>
      </c>
      <c r="C491" s="35">
        <f>Inputs!$D$8-A491-Inputs!$D$22*B491</f>
        <v>43</v>
      </c>
      <c r="D491" s="35">
        <f>A491*Inputs!$D$20+C491*Inputs!$D$21+B491*Inputs!$D$22</f>
        <v>120</v>
      </c>
      <c r="E491" s="36">
        <f>MIN(Inputs!$E$15,Inputs!$D$15*(C491/Inputs!$D$43)^Inputs!$D$44)</f>
        <v>0.38242114286867052</v>
      </c>
      <c r="F491" s="36">
        <f>MIN(Inputs!$E$16,Inputs!$D$16*(B491/Inputs!$D$42)^Inputs!$D$44)</f>
        <v>0.37409937912904856</v>
      </c>
      <c r="G491" s="37">
        <f>Inputs!$D$26*(1+Inputs!$D$41*(B491-Inputs!$D$42))</f>
        <v>1.44</v>
      </c>
      <c r="H491" s="35">
        <f>Inputs!$D$6*Inputs!$D$14*G491*Inputs!$D$29</f>
        <v>1809.2592000000002</v>
      </c>
      <c r="I491" s="36">
        <f>H491/(A491*Inputs!$D$32)</f>
        <v>0.73101381818181821</v>
      </c>
      <c r="J491" s="38">
        <f>IF(I491&gt;=1,999,I491/(Inputs!$D$32*(1-I491))*60)</f>
        <v>2.9647233714546402</v>
      </c>
      <c r="K491" s="37">
        <f>MIN(1,MAX(0,(J491-Inputs!$D$36)/(Inputs!$D$37-Inputs!$D$36)))</f>
        <v>0</v>
      </c>
      <c r="L491" s="35">
        <f>Inputs!$D$6*Inputs!$D$14*G491*(1-Inputs!$D$38*K491)</f>
        <v>12061.728000000001</v>
      </c>
      <c r="M491" s="39">
        <f>L491*Inputs!$D$11</f>
        <v>259327.15200000003</v>
      </c>
      <c r="N491" s="39">
        <f>M491*(1-Inputs!$D$17)</f>
        <v>90764.503200000006</v>
      </c>
      <c r="O491" s="35">
        <f>Inputs!$D$6*E491*Inputs!$D$27*Inputs!$D$30</f>
        <v>545.58341800044604</v>
      </c>
      <c r="P491" s="36">
        <f>O491/(C491*Inputs!$D$33)</f>
        <v>0.31719966162816632</v>
      </c>
      <c r="Q491" s="38">
        <f>IF(P491&gt;=1,999,P491/(Inputs!$D$33*(1-P491))*60)</f>
        <v>0.69683546668534679</v>
      </c>
      <c r="R491" s="37">
        <f>MIN(1,MAX(0,(Q491-Inputs!$D$36)/(Inputs!$D$37-Inputs!$D$36)))</f>
        <v>0</v>
      </c>
      <c r="S491" s="35">
        <f>Inputs!$D$6*E491*Inputs!$D$27*(1-Inputs!$D$38*R491)</f>
        <v>4546.5284833370506</v>
      </c>
      <c r="T491" s="39">
        <f>S491*Inputs!$D$12</f>
        <v>72744.45573339281</v>
      </c>
      <c r="U491" s="39">
        <f>T491*(1-Inputs!$D$18)</f>
        <v>32735.00508002676</v>
      </c>
      <c r="V491" s="35">
        <f>Inputs!$D$6*F491*Inputs!$D$28*Inputs!$D$31</f>
        <v>630.74950998177405</v>
      </c>
      <c r="W491" s="36">
        <f>V491/(B491*Inputs!$D$34)</f>
        <v>1.1263384106817393</v>
      </c>
      <c r="X491" s="38">
        <f>IF(W491&gt;=1,999,W491/(Inputs!$D$34*(1-W491))*60)</f>
        <v>999</v>
      </c>
      <c r="Y491" s="37">
        <f>MIN(1,MAX(0,(X491-Inputs!$D$36)/(Inputs!$D$37-Inputs!$D$36)))</f>
        <v>1</v>
      </c>
      <c r="Z491" s="35">
        <f>Inputs!$D$6*F491*Inputs!$D$28*(1-Inputs!$D$38*Y491)</f>
        <v>2668.5556191536598</v>
      </c>
      <c r="AA491" s="39">
        <f>Z491*Inputs!$D$13</f>
        <v>22682.722762806108</v>
      </c>
      <c r="AB491" s="39">
        <f>AA491*(1-Inputs!$D$19)</f>
        <v>13609.633657683664</v>
      </c>
      <c r="AC491" s="39">
        <f t="shared" si="28"/>
        <v>354754.33049619896</v>
      </c>
      <c r="AD491" s="39">
        <f t="shared" si="29"/>
        <v>137109.14193771043</v>
      </c>
      <c r="AE491" s="36">
        <f t="shared" si="30"/>
        <v>1.1263384106817393</v>
      </c>
      <c r="AF491" s="35">
        <f>IF(AND(AE491&lt;=Inputs!$D$35,C491&gt;=Inputs!$D$48*(A491+B491+C491),B491*Inputs!$D$22&lt;=Inputs!$D$50*Inputs!$D$8,B491*Inputs!$D$22&gt;=Inputs!$D$49*Inputs!$D$8,A491*Inputs!$D$20&lt;=Inputs!$D$47*Inputs!$D$8,C491&gt;=1),1,0)</f>
        <v>0</v>
      </c>
      <c r="AG491" s="39">
        <f t="shared" si="31"/>
        <v>-1</v>
      </c>
    </row>
    <row r="492" spans="1:33" x14ac:dyDescent="0.25">
      <c r="A492" s="35">
        <v>45</v>
      </c>
      <c r="B492" s="35">
        <v>17</v>
      </c>
      <c r="C492" s="35">
        <f>Inputs!$D$8-A492-Inputs!$D$22*B492</f>
        <v>41</v>
      </c>
      <c r="D492" s="35">
        <f>A492*Inputs!$D$20+C492*Inputs!$D$21+B492*Inputs!$D$22</f>
        <v>120</v>
      </c>
      <c r="E492" s="36">
        <f>MIN(Inputs!$E$15,Inputs!$D$15*(C492/Inputs!$D$43)^Inputs!$D$44)</f>
        <v>0.37699580304543617</v>
      </c>
      <c r="F492" s="36">
        <f>MIN(Inputs!$E$16,Inputs!$D$16*(B492/Inputs!$D$42)^Inputs!$D$44)</f>
        <v>0.3809655184437048</v>
      </c>
      <c r="G492" s="37">
        <f>Inputs!$D$26*(1+Inputs!$D$41*(B492-Inputs!$D$42))</f>
        <v>1.4550000000000001</v>
      </c>
      <c r="H492" s="35">
        <f>Inputs!$D$6*Inputs!$D$14*G492*Inputs!$D$29</f>
        <v>1828.1056500000002</v>
      </c>
      <c r="I492" s="36">
        <f>H492/(A492*Inputs!$D$32)</f>
        <v>0.73862854545454548</v>
      </c>
      <c r="J492" s="38">
        <f>IF(I492&gt;=1,999,I492/(Inputs!$D$32*(1-I492))*60)</f>
        <v>3.0828791018614909</v>
      </c>
      <c r="K492" s="37">
        <f>MIN(1,MAX(0,(J492-Inputs!$D$36)/(Inputs!$D$37-Inputs!$D$36)))</f>
        <v>0</v>
      </c>
      <c r="L492" s="35">
        <f>Inputs!$D$6*Inputs!$D$14*G492*(1-Inputs!$D$38*K492)</f>
        <v>12187.371000000001</v>
      </c>
      <c r="M492" s="39">
        <f>L492*Inputs!$D$11</f>
        <v>262028.47650000002</v>
      </c>
      <c r="N492" s="39">
        <f>M492*(1-Inputs!$D$17)</f>
        <v>91709.966775000008</v>
      </c>
      <c r="O492" s="35">
        <f>Inputs!$D$6*E492*Inputs!$D$27*Inputs!$D$30</f>
        <v>537.84332438958984</v>
      </c>
      <c r="P492" s="36">
        <f>O492/(C492*Inputs!$D$33)</f>
        <v>0.3279532465790182</v>
      </c>
      <c r="Q492" s="38">
        <f>IF(P492&gt;=1,999,P492/(Inputs!$D$33*(1-P492))*60)</f>
        <v>0.73198756985940516</v>
      </c>
      <c r="R492" s="37">
        <f>MIN(1,MAX(0,(Q492-Inputs!$D$36)/(Inputs!$D$37-Inputs!$D$36)))</f>
        <v>0</v>
      </c>
      <c r="S492" s="35">
        <f>Inputs!$D$6*E492*Inputs!$D$27*(1-Inputs!$D$38*R492)</f>
        <v>4482.027703246582</v>
      </c>
      <c r="T492" s="39">
        <f>S492*Inputs!$D$12</f>
        <v>71712.443251945311</v>
      </c>
      <c r="U492" s="39">
        <f>T492*(1-Inputs!$D$18)</f>
        <v>32270.599463375387</v>
      </c>
      <c r="V492" s="35">
        <f>Inputs!$D$6*F492*Inputs!$D$28*Inputs!$D$31</f>
        <v>642.32615044097156</v>
      </c>
      <c r="W492" s="36">
        <f>V492/(B492*Inputs!$D$34)</f>
        <v>1.0795397486402882</v>
      </c>
      <c r="X492" s="38">
        <f>IF(W492&gt;=1,999,W492/(Inputs!$D$34*(1-W492))*60)</f>
        <v>999</v>
      </c>
      <c r="Y492" s="37">
        <f>MIN(1,MAX(0,(X492-Inputs!$D$36)/(Inputs!$D$37-Inputs!$D$36)))</f>
        <v>1</v>
      </c>
      <c r="Z492" s="35">
        <f>Inputs!$D$6*F492*Inputs!$D$28*(1-Inputs!$D$38*Y492)</f>
        <v>2717.5337134041106</v>
      </c>
      <c r="AA492" s="39">
        <f>Z492*Inputs!$D$13</f>
        <v>23099.03656393494</v>
      </c>
      <c r="AB492" s="39">
        <f>AA492*(1-Inputs!$D$19)</f>
        <v>13859.421938360963</v>
      </c>
      <c r="AC492" s="39">
        <f t="shared" si="28"/>
        <v>356839.95631588023</v>
      </c>
      <c r="AD492" s="39">
        <f t="shared" si="29"/>
        <v>137839.98817673637</v>
      </c>
      <c r="AE492" s="36">
        <f t="shared" si="30"/>
        <v>1.0795397486402882</v>
      </c>
      <c r="AF492" s="35">
        <f>IF(AND(AE492&lt;=Inputs!$D$35,C492&gt;=Inputs!$D$48*(A492+B492+C492),B492*Inputs!$D$22&lt;=Inputs!$D$50*Inputs!$D$8,B492*Inputs!$D$22&gt;=Inputs!$D$49*Inputs!$D$8,A492*Inputs!$D$20&lt;=Inputs!$D$47*Inputs!$D$8,C492&gt;=1),1,0)</f>
        <v>0</v>
      </c>
      <c r="AG492" s="39">
        <f t="shared" si="31"/>
        <v>-1</v>
      </c>
    </row>
    <row r="493" spans="1:33" x14ac:dyDescent="0.25">
      <c r="A493" s="35">
        <v>45</v>
      </c>
      <c r="B493" s="35">
        <v>18</v>
      </c>
      <c r="C493" s="35">
        <f>Inputs!$D$8-A493-Inputs!$D$22*B493</f>
        <v>39</v>
      </c>
      <c r="D493" s="35">
        <f>A493*Inputs!$D$20+C493*Inputs!$D$21+B493*Inputs!$D$22</f>
        <v>120</v>
      </c>
      <c r="E493" s="36">
        <f>MIN(Inputs!$E$15,Inputs!$D$15*(C493/Inputs!$D$43)^Inputs!$D$44)</f>
        <v>0.37138190575462604</v>
      </c>
      <c r="F493" s="36">
        <f>MIN(Inputs!$E$16,Inputs!$D$16*(B493/Inputs!$D$42)^Inputs!$D$44)</f>
        <v>0.38755446447890535</v>
      </c>
      <c r="G493" s="37">
        <f>Inputs!$D$26*(1+Inputs!$D$41*(B493-Inputs!$D$42))</f>
        <v>1.47</v>
      </c>
      <c r="H493" s="35">
        <f>Inputs!$D$6*Inputs!$D$14*G493*Inputs!$D$29</f>
        <v>1846.9521</v>
      </c>
      <c r="I493" s="36">
        <f>H493/(A493*Inputs!$D$32)</f>
        <v>0.74624327272727276</v>
      </c>
      <c r="J493" s="38">
        <f>IF(I493&gt;=1,999,I493/(Inputs!$D$32*(1-I493))*60)</f>
        <v>3.208126062301357</v>
      </c>
      <c r="K493" s="37">
        <f>MIN(1,MAX(0,(J493-Inputs!$D$36)/(Inputs!$D$37-Inputs!$D$36)))</f>
        <v>0</v>
      </c>
      <c r="L493" s="35">
        <f>Inputs!$D$6*Inputs!$D$14*G493*(1-Inputs!$D$38*K493)</f>
        <v>12313.014000000001</v>
      </c>
      <c r="M493" s="39">
        <f>L493*Inputs!$D$11</f>
        <v>264729.80100000004</v>
      </c>
      <c r="N493" s="39">
        <f>M493*(1-Inputs!$D$17)</f>
        <v>92655.43035000001</v>
      </c>
      <c r="O493" s="35">
        <f>Inputs!$D$6*E493*Inputs!$D$27*Inputs!$D$30</f>
        <v>529.8342241362717</v>
      </c>
      <c r="P493" s="36">
        <f>O493/(C493*Inputs!$D$33)</f>
        <v>0.33963732316427675</v>
      </c>
      <c r="Q493" s="38">
        <f>IF(P493&gt;=1,999,P493/(Inputs!$D$33*(1-P493))*60)</f>
        <v>0.77147907145144612</v>
      </c>
      <c r="R493" s="37">
        <f>MIN(1,MAX(0,(Q493-Inputs!$D$36)/(Inputs!$D$37-Inputs!$D$36)))</f>
        <v>0</v>
      </c>
      <c r="S493" s="35">
        <f>Inputs!$D$6*E493*Inputs!$D$27*(1-Inputs!$D$38*R493)</f>
        <v>4415.2852011355981</v>
      </c>
      <c r="T493" s="39">
        <f>S493*Inputs!$D$12</f>
        <v>70644.563218169569</v>
      </c>
      <c r="U493" s="39">
        <f>T493*(1-Inputs!$D$18)</f>
        <v>31790.053448176302</v>
      </c>
      <c r="V493" s="35">
        <f>Inputs!$D$6*F493*Inputs!$D$28*Inputs!$D$31</f>
        <v>653.43542972572936</v>
      </c>
      <c r="W493" s="36">
        <f>V493/(B493*Inputs!$D$34)</f>
        <v>1.037199094802745</v>
      </c>
      <c r="X493" s="38">
        <f>IF(W493&gt;=1,999,W493/(Inputs!$D$34*(1-W493))*60)</f>
        <v>999</v>
      </c>
      <c r="Y493" s="37">
        <f>MIN(1,MAX(0,(X493-Inputs!$D$36)/(Inputs!$D$37-Inputs!$D$36)))</f>
        <v>1</v>
      </c>
      <c r="Z493" s="35">
        <f>Inputs!$D$6*F493*Inputs!$D$28*(1-Inputs!$D$38*Y493)</f>
        <v>2764.534510378086</v>
      </c>
      <c r="AA493" s="39">
        <f>Z493*Inputs!$D$13</f>
        <v>23498.543338213731</v>
      </c>
      <c r="AB493" s="39">
        <f>AA493*(1-Inputs!$D$19)</f>
        <v>14099.126002928238</v>
      </c>
      <c r="AC493" s="39">
        <f t="shared" si="28"/>
        <v>358872.90755638335</v>
      </c>
      <c r="AD493" s="39">
        <f t="shared" si="29"/>
        <v>138544.60980110455</v>
      </c>
      <c r="AE493" s="36">
        <f t="shared" si="30"/>
        <v>1.037199094802745</v>
      </c>
      <c r="AF493" s="35">
        <f>IF(AND(AE493&lt;=Inputs!$D$35,C493&gt;=Inputs!$D$48*(A493+B493+C493),B493*Inputs!$D$22&lt;=Inputs!$D$50*Inputs!$D$8,B493*Inputs!$D$22&gt;=Inputs!$D$49*Inputs!$D$8,A493*Inputs!$D$20&lt;=Inputs!$D$47*Inputs!$D$8,C493&gt;=1),1,0)</f>
        <v>0</v>
      </c>
      <c r="AG493" s="39">
        <f t="shared" si="31"/>
        <v>-1</v>
      </c>
    </row>
    <row r="494" spans="1:33" x14ac:dyDescent="0.25">
      <c r="A494" s="35">
        <v>45</v>
      </c>
      <c r="B494" s="35">
        <v>19</v>
      </c>
      <c r="C494" s="35">
        <f>Inputs!$D$8-A494-Inputs!$D$22*B494</f>
        <v>37</v>
      </c>
      <c r="D494" s="35">
        <f>A494*Inputs!$D$20+C494*Inputs!$D$21+B494*Inputs!$D$22</f>
        <v>120</v>
      </c>
      <c r="E494" s="36">
        <f>MIN(Inputs!$E$15,Inputs!$D$15*(C494/Inputs!$D$43)^Inputs!$D$44)</f>
        <v>0.36556269939951974</v>
      </c>
      <c r="F494" s="36">
        <f>MIN(Inputs!$E$16,Inputs!$D$16*(B494/Inputs!$D$42)^Inputs!$D$44)</f>
        <v>0.39389192072703005</v>
      </c>
      <c r="G494" s="37">
        <f>Inputs!$D$26*(1+Inputs!$D$41*(B494-Inputs!$D$42))</f>
        <v>1.4849999999999999</v>
      </c>
      <c r="H494" s="35">
        <f>Inputs!$D$6*Inputs!$D$14*G494*Inputs!$D$29</f>
        <v>1865.7985499999998</v>
      </c>
      <c r="I494" s="36">
        <f>H494/(A494*Inputs!$D$32)</f>
        <v>0.75385799999999992</v>
      </c>
      <c r="J494" s="38">
        <f>IF(I494&gt;=1,999,I494/(Inputs!$D$32*(1-I494))*60)</f>
        <v>3.3411223824237437</v>
      </c>
      <c r="K494" s="37">
        <f>MIN(1,MAX(0,(J494-Inputs!$D$36)/(Inputs!$D$37-Inputs!$D$36)))</f>
        <v>0</v>
      </c>
      <c r="L494" s="35">
        <f>Inputs!$D$6*Inputs!$D$14*G494*(1-Inputs!$D$38*K494)</f>
        <v>12438.656999999999</v>
      </c>
      <c r="M494" s="39">
        <f>L494*Inputs!$D$11</f>
        <v>267431.12549999997</v>
      </c>
      <c r="N494" s="39">
        <f>M494*(1-Inputs!$D$17)</f>
        <v>93600.893924999982</v>
      </c>
      <c r="O494" s="35">
        <f>Inputs!$D$6*E494*Inputs!$D$27*Inputs!$D$30</f>
        <v>521.5322184745213</v>
      </c>
      <c r="P494" s="36">
        <f>O494/(C494*Inputs!$D$33)</f>
        <v>0.35238663410440629</v>
      </c>
      <c r="Q494" s="38">
        <f>IF(P494&gt;=1,999,P494/(Inputs!$D$33*(1-P494))*60)</f>
        <v>0.81619679116046151</v>
      </c>
      <c r="R494" s="37">
        <f>MIN(1,MAX(0,(Q494-Inputs!$D$36)/(Inputs!$D$37-Inputs!$D$36)))</f>
        <v>0</v>
      </c>
      <c r="S494" s="35">
        <f>Inputs!$D$6*E494*Inputs!$D$27*(1-Inputs!$D$38*R494)</f>
        <v>4346.101820621011</v>
      </c>
      <c r="T494" s="39">
        <f>S494*Inputs!$D$12</f>
        <v>69537.629129936176</v>
      </c>
      <c r="U494" s="39">
        <f>T494*(1-Inputs!$D$18)</f>
        <v>31291.933108471276</v>
      </c>
      <c r="V494" s="35">
        <f>Inputs!$D$6*F494*Inputs!$D$28*Inputs!$D$31</f>
        <v>664.12068515796761</v>
      </c>
      <c r="W494" s="36">
        <f>V494/(B494*Inputs!$D$34)</f>
        <v>0.99867772204205651</v>
      </c>
      <c r="X494" s="38">
        <f>IF(W494&gt;=1,999,W494/(Inputs!$D$34*(1-W494))*60)</f>
        <v>1294.749671797274</v>
      </c>
      <c r="Y494" s="37">
        <f>MIN(1,MAX(0,(X494-Inputs!$D$36)/(Inputs!$D$37-Inputs!$D$36)))</f>
        <v>1</v>
      </c>
      <c r="Z494" s="35">
        <f>Inputs!$D$6*F494*Inputs!$D$28*(1-Inputs!$D$38*Y494)</f>
        <v>2809.7413602837091</v>
      </c>
      <c r="AA494" s="39">
        <f>Z494*Inputs!$D$13</f>
        <v>23882.801562411529</v>
      </c>
      <c r="AB494" s="39">
        <f>AA494*(1-Inputs!$D$19)</f>
        <v>14329.680937446918</v>
      </c>
      <c r="AC494" s="39">
        <f t="shared" si="28"/>
        <v>360851.55619234766</v>
      </c>
      <c r="AD494" s="39">
        <f t="shared" si="29"/>
        <v>139222.50797091817</v>
      </c>
      <c r="AE494" s="36">
        <f t="shared" si="30"/>
        <v>0.99867772204205651</v>
      </c>
      <c r="AF494" s="35">
        <f>IF(AND(AE494&lt;=Inputs!$D$35,C494&gt;=Inputs!$D$48*(A494+B494+C494),B494*Inputs!$D$22&lt;=Inputs!$D$50*Inputs!$D$8,B494*Inputs!$D$22&gt;=Inputs!$D$49*Inputs!$D$8,A494*Inputs!$D$20&lt;=Inputs!$D$47*Inputs!$D$8,C494&gt;=1),1,0)</f>
        <v>0</v>
      </c>
      <c r="AG494" s="39">
        <f t="shared" si="31"/>
        <v>-1</v>
      </c>
    </row>
    <row r="495" spans="1:33" x14ac:dyDescent="0.25">
      <c r="A495" s="35">
        <v>45</v>
      </c>
      <c r="B495" s="35">
        <v>20</v>
      </c>
      <c r="C495" s="35">
        <f>Inputs!$D$8-A495-Inputs!$D$22*B495</f>
        <v>35</v>
      </c>
      <c r="D495" s="35">
        <f>A495*Inputs!$D$20+C495*Inputs!$D$21+B495*Inputs!$D$22</f>
        <v>120</v>
      </c>
      <c r="E495" s="36">
        <f>MIN(Inputs!$E$15,Inputs!$D$15*(C495/Inputs!$D$43)^Inputs!$D$44)</f>
        <v>0.3595189375764975</v>
      </c>
      <c r="F495" s="36">
        <f>MIN(Inputs!$E$16,Inputs!$D$16*(B495/Inputs!$D$42)^Inputs!$D$44)</f>
        <v>0.4</v>
      </c>
      <c r="G495" s="37">
        <f>Inputs!$D$26*(1+Inputs!$D$41*(B495-Inputs!$D$42))</f>
        <v>1.5</v>
      </c>
      <c r="H495" s="35">
        <f>Inputs!$D$6*Inputs!$D$14*G495*Inputs!$D$29</f>
        <v>1884.645</v>
      </c>
      <c r="I495" s="36">
        <f>H495/(A495*Inputs!$D$32)</f>
        <v>0.7614727272727273</v>
      </c>
      <c r="J495" s="38">
        <f>IF(I495&gt;=1,999,I495/(Inputs!$D$32*(1-I495))*60)</f>
        <v>3.4826102322100496</v>
      </c>
      <c r="K495" s="37">
        <f>MIN(1,MAX(0,(J495-Inputs!$D$36)/(Inputs!$D$37-Inputs!$D$36)))</f>
        <v>0</v>
      </c>
      <c r="L495" s="35">
        <f>Inputs!$D$6*Inputs!$D$14*G495*(1-Inputs!$D$38*K495)</f>
        <v>12564.300000000001</v>
      </c>
      <c r="M495" s="39">
        <f>L495*Inputs!$D$11</f>
        <v>270132.45</v>
      </c>
      <c r="N495" s="39">
        <f>M495*(1-Inputs!$D$17)</f>
        <v>94546.357499999998</v>
      </c>
      <c r="O495" s="35">
        <f>Inputs!$D$6*E495*Inputs!$D$27*Inputs!$D$30</f>
        <v>512.90984940713565</v>
      </c>
      <c r="P495" s="36">
        <f>O495/(C495*Inputs!$D$33)</f>
        <v>0.36636417814795402</v>
      </c>
      <c r="Q495" s="38">
        <f>IF(P495&gt;=1,999,P495/(Inputs!$D$33*(1-P495))*60)</f>
        <v>0.86729040289368331</v>
      </c>
      <c r="R495" s="37">
        <f>MIN(1,MAX(0,(Q495-Inputs!$D$36)/(Inputs!$D$37-Inputs!$D$36)))</f>
        <v>0</v>
      </c>
      <c r="S495" s="35">
        <f>Inputs!$D$6*E495*Inputs!$D$27*(1-Inputs!$D$38*R495)</f>
        <v>4274.2487450594635</v>
      </c>
      <c r="T495" s="39">
        <f>S495*Inputs!$D$12</f>
        <v>68387.979920951417</v>
      </c>
      <c r="U495" s="39">
        <f>T495*(1-Inputs!$D$18)</f>
        <v>30774.590964428135</v>
      </c>
      <c r="V495" s="35">
        <f>Inputs!$D$6*F495*Inputs!$D$28*Inputs!$D$31</f>
        <v>674.41919999999993</v>
      </c>
      <c r="W495" s="36">
        <f>V495/(B495*Inputs!$D$34)</f>
        <v>0.96345599999999987</v>
      </c>
      <c r="X495" s="38">
        <f>IF(W495&gt;=1,999,W495/(Inputs!$D$34*(1-W495))*60)</f>
        <v>45.195896922691851</v>
      </c>
      <c r="Y495" s="37">
        <f>MIN(1,MAX(0,(X495-Inputs!$D$36)/(Inputs!$D$37-Inputs!$D$36)))</f>
        <v>1</v>
      </c>
      <c r="Z495" s="35">
        <f>Inputs!$D$6*F495*Inputs!$D$28*(1-Inputs!$D$38*Y495)</f>
        <v>2853.3119999999999</v>
      </c>
      <c r="AA495" s="39">
        <f>Z495*Inputs!$D$13</f>
        <v>24253.151999999998</v>
      </c>
      <c r="AB495" s="39">
        <f>AA495*(1-Inputs!$D$19)</f>
        <v>14551.891199999998</v>
      </c>
      <c r="AC495" s="39">
        <f t="shared" si="28"/>
        <v>362773.58192095143</v>
      </c>
      <c r="AD495" s="39">
        <f t="shared" si="29"/>
        <v>139872.83966442815</v>
      </c>
      <c r="AE495" s="36">
        <f t="shared" si="30"/>
        <v>0.96345599999999987</v>
      </c>
      <c r="AF495" s="35">
        <f>IF(AND(AE495&lt;=Inputs!$D$35,C495&gt;=Inputs!$D$48*(A495+B495+C495),B495*Inputs!$D$22&lt;=Inputs!$D$50*Inputs!$D$8,B495*Inputs!$D$22&gt;=Inputs!$D$49*Inputs!$D$8,A495*Inputs!$D$20&lt;=Inputs!$D$47*Inputs!$D$8,C495&gt;=1),1,0)</f>
        <v>0</v>
      </c>
      <c r="AG495" s="39">
        <f t="shared" si="31"/>
        <v>-1</v>
      </c>
    </row>
    <row r="496" spans="1:33" x14ac:dyDescent="0.25">
      <c r="A496" s="35">
        <v>45</v>
      </c>
      <c r="B496" s="35">
        <v>21</v>
      </c>
      <c r="C496" s="35">
        <f>Inputs!$D$8-A496-Inputs!$D$22*B496</f>
        <v>33</v>
      </c>
      <c r="D496" s="35">
        <f>A496*Inputs!$D$20+C496*Inputs!$D$21+B496*Inputs!$D$22</f>
        <v>120</v>
      </c>
      <c r="E496" s="36">
        <f>MIN(Inputs!$E$15,Inputs!$D$15*(C496/Inputs!$D$43)^Inputs!$D$44)</f>
        <v>0.35322833999035824</v>
      </c>
      <c r="F496" s="36">
        <f>MIN(Inputs!$E$16,Inputs!$D$16*(B496/Inputs!$D$42)^Inputs!$D$44)</f>
        <v>0.40589787816896217</v>
      </c>
      <c r="G496" s="37">
        <f>Inputs!$D$26*(1+Inputs!$D$41*(B496-Inputs!$D$42))</f>
        <v>1.5150000000000001</v>
      </c>
      <c r="H496" s="35">
        <f>Inputs!$D$6*Inputs!$D$14*G496*Inputs!$D$29</f>
        <v>1903.4914500000004</v>
      </c>
      <c r="I496" s="36">
        <f>H496/(A496*Inputs!$D$32)</f>
        <v>0.76908745454545469</v>
      </c>
      <c r="J496" s="38">
        <f>IF(I496&gt;=1,999,I496/(Inputs!$D$32*(1-I496))*60)</f>
        <v>3.6334296788258529</v>
      </c>
      <c r="K496" s="37">
        <f>MIN(1,MAX(0,(J496-Inputs!$D$36)/(Inputs!$D$37-Inputs!$D$36)))</f>
        <v>0</v>
      </c>
      <c r="L496" s="35">
        <f>Inputs!$D$6*Inputs!$D$14*G496*(1-Inputs!$D$38*K496)</f>
        <v>12689.943000000003</v>
      </c>
      <c r="M496" s="39">
        <f>L496*Inputs!$D$11</f>
        <v>272833.77450000006</v>
      </c>
      <c r="N496" s="39">
        <f>M496*(1-Inputs!$D$17)</f>
        <v>95491.821075000014</v>
      </c>
      <c r="O496" s="35">
        <f>Inputs!$D$6*E496*Inputs!$D$27*Inputs!$D$30</f>
        <v>503.93533061728459</v>
      </c>
      <c r="P496" s="36">
        <f>O496/(C496*Inputs!$D$33)</f>
        <v>0.38176918986157926</v>
      </c>
      <c r="Q496" s="38">
        <f>IF(P496&gt;=1,999,P496/(Inputs!$D$33*(1-P496))*60)</f>
        <v>0.92627830156855617</v>
      </c>
      <c r="R496" s="37">
        <f>MIN(1,MAX(0,(Q496-Inputs!$D$36)/(Inputs!$D$37-Inputs!$D$36)))</f>
        <v>0</v>
      </c>
      <c r="S496" s="35">
        <f>Inputs!$D$6*E496*Inputs!$D$27*(1-Inputs!$D$38*R496)</f>
        <v>4199.461088477372</v>
      </c>
      <c r="T496" s="39">
        <f>S496*Inputs!$D$12</f>
        <v>67191.377415637951</v>
      </c>
      <c r="U496" s="39">
        <f>T496*(1-Inputs!$D$18)</f>
        <v>30236.119837037077</v>
      </c>
      <c r="V496" s="35">
        <f>Inputs!$D$6*F496*Inputs!$D$28*Inputs!$D$31</f>
        <v>684.36330569102222</v>
      </c>
      <c r="W496" s="36">
        <f>V496/(B496*Inputs!$D$34)</f>
        <v>0.93110653835513224</v>
      </c>
      <c r="X496" s="38">
        <f>IF(W496&gt;=1,999,W496/(Inputs!$D$34*(1-W496))*60)</f>
        <v>23.16885520150278</v>
      </c>
      <c r="Y496" s="37">
        <f>MIN(1,MAX(0,(X496-Inputs!$D$36)/(Inputs!$D$37-Inputs!$D$36)))</f>
        <v>1</v>
      </c>
      <c r="Z496" s="35">
        <f>Inputs!$D$6*F496*Inputs!$D$28*(1-Inputs!$D$38*Y496)</f>
        <v>2895.3832163850943</v>
      </c>
      <c r="AA496" s="39">
        <f>Z496*Inputs!$D$13</f>
        <v>24610.757339273303</v>
      </c>
      <c r="AB496" s="39">
        <f>AA496*(1-Inputs!$D$19)</f>
        <v>14766.454403563981</v>
      </c>
      <c r="AC496" s="39">
        <f t="shared" si="28"/>
        <v>364635.9092549113</v>
      </c>
      <c r="AD496" s="39">
        <f t="shared" si="29"/>
        <v>140494.39531560108</v>
      </c>
      <c r="AE496" s="36">
        <f t="shared" si="30"/>
        <v>0.93110653835513224</v>
      </c>
      <c r="AF496" s="35">
        <f>IF(AND(AE496&lt;=Inputs!$D$35,C496&gt;=Inputs!$D$48*(A496+B496+C496),B496*Inputs!$D$22&lt;=Inputs!$D$50*Inputs!$D$8,B496*Inputs!$D$22&gt;=Inputs!$D$49*Inputs!$D$8,A496*Inputs!$D$20&lt;=Inputs!$D$47*Inputs!$D$8,C496&gt;=1),1,0)</f>
        <v>0</v>
      </c>
      <c r="AG496" s="39">
        <f t="shared" si="31"/>
        <v>-1</v>
      </c>
    </row>
    <row r="497" spans="1:33" x14ac:dyDescent="0.25">
      <c r="A497" s="35">
        <v>45</v>
      </c>
      <c r="B497" s="35">
        <v>22</v>
      </c>
      <c r="C497" s="35">
        <f>Inputs!$D$8-A497-Inputs!$D$22*B497</f>
        <v>31</v>
      </c>
      <c r="D497" s="35">
        <f>A497*Inputs!$D$20+C497*Inputs!$D$21+B497*Inputs!$D$22</f>
        <v>120</v>
      </c>
      <c r="E497" s="36">
        <f>MIN(Inputs!$E$15,Inputs!$D$15*(C497/Inputs!$D$43)^Inputs!$D$44)</f>
        <v>0.34666489615699225</v>
      </c>
      <c r="F497" s="36">
        <f>MIN(Inputs!$E$16,Inputs!$D$16*(B497/Inputs!$D$42)^Inputs!$D$44)</f>
        <v>0.41160230376843804</v>
      </c>
      <c r="G497" s="37">
        <f>Inputs!$D$26*(1+Inputs!$D$41*(B497-Inputs!$D$42))</f>
        <v>1.53</v>
      </c>
      <c r="H497" s="35">
        <f>Inputs!$D$6*Inputs!$D$14*G497*Inputs!$D$29</f>
        <v>1922.3379</v>
      </c>
      <c r="I497" s="36">
        <f>H497/(A497*Inputs!$D$32)</f>
        <v>0.77670218181818185</v>
      </c>
      <c r="J497" s="38">
        <f>IF(I497&gt;=1,999,I497/(Inputs!$D$32*(1-I497))*60)</f>
        <v>3.7945353786863456</v>
      </c>
      <c r="K497" s="37">
        <f>MIN(1,MAX(0,(J497-Inputs!$D$36)/(Inputs!$D$37-Inputs!$D$36)))</f>
        <v>0</v>
      </c>
      <c r="L497" s="35">
        <f>Inputs!$D$6*Inputs!$D$14*G497*(1-Inputs!$D$38*K497)</f>
        <v>12815.586000000001</v>
      </c>
      <c r="M497" s="39">
        <f>L497*Inputs!$D$11</f>
        <v>275535.09900000005</v>
      </c>
      <c r="N497" s="39">
        <f>M497*(1-Inputs!$D$17)</f>
        <v>96437.284650000016</v>
      </c>
      <c r="O497" s="35">
        <f>Inputs!$D$6*E497*Inputs!$D$27*Inputs!$D$30</f>
        <v>494.57155409174993</v>
      </c>
      <c r="P497" s="36">
        <f>O497/(C497*Inputs!$D$33)</f>
        <v>0.39884802749334675</v>
      </c>
      <c r="Q497" s="38">
        <f>IF(P497&gt;=1,999,P497/(Inputs!$D$33*(1-P497))*60)</f>
        <v>0.9952093124561755</v>
      </c>
      <c r="R497" s="37">
        <f>MIN(1,MAX(0,(Q497-Inputs!$D$36)/(Inputs!$D$37-Inputs!$D$36)))</f>
        <v>0</v>
      </c>
      <c r="S497" s="35">
        <f>Inputs!$D$6*E497*Inputs!$D$27*(1-Inputs!$D$38*R497)</f>
        <v>4121.4296174312494</v>
      </c>
      <c r="T497" s="39">
        <f>S497*Inputs!$D$12</f>
        <v>65942.873878899991</v>
      </c>
      <c r="U497" s="39">
        <f>T497*(1-Inputs!$D$18)</f>
        <v>29674.293245504992</v>
      </c>
      <c r="V497" s="35">
        <f>Inputs!$D$6*F497*Inputs!$D$28*Inputs!$D$31</f>
        <v>693.98124106416742</v>
      </c>
      <c r="W497" s="36">
        <f>V497/(B497*Inputs!$D$34)</f>
        <v>0.90127433904437326</v>
      </c>
      <c r="X497" s="38">
        <f>IF(W497&gt;=1,999,W497/(Inputs!$D$34*(1-W497))*60)</f>
        <v>15.649849381818807</v>
      </c>
      <c r="Y497" s="37">
        <f>MIN(1,MAX(0,(X497-Inputs!$D$36)/(Inputs!$D$37-Inputs!$D$36)))</f>
        <v>0.70998995878792048</v>
      </c>
      <c r="Z497" s="35">
        <f>Inputs!$D$6*F497*Inputs!$D$28*(1-Inputs!$D$38*Y497)</f>
        <v>3632.749002537963</v>
      </c>
      <c r="AA497" s="39">
        <f>Z497*Inputs!$D$13</f>
        <v>30878.366521572687</v>
      </c>
      <c r="AB497" s="39">
        <f>AA497*(1-Inputs!$D$19)</f>
        <v>18527.019912943611</v>
      </c>
      <c r="AC497" s="39">
        <f t="shared" si="28"/>
        <v>372356.3394004727</v>
      </c>
      <c r="AD497" s="39">
        <f t="shared" si="29"/>
        <v>144638.59780844863</v>
      </c>
      <c r="AE497" s="36">
        <f t="shared" si="30"/>
        <v>0.90127433904437326</v>
      </c>
      <c r="AF497" s="35">
        <f>IF(AND(AE497&lt;=Inputs!$D$35,C497&gt;=Inputs!$D$48*(A497+B497+C497),B497*Inputs!$D$22&lt;=Inputs!$D$50*Inputs!$D$8,B497*Inputs!$D$22&gt;=Inputs!$D$49*Inputs!$D$8,A497*Inputs!$D$20&lt;=Inputs!$D$47*Inputs!$D$8,C497&gt;=1),1,0)</f>
        <v>0</v>
      </c>
      <c r="AG497" s="39">
        <f t="shared" si="31"/>
        <v>-1</v>
      </c>
    </row>
    <row r="498" spans="1:33" x14ac:dyDescent="0.25">
      <c r="A498" s="35">
        <v>45</v>
      </c>
      <c r="B498" s="35">
        <v>23</v>
      </c>
      <c r="C498" s="35">
        <f>Inputs!$D$8-A498-Inputs!$D$22*B498</f>
        <v>29</v>
      </c>
      <c r="D498" s="35">
        <f>A498*Inputs!$D$20+C498*Inputs!$D$21+B498*Inputs!$D$22</f>
        <v>120</v>
      </c>
      <c r="E498" s="36">
        <f>MIN(Inputs!$E$15,Inputs!$D$15*(C498/Inputs!$D$43)^Inputs!$D$44)</f>
        <v>0.33979795258455459</v>
      </c>
      <c r="F498" s="36">
        <f>MIN(Inputs!$E$16,Inputs!$D$16*(B498/Inputs!$D$42)^Inputs!$D$44)</f>
        <v>0.41712800028621322</v>
      </c>
      <c r="G498" s="37">
        <f>Inputs!$D$26*(1+Inputs!$D$41*(B498-Inputs!$D$42))</f>
        <v>1.5449999999999999</v>
      </c>
      <c r="H498" s="35">
        <f>Inputs!$D$6*Inputs!$D$14*G498*Inputs!$D$29</f>
        <v>1941.18435</v>
      </c>
      <c r="I498" s="36">
        <f>H498/(A498*Inputs!$D$32)</f>
        <v>0.78431690909090912</v>
      </c>
      <c r="J498" s="38">
        <f>IF(I498&gt;=1,999,I498/(Inputs!$D$32*(1-I498))*60)</f>
        <v>3.967016805418603</v>
      </c>
      <c r="K498" s="37">
        <f>MIN(1,MAX(0,(J498-Inputs!$D$36)/(Inputs!$D$37-Inputs!$D$36)))</f>
        <v>0</v>
      </c>
      <c r="L498" s="35">
        <f>Inputs!$D$6*Inputs!$D$14*G498*(1-Inputs!$D$38*K498)</f>
        <v>12941.229000000001</v>
      </c>
      <c r="M498" s="39">
        <f>L498*Inputs!$D$11</f>
        <v>278236.42350000003</v>
      </c>
      <c r="N498" s="39">
        <f>M498*(1-Inputs!$D$17)</f>
        <v>97382.748225000003</v>
      </c>
      <c r="O498" s="35">
        <f>Inputs!$D$6*E498*Inputs!$D$27*Inputs!$D$30</f>
        <v>484.77478784247035</v>
      </c>
      <c r="P498" s="36">
        <f>O498/(C498*Inputs!$D$33)</f>
        <v>0.41790929986419856</v>
      </c>
      <c r="Q498" s="38">
        <f>IF(P498&gt;=1,999,P498/(Inputs!$D$33*(1-P498))*60)</f>
        <v>1.0769179951681944</v>
      </c>
      <c r="R498" s="37">
        <f>MIN(1,MAX(0,(Q498-Inputs!$D$36)/(Inputs!$D$37-Inputs!$D$36)))</f>
        <v>0</v>
      </c>
      <c r="S498" s="35">
        <f>Inputs!$D$6*E498*Inputs!$D$27*(1-Inputs!$D$38*R498)</f>
        <v>4039.7898986872528</v>
      </c>
      <c r="T498" s="39">
        <f>S498*Inputs!$D$12</f>
        <v>64636.638378996046</v>
      </c>
      <c r="U498" s="39">
        <f>T498*(1-Inputs!$D$18)</f>
        <v>29086.487270548219</v>
      </c>
      <c r="V498" s="35">
        <f>Inputs!$D$6*F498*Inputs!$D$28*Inputs!$D$31</f>
        <v>703.29783062656929</v>
      </c>
      <c r="W498" s="36">
        <f>V498/(B498*Inputs!$D$34)</f>
        <v>0.87366190139946498</v>
      </c>
      <c r="X498" s="38">
        <f>IF(W498&gt;=1,999,W498/(Inputs!$D$34*(1-W498))*60)</f>
        <v>11.854746377182334</v>
      </c>
      <c r="Y498" s="37">
        <f>MIN(1,MAX(0,(X498-Inputs!$D$36)/(Inputs!$D$37-Inputs!$D$36)))</f>
        <v>0.45698309181215557</v>
      </c>
      <c r="Z498" s="35">
        <f>Inputs!$D$6*F498*Inputs!$D$28*(1-Inputs!$D$38*Y498)</f>
        <v>4297.4614071503011</v>
      </c>
      <c r="AA498" s="39">
        <f>Z498*Inputs!$D$13</f>
        <v>36528.421960777559</v>
      </c>
      <c r="AB498" s="39">
        <f>AA498*(1-Inputs!$D$19)</f>
        <v>21917.053176466536</v>
      </c>
      <c r="AC498" s="39">
        <f t="shared" si="28"/>
        <v>379401.48383977363</v>
      </c>
      <c r="AD498" s="39">
        <f t="shared" si="29"/>
        <v>148386.28867201478</v>
      </c>
      <c r="AE498" s="36">
        <f t="shared" si="30"/>
        <v>0.87366190139946498</v>
      </c>
      <c r="AF498" s="35">
        <f>IF(AND(AE498&lt;=Inputs!$D$35,C498&gt;=Inputs!$D$48*(A498+B498+C498),B498*Inputs!$D$22&lt;=Inputs!$D$50*Inputs!$D$8,B498*Inputs!$D$22&gt;=Inputs!$D$49*Inputs!$D$8,A498*Inputs!$D$20&lt;=Inputs!$D$47*Inputs!$D$8,C498&gt;=1),1,0)</f>
        <v>0</v>
      </c>
      <c r="AG498" s="39">
        <f t="shared" si="31"/>
        <v>-1</v>
      </c>
    </row>
    <row r="499" spans="1:33" x14ac:dyDescent="0.25">
      <c r="A499" s="35">
        <v>45</v>
      </c>
      <c r="B499" s="35">
        <v>24</v>
      </c>
      <c r="C499" s="35">
        <f>Inputs!$D$8-A499-Inputs!$D$22*B499</f>
        <v>27</v>
      </c>
      <c r="D499" s="35">
        <f>A499*Inputs!$D$20+C499*Inputs!$D$21+B499*Inputs!$D$22</f>
        <v>120</v>
      </c>
      <c r="E499" s="36">
        <f>MIN(Inputs!$E$15,Inputs!$D$15*(C499/Inputs!$D$43)^Inputs!$D$44)</f>
        <v>0.33259099594532748</v>
      </c>
      <c r="F499" s="36">
        <f>MIN(Inputs!$E$16,Inputs!$D$16*(B499/Inputs!$D$42)^Inputs!$D$44)</f>
        <v>0.42248798737570326</v>
      </c>
      <c r="G499" s="37">
        <f>Inputs!$D$26*(1+Inputs!$D$41*(B499-Inputs!$D$42))</f>
        <v>1.56</v>
      </c>
      <c r="H499" s="35">
        <f>Inputs!$D$6*Inputs!$D$14*G499*Inputs!$D$29</f>
        <v>1960.0308</v>
      </c>
      <c r="I499" s="36">
        <f>H499/(A499*Inputs!$D$32)</f>
        <v>0.79193163636363639</v>
      </c>
      <c r="J499" s="38">
        <f>IF(I499&gt;=1,999,I499/(Inputs!$D$32*(1-I499))*60)</f>
        <v>4.1521229195490115</v>
      </c>
      <c r="K499" s="37">
        <f>MIN(1,MAX(0,(J499-Inputs!$D$36)/(Inputs!$D$37-Inputs!$D$36)))</f>
        <v>0</v>
      </c>
      <c r="L499" s="35">
        <f>Inputs!$D$6*Inputs!$D$14*G499*(1-Inputs!$D$38*K499)</f>
        <v>13066.872000000001</v>
      </c>
      <c r="M499" s="39">
        <f>L499*Inputs!$D$11</f>
        <v>280937.74800000002</v>
      </c>
      <c r="N499" s="39">
        <f>M499*(1-Inputs!$D$17)</f>
        <v>98328.211800000005</v>
      </c>
      <c r="O499" s="35">
        <f>Inputs!$D$6*E499*Inputs!$D$27*Inputs!$D$30</f>
        <v>474.49293991137716</v>
      </c>
      <c r="P499" s="36">
        <f>O499/(C499*Inputs!$D$33)</f>
        <v>0.43934531473275662</v>
      </c>
      <c r="Q499" s="38">
        <f>IF(P499&gt;=1,999,P499/(Inputs!$D$33*(1-P499))*60)</f>
        <v>1.1754436187133714</v>
      </c>
      <c r="R499" s="37">
        <f>MIN(1,MAX(0,(Q499-Inputs!$D$36)/(Inputs!$D$37-Inputs!$D$36)))</f>
        <v>0</v>
      </c>
      <c r="S499" s="35">
        <f>Inputs!$D$6*E499*Inputs!$D$27*(1-Inputs!$D$38*R499)</f>
        <v>3954.1078325948097</v>
      </c>
      <c r="T499" s="39">
        <f>S499*Inputs!$D$12</f>
        <v>63265.725321516955</v>
      </c>
      <c r="U499" s="39">
        <f>T499*(1-Inputs!$D$18)</f>
        <v>28469.576394682626</v>
      </c>
      <c r="V499" s="35">
        <f>Inputs!$D$6*F499*Inputs!$D$28*Inputs!$D$31</f>
        <v>712.33502613882979</v>
      </c>
      <c r="W499" s="36">
        <f>V499/(B499*Inputs!$D$34)</f>
        <v>0.84801788826051161</v>
      </c>
      <c r="X499" s="38">
        <f>IF(W499&gt;=1,999,W499/(Inputs!$D$34*(1-W499))*60)</f>
        <v>9.5652372155190832</v>
      </c>
      <c r="Y499" s="37">
        <f>MIN(1,MAX(0,(X499-Inputs!$D$36)/(Inputs!$D$37-Inputs!$D$36)))</f>
        <v>0.30434914770127219</v>
      </c>
      <c r="Z499" s="35">
        <f>Inputs!$D$6*F499*Inputs!$D$28*(1-Inputs!$D$38*Y499)</f>
        <v>4729.0436538571339</v>
      </c>
      <c r="AA499" s="39">
        <f>Z499*Inputs!$D$13</f>
        <v>40196.87105778564</v>
      </c>
      <c r="AB499" s="39">
        <f>AA499*(1-Inputs!$D$19)</f>
        <v>24118.122634671385</v>
      </c>
      <c r="AC499" s="39">
        <f t="shared" si="28"/>
        <v>384400.34437930264</v>
      </c>
      <c r="AD499" s="39">
        <f t="shared" si="29"/>
        <v>150915.91082935402</v>
      </c>
      <c r="AE499" s="36">
        <f t="shared" si="30"/>
        <v>0.84801788826051161</v>
      </c>
      <c r="AF499" s="35">
        <f>IF(AND(AE499&lt;=Inputs!$D$35,C499&gt;=Inputs!$D$48*(A499+B499+C499),B499*Inputs!$D$22&lt;=Inputs!$D$50*Inputs!$D$8,B499*Inputs!$D$22&gt;=Inputs!$D$49*Inputs!$D$8,A499*Inputs!$D$20&lt;=Inputs!$D$47*Inputs!$D$8,C499&gt;=1),1,0)</f>
        <v>1</v>
      </c>
      <c r="AG499" s="39">
        <f t="shared" si="31"/>
        <v>150915.91082935402</v>
      </c>
    </row>
    <row r="500" spans="1:33" x14ac:dyDescent="0.25">
      <c r="A500" s="35">
        <v>45</v>
      </c>
      <c r="B500" s="35">
        <v>25</v>
      </c>
      <c r="C500" s="35">
        <f>Inputs!$D$8-A500-Inputs!$D$22*B500</f>
        <v>25</v>
      </c>
      <c r="D500" s="35">
        <f>A500*Inputs!$D$20+C500*Inputs!$D$21+B500*Inputs!$D$22</f>
        <v>120</v>
      </c>
      <c r="E500" s="36">
        <f>MIN(Inputs!$E$15,Inputs!$D$15*(C500/Inputs!$D$43)^Inputs!$D$44)</f>
        <v>0.32500000000000001</v>
      </c>
      <c r="F500" s="36">
        <f>MIN(Inputs!$E$16,Inputs!$D$16*(B500/Inputs!$D$42)^Inputs!$D$44)</f>
        <v>0.42769383999647526</v>
      </c>
      <c r="G500" s="37">
        <f>Inputs!$D$26*(1+Inputs!$D$41*(B500-Inputs!$D$42))</f>
        <v>1.5750000000000002</v>
      </c>
      <c r="H500" s="35">
        <f>Inputs!$D$6*Inputs!$D$14*G500*Inputs!$D$29</f>
        <v>1978.8772500000005</v>
      </c>
      <c r="I500" s="36">
        <f>H500/(A500*Inputs!$D$32)</f>
        <v>0.79954636363636378</v>
      </c>
      <c r="J500" s="38">
        <f>IF(I500&gt;=1,999,I500/(Inputs!$D$32*(1-I500))*60)</f>
        <v>4.3512924610253894</v>
      </c>
      <c r="K500" s="37">
        <f>MIN(1,MAX(0,(J500-Inputs!$D$36)/(Inputs!$D$37-Inputs!$D$36)))</f>
        <v>0</v>
      </c>
      <c r="L500" s="35">
        <f>Inputs!$D$6*Inputs!$D$14*G500*(1-Inputs!$D$38*K500)</f>
        <v>13192.515000000003</v>
      </c>
      <c r="M500" s="39">
        <f>L500*Inputs!$D$11</f>
        <v>283639.07250000007</v>
      </c>
      <c r="N500" s="39">
        <f>M500*(1-Inputs!$D$17)</f>
        <v>99273.675375000021</v>
      </c>
      <c r="O500" s="35">
        <f>Inputs!$D$6*E500*Inputs!$D$27*Inputs!$D$30</f>
        <v>463.66320000000002</v>
      </c>
      <c r="P500" s="36">
        <f>O500/(C500*Inputs!$D$33)</f>
        <v>0.4636632</v>
      </c>
      <c r="Q500" s="38">
        <f>IF(P500&gt;=1,999,P500/(Inputs!$D$33*(1-P500))*60)</f>
        <v>1.296750101801704</v>
      </c>
      <c r="R500" s="37">
        <f>MIN(1,MAX(0,(Q500-Inputs!$D$36)/(Inputs!$D$37-Inputs!$D$36)))</f>
        <v>0</v>
      </c>
      <c r="S500" s="35">
        <f>Inputs!$D$6*E500*Inputs!$D$27*(1-Inputs!$D$38*R500)</f>
        <v>3863.86</v>
      </c>
      <c r="T500" s="39">
        <f>S500*Inputs!$D$12</f>
        <v>61821.760000000002</v>
      </c>
      <c r="U500" s="39">
        <f>T500*(1-Inputs!$D$18)</f>
        <v>27819.791999999998</v>
      </c>
      <c r="V500" s="35">
        <f>Inputs!$D$6*F500*Inputs!$D$28*Inputs!$D$31</f>
        <v>721.1123435383771</v>
      </c>
      <c r="W500" s="36">
        <f>V500/(B500*Inputs!$D$34)</f>
        <v>0.82412839261528814</v>
      </c>
      <c r="X500" s="38">
        <f>IF(W500&gt;=1,999,W500/(Inputs!$D$34*(1-W500))*60)</f>
        <v>8.0330847668163621</v>
      </c>
      <c r="Y500" s="37">
        <f>MIN(1,MAX(0,(X500-Inputs!$D$36)/(Inputs!$D$37-Inputs!$D$36)))</f>
        <v>0.20220565112109082</v>
      </c>
      <c r="Z500" s="35">
        <f>Inputs!$D$6*F500*Inputs!$D$28*(1-Inputs!$D$38*Y500)</f>
        <v>5042.2807508299393</v>
      </c>
      <c r="AA500" s="39">
        <f>Z500*Inputs!$D$13</f>
        <v>42859.386382054487</v>
      </c>
      <c r="AB500" s="39">
        <f>AA500*(1-Inputs!$D$19)</f>
        <v>25715.631829232691</v>
      </c>
      <c r="AC500" s="39">
        <f t="shared" si="28"/>
        <v>388320.21888205456</v>
      </c>
      <c r="AD500" s="39">
        <f t="shared" si="29"/>
        <v>152809.09920423271</v>
      </c>
      <c r="AE500" s="36">
        <f t="shared" si="30"/>
        <v>0.82412839261528814</v>
      </c>
      <c r="AF500" s="35">
        <f>IF(AND(AE500&lt;=Inputs!$D$35,C500&gt;=Inputs!$D$48*(A500+B500+C500),B500*Inputs!$D$22&lt;=Inputs!$D$50*Inputs!$D$8,B500*Inputs!$D$22&gt;=Inputs!$D$49*Inputs!$D$8,A500*Inputs!$D$20&lt;=Inputs!$D$47*Inputs!$D$8,C500&gt;=1),1,0)</f>
        <v>1</v>
      </c>
      <c r="AG500" s="39">
        <f t="shared" si="31"/>
        <v>152809.09920423271</v>
      </c>
    </row>
    <row r="501" spans="1:33" x14ac:dyDescent="0.25">
      <c r="A501" s="35">
        <v>45</v>
      </c>
      <c r="B501" s="35">
        <v>26</v>
      </c>
      <c r="C501" s="35">
        <f>Inputs!$D$8-A501-Inputs!$D$22*B501</f>
        <v>23</v>
      </c>
      <c r="D501" s="35">
        <f>A501*Inputs!$D$20+C501*Inputs!$D$21+B501*Inputs!$D$22</f>
        <v>120</v>
      </c>
      <c r="E501" s="36">
        <f>MIN(Inputs!$E$15,Inputs!$D$15*(C501/Inputs!$D$43)^Inputs!$D$44)</f>
        <v>0.31697113078396583</v>
      </c>
      <c r="F501" s="36">
        <f>MIN(Inputs!$E$16,Inputs!$D$16*(B501/Inputs!$D$42)^Inputs!$D$44)</f>
        <v>0.43275589945781112</v>
      </c>
      <c r="G501" s="37">
        <f>Inputs!$D$26*(1+Inputs!$D$41*(B501-Inputs!$D$42))</f>
        <v>1.59</v>
      </c>
      <c r="H501" s="35">
        <f>Inputs!$D$6*Inputs!$D$14*G501*Inputs!$D$29</f>
        <v>1997.7237</v>
      </c>
      <c r="I501" s="36">
        <f>H501/(A501*Inputs!$D$32)</f>
        <v>0.80716109090909094</v>
      </c>
      <c r="J501" s="38">
        <f>IF(I501&gt;=1,999,I501/(Inputs!$D$32*(1-I501))*60)</f>
        <v>4.5661914187956656</v>
      </c>
      <c r="K501" s="37">
        <f>MIN(1,MAX(0,(J501-Inputs!$D$36)/(Inputs!$D$37-Inputs!$D$36)))</f>
        <v>0</v>
      </c>
      <c r="L501" s="35">
        <f>Inputs!$D$6*Inputs!$D$14*G501*(1-Inputs!$D$38*K501)</f>
        <v>13318.158000000001</v>
      </c>
      <c r="M501" s="39">
        <f>L501*Inputs!$D$11</f>
        <v>286340.39700000006</v>
      </c>
      <c r="N501" s="39">
        <f>M501*(1-Inputs!$D$17)</f>
        <v>100219.13895000001</v>
      </c>
      <c r="O501" s="35">
        <f>Inputs!$D$6*E501*Inputs!$D$27*Inputs!$D$30</f>
        <v>452.20876555972956</v>
      </c>
      <c r="P501" s="36">
        <f>O501/(C501*Inputs!$D$33)</f>
        <v>0.49153126691274951</v>
      </c>
      <c r="Q501" s="38">
        <f>IF(P501&gt;=1,999,P501/(Inputs!$D$33*(1-P501))*60)</f>
        <v>1.4500339005950402</v>
      </c>
      <c r="R501" s="37">
        <f>MIN(1,MAX(0,(Q501-Inputs!$D$36)/(Inputs!$D$37-Inputs!$D$36)))</f>
        <v>0</v>
      </c>
      <c r="S501" s="35">
        <f>Inputs!$D$6*E501*Inputs!$D$27*(1-Inputs!$D$38*R501)</f>
        <v>3768.4063796644132</v>
      </c>
      <c r="T501" s="39">
        <f>S501*Inputs!$D$12</f>
        <v>60294.502074630611</v>
      </c>
      <c r="U501" s="39">
        <f>T501*(1-Inputs!$D$18)</f>
        <v>27132.525933583773</v>
      </c>
      <c r="V501" s="35">
        <f>Inputs!$D$6*F501*Inputs!$D$28*Inputs!$D$31</f>
        <v>729.64721876904355</v>
      </c>
      <c r="W501" s="36">
        <f>V501/(B501*Inputs!$D$34)</f>
        <v>0.80181013051543248</v>
      </c>
      <c r="X501" s="38">
        <f>IF(W501&gt;=1,999,W501/(Inputs!$D$34*(1-W501))*60)</f>
        <v>6.9354284146153136</v>
      </c>
      <c r="Y501" s="37">
        <f>MIN(1,MAX(0,(X501-Inputs!$D$36)/(Inputs!$D$37-Inputs!$D$36)))</f>
        <v>0.12902856097435425</v>
      </c>
      <c r="Z501" s="35">
        <f>Inputs!$D$6*F501*Inputs!$D$28*(1-Inputs!$D$38*Y501)</f>
        <v>5286.7832305655711</v>
      </c>
      <c r="AA501" s="39">
        <f>Z501*Inputs!$D$13</f>
        <v>44937.657459807357</v>
      </c>
      <c r="AB501" s="39">
        <f>AA501*(1-Inputs!$D$19)</f>
        <v>26962.594475884413</v>
      </c>
      <c r="AC501" s="39">
        <f t="shared" si="28"/>
        <v>391572.55653443804</v>
      </c>
      <c r="AD501" s="39">
        <f t="shared" si="29"/>
        <v>154314.25935946818</v>
      </c>
      <c r="AE501" s="36">
        <f t="shared" si="30"/>
        <v>0.80716109090909094</v>
      </c>
      <c r="AF501" s="35">
        <f>IF(AND(AE501&lt;=Inputs!$D$35,C501&gt;=Inputs!$D$48*(A501+B501+C501),B501*Inputs!$D$22&lt;=Inputs!$D$50*Inputs!$D$8,B501*Inputs!$D$22&gt;=Inputs!$D$49*Inputs!$D$8,A501*Inputs!$D$20&lt;=Inputs!$D$47*Inputs!$D$8,C501&gt;=1),1,0)</f>
        <v>1</v>
      </c>
      <c r="AG501" s="39">
        <f t="shared" si="31"/>
        <v>154314.25935946818</v>
      </c>
    </row>
    <row r="502" spans="1:33" x14ac:dyDescent="0.25">
      <c r="A502" s="35">
        <v>45</v>
      </c>
      <c r="B502" s="35">
        <v>27</v>
      </c>
      <c r="C502" s="35">
        <f>Inputs!$D$8-A502-Inputs!$D$22*B502</f>
        <v>21</v>
      </c>
      <c r="D502" s="35">
        <f>A502*Inputs!$D$20+C502*Inputs!$D$21+B502*Inputs!$D$22</f>
        <v>120</v>
      </c>
      <c r="E502" s="36">
        <f>MIN(Inputs!$E$15,Inputs!$D$15*(C502/Inputs!$D$43)^Inputs!$D$44)</f>
        <v>0.30843748043226404</v>
      </c>
      <c r="F502" s="36">
        <f>MIN(Inputs!$E$16,Inputs!$D$16*(B502/Inputs!$D$42)^Inputs!$D$44)</f>
        <v>0.43768344678187454</v>
      </c>
      <c r="G502" s="37">
        <f>Inputs!$D$26*(1+Inputs!$D$41*(B502-Inputs!$D$42))</f>
        <v>1.605</v>
      </c>
      <c r="H502" s="35">
        <f>Inputs!$D$6*Inputs!$D$14*G502*Inputs!$D$29</f>
        <v>2016.57015</v>
      </c>
      <c r="I502" s="36">
        <f>H502/(A502*Inputs!$D$32)</f>
        <v>0.81477581818181821</v>
      </c>
      <c r="J502" s="38">
        <f>IF(I502&gt;=1,999,I502/(Inputs!$D$32*(1-I502))*60)</f>
        <v>4.798759742828504</v>
      </c>
      <c r="K502" s="37">
        <f>MIN(1,MAX(0,(J502-Inputs!$D$36)/(Inputs!$D$37-Inputs!$D$36)))</f>
        <v>0</v>
      </c>
      <c r="L502" s="35">
        <f>Inputs!$D$6*Inputs!$D$14*G502*(1-Inputs!$D$38*K502)</f>
        <v>13443.801000000001</v>
      </c>
      <c r="M502" s="39">
        <f>L502*Inputs!$D$11</f>
        <v>289041.72150000004</v>
      </c>
      <c r="N502" s="39">
        <f>M502*(1-Inputs!$D$17)</f>
        <v>101164.60252500001</v>
      </c>
      <c r="O502" s="35">
        <f>Inputs!$D$6*E502*Inputs!$D$27*Inputs!$D$30</f>
        <v>440.03418208357215</v>
      </c>
      <c r="P502" s="36">
        <f>O502/(C502*Inputs!$D$33)</f>
        <v>0.52385021676615728</v>
      </c>
      <c r="Q502" s="38">
        <f>IF(P502&gt;=1,999,P502/(Inputs!$D$33*(1-P502))*60)</f>
        <v>1.6502692069132636</v>
      </c>
      <c r="R502" s="37">
        <f>MIN(1,MAX(0,(Q502-Inputs!$D$36)/(Inputs!$D$37-Inputs!$D$36)))</f>
        <v>0</v>
      </c>
      <c r="S502" s="35">
        <f>Inputs!$D$6*E502*Inputs!$D$27*(1-Inputs!$D$38*R502)</f>
        <v>3666.9515173631012</v>
      </c>
      <c r="T502" s="39">
        <f>S502*Inputs!$D$12</f>
        <v>58671.224277809619</v>
      </c>
      <c r="U502" s="39">
        <f>T502*(1-Inputs!$D$18)</f>
        <v>26402.050925014326</v>
      </c>
      <c r="V502" s="35">
        <f>Inputs!$D$6*F502*Inputs!$D$28*Inputs!$D$31</f>
        <v>737.95530007968603</v>
      </c>
      <c r="W502" s="36">
        <f>V502/(B502*Inputs!$D$34)</f>
        <v>0.78090507944940324</v>
      </c>
      <c r="X502" s="38">
        <f>IF(W502&gt;=1,999,W502/(Inputs!$D$34*(1-W502))*60)</f>
        <v>6.1101116290101798</v>
      </c>
      <c r="Y502" s="37">
        <f>MIN(1,MAX(0,(X502-Inputs!$D$36)/(Inputs!$D$37-Inputs!$D$36)))</f>
        <v>7.4007441934011986E-2</v>
      </c>
      <c r="Z502" s="35">
        <f>Inputs!$D$6*F502*Inputs!$D$28*(1-Inputs!$D$38*Y502)</f>
        <v>5487.5301328495489</v>
      </c>
      <c r="AA502" s="39">
        <f>Z502*Inputs!$D$13</f>
        <v>46644.006129221169</v>
      </c>
      <c r="AB502" s="39">
        <f>AA502*(1-Inputs!$D$19)</f>
        <v>27986.4036775327</v>
      </c>
      <c r="AC502" s="39">
        <f t="shared" si="28"/>
        <v>394356.95190703083</v>
      </c>
      <c r="AD502" s="39">
        <f t="shared" si="29"/>
        <v>155553.05712754704</v>
      </c>
      <c r="AE502" s="36">
        <f t="shared" si="30"/>
        <v>0.81477581818181821</v>
      </c>
      <c r="AF502" s="35">
        <f>IF(AND(AE502&lt;=Inputs!$D$35,C502&gt;=Inputs!$D$48*(A502+B502+C502),B502*Inputs!$D$22&lt;=Inputs!$D$50*Inputs!$D$8,B502*Inputs!$D$22&gt;=Inputs!$D$49*Inputs!$D$8,A502*Inputs!$D$20&lt;=Inputs!$D$47*Inputs!$D$8,C502&gt;=1),1,0)</f>
        <v>1</v>
      </c>
      <c r="AG502" s="39">
        <f t="shared" si="31"/>
        <v>155553.05712754704</v>
      </c>
    </row>
    <row r="503" spans="1:33" x14ac:dyDescent="0.25">
      <c r="A503" s="35">
        <v>45</v>
      </c>
      <c r="B503" s="35">
        <v>28</v>
      </c>
      <c r="C503" s="35">
        <f>Inputs!$D$8-A503-Inputs!$D$22*B503</f>
        <v>19</v>
      </c>
      <c r="D503" s="35">
        <f>A503*Inputs!$D$20+C503*Inputs!$D$21+B503*Inputs!$D$22</f>
        <v>120</v>
      </c>
      <c r="E503" s="36">
        <f>MIN(Inputs!$E$15,Inputs!$D$15*(C503/Inputs!$D$43)^Inputs!$D$44)</f>
        <v>0.29931428106923352</v>
      </c>
      <c r="F503" s="36">
        <f>MIN(Inputs!$E$16,Inputs!$D$16*(B503/Inputs!$D$42)^Inputs!$D$44)</f>
        <v>0.44248484624799689</v>
      </c>
      <c r="G503" s="37">
        <f>Inputs!$D$26*(1+Inputs!$D$41*(B503-Inputs!$D$42))</f>
        <v>1.62</v>
      </c>
      <c r="H503" s="35">
        <f>Inputs!$D$6*Inputs!$D$14*G503*Inputs!$D$29</f>
        <v>2035.4166</v>
      </c>
      <c r="I503" s="36">
        <f>H503/(A503*Inputs!$D$32)</f>
        <v>0.82239054545454549</v>
      </c>
      <c r="J503" s="38">
        <f>IF(I503&gt;=1,999,I503/(Inputs!$D$32*(1-I503))*60)</f>
        <v>5.0512700723623167</v>
      </c>
      <c r="K503" s="37">
        <f>MIN(1,MAX(0,(J503-Inputs!$D$36)/(Inputs!$D$37-Inputs!$D$36)))</f>
        <v>3.4180048241544488E-3</v>
      </c>
      <c r="L503" s="35">
        <f>Inputs!$D$6*Inputs!$D$14*G503*(1-Inputs!$D$38*K503)</f>
        <v>13548.57280872611</v>
      </c>
      <c r="M503" s="39">
        <f>L503*Inputs!$D$11</f>
        <v>291294.31538761139</v>
      </c>
      <c r="N503" s="39">
        <f>M503*(1-Inputs!$D$17)</f>
        <v>101953.01038566398</v>
      </c>
      <c r="O503" s="35">
        <f>Inputs!$D$6*E503*Inputs!$D$27*Inputs!$D$30</f>
        <v>427.01851497310844</v>
      </c>
      <c r="P503" s="36">
        <f>O503/(C503*Inputs!$D$33)</f>
        <v>0.56186646706987953</v>
      </c>
      <c r="Q503" s="38">
        <f>IF(P503&gt;=1,999,P503/(Inputs!$D$33*(1-P503))*60)</f>
        <v>1.9236137781292366</v>
      </c>
      <c r="R503" s="37">
        <f>MIN(1,MAX(0,(Q503-Inputs!$D$36)/(Inputs!$D$37-Inputs!$D$36)))</f>
        <v>0</v>
      </c>
      <c r="S503" s="35">
        <f>Inputs!$D$6*E503*Inputs!$D$27*(1-Inputs!$D$38*R503)</f>
        <v>3558.4876247759039</v>
      </c>
      <c r="T503" s="39">
        <f>S503*Inputs!$D$12</f>
        <v>56935.801996414462</v>
      </c>
      <c r="U503" s="39">
        <f>T503*(1-Inputs!$D$18)</f>
        <v>25621.110898386505</v>
      </c>
      <c r="V503" s="35">
        <f>Inputs!$D$6*F503*Inputs!$D$28*Inputs!$D$31</f>
        <v>746.05069004674272</v>
      </c>
      <c r="W503" s="36">
        <f>V503/(B503*Inputs!$D$34)</f>
        <v>0.76127621433341097</v>
      </c>
      <c r="X503" s="38">
        <f>IF(W503&gt;=1,999,W503/(Inputs!$D$34*(1-W503))*60)</f>
        <v>5.4667570523531852</v>
      </c>
      <c r="Y503" s="37">
        <f>MIN(1,MAX(0,(X503-Inputs!$D$36)/(Inputs!$D$37-Inputs!$D$36)))</f>
        <v>3.111713682354568E-2</v>
      </c>
      <c r="Z503" s="35">
        <f>Inputs!$D$6*F503*Inputs!$D$28*(1-Inputs!$D$38*Y503)</f>
        <v>5658.4919801305723</v>
      </c>
      <c r="AA503" s="39">
        <f>Z503*Inputs!$D$13</f>
        <v>48097.181831109861</v>
      </c>
      <c r="AB503" s="39">
        <f>AA503*(1-Inputs!$D$19)</f>
        <v>28858.309098665915</v>
      </c>
      <c r="AC503" s="39">
        <f t="shared" si="28"/>
        <v>396327.29921513569</v>
      </c>
      <c r="AD503" s="39">
        <f t="shared" si="29"/>
        <v>156432.43038271641</v>
      </c>
      <c r="AE503" s="36">
        <f t="shared" si="30"/>
        <v>0.82239054545454549</v>
      </c>
      <c r="AF503" s="35">
        <f>IF(AND(AE503&lt;=Inputs!$D$35,C503&gt;=Inputs!$D$48*(A503+B503+C503),B503*Inputs!$D$22&lt;=Inputs!$D$50*Inputs!$D$8,B503*Inputs!$D$22&gt;=Inputs!$D$49*Inputs!$D$8,A503*Inputs!$D$20&lt;=Inputs!$D$47*Inputs!$D$8,C503&gt;=1),1,0)</f>
        <v>0</v>
      </c>
      <c r="AG503" s="39">
        <f t="shared" si="31"/>
        <v>-1</v>
      </c>
    </row>
    <row r="504" spans="1:33" x14ac:dyDescent="0.25">
      <c r="A504" s="35">
        <v>45</v>
      </c>
      <c r="B504" s="35">
        <v>29</v>
      </c>
      <c r="C504" s="35">
        <f>Inputs!$D$8-A504-Inputs!$D$22*B504</f>
        <v>17</v>
      </c>
      <c r="D504" s="35">
        <f>A504*Inputs!$D$20+C504*Inputs!$D$21+B504*Inputs!$D$22</f>
        <v>120</v>
      </c>
      <c r="E504" s="36">
        <f>MIN(Inputs!$E$15,Inputs!$D$15*(C504/Inputs!$D$43)^Inputs!$D$44)</f>
        <v>0.28949164546121231</v>
      </c>
      <c r="F504" s="36">
        <f>MIN(Inputs!$E$16,Inputs!$D$16*(B504/Inputs!$D$42)^Inputs!$D$44)</f>
        <v>0.44716766511947192</v>
      </c>
      <c r="G504" s="37">
        <f>Inputs!$D$26*(1+Inputs!$D$41*(B504-Inputs!$D$42))</f>
        <v>1.6350000000000002</v>
      </c>
      <c r="H504" s="35">
        <f>Inputs!$D$6*Inputs!$D$14*G504*Inputs!$D$29</f>
        <v>2054.2630500000005</v>
      </c>
      <c r="I504" s="36">
        <f>H504/(A504*Inputs!$D$32)</f>
        <v>0.83000527272727287</v>
      </c>
      <c r="J504" s="38">
        <f>IF(I504&gt;=1,999,I504/(Inputs!$D$32*(1-I504))*60)</f>
        <v>5.3264022481591846</v>
      </c>
      <c r="K504" s="37">
        <f>MIN(1,MAX(0,(J504-Inputs!$D$36)/(Inputs!$D$37-Inputs!$D$36)))</f>
        <v>2.1760149877278975E-2</v>
      </c>
      <c r="L504" s="35">
        <f>Inputs!$D$6*Inputs!$D$14*G504*(1-Inputs!$D$38*K504)</f>
        <v>13560.983784433934</v>
      </c>
      <c r="M504" s="39">
        <f>L504*Inputs!$D$11</f>
        <v>291561.15136532957</v>
      </c>
      <c r="N504" s="39">
        <f>M504*(1-Inputs!$D$17)</f>
        <v>102046.40297786535</v>
      </c>
      <c r="O504" s="35">
        <f>Inputs!$D$6*E504*Inputs!$D$27*Inputs!$D$30</f>
        <v>413.00499294711136</v>
      </c>
      <c r="P504" s="36">
        <f>O504/(C504*Inputs!$D$33)</f>
        <v>0.60736028374575202</v>
      </c>
      <c r="Q504" s="38">
        <f>IF(P504&gt;=1,999,P504/(Inputs!$D$33*(1-P504))*60)</f>
        <v>2.3202961593133828</v>
      </c>
      <c r="R504" s="37">
        <f>MIN(1,MAX(0,(Q504-Inputs!$D$36)/(Inputs!$D$37-Inputs!$D$36)))</f>
        <v>0</v>
      </c>
      <c r="S504" s="35">
        <f>Inputs!$D$6*E504*Inputs!$D$27*(1-Inputs!$D$38*R504)</f>
        <v>3441.7082745592616</v>
      </c>
      <c r="T504" s="39">
        <f>S504*Inputs!$D$12</f>
        <v>55067.332392948185</v>
      </c>
      <c r="U504" s="39">
        <f>T504*(1-Inputs!$D$18)</f>
        <v>24780.299576826681</v>
      </c>
      <c r="V504" s="35">
        <f>Inputs!$D$6*F504*Inputs!$D$28*Inputs!$D$31</f>
        <v>753.9461474393554</v>
      </c>
      <c r="W504" s="36">
        <f>V504/(B504*Inputs!$D$34)</f>
        <v>0.74280408614714821</v>
      </c>
      <c r="X504" s="38">
        <f>IF(W504&gt;=1,999,W504/(Inputs!$D$34*(1-W504))*60)</f>
        <v>4.9510056918075414</v>
      </c>
      <c r="Y504" s="37">
        <f>MIN(1,MAX(0,(X504-Inputs!$D$36)/(Inputs!$D$37-Inputs!$D$36)))</f>
        <v>0</v>
      </c>
      <c r="Z504" s="35">
        <f>Inputs!$D$6*F504*Inputs!$D$28*(1-Inputs!$D$38*Y504)</f>
        <v>5799.5857495335031</v>
      </c>
      <c r="AA504" s="39">
        <f>Z504*Inputs!$D$13</f>
        <v>49296.478871034778</v>
      </c>
      <c r="AB504" s="39">
        <f>AA504*(1-Inputs!$D$19)</f>
        <v>29577.887322620867</v>
      </c>
      <c r="AC504" s="39">
        <f t="shared" si="28"/>
        <v>395924.96262931253</v>
      </c>
      <c r="AD504" s="39">
        <f t="shared" si="29"/>
        <v>156404.58987731289</v>
      </c>
      <c r="AE504" s="36">
        <f t="shared" si="30"/>
        <v>0.83000527272727287</v>
      </c>
      <c r="AF504" s="35">
        <f>IF(AND(AE504&lt;=Inputs!$D$35,C504&gt;=Inputs!$D$48*(A504+B504+C504),B504*Inputs!$D$22&lt;=Inputs!$D$50*Inputs!$D$8,B504*Inputs!$D$22&gt;=Inputs!$D$49*Inputs!$D$8,A504*Inputs!$D$20&lt;=Inputs!$D$47*Inputs!$D$8,C504&gt;=1),1,0)</f>
        <v>0</v>
      </c>
      <c r="AG504" s="39">
        <f t="shared" si="31"/>
        <v>-1</v>
      </c>
    </row>
    <row r="505" spans="1:33" x14ac:dyDescent="0.25">
      <c r="A505" s="35">
        <v>45</v>
      </c>
      <c r="B505" s="35">
        <v>30</v>
      </c>
      <c r="C505" s="35">
        <f>Inputs!$D$8-A505-Inputs!$D$22*B505</f>
        <v>15</v>
      </c>
      <c r="D505" s="35">
        <f>A505*Inputs!$D$20+C505*Inputs!$D$21+B505*Inputs!$D$22</f>
        <v>120</v>
      </c>
      <c r="E505" s="36">
        <f>MIN(Inputs!$E$15,Inputs!$D$15*(C505/Inputs!$D$43)^Inputs!$D$44)</f>
        <v>0.27882309014433088</v>
      </c>
      <c r="F505" s="36">
        <f>MIN(Inputs!$E$16,Inputs!$D$16*(B505/Inputs!$D$42)^Inputs!$D$44)</f>
        <v>0.45173877418274222</v>
      </c>
      <c r="G505" s="37">
        <f>Inputs!$D$26*(1+Inputs!$D$41*(B505-Inputs!$D$42))</f>
        <v>1.6500000000000001</v>
      </c>
      <c r="H505" s="35">
        <f>Inputs!$D$6*Inputs!$D$14*G505*Inputs!$D$29</f>
        <v>2073.1095000000005</v>
      </c>
      <c r="I505" s="36">
        <f>H505/(A505*Inputs!$D$32)</f>
        <v>0.83762000000000014</v>
      </c>
      <c r="J505" s="38">
        <f>IF(I505&gt;=1,999,I505/(Inputs!$D$32*(1-I505))*60)</f>
        <v>5.6273387900435621</v>
      </c>
      <c r="K505" s="37">
        <f>MIN(1,MAX(0,(J505-Inputs!$D$36)/(Inputs!$D$37-Inputs!$D$36)))</f>
        <v>4.1822586002904137E-2</v>
      </c>
      <c r="L505" s="35">
        <f>Inputs!$D$6*Inputs!$D$14*G505*(1-Inputs!$D$38*K505)</f>
        <v>13560.621598928439</v>
      </c>
      <c r="M505" s="39">
        <f>L505*Inputs!$D$11</f>
        <v>291553.36437696143</v>
      </c>
      <c r="N505" s="39">
        <f>M505*(1-Inputs!$D$17)</f>
        <v>102043.6775319365</v>
      </c>
      <c r="O505" s="35">
        <f>Inputs!$D$6*E505*Inputs!$D$27*Inputs!$D$30</f>
        <v>397.78463449295054</v>
      </c>
      <c r="P505" s="36">
        <f>O505/(C505*Inputs!$D$33)</f>
        <v>0.66297439082158427</v>
      </c>
      <c r="Q505" s="38">
        <f>IF(P505&gt;=1,999,P505/(Inputs!$D$33*(1-P505))*60)</f>
        <v>2.9507003597044905</v>
      </c>
      <c r="R505" s="37">
        <f>MIN(1,MAX(0,(Q505-Inputs!$D$36)/(Inputs!$D$37-Inputs!$D$36)))</f>
        <v>0</v>
      </c>
      <c r="S505" s="35">
        <f>Inputs!$D$6*E505*Inputs!$D$27*(1-Inputs!$D$38*R505)</f>
        <v>3314.8719541079213</v>
      </c>
      <c r="T505" s="39">
        <f>S505*Inputs!$D$12</f>
        <v>53037.951265726741</v>
      </c>
      <c r="U505" s="39">
        <f>T505*(1-Inputs!$D$18)</f>
        <v>23867.07806957703</v>
      </c>
      <c r="V505" s="35">
        <f>Inputs!$D$6*F505*Inputs!$D$28*Inputs!$D$31</f>
        <v>761.65325673326424</v>
      </c>
      <c r="W505" s="36">
        <f>V505/(B505*Inputs!$D$34)</f>
        <v>0.72538405403168027</v>
      </c>
      <c r="X505" s="38">
        <f>IF(W505&gt;=1,999,W505/(Inputs!$D$34*(1-W505))*60)</f>
        <v>4.5281985239874629</v>
      </c>
      <c r="Y505" s="37">
        <f>MIN(1,MAX(0,(X505-Inputs!$D$36)/(Inputs!$D$37-Inputs!$D$36)))</f>
        <v>0</v>
      </c>
      <c r="Z505" s="35">
        <f>Inputs!$D$6*F505*Inputs!$D$28*(1-Inputs!$D$38*Y505)</f>
        <v>5858.8712056404938</v>
      </c>
      <c r="AA505" s="39">
        <f>Z505*Inputs!$D$13</f>
        <v>49800.405247944196</v>
      </c>
      <c r="AB505" s="39">
        <f>AA505*(1-Inputs!$D$19)</f>
        <v>29880.243148766516</v>
      </c>
      <c r="AC505" s="39">
        <f t="shared" si="28"/>
        <v>394391.72089063236</v>
      </c>
      <c r="AD505" s="39">
        <f t="shared" si="29"/>
        <v>155790.99875028004</v>
      </c>
      <c r="AE505" s="36">
        <f t="shared" si="30"/>
        <v>0.83762000000000014</v>
      </c>
      <c r="AF505" s="35">
        <f>IF(AND(AE505&lt;=Inputs!$D$35,C505&gt;=Inputs!$D$48*(A505+B505+C505),B505*Inputs!$D$22&lt;=Inputs!$D$50*Inputs!$D$8,B505*Inputs!$D$22&gt;=Inputs!$D$49*Inputs!$D$8,A505*Inputs!$D$20&lt;=Inputs!$D$47*Inputs!$D$8,C505&gt;=1),1,0)</f>
        <v>0</v>
      </c>
      <c r="AG505" s="39">
        <f t="shared" si="31"/>
        <v>-1</v>
      </c>
    </row>
    <row r="506" spans="1:33" x14ac:dyDescent="0.25">
      <c r="A506" s="35">
        <v>45</v>
      </c>
      <c r="B506" s="35">
        <v>31</v>
      </c>
      <c r="C506" s="35">
        <f>Inputs!$D$8-A506-Inputs!$D$22*B506</f>
        <v>13</v>
      </c>
      <c r="D506" s="35">
        <f>A506*Inputs!$D$20+C506*Inputs!$D$21+B506*Inputs!$D$22</f>
        <v>120</v>
      </c>
      <c r="E506" s="36">
        <f>MIN(Inputs!$E$15,Inputs!$D$15*(C506/Inputs!$D$43)^Inputs!$D$44)</f>
        <v>0.26710644306172537</v>
      </c>
      <c r="F506" s="36">
        <f>MIN(Inputs!$E$16,Inputs!$D$16*(B506/Inputs!$D$42)^Inputs!$D$44)</f>
        <v>0.45620443270573335</v>
      </c>
      <c r="G506" s="37">
        <f>Inputs!$D$26*(1+Inputs!$D$41*(B506-Inputs!$D$42))</f>
        <v>1.665</v>
      </c>
      <c r="H506" s="35">
        <f>Inputs!$D$6*Inputs!$D$14*G506*Inputs!$D$29</f>
        <v>2091.95595</v>
      </c>
      <c r="I506" s="36">
        <f>H506/(A506*Inputs!$D$32)</f>
        <v>0.8452347272727273</v>
      </c>
      <c r="J506" s="38">
        <f>IF(I506&gt;=1,999,I506/(Inputs!$D$32*(1-I506))*60)</f>
        <v>5.9578885604315328</v>
      </c>
      <c r="K506" s="37">
        <f>MIN(1,MAX(0,(J506-Inputs!$D$36)/(Inputs!$D$37-Inputs!$D$36)))</f>
        <v>6.3859237362102181E-2</v>
      </c>
      <c r="L506" s="35">
        <f>Inputs!$D$6*Inputs!$D$14*G506*(1-Inputs!$D$38*K506)</f>
        <v>13545.600865313665</v>
      </c>
      <c r="M506" s="39">
        <f>L506*Inputs!$D$11</f>
        <v>291230.41860424378</v>
      </c>
      <c r="N506" s="39">
        <f>M506*(1-Inputs!$D$17)</f>
        <v>101930.64651148532</v>
      </c>
      <c r="O506" s="35">
        <f>Inputs!$D$6*E506*Inputs!$D$27*Inputs!$D$30</f>
        <v>381.06900963266889</v>
      </c>
      <c r="P506" s="36">
        <f>O506/(C506*Inputs!$D$33)</f>
        <v>0.73282501852436321</v>
      </c>
      <c r="Q506" s="38">
        <f>IF(P506&gt;=1,999,P506/(Inputs!$D$33*(1-P506))*60)</f>
        <v>4.1142981341865736</v>
      </c>
      <c r="R506" s="37">
        <f>MIN(1,MAX(0,(Q506-Inputs!$D$36)/(Inputs!$D$37-Inputs!$D$36)))</f>
        <v>0</v>
      </c>
      <c r="S506" s="35">
        <f>Inputs!$D$6*E506*Inputs!$D$27*(1-Inputs!$D$38*R506)</f>
        <v>3175.5750802722409</v>
      </c>
      <c r="T506" s="39">
        <f>S506*Inputs!$D$12</f>
        <v>50809.201284355855</v>
      </c>
      <c r="U506" s="39">
        <f>T506*(1-Inputs!$D$18)</f>
        <v>22864.140577960134</v>
      </c>
      <c r="V506" s="35">
        <f>Inputs!$D$6*F506*Inputs!$D$28*Inputs!$D$31</f>
        <v>769.18257135463637</v>
      </c>
      <c r="W506" s="36">
        <f>V506/(B506*Inputs!$D$34)</f>
        <v>0.70892402889828232</v>
      </c>
      <c r="X506" s="38">
        <f>IF(W506&gt;=1,999,W506/(Inputs!$D$34*(1-W506))*60)</f>
        <v>4.1751929252501148</v>
      </c>
      <c r="Y506" s="37">
        <f>MIN(1,MAX(0,(X506-Inputs!$D$36)/(Inputs!$D$37-Inputs!$D$36)))</f>
        <v>0</v>
      </c>
      <c r="Z506" s="35">
        <f>Inputs!$D$6*F506*Inputs!$D$28*(1-Inputs!$D$38*Y506)</f>
        <v>5916.7890104202797</v>
      </c>
      <c r="AA506" s="39">
        <f>Z506*Inputs!$D$13</f>
        <v>50292.706588572379</v>
      </c>
      <c r="AB506" s="39">
        <f>AA506*(1-Inputs!$D$19)</f>
        <v>30175.623953143426</v>
      </c>
      <c r="AC506" s="39">
        <f t="shared" si="28"/>
        <v>392332.32647717197</v>
      </c>
      <c r="AD506" s="39">
        <f t="shared" si="29"/>
        <v>154970.41104258888</v>
      </c>
      <c r="AE506" s="36">
        <f t="shared" si="30"/>
        <v>0.8452347272727273</v>
      </c>
      <c r="AF506" s="35">
        <f>IF(AND(AE506&lt;=Inputs!$D$35,C506&gt;=Inputs!$D$48*(A506+B506+C506),B506*Inputs!$D$22&lt;=Inputs!$D$50*Inputs!$D$8,B506*Inputs!$D$22&gt;=Inputs!$D$49*Inputs!$D$8,A506*Inputs!$D$20&lt;=Inputs!$D$47*Inputs!$D$8,C506&gt;=1),1,0)</f>
        <v>0</v>
      </c>
      <c r="AG506" s="39">
        <f t="shared" si="31"/>
        <v>-1</v>
      </c>
    </row>
    <row r="507" spans="1:33" x14ac:dyDescent="0.25">
      <c r="A507" s="35">
        <v>45</v>
      </c>
      <c r="B507" s="35">
        <v>32</v>
      </c>
      <c r="C507" s="35">
        <f>Inputs!$D$8-A507-Inputs!$D$22*B507</f>
        <v>11</v>
      </c>
      <c r="D507" s="35">
        <f>A507*Inputs!$D$20+C507*Inputs!$D$21+B507*Inputs!$D$22</f>
        <v>120</v>
      </c>
      <c r="E507" s="36">
        <f>MIN(Inputs!$E$15,Inputs!$D$15*(C507/Inputs!$D$43)^Inputs!$D$44)</f>
        <v>0.25404997933787238</v>
      </c>
      <c r="F507" s="36">
        <f>MIN(Inputs!$E$16,Inputs!$D$16*(B507/Inputs!$D$42)^Inputs!$D$44)</f>
        <v>0.46057036065052986</v>
      </c>
      <c r="G507" s="37">
        <f>Inputs!$D$26*(1+Inputs!$D$41*(B507-Inputs!$D$42))</f>
        <v>1.6800000000000002</v>
      </c>
      <c r="H507" s="35">
        <f>Inputs!$D$6*Inputs!$D$14*G507*Inputs!$D$29</f>
        <v>2110.8024000000005</v>
      </c>
      <c r="I507" s="36">
        <f>H507/(A507*Inputs!$D$32)</f>
        <v>0.85284945454545469</v>
      </c>
      <c r="J507" s="38">
        <f>IF(I507&gt;=1,999,I507/(Inputs!$D$32*(1-I507))*60)</f>
        <v>6.3226488238053458</v>
      </c>
      <c r="K507" s="37">
        <f>MIN(1,MAX(0,(J507-Inputs!$D$36)/(Inputs!$D$37-Inputs!$D$36)))</f>
        <v>8.8176588253689722E-2</v>
      </c>
      <c r="L507" s="35">
        <f>Inputs!$D$6*Inputs!$D$14*G507*(1-Inputs!$D$38*K507)</f>
        <v>13513.645937670903</v>
      </c>
      <c r="M507" s="39">
        <f>L507*Inputs!$D$11</f>
        <v>290543.3876599244</v>
      </c>
      <c r="N507" s="39">
        <f>M507*(1-Inputs!$D$17)</f>
        <v>101690.18568097353</v>
      </c>
      <c r="O507" s="35">
        <f>Inputs!$D$6*E507*Inputs!$D$27*Inputs!$D$30</f>
        <v>362.44192732225167</v>
      </c>
      <c r="P507" s="36">
        <f>O507/(C507*Inputs!$D$33)</f>
        <v>0.82373165300511741</v>
      </c>
      <c r="Q507" s="38">
        <f>IF(P507&gt;=1,999,P507/(Inputs!$D$33*(1-P507))*60)</f>
        <v>7.0097524630644434</v>
      </c>
      <c r="R507" s="37">
        <f>MIN(1,MAX(0,(Q507-Inputs!$D$36)/(Inputs!$D$37-Inputs!$D$36)))</f>
        <v>0.13398349753762956</v>
      </c>
      <c r="S507" s="35">
        <f>Inputs!$D$6*E507*Inputs!$D$27*(1-Inputs!$D$38*R507)</f>
        <v>2838.2447553136676</v>
      </c>
      <c r="T507" s="39">
        <f>S507*Inputs!$D$12</f>
        <v>45411.916085018682</v>
      </c>
      <c r="U507" s="39">
        <f>T507*(1-Inputs!$D$18)</f>
        <v>20435.362238258404</v>
      </c>
      <c r="V507" s="35">
        <f>Inputs!$D$6*F507*Inputs!$D$28*Inputs!$D$31</f>
        <v>776.54373543410452</v>
      </c>
      <c r="W507" s="36">
        <f>V507/(B507*Inputs!$D$34)</f>
        <v>0.69334262092330756</v>
      </c>
      <c r="X507" s="38">
        <f>IF(W507&gt;=1,999,W507/(Inputs!$D$34*(1-W507))*60)</f>
        <v>3.8759457011369869</v>
      </c>
      <c r="Y507" s="37">
        <f>MIN(1,MAX(0,(X507-Inputs!$D$36)/(Inputs!$D$37-Inputs!$D$36)))</f>
        <v>0</v>
      </c>
      <c r="Z507" s="35">
        <f>Inputs!$D$6*F507*Inputs!$D$28*(1-Inputs!$D$38*Y507)</f>
        <v>5973.4133494931111</v>
      </c>
      <c r="AA507" s="39">
        <f>Z507*Inputs!$D$13</f>
        <v>50774.013470691447</v>
      </c>
      <c r="AB507" s="39">
        <f>AA507*(1-Inputs!$D$19)</f>
        <v>30464.408082414866</v>
      </c>
      <c r="AC507" s="39">
        <f t="shared" si="28"/>
        <v>386729.31721563451</v>
      </c>
      <c r="AD507" s="39">
        <f t="shared" si="29"/>
        <v>152589.95600164679</v>
      </c>
      <c r="AE507" s="36">
        <f t="shared" si="30"/>
        <v>0.85284945454545469</v>
      </c>
      <c r="AF507" s="35">
        <f>IF(AND(AE507&lt;=Inputs!$D$35,C507&gt;=Inputs!$D$48*(A507+B507+C507),B507*Inputs!$D$22&lt;=Inputs!$D$50*Inputs!$D$8,B507*Inputs!$D$22&gt;=Inputs!$D$49*Inputs!$D$8,A507*Inputs!$D$20&lt;=Inputs!$D$47*Inputs!$D$8,C507&gt;=1),1,0)</f>
        <v>0</v>
      </c>
      <c r="AG507" s="39">
        <f t="shared" si="31"/>
        <v>-1</v>
      </c>
    </row>
    <row r="508" spans="1:33" x14ac:dyDescent="0.25">
      <c r="A508" s="35">
        <v>45</v>
      </c>
      <c r="B508" s="35">
        <v>33</v>
      </c>
      <c r="C508" s="35">
        <f>Inputs!$D$8-A508-Inputs!$D$22*B508</f>
        <v>9</v>
      </c>
      <c r="D508" s="35">
        <f>A508*Inputs!$D$20+C508*Inputs!$D$21+B508*Inputs!$D$22</f>
        <v>120</v>
      </c>
      <c r="E508" s="36">
        <f>MIN(Inputs!$E$15,Inputs!$D$15*(C508/Inputs!$D$43)^Inputs!$D$44)</f>
        <v>0.23920712491579582</v>
      </c>
      <c r="F508" s="36">
        <f>MIN(Inputs!$E$16,Inputs!$D$16*(B508/Inputs!$D$42)^Inputs!$D$44)</f>
        <v>0.46484180038786721</v>
      </c>
      <c r="G508" s="37">
        <f>Inputs!$D$26*(1+Inputs!$D$41*(B508-Inputs!$D$42))</f>
        <v>1.6949999999999998</v>
      </c>
      <c r="H508" s="35">
        <f>Inputs!$D$6*Inputs!$D$14*G508*Inputs!$D$29</f>
        <v>2129.64885</v>
      </c>
      <c r="I508" s="36">
        <f>H508/(A508*Inputs!$D$32)</f>
        <v>0.86046418181818185</v>
      </c>
      <c r="J508" s="38">
        <f>IF(I508&gt;=1,999,I508/(Inputs!$D$32*(1-I508))*60)</f>
        <v>6.7272203694966448</v>
      </c>
      <c r="K508" s="37">
        <f>MIN(1,MAX(0,(J508-Inputs!$D$36)/(Inputs!$D$37-Inputs!$D$36)))</f>
        <v>0.11514802463310965</v>
      </c>
      <c r="L508" s="35">
        <f>Inputs!$D$6*Inputs!$D$14*G508*(1-Inputs!$D$38*K508)</f>
        <v>13461.98442528098</v>
      </c>
      <c r="M508" s="39">
        <f>L508*Inputs!$D$11</f>
        <v>289432.66514354106</v>
      </c>
      <c r="N508" s="39">
        <f>M508*(1-Inputs!$D$17)</f>
        <v>101301.43280023936</v>
      </c>
      <c r="O508" s="35">
        <f>Inputs!$D$6*E508*Inputs!$D$27*Inputs!$D$30</f>
        <v>341.26628000386961</v>
      </c>
      <c r="P508" s="36">
        <f>O508/(C508*Inputs!$D$33)</f>
        <v>0.94796188889963784</v>
      </c>
      <c r="Q508" s="38">
        <f>IF(P508&gt;=1,999,P508/(Inputs!$D$33*(1-P508))*60)</f>
        <v>27.325027816767943</v>
      </c>
      <c r="R508" s="37">
        <f>MIN(1,MAX(0,(Q508-Inputs!$D$36)/(Inputs!$D$37-Inputs!$D$36)))</f>
        <v>1</v>
      </c>
      <c r="S508" s="35">
        <f>Inputs!$D$6*E508*Inputs!$D$27*(1-Inputs!$D$38*R508)</f>
        <v>1564.1371166844026</v>
      </c>
      <c r="T508" s="39">
        <f>S508*Inputs!$D$12</f>
        <v>25026.193866950442</v>
      </c>
      <c r="U508" s="39">
        <f>T508*(1-Inputs!$D$18)</f>
        <v>11261.787240127698</v>
      </c>
      <c r="V508" s="35">
        <f>Inputs!$D$6*F508*Inputs!$D$28*Inputs!$D$31</f>
        <v>783.74558786036266</v>
      </c>
      <c r="W508" s="36">
        <f>V508/(B508*Inputs!$D$34)</f>
        <v>0.67856760853711051</v>
      </c>
      <c r="X508" s="38">
        <f>IF(W508&gt;=1,999,W508/(Inputs!$D$34*(1-W508))*60)</f>
        <v>3.6189842355277744</v>
      </c>
      <c r="Y508" s="37">
        <f>MIN(1,MAX(0,(X508-Inputs!$D$36)/(Inputs!$D$37-Inputs!$D$36)))</f>
        <v>0</v>
      </c>
      <c r="Z508" s="35">
        <f>Inputs!$D$6*F508*Inputs!$D$28*(1-Inputs!$D$38*Y508)</f>
        <v>6028.812214310482</v>
      </c>
      <c r="AA508" s="39">
        <f>Z508*Inputs!$D$13</f>
        <v>51244.903821639098</v>
      </c>
      <c r="AB508" s="39">
        <f>AA508*(1-Inputs!$D$19)</f>
        <v>30746.942292983458</v>
      </c>
      <c r="AC508" s="39">
        <f t="shared" si="28"/>
        <v>365703.7628321306</v>
      </c>
      <c r="AD508" s="39">
        <f t="shared" si="29"/>
        <v>143310.16233335051</v>
      </c>
      <c r="AE508" s="36">
        <f t="shared" si="30"/>
        <v>0.94796188889963784</v>
      </c>
      <c r="AF508" s="35">
        <f>IF(AND(AE508&lt;=Inputs!$D$35,C508&gt;=Inputs!$D$48*(A508+B508+C508),B508*Inputs!$D$22&lt;=Inputs!$D$50*Inputs!$D$8,B508*Inputs!$D$22&gt;=Inputs!$D$49*Inputs!$D$8,A508*Inputs!$D$20&lt;=Inputs!$D$47*Inputs!$D$8,C508&gt;=1),1,0)</f>
        <v>0</v>
      </c>
      <c r="AG508" s="39">
        <f t="shared" si="31"/>
        <v>-1</v>
      </c>
    </row>
    <row r="509" spans="1:33" x14ac:dyDescent="0.25">
      <c r="A509" s="35">
        <v>46</v>
      </c>
      <c r="B509" s="35">
        <v>10</v>
      </c>
      <c r="C509" s="35">
        <f>Inputs!$D$8-A509-Inputs!$D$22*B509</f>
        <v>54</v>
      </c>
      <c r="D509" s="35">
        <f>A509*Inputs!$D$20+C509*Inputs!$D$21+B509*Inputs!$D$22</f>
        <v>120</v>
      </c>
      <c r="E509" s="36">
        <f>MIN(Inputs!$E$15,Inputs!$D$15*(C509/Inputs!$D$43)^Inputs!$D$44)</f>
        <v>0.4</v>
      </c>
      <c r="F509" s="36">
        <f>MIN(Inputs!$E$16,Inputs!$D$16*(B509/Inputs!$D$42)^Inputs!$D$44)</f>
        <v>0.32490095854249423</v>
      </c>
      <c r="G509" s="37">
        <f>Inputs!$D$26*(1+Inputs!$D$41*(B509-Inputs!$D$42))</f>
        <v>1.35</v>
      </c>
      <c r="H509" s="35">
        <f>Inputs!$D$6*Inputs!$D$14*G509*Inputs!$D$29</f>
        <v>1696.1805000000004</v>
      </c>
      <c r="I509" s="36">
        <f>H509/(A509*Inputs!$D$32)</f>
        <v>0.67042707509881438</v>
      </c>
      <c r="J509" s="38">
        <f>IF(I509&gt;=1,999,I509/(Inputs!$D$32*(1-I509))*60)</f>
        <v>2.2191598148912663</v>
      </c>
      <c r="K509" s="37">
        <f>MIN(1,MAX(0,(J509-Inputs!$D$36)/(Inputs!$D$37-Inputs!$D$36)))</f>
        <v>0</v>
      </c>
      <c r="L509" s="35">
        <f>Inputs!$D$6*Inputs!$D$14*G509*(1-Inputs!$D$38*K509)</f>
        <v>11307.870000000003</v>
      </c>
      <c r="M509" s="39">
        <f>L509*Inputs!$D$11</f>
        <v>243119.20500000005</v>
      </c>
      <c r="N509" s="39">
        <f>M509*(1-Inputs!$D$17)</f>
        <v>85091.721750000012</v>
      </c>
      <c r="O509" s="35">
        <f>Inputs!$D$6*E509*Inputs!$D$27*Inputs!$D$30</f>
        <v>570.66240000000005</v>
      </c>
      <c r="P509" s="36">
        <f>O509/(C509*Inputs!$D$33)</f>
        <v>0.26419555555555557</v>
      </c>
      <c r="Q509" s="38">
        <f>IF(P509&gt;=1,999,P509/(Inputs!$D$33*(1-P509))*60)</f>
        <v>0.53858513131508379</v>
      </c>
      <c r="R509" s="37">
        <f>MIN(1,MAX(0,(Q509-Inputs!$D$36)/(Inputs!$D$37-Inputs!$D$36)))</f>
        <v>0</v>
      </c>
      <c r="S509" s="35">
        <f>Inputs!$D$6*E509*Inputs!$D$27*(1-Inputs!$D$38*R509)</f>
        <v>4755.5200000000004</v>
      </c>
      <c r="T509" s="39">
        <f>S509*Inputs!$D$12</f>
        <v>76088.320000000007</v>
      </c>
      <c r="U509" s="39">
        <f>T509*(1-Inputs!$D$18)</f>
        <v>34239.743999999999</v>
      </c>
      <c r="V509" s="35">
        <f>Inputs!$D$6*F509*Inputs!$D$28*Inputs!$D$31</f>
        <v>547.7986113486553</v>
      </c>
      <c r="W509" s="36">
        <f>V509/(B509*Inputs!$D$34)</f>
        <v>1.5651388895675866</v>
      </c>
      <c r="X509" s="38">
        <f>IF(W509&gt;=1,999,W509/(Inputs!$D$34*(1-W509))*60)</f>
        <v>999</v>
      </c>
      <c r="Y509" s="37">
        <f>MIN(1,MAX(0,(X509-Inputs!$D$36)/(Inputs!$D$37-Inputs!$D$36)))</f>
        <v>1</v>
      </c>
      <c r="Z509" s="35">
        <f>Inputs!$D$6*F509*Inputs!$D$28*(1-Inputs!$D$38*Y509)</f>
        <v>2317.6095095520031</v>
      </c>
      <c r="AA509" s="39">
        <f>Z509*Inputs!$D$13</f>
        <v>19699.680831192025</v>
      </c>
      <c r="AB509" s="39">
        <f>AA509*(1-Inputs!$D$19)</f>
        <v>11819.808498715214</v>
      </c>
      <c r="AC509" s="39">
        <f t="shared" si="28"/>
        <v>338907.20583119203</v>
      </c>
      <c r="AD509" s="39">
        <f t="shared" si="29"/>
        <v>131151.27424871523</v>
      </c>
      <c r="AE509" s="36">
        <f t="shared" si="30"/>
        <v>1.5651388895675866</v>
      </c>
      <c r="AF509" s="35">
        <f>IF(AND(AE509&lt;=Inputs!$D$35,C509&gt;=Inputs!$D$48*(A509+B509+C509),B509*Inputs!$D$22&lt;=Inputs!$D$50*Inputs!$D$8,B509*Inputs!$D$22&gt;=Inputs!$D$49*Inputs!$D$8,A509*Inputs!$D$20&lt;=Inputs!$D$47*Inputs!$D$8,C509&gt;=1),1,0)</f>
        <v>0</v>
      </c>
      <c r="AG509" s="39">
        <f t="shared" si="31"/>
        <v>-1</v>
      </c>
    </row>
    <row r="510" spans="1:33" x14ac:dyDescent="0.25">
      <c r="A510" s="35">
        <v>46</v>
      </c>
      <c r="B510" s="35">
        <v>11</v>
      </c>
      <c r="C510" s="35">
        <f>Inputs!$D$8-A510-Inputs!$D$22*B510</f>
        <v>52</v>
      </c>
      <c r="D510" s="35">
        <f>A510*Inputs!$D$20+C510*Inputs!$D$21+B510*Inputs!$D$22</f>
        <v>120</v>
      </c>
      <c r="E510" s="36">
        <f>MIN(Inputs!$E$15,Inputs!$D$15*(C510/Inputs!$D$43)^Inputs!$D$44)</f>
        <v>0.4</v>
      </c>
      <c r="F510" s="36">
        <f>MIN(Inputs!$E$16,Inputs!$D$16*(B510/Inputs!$D$42)^Inputs!$D$44)</f>
        <v>0.33432495758166098</v>
      </c>
      <c r="G510" s="37">
        <f>Inputs!$D$26*(1+Inputs!$D$41*(B510-Inputs!$D$42))</f>
        <v>1.365</v>
      </c>
      <c r="H510" s="35">
        <f>Inputs!$D$6*Inputs!$D$14*G510*Inputs!$D$29</f>
        <v>1715.0269500000002</v>
      </c>
      <c r="I510" s="36">
        <f>H510/(A510*Inputs!$D$32)</f>
        <v>0.67787626482213448</v>
      </c>
      <c r="J510" s="38">
        <f>IF(I510&gt;=1,999,I510/(Inputs!$D$32*(1-I510))*60)</f>
        <v>2.2957059634169399</v>
      </c>
      <c r="K510" s="37">
        <f>MIN(1,MAX(0,(J510-Inputs!$D$36)/(Inputs!$D$37-Inputs!$D$36)))</f>
        <v>0</v>
      </c>
      <c r="L510" s="35">
        <f>Inputs!$D$6*Inputs!$D$14*G510*(1-Inputs!$D$38*K510)</f>
        <v>11433.513000000001</v>
      </c>
      <c r="M510" s="39">
        <f>L510*Inputs!$D$11</f>
        <v>245820.5295</v>
      </c>
      <c r="N510" s="39">
        <f>M510*(1-Inputs!$D$17)</f>
        <v>86037.185324999999</v>
      </c>
      <c r="O510" s="35">
        <f>Inputs!$D$6*E510*Inputs!$D$27*Inputs!$D$30</f>
        <v>570.66240000000005</v>
      </c>
      <c r="P510" s="36">
        <f>O510/(C510*Inputs!$D$33)</f>
        <v>0.27435692307692311</v>
      </c>
      <c r="Q510" s="38">
        <f>IF(P510&gt;=1,999,P510/(Inputs!$D$33*(1-P510))*60)</f>
        <v>0.56713196570469071</v>
      </c>
      <c r="R510" s="37">
        <f>MIN(1,MAX(0,(Q510-Inputs!$D$36)/(Inputs!$D$37-Inputs!$D$36)))</f>
        <v>0</v>
      </c>
      <c r="S510" s="35">
        <f>Inputs!$D$6*E510*Inputs!$D$27*(1-Inputs!$D$38*R510)</f>
        <v>4755.5200000000004</v>
      </c>
      <c r="T510" s="39">
        <f>S510*Inputs!$D$12</f>
        <v>76088.320000000007</v>
      </c>
      <c r="U510" s="39">
        <f>T510*(1-Inputs!$D$18)</f>
        <v>34239.743999999999</v>
      </c>
      <c r="V510" s="35">
        <f>Inputs!$D$6*F510*Inputs!$D$28*Inputs!$D$31</f>
        <v>563.68792608064427</v>
      </c>
      <c r="W510" s="36">
        <f>V510/(B510*Inputs!$D$34)</f>
        <v>1.4641244833263487</v>
      </c>
      <c r="X510" s="38">
        <f>IF(W510&gt;=1,999,W510/(Inputs!$D$34*(1-W510))*60)</f>
        <v>999</v>
      </c>
      <c r="Y510" s="37">
        <f>MIN(1,MAX(0,(X510-Inputs!$D$36)/(Inputs!$D$37-Inputs!$D$36)))</f>
        <v>1</v>
      </c>
      <c r="Z510" s="35">
        <f>Inputs!$D$6*F510*Inputs!$D$28*(1-Inputs!$D$38*Y510)</f>
        <v>2384.8335334181106</v>
      </c>
      <c r="AA510" s="39">
        <f>Z510*Inputs!$D$13</f>
        <v>20271.08503405394</v>
      </c>
      <c r="AB510" s="39">
        <f>AA510*(1-Inputs!$D$19)</f>
        <v>12162.651020432364</v>
      </c>
      <c r="AC510" s="39">
        <f t="shared" si="28"/>
        <v>342179.93453405396</v>
      </c>
      <c r="AD510" s="39">
        <f t="shared" si="29"/>
        <v>132439.58034543236</v>
      </c>
      <c r="AE510" s="36">
        <f t="shared" si="30"/>
        <v>1.4641244833263487</v>
      </c>
      <c r="AF510" s="35">
        <f>IF(AND(AE510&lt;=Inputs!$D$35,C510&gt;=Inputs!$D$48*(A510+B510+C510),B510*Inputs!$D$22&lt;=Inputs!$D$50*Inputs!$D$8,B510*Inputs!$D$22&gt;=Inputs!$D$49*Inputs!$D$8,A510*Inputs!$D$20&lt;=Inputs!$D$47*Inputs!$D$8,C510&gt;=1),1,0)</f>
        <v>0</v>
      </c>
      <c r="AG510" s="39">
        <f t="shared" si="31"/>
        <v>-1</v>
      </c>
    </row>
    <row r="511" spans="1:33" x14ac:dyDescent="0.25">
      <c r="A511" s="35">
        <v>46</v>
      </c>
      <c r="B511" s="35">
        <v>12</v>
      </c>
      <c r="C511" s="35">
        <f>Inputs!$D$8-A511-Inputs!$D$22*B511</f>
        <v>50</v>
      </c>
      <c r="D511" s="35">
        <f>A511*Inputs!$D$20+C511*Inputs!$D$21+B511*Inputs!$D$22</f>
        <v>120</v>
      </c>
      <c r="E511" s="36">
        <f>MIN(Inputs!$E$15,Inputs!$D$15*(C511/Inputs!$D$43)^Inputs!$D$44)</f>
        <v>0.4</v>
      </c>
      <c r="F511" s="36">
        <f>MIN(Inputs!$E$16,Inputs!$D$16*(B511/Inputs!$D$42)^Inputs!$D$44)</f>
        <v>0.34316688017763797</v>
      </c>
      <c r="G511" s="37">
        <f>Inputs!$D$26*(1+Inputs!$D$41*(B511-Inputs!$D$42))</f>
        <v>1.3800000000000001</v>
      </c>
      <c r="H511" s="35">
        <f>Inputs!$D$6*Inputs!$D$14*G511*Inputs!$D$29</f>
        <v>1733.8734000000004</v>
      </c>
      <c r="I511" s="36">
        <f>H511/(A511*Inputs!$D$32)</f>
        <v>0.68532545454545468</v>
      </c>
      <c r="J511" s="38">
        <f>IF(I511&gt;=1,999,I511/(Inputs!$D$32*(1-I511))*60)</f>
        <v>2.3758762168547762</v>
      </c>
      <c r="K511" s="37">
        <f>MIN(1,MAX(0,(J511-Inputs!$D$36)/(Inputs!$D$37-Inputs!$D$36)))</f>
        <v>0</v>
      </c>
      <c r="L511" s="35">
        <f>Inputs!$D$6*Inputs!$D$14*G511*(1-Inputs!$D$38*K511)</f>
        <v>11559.156000000003</v>
      </c>
      <c r="M511" s="39">
        <f>L511*Inputs!$D$11</f>
        <v>248521.85400000005</v>
      </c>
      <c r="N511" s="39">
        <f>M511*(1-Inputs!$D$17)</f>
        <v>86982.648900000015</v>
      </c>
      <c r="O511" s="35">
        <f>Inputs!$D$6*E511*Inputs!$D$27*Inputs!$D$30</f>
        <v>570.66240000000005</v>
      </c>
      <c r="P511" s="36">
        <f>O511/(C511*Inputs!$D$33)</f>
        <v>0.28533120000000001</v>
      </c>
      <c r="Q511" s="38">
        <f>IF(P511&gt;=1,999,P511/(Inputs!$D$33*(1-P511))*60)</f>
        <v>0.59887433171841276</v>
      </c>
      <c r="R511" s="37">
        <f>MIN(1,MAX(0,(Q511-Inputs!$D$36)/(Inputs!$D$37-Inputs!$D$36)))</f>
        <v>0</v>
      </c>
      <c r="S511" s="35">
        <f>Inputs!$D$6*E511*Inputs!$D$27*(1-Inputs!$D$38*R511)</f>
        <v>4755.5200000000004</v>
      </c>
      <c r="T511" s="39">
        <f>S511*Inputs!$D$12</f>
        <v>76088.320000000007</v>
      </c>
      <c r="U511" s="39">
        <f>T511*(1-Inputs!$D$18)</f>
        <v>34239.743999999999</v>
      </c>
      <c r="V511" s="35">
        <f>Inputs!$D$6*F511*Inputs!$D$28*Inputs!$D$31</f>
        <v>578.5958319897461</v>
      </c>
      <c r="W511" s="36">
        <f>V511/(B511*Inputs!$D$34)</f>
        <v>1.3776091237851098</v>
      </c>
      <c r="X511" s="38">
        <f>IF(W511&gt;=1,999,W511/(Inputs!$D$34*(1-W511))*60)</f>
        <v>999</v>
      </c>
      <c r="Y511" s="37">
        <f>MIN(1,MAX(0,(X511-Inputs!$D$36)/(Inputs!$D$37-Inputs!$D$36)))</f>
        <v>1</v>
      </c>
      <c r="Z511" s="35">
        <f>Inputs!$D$6*F511*Inputs!$D$28*(1-Inputs!$D$38*Y511)</f>
        <v>2447.9054430335414</v>
      </c>
      <c r="AA511" s="39">
        <f>Z511*Inputs!$D$13</f>
        <v>20807.1962657851</v>
      </c>
      <c r="AB511" s="39">
        <f>AA511*(1-Inputs!$D$19)</f>
        <v>12484.31775947106</v>
      </c>
      <c r="AC511" s="39">
        <f t="shared" si="28"/>
        <v>345417.37026578514</v>
      </c>
      <c r="AD511" s="39">
        <f t="shared" si="29"/>
        <v>133706.71065947108</v>
      </c>
      <c r="AE511" s="36">
        <f t="shared" si="30"/>
        <v>1.3776091237851098</v>
      </c>
      <c r="AF511" s="35">
        <f>IF(AND(AE511&lt;=Inputs!$D$35,C511&gt;=Inputs!$D$48*(A511+B511+C511),B511*Inputs!$D$22&lt;=Inputs!$D$50*Inputs!$D$8,B511*Inputs!$D$22&gt;=Inputs!$D$49*Inputs!$D$8,A511*Inputs!$D$20&lt;=Inputs!$D$47*Inputs!$D$8,C511&gt;=1),1,0)</f>
        <v>0</v>
      </c>
      <c r="AG511" s="39">
        <f t="shared" si="31"/>
        <v>-1</v>
      </c>
    </row>
    <row r="512" spans="1:33" x14ac:dyDescent="0.25">
      <c r="A512" s="35">
        <v>46</v>
      </c>
      <c r="B512" s="35">
        <v>13</v>
      </c>
      <c r="C512" s="35">
        <f>Inputs!$D$8-A512-Inputs!$D$22*B512</f>
        <v>48</v>
      </c>
      <c r="D512" s="35">
        <f>A512*Inputs!$D$20+C512*Inputs!$D$21+B512*Inputs!$D$22</f>
        <v>120</v>
      </c>
      <c r="E512" s="36">
        <f>MIN(Inputs!$E$15,Inputs!$D$15*(C512/Inputs!$D$43)^Inputs!$D$44)</f>
        <v>0.39525168457966786</v>
      </c>
      <c r="F512" s="36">
        <f>MIN(Inputs!$E$16,Inputs!$D$16*(B512/Inputs!$D$42)^Inputs!$D$44)</f>
        <v>0.35150701637190523</v>
      </c>
      <c r="G512" s="37">
        <f>Inputs!$D$26*(1+Inputs!$D$41*(B512-Inputs!$D$42))</f>
        <v>1.395</v>
      </c>
      <c r="H512" s="35">
        <f>Inputs!$D$6*Inputs!$D$14*G512*Inputs!$D$29</f>
        <v>1752.7198500000002</v>
      </c>
      <c r="I512" s="36">
        <f>H512/(A512*Inputs!$D$32)</f>
        <v>0.69277464426877478</v>
      </c>
      <c r="J512" s="38">
        <f>IF(I512&gt;=1,999,I512/(Inputs!$D$32*(1-I512))*60)</f>
        <v>2.4599341925582676</v>
      </c>
      <c r="K512" s="37">
        <f>MIN(1,MAX(0,(J512-Inputs!$D$36)/(Inputs!$D$37-Inputs!$D$36)))</f>
        <v>0</v>
      </c>
      <c r="L512" s="35">
        <f>Inputs!$D$6*Inputs!$D$14*G512*(1-Inputs!$D$38*K512)</f>
        <v>11684.799000000001</v>
      </c>
      <c r="M512" s="39">
        <f>L512*Inputs!$D$11</f>
        <v>251223.17850000001</v>
      </c>
      <c r="N512" s="39">
        <f>M512*(1-Inputs!$D$17)</f>
        <v>87928.112475000002</v>
      </c>
      <c r="O512" s="35">
        <f>Inputs!$D$6*E512*Inputs!$D$27*Inputs!$D$30</f>
        <v>563.88818731569074</v>
      </c>
      <c r="P512" s="36">
        <f>O512/(C512*Inputs!$D$33)</f>
        <v>0.29369176422692228</v>
      </c>
      <c r="Q512" s="38">
        <f>IF(P512&gt;=1,999,P512/(Inputs!$D$33*(1-P512))*60)</f>
        <v>0.62371868828373556</v>
      </c>
      <c r="R512" s="37">
        <f>MIN(1,MAX(0,(Q512-Inputs!$D$36)/(Inputs!$D$37-Inputs!$D$36)))</f>
        <v>0</v>
      </c>
      <c r="S512" s="35">
        <f>Inputs!$D$6*E512*Inputs!$D$27*(1-Inputs!$D$38*R512)</f>
        <v>4699.0682276307562</v>
      </c>
      <c r="T512" s="39">
        <f>S512*Inputs!$D$12</f>
        <v>75185.091642092098</v>
      </c>
      <c r="U512" s="39">
        <f>T512*(1-Inputs!$D$18)</f>
        <v>33833.291238941441</v>
      </c>
      <c r="V512" s="35">
        <f>Inputs!$D$6*F512*Inputs!$D$28*Inputs!$D$31</f>
        <v>592.65770193981814</v>
      </c>
      <c r="W512" s="36">
        <f>V512/(B512*Inputs!$D$34)</f>
        <v>1.3025443998677322</v>
      </c>
      <c r="X512" s="38">
        <f>IF(W512&gt;=1,999,W512/(Inputs!$D$34*(1-W512))*60)</f>
        <v>999</v>
      </c>
      <c r="Y512" s="37">
        <f>MIN(1,MAX(0,(X512-Inputs!$D$36)/(Inputs!$D$37-Inputs!$D$36)))</f>
        <v>1</v>
      </c>
      <c r="Z512" s="35">
        <f>Inputs!$D$6*F512*Inputs!$D$28*(1-Inputs!$D$38*Y512)</f>
        <v>2507.3979697453847</v>
      </c>
      <c r="AA512" s="39">
        <f>Z512*Inputs!$D$13</f>
        <v>21312.882742835769</v>
      </c>
      <c r="AB512" s="39">
        <f>AA512*(1-Inputs!$D$19)</f>
        <v>12787.729645701462</v>
      </c>
      <c r="AC512" s="39">
        <f t="shared" si="28"/>
        <v>347721.15288492793</v>
      </c>
      <c r="AD512" s="39">
        <f t="shared" si="29"/>
        <v>134549.1333596429</v>
      </c>
      <c r="AE512" s="36">
        <f t="shared" si="30"/>
        <v>1.3025443998677322</v>
      </c>
      <c r="AF512" s="35">
        <f>IF(AND(AE512&lt;=Inputs!$D$35,C512&gt;=Inputs!$D$48*(A512+B512+C512),B512*Inputs!$D$22&lt;=Inputs!$D$50*Inputs!$D$8,B512*Inputs!$D$22&gt;=Inputs!$D$49*Inputs!$D$8,A512*Inputs!$D$20&lt;=Inputs!$D$47*Inputs!$D$8,C512&gt;=1),1,0)</f>
        <v>0</v>
      </c>
      <c r="AG512" s="39">
        <f t="shared" si="31"/>
        <v>-1</v>
      </c>
    </row>
    <row r="513" spans="1:33" x14ac:dyDescent="0.25">
      <c r="A513" s="35">
        <v>46</v>
      </c>
      <c r="B513" s="35">
        <v>14</v>
      </c>
      <c r="C513" s="35">
        <f>Inputs!$D$8-A513-Inputs!$D$22*B513</f>
        <v>46</v>
      </c>
      <c r="D513" s="35">
        <f>A513*Inputs!$D$20+C513*Inputs!$D$21+B513*Inputs!$D$22</f>
        <v>120</v>
      </c>
      <c r="E513" s="36">
        <f>MIN(Inputs!$E$15,Inputs!$D$15*(C513/Inputs!$D$43)^Inputs!$D$44)</f>
        <v>0.39023723685630041</v>
      </c>
      <c r="F513" s="36">
        <f>MIN(Inputs!$E$16,Inputs!$D$16*(B513/Inputs!$D$42)^Inputs!$D$44)</f>
        <v>0.35940937671625589</v>
      </c>
      <c r="G513" s="37">
        <f>Inputs!$D$26*(1+Inputs!$D$41*(B513-Inputs!$D$42))</f>
        <v>1.41</v>
      </c>
      <c r="H513" s="35">
        <f>Inputs!$D$6*Inputs!$D$14*G513*Inputs!$D$29</f>
        <v>1771.5663000000002</v>
      </c>
      <c r="I513" s="36">
        <f>H513/(A513*Inputs!$D$32)</f>
        <v>0.70022383399209498</v>
      </c>
      <c r="J513" s="38">
        <f>IF(I513&gt;=1,999,I513/(Inputs!$D$32*(1-I513))*60)</f>
        <v>2.5481697105734922</v>
      </c>
      <c r="K513" s="37">
        <f>MIN(1,MAX(0,(J513-Inputs!$D$36)/(Inputs!$D$37-Inputs!$D$36)))</f>
        <v>0</v>
      </c>
      <c r="L513" s="35">
        <f>Inputs!$D$6*Inputs!$D$14*G513*(1-Inputs!$D$38*K513)</f>
        <v>11810.442000000001</v>
      </c>
      <c r="M513" s="39">
        <f>L513*Inputs!$D$11</f>
        <v>253924.50300000003</v>
      </c>
      <c r="N513" s="39">
        <f>M513*(1-Inputs!$D$17)</f>
        <v>88873.576050000003</v>
      </c>
      <c r="O513" s="35">
        <f>Inputs!$D$6*E513*Inputs!$D$27*Inputs!$D$30</f>
        <v>556.73429538446214</v>
      </c>
      <c r="P513" s="36">
        <f>O513/(C513*Inputs!$D$33)</f>
        <v>0.30257298662199028</v>
      </c>
      <c r="Q513" s="38">
        <f>IF(P513&gt;=1,999,P513/(Inputs!$D$33*(1-P513))*60)</f>
        <v>0.65076269090109196</v>
      </c>
      <c r="R513" s="37">
        <f>MIN(1,MAX(0,(Q513-Inputs!$D$36)/(Inputs!$D$37-Inputs!$D$36)))</f>
        <v>0</v>
      </c>
      <c r="S513" s="35">
        <f>Inputs!$D$6*E513*Inputs!$D$27*(1-Inputs!$D$38*R513)</f>
        <v>4639.4524615371847</v>
      </c>
      <c r="T513" s="39">
        <f>S513*Inputs!$D$12</f>
        <v>74231.239384594955</v>
      </c>
      <c r="U513" s="39">
        <f>T513*(1-Inputs!$D$18)</f>
        <v>33404.05772306773</v>
      </c>
      <c r="V513" s="35">
        <f>Inputs!$D$6*F513*Inputs!$D$28*Inputs!$D$31</f>
        <v>605.98146079368973</v>
      </c>
      <c r="W513" s="36">
        <f>V513/(B513*Inputs!$D$34)</f>
        <v>1.2366968587626321</v>
      </c>
      <c r="X513" s="38">
        <f>IF(W513&gt;=1,999,W513/(Inputs!$D$34*(1-W513))*60)</f>
        <v>999</v>
      </c>
      <c r="Y513" s="37">
        <f>MIN(1,MAX(0,(X513-Inputs!$D$36)/(Inputs!$D$37-Inputs!$D$36)))</f>
        <v>1</v>
      </c>
      <c r="Z513" s="35">
        <f>Inputs!$D$6*F513*Inputs!$D$28*(1-Inputs!$D$38*Y513)</f>
        <v>2563.7677187425338</v>
      </c>
      <c r="AA513" s="39">
        <f>Z513*Inputs!$D$13</f>
        <v>21792.025609311539</v>
      </c>
      <c r="AB513" s="39">
        <f>AA513*(1-Inputs!$D$19)</f>
        <v>13075.215365586922</v>
      </c>
      <c r="AC513" s="39">
        <f t="shared" si="28"/>
        <v>349947.76799390651</v>
      </c>
      <c r="AD513" s="39">
        <f t="shared" si="29"/>
        <v>135352.84913865465</v>
      </c>
      <c r="AE513" s="36">
        <f t="shared" si="30"/>
        <v>1.2366968587626321</v>
      </c>
      <c r="AF513" s="35">
        <f>IF(AND(AE513&lt;=Inputs!$D$35,C513&gt;=Inputs!$D$48*(A513+B513+C513),B513*Inputs!$D$22&lt;=Inputs!$D$50*Inputs!$D$8,B513*Inputs!$D$22&gt;=Inputs!$D$49*Inputs!$D$8,A513*Inputs!$D$20&lt;=Inputs!$D$47*Inputs!$D$8,C513&gt;=1),1,0)</f>
        <v>0</v>
      </c>
      <c r="AG513" s="39">
        <f t="shared" si="31"/>
        <v>-1</v>
      </c>
    </row>
    <row r="514" spans="1:33" x14ac:dyDescent="0.25">
      <c r="A514" s="35">
        <v>46</v>
      </c>
      <c r="B514" s="35">
        <v>15</v>
      </c>
      <c r="C514" s="35">
        <f>Inputs!$D$8-A514-Inputs!$D$22*B514</f>
        <v>44</v>
      </c>
      <c r="D514" s="35">
        <f>A514*Inputs!$D$20+C514*Inputs!$D$21+B514*Inputs!$D$22</f>
        <v>120</v>
      </c>
      <c r="E514" s="36">
        <f>MIN(Inputs!$E$15,Inputs!$D$15*(C514/Inputs!$D$43)^Inputs!$D$44)</f>
        <v>0.38506776240403751</v>
      </c>
      <c r="F514" s="36">
        <f>MIN(Inputs!$E$16,Inputs!$D$16*(B514/Inputs!$D$42)^Inputs!$D$44)</f>
        <v>0.36692590185696072</v>
      </c>
      <c r="G514" s="37">
        <f>Inputs!$D$26*(1+Inputs!$D$41*(B514-Inputs!$D$42))</f>
        <v>1.4249999999999998</v>
      </c>
      <c r="H514" s="35">
        <f>Inputs!$D$6*Inputs!$D$14*G514*Inputs!$D$29</f>
        <v>1790.4127499999997</v>
      </c>
      <c r="I514" s="36">
        <f>H514/(A514*Inputs!$D$32)</f>
        <v>0.70767302371541496</v>
      </c>
      <c r="J514" s="38">
        <f>IF(I514&gt;=1,999,I514/(Inputs!$D$32*(1-I514))*60)</f>
        <v>2.6409021321751354</v>
      </c>
      <c r="K514" s="37">
        <f>MIN(1,MAX(0,(J514-Inputs!$D$36)/(Inputs!$D$37-Inputs!$D$36)))</f>
        <v>0</v>
      </c>
      <c r="L514" s="35">
        <f>Inputs!$D$6*Inputs!$D$14*G514*(1-Inputs!$D$38*K514)</f>
        <v>11936.084999999999</v>
      </c>
      <c r="M514" s="39">
        <f>L514*Inputs!$D$11</f>
        <v>256625.82749999998</v>
      </c>
      <c r="N514" s="39">
        <f>M514*(1-Inputs!$D$17)</f>
        <v>89819.03962499999</v>
      </c>
      <c r="O514" s="35">
        <f>Inputs!$D$6*E514*Inputs!$D$27*Inputs!$D$30</f>
        <v>549.35923364029463</v>
      </c>
      <c r="P514" s="36">
        <f>O514/(C514*Inputs!$D$33)</f>
        <v>0.31213592820471286</v>
      </c>
      <c r="Q514" s="38">
        <f>IF(P514&gt;=1,999,P514/(Inputs!$D$33*(1-P514))*60)</f>
        <v>0.6806633919476025</v>
      </c>
      <c r="R514" s="37">
        <f>MIN(1,MAX(0,(Q514-Inputs!$D$36)/(Inputs!$D$37-Inputs!$D$36)))</f>
        <v>0</v>
      </c>
      <c r="S514" s="35">
        <f>Inputs!$D$6*E514*Inputs!$D$27*(1-Inputs!$D$38*R514)</f>
        <v>4577.9936136691222</v>
      </c>
      <c r="T514" s="39">
        <f>S514*Inputs!$D$12</f>
        <v>73247.897818705955</v>
      </c>
      <c r="U514" s="39">
        <f>T514*(1-Inputs!$D$18)</f>
        <v>32961.554018417679</v>
      </c>
      <c r="V514" s="35">
        <f>Inputs!$D$6*F514*Inputs!$D$28*Inputs!$D$31</f>
        <v>618.65468297412497</v>
      </c>
      <c r="W514" s="36">
        <f>V514/(B514*Inputs!$D$34)</f>
        <v>1.1783898723316666</v>
      </c>
      <c r="X514" s="38">
        <f>IF(W514&gt;=1,999,W514/(Inputs!$D$34*(1-W514))*60)</f>
        <v>999</v>
      </c>
      <c r="Y514" s="37">
        <f>MIN(1,MAX(0,(X514-Inputs!$D$36)/(Inputs!$D$37-Inputs!$D$36)))</f>
        <v>1</v>
      </c>
      <c r="Z514" s="35">
        <f>Inputs!$D$6*F514*Inputs!$D$28*(1-Inputs!$D$38*Y514)</f>
        <v>2617.3851971982212</v>
      </c>
      <c r="AA514" s="39">
        <f>Z514*Inputs!$D$13</f>
        <v>22247.774176184881</v>
      </c>
      <c r="AB514" s="39">
        <f>AA514*(1-Inputs!$D$19)</f>
        <v>13348.664505710929</v>
      </c>
      <c r="AC514" s="39">
        <f t="shared" si="28"/>
        <v>352121.49949489086</v>
      </c>
      <c r="AD514" s="39">
        <f t="shared" si="29"/>
        <v>136129.25814912861</v>
      </c>
      <c r="AE514" s="36">
        <f t="shared" si="30"/>
        <v>1.1783898723316666</v>
      </c>
      <c r="AF514" s="35">
        <f>IF(AND(AE514&lt;=Inputs!$D$35,C514&gt;=Inputs!$D$48*(A514+B514+C514),B514*Inputs!$D$22&lt;=Inputs!$D$50*Inputs!$D$8,B514*Inputs!$D$22&gt;=Inputs!$D$49*Inputs!$D$8,A514*Inputs!$D$20&lt;=Inputs!$D$47*Inputs!$D$8,C514&gt;=1),1,0)</f>
        <v>0</v>
      </c>
      <c r="AG514" s="39">
        <f t="shared" si="31"/>
        <v>-1</v>
      </c>
    </row>
    <row r="515" spans="1:33" x14ac:dyDescent="0.25">
      <c r="A515" s="35">
        <v>46</v>
      </c>
      <c r="B515" s="35">
        <v>16</v>
      </c>
      <c r="C515" s="35">
        <f>Inputs!$D$8-A515-Inputs!$D$22*B515</f>
        <v>42</v>
      </c>
      <c r="D515" s="35">
        <f>A515*Inputs!$D$20+C515*Inputs!$D$21+B515*Inputs!$D$22</f>
        <v>120</v>
      </c>
      <c r="E515" s="36">
        <f>MIN(Inputs!$E$15,Inputs!$D$15*(C515/Inputs!$D$43)^Inputs!$D$44)</f>
        <v>0.37973108090036384</v>
      </c>
      <c r="F515" s="36">
        <f>MIN(Inputs!$E$16,Inputs!$D$16*(B515/Inputs!$D$42)^Inputs!$D$44)</f>
        <v>0.37409937912904856</v>
      </c>
      <c r="G515" s="37">
        <f>Inputs!$D$26*(1+Inputs!$D$41*(B515-Inputs!$D$42))</f>
        <v>1.44</v>
      </c>
      <c r="H515" s="35">
        <f>Inputs!$D$6*Inputs!$D$14*G515*Inputs!$D$29</f>
        <v>1809.2592000000002</v>
      </c>
      <c r="I515" s="36">
        <f>H515/(A515*Inputs!$D$32)</f>
        <v>0.71512221343873528</v>
      </c>
      <c r="J515" s="38">
        <f>IF(I515&gt;=1,999,I515/(Inputs!$D$32*(1-I515))*60)</f>
        <v>2.7384842221932075</v>
      </c>
      <c r="K515" s="37">
        <f>MIN(1,MAX(0,(J515-Inputs!$D$36)/(Inputs!$D$37-Inputs!$D$36)))</f>
        <v>0</v>
      </c>
      <c r="L515" s="35">
        <f>Inputs!$D$6*Inputs!$D$14*G515*(1-Inputs!$D$38*K515)</f>
        <v>12061.728000000001</v>
      </c>
      <c r="M515" s="39">
        <f>L515*Inputs!$D$11</f>
        <v>259327.15200000003</v>
      </c>
      <c r="N515" s="39">
        <f>M515*(1-Inputs!$D$17)</f>
        <v>90764.503200000006</v>
      </c>
      <c r="O515" s="35">
        <f>Inputs!$D$6*E515*Inputs!$D$27*Inputs!$D$30</f>
        <v>541.74562495298949</v>
      </c>
      <c r="P515" s="36">
        <f>O515/(C515*Inputs!$D$33)</f>
        <v>0.32246763390058897</v>
      </c>
      <c r="Q515" s="38">
        <f>IF(P515&gt;=1,999,P515/(Inputs!$D$33*(1-P515))*60)</f>
        <v>0.71391637514762252</v>
      </c>
      <c r="R515" s="37">
        <f>MIN(1,MAX(0,(Q515-Inputs!$D$36)/(Inputs!$D$37-Inputs!$D$36)))</f>
        <v>0</v>
      </c>
      <c r="S515" s="35">
        <f>Inputs!$D$6*E515*Inputs!$D$27*(1-Inputs!$D$38*R515)</f>
        <v>4514.5468746082461</v>
      </c>
      <c r="T515" s="39">
        <f>S515*Inputs!$D$12</f>
        <v>72232.749993731937</v>
      </c>
      <c r="U515" s="39">
        <f>T515*(1-Inputs!$D$18)</f>
        <v>32504.737497179369</v>
      </c>
      <c r="V515" s="35">
        <f>Inputs!$D$6*F515*Inputs!$D$28*Inputs!$D$31</f>
        <v>630.74950998177405</v>
      </c>
      <c r="W515" s="36">
        <f>V515/(B515*Inputs!$D$34)</f>
        <v>1.1263384106817393</v>
      </c>
      <c r="X515" s="38">
        <f>IF(W515&gt;=1,999,W515/(Inputs!$D$34*(1-W515))*60)</f>
        <v>999</v>
      </c>
      <c r="Y515" s="37">
        <f>MIN(1,MAX(0,(X515-Inputs!$D$36)/(Inputs!$D$37-Inputs!$D$36)))</f>
        <v>1</v>
      </c>
      <c r="Z515" s="35">
        <f>Inputs!$D$6*F515*Inputs!$D$28*(1-Inputs!$D$38*Y515)</f>
        <v>2668.5556191536598</v>
      </c>
      <c r="AA515" s="39">
        <f>Z515*Inputs!$D$13</f>
        <v>22682.722762806108</v>
      </c>
      <c r="AB515" s="39">
        <f>AA515*(1-Inputs!$D$19)</f>
        <v>13609.633657683664</v>
      </c>
      <c r="AC515" s="39">
        <f t="shared" si="28"/>
        <v>354242.62475653808</v>
      </c>
      <c r="AD515" s="39">
        <f t="shared" si="29"/>
        <v>136878.87435486304</v>
      </c>
      <c r="AE515" s="36">
        <f t="shared" si="30"/>
        <v>1.1263384106817393</v>
      </c>
      <c r="AF515" s="35">
        <f>IF(AND(AE515&lt;=Inputs!$D$35,C515&gt;=Inputs!$D$48*(A515+B515+C515),B515*Inputs!$D$22&lt;=Inputs!$D$50*Inputs!$D$8,B515*Inputs!$D$22&gt;=Inputs!$D$49*Inputs!$D$8,A515*Inputs!$D$20&lt;=Inputs!$D$47*Inputs!$D$8,C515&gt;=1),1,0)</f>
        <v>0</v>
      </c>
      <c r="AG515" s="39">
        <f t="shared" si="31"/>
        <v>-1</v>
      </c>
    </row>
    <row r="516" spans="1:33" x14ac:dyDescent="0.25">
      <c r="A516" s="35">
        <v>46</v>
      </c>
      <c r="B516" s="35">
        <v>17</v>
      </c>
      <c r="C516" s="35">
        <f>Inputs!$D$8-A516-Inputs!$D$22*B516</f>
        <v>40</v>
      </c>
      <c r="D516" s="35">
        <f>A516*Inputs!$D$20+C516*Inputs!$D$21+B516*Inputs!$D$22</f>
        <v>120</v>
      </c>
      <c r="E516" s="36">
        <f>MIN(Inputs!$E$15,Inputs!$D$15*(C516/Inputs!$D$43)^Inputs!$D$44)</f>
        <v>0.37421341802855551</v>
      </c>
      <c r="F516" s="36">
        <f>MIN(Inputs!$E$16,Inputs!$D$16*(B516/Inputs!$D$42)^Inputs!$D$44)</f>
        <v>0.3809655184437048</v>
      </c>
      <c r="G516" s="37">
        <f>Inputs!$D$26*(1+Inputs!$D$41*(B516-Inputs!$D$42))</f>
        <v>1.4550000000000001</v>
      </c>
      <c r="H516" s="35">
        <f>Inputs!$D$6*Inputs!$D$14*G516*Inputs!$D$29</f>
        <v>1828.1056500000002</v>
      </c>
      <c r="I516" s="36">
        <f>H516/(A516*Inputs!$D$32)</f>
        <v>0.72257140316205537</v>
      </c>
      <c r="J516" s="38">
        <f>IF(I516&gt;=1,999,I516/(Inputs!$D$32*(1-I516))*60)</f>
        <v>2.8413066335799302</v>
      </c>
      <c r="K516" s="37">
        <f>MIN(1,MAX(0,(J516-Inputs!$D$36)/(Inputs!$D$37-Inputs!$D$36)))</f>
        <v>0</v>
      </c>
      <c r="L516" s="35">
        <f>Inputs!$D$6*Inputs!$D$14*G516*(1-Inputs!$D$38*K516)</f>
        <v>12187.371000000001</v>
      </c>
      <c r="M516" s="39">
        <f>L516*Inputs!$D$11</f>
        <v>262028.47650000002</v>
      </c>
      <c r="N516" s="39">
        <f>M516*(1-Inputs!$D$17)</f>
        <v>91709.966775000008</v>
      </c>
      <c r="O516" s="35">
        <f>Inputs!$D$6*E516*Inputs!$D$27*Inputs!$D$30</f>
        <v>533.8738181109469</v>
      </c>
      <c r="P516" s="36">
        <f>O516/(C516*Inputs!$D$33)</f>
        <v>0.33367113631934181</v>
      </c>
      <c r="Q516" s="38">
        <f>IF(P516&gt;=1,999,P516/(Inputs!$D$33*(1-P516))*60)</f>
        <v>0.75114066305685867</v>
      </c>
      <c r="R516" s="37">
        <f>MIN(1,MAX(0,(Q516-Inputs!$D$36)/(Inputs!$D$37-Inputs!$D$36)))</f>
        <v>0</v>
      </c>
      <c r="S516" s="35">
        <f>Inputs!$D$6*E516*Inputs!$D$27*(1-Inputs!$D$38*R516)</f>
        <v>4448.9484842578913</v>
      </c>
      <c r="T516" s="39">
        <f>S516*Inputs!$D$12</f>
        <v>71183.175748126261</v>
      </c>
      <c r="U516" s="39">
        <f>T516*(1-Inputs!$D$18)</f>
        <v>32032.429086656815</v>
      </c>
      <c r="V516" s="35">
        <f>Inputs!$D$6*F516*Inputs!$D$28*Inputs!$D$31</f>
        <v>642.32615044097156</v>
      </c>
      <c r="W516" s="36">
        <f>V516/(B516*Inputs!$D$34)</f>
        <v>1.0795397486402882</v>
      </c>
      <c r="X516" s="38">
        <f>IF(W516&gt;=1,999,W516/(Inputs!$D$34*(1-W516))*60)</f>
        <v>999</v>
      </c>
      <c r="Y516" s="37">
        <f>MIN(1,MAX(0,(X516-Inputs!$D$36)/(Inputs!$D$37-Inputs!$D$36)))</f>
        <v>1</v>
      </c>
      <c r="Z516" s="35">
        <f>Inputs!$D$6*F516*Inputs!$D$28*(1-Inputs!$D$38*Y516)</f>
        <v>2717.5337134041106</v>
      </c>
      <c r="AA516" s="39">
        <f>Z516*Inputs!$D$13</f>
        <v>23099.03656393494</v>
      </c>
      <c r="AB516" s="39">
        <f>AA516*(1-Inputs!$D$19)</f>
        <v>13859.421938360963</v>
      </c>
      <c r="AC516" s="39">
        <f t="shared" si="28"/>
        <v>356310.68881206121</v>
      </c>
      <c r="AD516" s="39">
        <f t="shared" si="29"/>
        <v>137601.8178000178</v>
      </c>
      <c r="AE516" s="36">
        <f t="shared" si="30"/>
        <v>1.0795397486402882</v>
      </c>
      <c r="AF516" s="35">
        <f>IF(AND(AE516&lt;=Inputs!$D$35,C516&gt;=Inputs!$D$48*(A516+B516+C516),B516*Inputs!$D$22&lt;=Inputs!$D$50*Inputs!$D$8,B516*Inputs!$D$22&gt;=Inputs!$D$49*Inputs!$D$8,A516*Inputs!$D$20&lt;=Inputs!$D$47*Inputs!$D$8,C516&gt;=1),1,0)</f>
        <v>0</v>
      </c>
      <c r="AG516" s="39">
        <f t="shared" si="31"/>
        <v>-1</v>
      </c>
    </row>
    <row r="517" spans="1:33" x14ac:dyDescent="0.25">
      <c r="A517" s="35">
        <v>46</v>
      </c>
      <c r="B517" s="35">
        <v>18</v>
      </c>
      <c r="C517" s="35">
        <f>Inputs!$D$8-A517-Inputs!$D$22*B517</f>
        <v>38</v>
      </c>
      <c r="D517" s="35">
        <f>A517*Inputs!$D$20+C517*Inputs!$D$21+B517*Inputs!$D$22</f>
        <v>120</v>
      </c>
      <c r="E517" s="36">
        <f>MIN(Inputs!$E$15,Inputs!$D$15*(C517/Inputs!$D$43)^Inputs!$D$44)</f>
        <v>0.36849910497273691</v>
      </c>
      <c r="F517" s="36">
        <f>MIN(Inputs!$E$16,Inputs!$D$16*(B517/Inputs!$D$42)^Inputs!$D$44)</f>
        <v>0.38755446447890535</v>
      </c>
      <c r="G517" s="37">
        <f>Inputs!$D$26*(1+Inputs!$D$41*(B517-Inputs!$D$42))</f>
        <v>1.47</v>
      </c>
      <c r="H517" s="35">
        <f>Inputs!$D$6*Inputs!$D$14*G517*Inputs!$D$29</f>
        <v>1846.9521</v>
      </c>
      <c r="I517" s="36">
        <f>H517/(A517*Inputs!$D$32)</f>
        <v>0.73002059288537546</v>
      </c>
      <c r="J517" s="38">
        <f>IF(I517&gt;=1,999,I517/(Inputs!$D$32*(1-I517))*60)</f>
        <v>2.9498031343975089</v>
      </c>
      <c r="K517" s="37">
        <f>MIN(1,MAX(0,(J517-Inputs!$D$36)/(Inputs!$D$37-Inputs!$D$36)))</f>
        <v>0</v>
      </c>
      <c r="L517" s="35">
        <f>Inputs!$D$6*Inputs!$D$14*G517*(1-Inputs!$D$38*K517)</f>
        <v>12313.014000000001</v>
      </c>
      <c r="M517" s="39">
        <f>L517*Inputs!$D$11</f>
        <v>264729.80100000004</v>
      </c>
      <c r="N517" s="39">
        <f>M517*(1-Inputs!$D$17)</f>
        <v>92655.43035000001</v>
      </c>
      <c r="O517" s="35">
        <f>Inputs!$D$6*E517*Inputs!$D$27*Inputs!$D$30</f>
        <v>525.72145910398501</v>
      </c>
      <c r="P517" s="36">
        <f>O517/(C517*Inputs!$D$33)</f>
        <v>0.34586938098946385</v>
      </c>
      <c r="Q517" s="38">
        <f>IF(P517&gt;=1,999,P517/(Inputs!$D$33*(1-P517))*60)</f>
        <v>0.79311999225622454</v>
      </c>
      <c r="R517" s="37">
        <f>MIN(1,MAX(0,(Q517-Inputs!$D$36)/(Inputs!$D$37-Inputs!$D$36)))</f>
        <v>0</v>
      </c>
      <c r="S517" s="35">
        <f>Inputs!$D$6*E517*Inputs!$D$27*(1-Inputs!$D$38*R517)</f>
        <v>4381.012159199875</v>
      </c>
      <c r="T517" s="39">
        <f>S517*Inputs!$D$12</f>
        <v>70096.194547198</v>
      </c>
      <c r="U517" s="39">
        <f>T517*(1-Inputs!$D$18)</f>
        <v>31543.287546239098</v>
      </c>
      <c r="V517" s="35">
        <f>Inputs!$D$6*F517*Inputs!$D$28*Inputs!$D$31</f>
        <v>653.43542972572936</v>
      </c>
      <c r="W517" s="36">
        <f>V517/(B517*Inputs!$D$34)</f>
        <v>1.037199094802745</v>
      </c>
      <c r="X517" s="38">
        <f>IF(W517&gt;=1,999,W517/(Inputs!$D$34*(1-W517))*60)</f>
        <v>999</v>
      </c>
      <c r="Y517" s="37">
        <f>MIN(1,MAX(0,(X517-Inputs!$D$36)/(Inputs!$D$37-Inputs!$D$36)))</f>
        <v>1</v>
      </c>
      <c r="Z517" s="35">
        <f>Inputs!$D$6*F517*Inputs!$D$28*(1-Inputs!$D$38*Y517)</f>
        <v>2764.534510378086</v>
      </c>
      <c r="AA517" s="39">
        <f>Z517*Inputs!$D$13</f>
        <v>23498.543338213731</v>
      </c>
      <c r="AB517" s="39">
        <f>AA517*(1-Inputs!$D$19)</f>
        <v>14099.126002928238</v>
      </c>
      <c r="AC517" s="39">
        <f t="shared" ref="AC517:AC580" si="32">M517+T517+AA517</f>
        <v>358324.53888541181</v>
      </c>
      <c r="AD517" s="39">
        <f t="shared" ref="AD517:AD580" si="33">N517+U517+AB517</f>
        <v>138297.84389916735</v>
      </c>
      <c r="AE517" s="36">
        <f t="shared" ref="AE517:AE580" si="34">MAX(I517,P517,W517)</f>
        <v>1.037199094802745</v>
      </c>
      <c r="AF517" s="35">
        <f>IF(AND(AE517&lt;=Inputs!$D$35,C517&gt;=Inputs!$D$48*(A517+B517+C517),B517*Inputs!$D$22&lt;=Inputs!$D$50*Inputs!$D$8,B517*Inputs!$D$22&gt;=Inputs!$D$49*Inputs!$D$8,A517*Inputs!$D$20&lt;=Inputs!$D$47*Inputs!$D$8,C517&gt;=1),1,0)</f>
        <v>0</v>
      </c>
      <c r="AG517" s="39">
        <f t="shared" ref="AG517:AG580" si="35">IF(AF517=1,AD517,-1)</f>
        <v>-1</v>
      </c>
    </row>
    <row r="518" spans="1:33" x14ac:dyDescent="0.25">
      <c r="A518" s="35">
        <v>46</v>
      </c>
      <c r="B518" s="35">
        <v>19</v>
      </c>
      <c r="C518" s="35">
        <f>Inputs!$D$8-A518-Inputs!$D$22*B518</f>
        <v>36</v>
      </c>
      <c r="D518" s="35">
        <f>A518*Inputs!$D$20+C518*Inputs!$D$21+B518*Inputs!$D$22</f>
        <v>120</v>
      </c>
      <c r="E518" s="36">
        <f>MIN(Inputs!$E$15,Inputs!$D$15*(C518/Inputs!$D$43)^Inputs!$D$44)</f>
        <v>0.36257020206219398</v>
      </c>
      <c r="F518" s="36">
        <f>MIN(Inputs!$E$16,Inputs!$D$16*(B518/Inputs!$D$42)^Inputs!$D$44)</f>
        <v>0.39389192072703005</v>
      </c>
      <c r="G518" s="37">
        <f>Inputs!$D$26*(1+Inputs!$D$41*(B518-Inputs!$D$42))</f>
        <v>1.4849999999999999</v>
      </c>
      <c r="H518" s="35">
        <f>Inputs!$D$6*Inputs!$D$14*G518*Inputs!$D$29</f>
        <v>1865.7985499999998</v>
      </c>
      <c r="I518" s="36">
        <f>H518/(A518*Inputs!$D$32)</f>
        <v>0.73746978260869556</v>
      </c>
      <c r="J518" s="38">
        <f>IF(I518&gt;=1,999,I518/(Inputs!$D$32*(1-I518))*60)</f>
        <v>3.0644567246879681</v>
      </c>
      <c r="K518" s="37">
        <f>MIN(1,MAX(0,(J518-Inputs!$D$36)/(Inputs!$D$37-Inputs!$D$36)))</f>
        <v>0</v>
      </c>
      <c r="L518" s="35">
        <f>Inputs!$D$6*Inputs!$D$14*G518*(1-Inputs!$D$38*K518)</f>
        <v>12438.656999999999</v>
      </c>
      <c r="M518" s="39">
        <f>L518*Inputs!$D$11</f>
        <v>267431.12549999997</v>
      </c>
      <c r="N518" s="39">
        <f>M518*(1-Inputs!$D$17)</f>
        <v>93600.893924999982</v>
      </c>
      <c r="O518" s="35">
        <f>Inputs!$D$6*E518*Inputs!$D$27*Inputs!$D$30</f>
        <v>517.26295419324151</v>
      </c>
      <c r="P518" s="36">
        <f>O518/(C518*Inputs!$D$33)</f>
        <v>0.35921038485641771</v>
      </c>
      <c r="Q518" s="38">
        <f>IF(P518&gt;=1,999,P518/(Inputs!$D$33*(1-P518))*60)</f>
        <v>0.84086190623406665</v>
      </c>
      <c r="R518" s="37">
        <f>MIN(1,MAX(0,(Q518-Inputs!$D$36)/(Inputs!$D$37-Inputs!$D$36)))</f>
        <v>0</v>
      </c>
      <c r="S518" s="35">
        <f>Inputs!$D$6*E518*Inputs!$D$27*(1-Inputs!$D$38*R518)</f>
        <v>4310.5246182770125</v>
      </c>
      <c r="T518" s="39">
        <f>S518*Inputs!$D$12</f>
        <v>68968.393892432199</v>
      </c>
      <c r="U518" s="39">
        <f>T518*(1-Inputs!$D$18)</f>
        <v>31035.777251594485</v>
      </c>
      <c r="V518" s="35">
        <f>Inputs!$D$6*F518*Inputs!$D$28*Inputs!$D$31</f>
        <v>664.12068515796761</v>
      </c>
      <c r="W518" s="36">
        <f>V518/(B518*Inputs!$D$34)</f>
        <v>0.99867772204205651</v>
      </c>
      <c r="X518" s="38">
        <f>IF(W518&gt;=1,999,W518/(Inputs!$D$34*(1-W518))*60)</f>
        <v>1294.749671797274</v>
      </c>
      <c r="Y518" s="37">
        <f>MIN(1,MAX(0,(X518-Inputs!$D$36)/(Inputs!$D$37-Inputs!$D$36)))</f>
        <v>1</v>
      </c>
      <c r="Z518" s="35">
        <f>Inputs!$D$6*F518*Inputs!$D$28*(1-Inputs!$D$38*Y518)</f>
        <v>2809.7413602837091</v>
      </c>
      <c r="AA518" s="39">
        <f>Z518*Inputs!$D$13</f>
        <v>23882.801562411529</v>
      </c>
      <c r="AB518" s="39">
        <f>AA518*(1-Inputs!$D$19)</f>
        <v>14329.680937446918</v>
      </c>
      <c r="AC518" s="39">
        <f t="shared" si="32"/>
        <v>360282.32095484372</v>
      </c>
      <c r="AD518" s="39">
        <f t="shared" si="33"/>
        <v>138966.35211404139</v>
      </c>
      <c r="AE518" s="36">
        <f t="shared" si="34"/>
        <v>0.99867772204205651</v>
      </c>
      <c r="AF518" s="35">
        <f>IF(AND(AE518&lt;=Inputs!$D$35,C518&gt;=Inputs!$D$48*(A518+B518+C518),B518*Inputs!$D$22&lt;=Inputs!$D$50*Inputs!$D$8,B518*Inputs!$D$22&gt;=Inputs!$D$49*Inputs!$D$8,A518*Inputs!$D$20&lt;=Inputs!$D$47*Inputs!$D$8,C518&gt;=1),1,0)</f>
        <v>0</v>
      </c>
      <c r="AG518" s="39">
        <f t="shared" si="35"/>
        <v>-1</v>
      </c>
    </row>
    <row r="519" spans="1:33" x14ac:dyDescent="0.25">
      <c r="A519" s="35">
        <v>46</v>
      </c>
      <c r="B519" s="35">
        <v>20</v>
      </c>
      <c r="C519" s="35">
        <f>Inputs!$D$8-A519-Inputs!$D$22*B519</f>
        <v>34</v>
      </c>
      <c r="D519" s="35">
        <f>A519*Inputs!$D$20+C519*Inputs!$D$21+B519*Inputs!$D$22</f>
        <v>120</v>
      </c>
      <c r="E519" s="36">
        <f>MIN(Inputs!$E$15,Inputs!$D$15*(C519/Inputs!$D$43)^Inputs!$D$44)</f>
        <v>0.35640602201959876</v>
      </c>
      <c r="F519" s="36">
        <f>MIN(Inputs!$E$16,Inputs!$D$16*(B519/Inputs!$D$42)^Inputs!$D$44)</f>
        <v>0.4</v>
      </c>
      <c r="G519" s="37">
        <f>Inputs!$D$26*(1+Inputs!$D$41*(B519-Inputs!$D$42))</f>
        <v>1.5</v>
      </c>
      <c r="H519" s="35">
        <f>Inputs!$D$6*Inputs!$D$14*G519*Inputs!$D$29</f>
        <v>1884.645</v>
      </c>
      <c r="I519" s="36">
        <f>H519/(A519*Inputs!$D$32)</f>
        <v>0.74491897233201576</v>
      </c>
      <c r="J519" s="38">
        <f>IF(I519&gt;=1,999,I519/(Inputs!$D$32*(1-I519))*60)</f>
        <v>3.1858068251371154</v>
      </c>
      <c r="K519" s="37">
        <f>MIN(1,MAX(0,(J519-Inputs!$D$36)/(Inputs!$D$37-Inputs!$D$36)))</f>
        <v>0</v>
      </c>
      <c r="L519" s="35">
        <f>Inputs!$D$6*Inputs!$D$14*G519*(1-Inputs!$D$38*K519)</f>
        <v>12564.300000000001</v>
      </c>
      <c r="M519" s="39">
        <f>L519*Inputs!$D$11</f>
        <v>270132.45</v>
      </c>
      <c r="N519" s="39">
        <f>M519*(1-Inputs!$D$17)</f>
        <v>94546.357499999998</v>
      </c>
      <c r="O519" s="35">
        <f>Inputs!$D$6*E519*Inputs!$D$27*Inputs!$D$30</f>
        <v>508.46878975039266</v>
      </c>
      <c r="P519" s="36">
        <f>O519/(C519*Inputs!$D$33)</f>
        <v>0.37387411011058286</v>
      </c>
      <c r="Q519" s="38">
        <f>IF(P519&gt;=1,999,P519/(Inputs!$D$33*(1-P519))*60)</f>
        <v>0.89568435712652228</v>
      </c>
      <c r="R519" s="37">
        <f>MIN(1,MAX(0,(Q519-Inputs!$D$36)/(Inputs!$D$37-Inputs!$D$36)))</f>
        <v>0</v>
      </c>
      <c r="S519" s="35">
        <f>Inputs!$D$6*E519*Inputs!$D$27*(1-Inputs!$D$38*R519)</f>
        <v>4237.2399145866057</v>
      </c>
      <c r="T519" s="39">
        <f>S519*Inputs!$D$12</f>
        <v>67795.838633385691</v>
      </c>
      <c r="U519" s="39">
        <f>T519*(1-Inputs!$D$18)</f>
        <v>30508.127385023559</v>
      </c>
      <c r="V519" s="35">
        <f>Inputs!$D$6*F519*Inputs!$D$28*Inputs!$D$31</f>
        <v>674.41919999999993</v>
      </c>
      <c r="W519" s="36">
        <f>V519/(B519*Inputs!$D$34)</f>
        <v>0.96345599999999987</v>
      </c>
      <c r="X519" s="38">
        <f>IF(W519&gt;=1,999,W519/(Inputs!$D$34*(1-W519))*60)</f>
        <v>45.195896922691851</v>
      </c>
      <c r="Y519" s="37">
        <f>MIN(1,MAX(0,(X519-Inputs!$D$36)/(Inputs!$D$37-Inputs!$D$36)))</f>
        <v>1</v>
      </c>
      <c r="Z519" s="35">
        <f>Inputs!$D$6*F519*Inputs!$D$28*(1-Inputs!$D$38*Y519)</f>
        <v>2853.3119999999999</v>
      </c>
      <c r="AA519" s="39">
        <f>Z519*Inputs!$D$13</f>
        <v>24253.151999999998</v>
      </c>
      <c r="AB519" s="39">
        <f>AA519*(1-Inputs!$D$19)</f>
        <v>14551.891199999998</v>
      </c>
      <c r="AC519" s="39">
        <f t="shared" si="32"/>
        <v>362181.44063338568</v>
      </c>
      <c r="AD519" s="39">
        <f t="shared" si="33"/>
        <v>139606.37608502357</v>
      </c>
      <c r="AE519" s="36">
        <f t="shared" si="34"/>
        <v>0.96345599999999987</v>
      </c>
      <c r="AF519" s="35">
        <f>IF(AND(AE519&lt;=Inputs!$D$35,C519&gt;=Inputs!$D$48*(A519+B519+C519),B519*Inputs!$D$22&lt;=Inputs!$D$50*Inputs!$D$8,B519*Inputs!$D$22&gt;=Inputs!$D$49*Inputs!$D$8,A519*Inputs!$D$20&lt;=Inputs!$D$47*Inputs!$D$8,C519&gt;=1),1,0)</f>
        <v>0</v>
      </c>
      <c r="AG519" s="39">
        <f t="shared" si="35"/>
        <v>-1</v>
      </c>
    </row>
    <row r="520" spans="1:33" x14ac:dyDescent="0.25">
      <c r="A520" s="35">
        <v>46</v>
      </c>
      <c r="B520" s="35">
        <v>21</v>
      </c>
      <c r="C520" s="35">
        <f>Inputs!$D$8-A520-Inputs!$D$22*B520</f>
        <v>32</v>
      </c>
      <c r="D520" s="35">
        <f>A520*Inputs!$D$20+C520*Inputs!$D$21+B520*Inputs!$D$22</f>
        <v>120</v>
      </c>
      <c r="E520" s="36">
        <f>MIN(Inputs!$E$15,Inputs!$D$15*(C520/Inputs!$D$43)^Inputs!$D$44)</f>
        <v>0.34998251836560429</v>
      </c>
      <c r="F520" s="36">
        <f>MIN(Inputs!$E$16,Inputs!$D$16*(B520/Inputs!$D$42)^Inputs!$D$44)</f>
        <v>0.40589787816896217</v>
      </c>
      <c r="G520" s="37">
        <f>Inputs!$D$26*(1+Inputs!$D$41*(B520-Inputs!$D$42))</f>
        <v>1.5150000000000001</v>
      </c>
      <c r="H520" s="35">
        <f>Inputs!$D$6*Inputs!$D$14*G520*Inputs!$D$29</f>
        <v>1903.4914500000004</v>
      </c>
      <c r="I520" s="36">
        <f>H520/(A520*Inputs!$D$32)</f>
        <v>0.75236816205533619</v>
      </c>
      <c r="J520" s="38">
        <f>IF(I520&gt;=1,999,I520/(Inputs!$D$32*(1-I520))*60)</f>
        <v>3.3144577632224328</v>
      </c>
      <c r="K520" s="37">
        <f>MIN(1,MAX(0,(J520-Inputs!$D$36)/(Inputs!$D$37-Inputs!$D$36)))</f>
        <v>0</v>
      </c>
      <c r="L520" s="35">
        <f>Inputs!$D$6*Inputs!$D$14*G520*(1-Inputs!$D$38*K520)</f>
        <v>12689.943000000003</v>
      </c>
      <c r="M520" s="39">
        <f>L520*Inputs!$D$11</f>
        <v>272833.77450000006</v>
      </c>
      <c r="N520" s="39">
        <f>M520*(1-Inputs!$D$17)</f>
        <v>95491.821075000014</v>
      </c>
      <c r="O520" s="35">
        <f>Inputs!$D$6*E520*Inputs!$D$27*Inputs!$D$30</f>
        <v>499.30465972139962</v>
      </c>
      <c r="P520" s="36">
        <f>O520/(C520*Inputs!$D$33)</f>
        <v>0.39008176540734346</v>
      </c>
      <c r="Q520" s="38">
        <f>IF(P520&gt;=1,999,P520/(Inputs!$D$33*(1-P520))*60)</f>
        <v>0.95934604824825165</v>
      </c>
      <c r="R520" s="37">
        <f>MIN(1,MAX(0,(Q520-Inputs!$D$36)/(Inputs!$D$37-Inputs!$D$36)))</f>
        <v>0</v>
      </c>
      <c r="S520" s="35">
        <f>Inputs!$D$6*E520*Inputs!$D$27*(1-Inputs!$D$38*R520)</f>
        <v>4160.8721643449971</v>
      </c>
      <c r="T520" s="39">
        <f>S520*Inputs!$D$12</f>
        <v>66573.954629519954</v>
      </c>
      <c r="U520" s="39">
        <f>T520*(1-Inputs!$D$18)</f>
        <v>29958.279583283977</v>
      </c>
      <c r="V520" s="35">
        <f>Inputs!$D$6*F520*Inputs!$D$28*Inputs!$D$31</f>
        <v>684.36330569102222</v>
      </c>
      <c r="W520" s="36">
        <f>V520/(B520*Inputs!$D$34)</f>
        <v>0.93110653835513224</v>
      </c>
      <c r="X520" s="38">
        <f>IF(W520&gt;=1,999,W520/(Inputs!$D$34*(1-W520))*60)</f>
        <v>23.16885520150278</v>
      </c>
      <c r="Y520" s="37">
        <f>MIN(1,MAX(0,(X520-Inputs!$D$36)/(Inputs!$D$37-Inputs!$D$36)))</f>
        <v>1</v>
      </c>
      <c r="Z520" s="35">
        <f>Inputs!$D$6*F520*Inputs!$D$28*(1-Inputs!$D$38*Y520)</f>
        <v>2895.3832163850943</v>
      </c>
      <c r="AA520" s="39">
        <f>Z520*Inputs!$D$13</f>
        <v>24610.757339273303</v>
      </c>
      <c r="AB520" s="39">
        <f>AA520*(1-Inputs!$D$19)</f>
        <v>14766.454403563981</v>
      </c>
      <c r="AC520" s="39">
        <f t="shared" si="32"/>
        <v>364018.4864687933</v>
      </c>
      <c r="AD520" s="39">
        <f t="shared" si="33"/>
        <v>140216.55506184796</v>
      </c>
      <c r="AE520" s="36">
        <f t="shared" si="34"/>
        <v>0.93110653835513224</v>
      </c>
      <c r="AF520" s="35">
        <f>IF(AND(AE520&lt;=Inputs!$D$35,C520&gt;=Inputs!$D$48*(A520+B520+C520),B520*Inputs!$D$22&lt;=Inputs!$D$50*Inputs!$D$8,B520*Inputs!$D$22&gt;=Inputs!$D$49*Inputs!$D$8,A520*Inputs!$D$20&lt;=Inputs!$D$47*Inputs!$D$8,C520&gt;=1),1,0)</f>
        <v>0</v>
      </c>
      <c r="AG520" s="39">
        <f t="shared" si="35"/>
        <v>-1</v>
      </c>
    </row>
    <row r="521" spans="1:33" x14ac:dyDescent="0.25">
      <c r="A521" s="35">
        <v>46</v>
      </c>
      <c r="B521" s="35">
        <v>22</v>
      </c>
      <c r="C521" s="35">
        <f>Inputs!$D$8-A521-Inputs!$D$22*B521</f>
        <v>30</v>
      </c>
      <c r="D521" s="35">
        <f>A521*Inputs!$D$20+C521*Inputs!$D$21+B521*Inputs!$D$22</f>
        <v>120</v>
      </c>
      <c r="E521" s="36">
        <f>MIN(Inputs!$E$15,Inputs!$D$15*(C521/Inputs!$D$43)^Inputs!$D$44)</f>
        <v>0.3432714897427589</v>
      </c>
      <c r="F521" s="36">
        <f>MIN(Inputs!$E$16,Inputs!$D$16*(B521/Inputs!$D$42)^Inputs!$D$44)</f>
        <v>0.41160230376843804</v>
      </c>
      <c r="G521" s="37">
        <f>Inputs!$D$26*(1+Inputs!$D$41*(B521-Inputs!$D$42))</f>
        <v>1.53</v>
      </c>
      <c r="H521" s="35">
        <f>Inputs!$D$6*Inputs!$D$14*G521*Inputs!$D$29</f>
        <v>1922.3379</v>
      </c>
      <c r="I521" s="36">
        <f>H521/(A521*Inputs!$D$32)</f>
        <v>0.75981735177865617</v>
      </c>
      <c r="J521" s="38">
        <f>IF(I521&gt;=1,999,I521/(Inputs!$D$32*(1-I521))*60)</f>
        <v>3.4510888385322884</v>
      </c>
      <c r="K521" s="37">
        <f>MIN(1,MAX(0,(J521-Inputs!$D$36)/(Inputs!$D$37-Inputs!$D$36)))</f>
        <v>0</v>
      </c>
      <c r="L521" s="35">
        <f>Inputs!$D$6*Inputs!$D$14*G521*(1-Inputs!$D$38*K521)</f>
        <v>12815.586000000001</v>
      </c>
      <c r="M521" s="39">
        <f>L521*Inputs!$D$11</f>
        <v>275535.09900000005</v>
      </c>
      <c r="N521" s="39">
        <f>M521*(1-Inputs!$D$17)</f>
        <v>96437.284650000016</v>
      </c>
      <c r="O521" s="35">
        <f>Inputs!$D$6*E521*Inputs!$D$27*Inputs!$D$30</f>
        <v>489.73033047044544</v>
      </c>
      <c r="P521" s="36">
        <f>O521/(C521*Inputs!$D$33)</f>
        <v>0.40810860872537119</v>
      </c>
      <c r="Q521" s="38">
        <f>IF(P521&gt;=1,999,P521/(Inputs!$D$33*(1-P521))*60)</f>
        <v>1.0342487187890559</v>
      </c>
      <c r="R521" s="37">
        <f>MIN(1,MAX(0,(Q521-Inputs!$D$36)/(Inputs!$D$37-Inputs!$D$36)))</f>
        <v>0</v>
      </c>
      <c r="S521" s="35">
        <f>Inputs!$D$6*E521*Inputs!$D$27*(1-Inputs!$D$38*R521)</f>
        <v>4081.0860872537123</v>
      </c>
      <c r="T521" s="39">
        <f>S521*Inputs!$D$12</f>
        <v>65297.377396059397</v>
      </c>
      <c r="U521" s="39">
        <f>T521*(1-Inputs!$D$18)</f>
        <v>29383.819828226726</v>
      </c>
      <c r="V521" s="35">
        <f>Inputs!$D$6*F521*Inputs!$D$28*Inputs!$D$31</f>
        <v>693.98124106416742</v>
      </c>
      <c r="W521" s="36">
        <f>V521/(B521*Inputs!$D$34)</f>
        <v>0.90127433904437326</v>
      </c>
      <c r="X521" s="38">
        <f>IF(W521&gt;=1,999,W521/(Inputs!$D$34*(1-W521))*60)</f>
        <v>15.649849381818807</v>
      </c>
      <c r="Y521" s="37">
        <f>MIN(1,MAX(0,(X521-Inputs!$D$36)/(Inputs!$D$37-Inputs!$D$36)))</f>
        <v>0.70998995878792048</v>
      </c>
      <c r="Z521" s="35">
        <f>Inputs!$D$6*F521*Inputs!$D$28*(1-Inputs!$D$38*Y521)</f>
        <v>3632.749002537963</v>
      </c>
      <c r="AA521" s="39">
        <f>Z521*Inputs!$D$13</f>
        <v>30878.366521572687</v>
      </c>
      <c r="AB521" s="39">
        <f>AA521*(1-Inputs!$D$19)</f>
        <v>18527.019912943611</v>
      </c>
      <c r="AC521" s="39">
        <f t="shared" si="32"/>
        <v>371710.84291763214</v>
      </c>
      <c r="AD521" s="39">
        <f t="shared" si="33"/>
        <v>144348.12439117036</v>
      </c>
      <c r="AE521" s="36">
        <f t="shared" si="34"/>
        <v>0.90127433904437326</v>
      </c>
      <c r="AF521" s="35">
        <f>IF(AND(AE521&lt;=Inputs!$D$35,C521&gt;=Inputs!$D$48*(A521+B521+C521),B521*Inputs!$D$22&lt;=Inputs!$D$50*Inputs!$D$8,B521*Inputs!$D$22&gt;=Inputs!$D$49*Inputs!$D$8,A521*Inputs!$D$20&lt;=Inputs!$D$47*Inputs!$D$8,C521&gt;=1),1,0)</f>
        <v>0</v>
      </c>
      <c r="AG521" s="39">
        <f t="shared" si="35"/>
        <v>-1</v>
      </c>
    </row>
    <row r="522" spans="1:33" x14ac:dyDescent="0.25">
      <c r="A522" s="35">
        <v>46</v>
      </c>
      <c r="B522" s="35">
        <v>23</v>
      </c>
      <c r="C522" s="35">
        <f>Inputs!$D$8-A522-Inputs!$D$22*B522</f>
        <v>28</v>
      </c>
      <c r="D522" s="35">
        <f>A522*Inputs!$D$20+C522*Inputs!$D$21+B522*Inputs!$D$22</f>
        <v>120</v>
      </c>
      <c r="E522" s="36">
        <f>MIN(Inputs!$E$15,Inputs!$D$15*(C522/Inputs!$D$43)^Inputs!$D$44)</f>
        <v>0.33623952833125714</v>
      </c>
      <c r="F522" s="36">
        <f>MIN(Inputs!$E$16,Inputs!$D$16*(B522/Inputs!$D$42)^Inputs!$D$44)</f>
        <v>0.41712800028621322</v>
      </c>
      <c r="G522" s="37">
        <f>Inputs!$D$26*(1+Inputs!$D$41*(B522-Inputs!$D$42))</f>
        <v>1.5449999999999999</v>
      </c>
      <c r="H522" s="35">
        <f>Inputs!$D$6*Inputs!$D$14*G522*Inputs!$D$29</f>
        <v>1941.18435</v>
      </c>
      <c r="I522" s="36">
        <f>H522/(A522*Inputs!$D$32)</f>
        <v>0.76726654150197626</v>
      </c>
      <c r="J522" s="38">
        <f>IF(I522&gt;=1,999,I522/(Inputs!$D$32*(1-I522))*60)</f>
        <v>3.5964663210725702</v>
      </c>
      <c r="K522" s="37">
        <f>MIN(1,MAX(0,(J522-Inputs!$D$36)/(Inputs!$D$37-Inputs!$D$36)))</f>
        <v>0</v>
      </c>
      <c r="L522" s="35">
        <f>Inputs!$D$6*Inputs!$D$14*G522*(1-Inputs!$D$38*K522)</f>
        <v>12941.229000000001</v>
      </c>
      <c r="M522" s="39">
        <f>L522*Inputs!$D$11</f>
        <v>278236.42350000003</v>
      </c>
      <c r="N522" s="39">
        <f>M522*(1-Inputs!$D$17)</f>
        <v>97382.748225000003</v>
      </c>
      <c r="O522" s="35">
        <f>Inputs!$D$6*E522*Inputs!$D$27*Inputs!$D$30</f>
        <v>479.69814053095797</v>
      </c>
      <c r="P522" s="36">
        <f>O522/(C522*Inputs!$D$33)</f>
        <v>0.42830191118835531</v>
      </c>
      <c r="Q522" s="38">
        <f>IF(P522&gt;=1,999,P522/(Inputs!$D$33*(1-P522))*60)</f>
        <v>1.1237624882006552</v>
      </c>
      <c r="R522" s="37">
        <f>MIN(1,MAX(0,(Q522-Inputs!$D$36)/(Inputs!$D$37-Inputs!$D$36)))</f>
        <v>0</v>
      </c>
      <c r="S522" s="35">
        <f>Inputs!$D$6*E522*Inputs!$D$27*(1-Inputs!$D$38*R522)</f>
        <v>3997.4845044246499</v>
      </c>
      <c r="T522" s="39">
        <f>S522*Inputs!$D$12</f>
        <v>63959.752070794399</v>
      </c>
      <c r="U522" s="39">
        <f>T522*(1-Inputs!$D$18)</f>
        <v>28781.888431857478</v>
      </c>
      <c r="V522" s="35">
        <f>Inputs!$D$6*F522*Inputs!$D$28*Inputs!$D$31</f>
        <v>703.29783062656929</v>
      </c>
      <c r="W522" s="36">
        <f>V522/(B522*Inputs!$D$34)</f>
        <v>0.87366190139946498</v>
      </c>
      <c r="X522" s="38">
        <f>IF(W522&gt;=1,999,W522/(Inputs!$D$34*(1-W522))*60)</f>
        <v>11.854746377182334</v>
      </c>
      <c r="Y522" s="37">
        <f>MIN(1,MAX(0,(X522-Inputs!$D$36)/(Inputs!$D$37-Inputs!$D$36)))</f>
        <v>0.45698309181215557</v>
      </c>
      <c r="Z522" s="35">
        <f>Inputs!$D$6*F522*Inputs!$D$28*(1-Inputs!$D$38*Y522)</f>
        <v>4297.4614071503011</v>
      </c>
      <c r="AA522" s="39">
        <f>Z522*Inputs!$D$13</f>
        <v>36528.421960777559</v>
      </c>
      <c r="AB522" s="39">
        <f>AA522*(1-Inputs!$D$19)</f>
        <v>21917.053176466536</v>
      </c>
      <c r="AC522" s="39">
        <f t="shared" si="32"/>
        <v>378724.59753157198</v>
      </c>
      <c r="AD522" s="39">
        <f t="shared" si="33"/>
        <v>148081.689833324</v>
      </c>
      <c r="AE522" s="36">
        <f t="shared" si="34"/>
        <v>0.87366190139946498</v>
      </c>
      <c r="AF522" s="35">
        <f>IF(AND(AE522&lt;=Inputs!$D$35,C522&gt;=Inputs!$D$48*(A522+B522+C522),B522*Inputs!$D$22&lt;=Inputs!$D$50*Inputs!$D$8,B522*Inputs!$D$22&gt;=Inputs!$D$49*Inputs!$D$8,A522*Inputs!$D$20&lt;=Inputs!$D$47*Inputs!$D$8,C522&gt;=1),1,0)</f>
        <v>0</v>
      </c>
      <c r="AG522" s="39">
        <f t="shared" si="35"/>
        <v>-1</v>
      </c>
    </row>
    <row r="523" spans="1:33" x14ac:dyDescent="0.25">
      <c r="A523" s="35">
        <v>46</v>
      </c>
      <c r="B523" s="35">
        <v>24</v>
      </c>
      <c r="C523" s="35">
        <f>Inputs!$D$8-A523-Inputs!$D$22*B523</f>
        <v>26</v>
      </c>
      <c r="D523" s="35">
        <f>A523*Inputs!$D$20+C523*Inputs!$D$21+B523*Inputs!$D$22</f>
        <v>120</v>
      </c>
      <c r="E523" s="36">
        <f>MIN(Inputs!$E$15,Inputs!$D$15*(C523/Inputs!$D$43)^Inputs!$D$44)</f>
        <v>0.32884660514387515</v>
      </c>
      <c r="F523" s="36">
        <f>MIN(Inputs!$E$16,Inputs!$D$16*(B523/Inputs!$D$42)^Inputs!$D$44)</f>
        <v>0.42248798737570326</v>
      </c>
      <c r="G523" s="37">
        <f>Inputs!$D$26*(1+Inputs!$D$41*(B523-Inputs!$D$42))</f>
        <v>1.56</v>
      </c>
      <c r="H523" s="35">
        <f>Inputs!$D$6*Inputs!$D$14*G523*Inputs!$D$29</f>
        <v>1960.0308</v>
      </c>
      <c r="I523" s="36">
        <f>H523/(A523*Inputs!$D$32)</f>
        <v>0.77471573122529647</v>
      </c>
      <c r="J523" s="38">
        <f>IF(I523&gt;=1,999,I523/(Inputs!$D$32*(1-I523))*60)</f>
        <v>3.7514578299701427</v>
      </c>
      <c r="K523" s="37">
        <f>MIN(1,MAX(0,(J523-Inputs!$D$36)/(Inputs!$D$37-Inputs!$D$36)))</f>
        <v>0</v>
      </c>
      <c r="L523" s="35">
        <f>Inputs!$D$6*Inputs!$D$14*G523*(1-Inputs!$D$38*K523)</f>
        <v>13066.872000000001</v>
      </c>
      <c r="M523" s="39">
        <f>L523*Inputs!$D$11</f>
        <v>280937.74800000002</v>
      </c>
      <c r="N523" s="39">
        <f>M523*(1-Inputs!$D$17)</f>
        <v>98328.211800000005</v>
      </c>
      <c r="O523" s="35">
        <f>Inputs!$D$6*E523*Inputs!$D$27*Inputs!$D$30</f>
        <v>469.15098230814039</v>
      </c>
      <c r="P523" s="36">
        <f>O523/(C523*Inputs!$D$33)</f>
        <v>0.45110671375782729</v>
      </c>
      <c r="Q523" s="38">
        <f>IF(P523&gt;=1,999,P523/(Inputs!$D$33*(1-P523))*60)</f>
        <v>1.2327716290160586</v>
      </c>
      <c r="R523" s="37">
        <f>MIN(1,MAX(0,(Q523-Inputs!$D$36)/(Inputs!$D$37-Inputs!$D$36)))</f>
        <v>0</v>
      </c>
      <c r="S523" s="35">
        <f>Inputs!$D$6*E523*Inputs!$D$27*(1-Inputs!$D$38*R523)</f>
        <v>3909.5915192345033</v>
      </c>
      <c r="T523" s="39">
        <f>S523*Inputs!$D$12</f>
        <v>62553.464307752052</v>
      </c>
      <c r="U523" s="39">
        <f>T523*(1-Inputs!$D$18)</f>
        <v>28149.058938488422</v>
      </c>
      <c r="V523" s="35">
        <f>Inputs!$D$6*F523*Inputs!$D$28*Inputs!$D$31</f>
        <v>712.33502613882979</v>
      </c>
      <c r="W523" s="36">
        <f>V523/(B523*Inputs!$D$34)</f>
        <v>0.84801788826051161</v>
      </c>
      <c r="X523" s="38">
        <f>IF(W523&gt;=1,999,W523/(Inputs!$D$34*(1-W523))*60)</f>
        <v>9.5652372155190832</v>
      </c>
      <c r="Y523" s="37">
        <f>MIN(1,MAX(0,(X523-Inputs!$D$36)/(Inputs!$D$37-Inputs!$D$36)))</f>
        <v>0.30434914770127219</v>
      </c>
      <c r="Z523" s="35">
        <f>Inputs!$D$6*F523*Inputs!$D$28*(1-Inputs!$D$38*Y523)</f>
        <v>4729.0436538571339</v>
      </c>
      <c r="AA523" s="39">
        <f>Z523*Inputs!$D$13</f>
        <v>40196.87105778564</v>
      </c>
      <c r="AB523" s="39">
        <f>AA523*(1-Inputs!$D$19)</f>
        <v>24118.122634671385</v>
      </c>
      <c r="AC523" s="39">
        <f t="shared" si="32"/>
        <v>383688.08336553769</v>
      </c>
      <c r="AD523" s="39">
        <f t="shared" si="33"/>
        <v>150595.39337315981</v>
      </c>
      <c r="AE523" s="36">
        <f t="shared" si="34"/>
        <v>0.84801788826051161</v>
      </c>
      <c r="AF523" s="35">
        <f>IF(AND(AE523&lt;=Inputs!$D$35,C523&gt;=Inputs!$D$48*(A523+B523+C523),B523*Inputs!$D$22&lt;=Inputs!$D$50*Inputs!$D$8,B523*Inputs!$D$22&gt;=Inputs!$D$49*Inputs!$D$8,A523*Inputs!$D$20&lt;=Inputs!$D$47*Inputs!$D$8,C523&gt;=1),1,0)</f>
        <v>1</v>
      </c>
      <c r="AG523" s="39">
        <f t="shared" si="35"/>
        <v>150595.39337315981</v>
      </c>
    </row>
    <row r="524" spans="1:33" x14ac:dyDescent="0.25">
      <c r="A524" s="35">
        <v>46</v>
      </c>
      <c r="B524" s="35">
        <v>25</v>
      </c>
      <c r="C524" s="35">
        <f>Inputs!$D$8-A524-Inputs!$D$22*B524</f>
        <v>24</v>
      </c>
      <c r="D524" s="35">
        <f>A524*Inputs!$D$20+C524*Inputs!$D$21+B524*Inputs!$D$22</f>
        <v>120</v>
      </c>
      <c r="E524" s="36">
        <f>MIN(Inputs!$E$15,Inputs!$D$15*(C524/Inputs!$D$43)^Inputs!$D$44)</f>
        <v>0.32104412796367415</v>
      </c>
      <c r="F524" s="36">
        <f>MIN(Inputs!$E$16,Inputs!$D$16*(B524/Inputs!$D$42)^Inputs!$D$44)</f>
        <v>0.42769383999647526</v>
      </c>
      <c r="G524" s="37">
        <f>Inputs!$D$26*(1+Inputs!$D$41*(B524-Inputs!$D$42))</f>
        <v>1.5750000000000002</v>
      </c>
      <c r="H524" s="35">
        <f>Inputs!$D$6*Inputs!$D$14*G524*Inputs!$D$29</f>
        <v>1978.8772500000005</v>
      </c>
      <c r="I524" s="36">
        <f>H524/(A524*Inputs!$D$32)</f>
        <v>0.78216492094861678</v>
      </c>
      <c r="J524" s="38">
        <f>IF(I524&gt;=1,999,I524/(Inputs!$D$32*(1-I524))*60)</f>
        <v>3.9170496623813555</v>
      </c>
      <c r="K524" s="37">
        <f>MIN(1,MAX(0,(J524-Inputs!$D$36)/(Inputs!$D$37-Inputs!$D$36)))</f>
        <v>0</v>
      </c>
      <c r="L524" s="35">
        <f>Inputs!$D$6*Inputs!$D$14*G524*(1-Inputs!$D$38*K524)</f>
        <v>13192.515000000003</v>
      </c>
      <c r="M524" s="39">
        <f>L524*Inputs!$D$11</f>
        <v>283639.07250000007</v>
      </c>
      <c r="N524" s="39">
        <f>M524*(1-Inputs!$D$17)</f>
        <v>99273.675375000021</v>
      </c>
      <c r="O524" s="35">
        <f>Inputs!$D$6*E524*Inputs!$D$27*Inputs!$D$30</f>
        <v>458.01953142414351</v>
      </c>
      <c r="P524" s="36">
        <f>O524/(C524*Inputs!$D$33)</f>
        <v>0.47710367856681618</v>
      </c>
      <c r="Q524" s="38">
        <f>IF(P524&gt;=1,999,P524/(Inputs!$D$33*(1-P524))*60)</f>
        <v>1.3686375071232384</v>
      </c>
      <c r="R524" s="37">
        <f>MIN(1,MAX(0,(Q524-Inputs!$D$36)/(Inputs!$D$37-Inputs!$D$36)))</f>
        <v>0</v>
      </c>
      <c r="S524" s="35">
        <f>Inputs!$D$6*E524*Inputs!$D$27*(1-Inputs!$D$38*R524)</f>
        <v>3816.8294285345296</v>
      </c>
      <c r="T524" s="39">
        <f>S524*Inputs!$D$12</f>
        <v>61069.270856552474</v>
      </c>
      <c r="U524" s="39">
        <f>T524*(1-Inputs!$D$18)</f>
        <v>27481.17188544861</v>
      </c>
      <c r="V524" s="35">
        <f>Inputs!$D$6*F524*Inputs!$D$28*Inputs!$D$31</f>
        <v>721.1123435383771</v>
      </c>
      <c r="W524" s="36">
        <f>V524/(B524*Inputs!$D$34)</f>
        <v>0.82412839261528814</v>
      </c>
      <c r="X524" s="38">
        <f>IF(W524&gt;=1,999,W524/(Inputs!$D$34*(1-W524))*60)</f>
        <v>8.0330847668163621</v>
      </c>
      <c r="Y524" s="37">
        <f>MIN(1,MAX(0,(X524-Inputs!$D$36)/(Inputs!$D$37-Inputs!$D$36)))</f>
        <v>0.20220565112109082</v>
      </c>
      <c r="Z524" s="35">
        <f>Inputs!$D$6*F524*Inputs!$D$28*(1-Inputs!$D$38*Y524)</f>
        <v>5042.2807508299393</v>
      </c>
      <c r="AA524" s="39">
        <f>Z524*Inputs!$D$13</f>
        <v>42859.386382054487</v>
      </c>
      <c r="AB524" s="39">
        <f>AA524*(1-Inputs!$D$19)</f>
        <v>25715.631829232691</v>
      </c>
      <c r="AC524" s="39">
        <f t="shared" si="32"/>
        <v>387567.72973860701</v>
      </c>
      <c r="AD524" s="39">
        <f t="shared" si="33"/>
        <v>152470.47908968132</v>
      </c>
      <c r="AE524" s="36">
        <f t="shared" si="34"/>
        <v>0.82412839261528814</v>
      </c>
      <c r="AF524" s="35">
        <f>IF(AND(AE524&lt;=Inputs!$D$35,C524&gt;=Inputs!$D$48*(A524+B524+C524),B524*Inputs!$D$22&lt;=Inputs!$D$50*Inputs!$D$8,B524*Inputs!$D$22&gt;=Inputs!$D$49*Inputs!$D$8,A524*Inputs!$D$20&lt;=Inputs!$D$47*Inputs!$D$8,C524&gt;=1),1,0)</f>
        <v>1</v>
      </c>
      <c r="AG524" s="39">
        <f t="shared" si="35"/>
        <v>152470.47908968132</v>
      </c>
    </row>
    <row r="525" spans="1:33" x14ac:dyDescent="0.25">
      <c r="A525" s="35">
        <v>46</v>
      </c>
      <c r="B525" s="35">
        <v>26</v>
      </c>
      <c r="C525" s="35">
        <f>Inputs!$D$8-A525-Inputs!$D$22*B525</f>
        <v>22</v>
      </c>
      <c r="D525" s="35">
        <f>A525*Inputs!$D$20+C525*Inputs!$D$21+B525*Inputs!$D$22</f>
        <v>120</v>
      </c>
      <c r="E525" s="36">
        <f>MIN(Inputs!$E$15,Inputs!$D$15*(C525/Inputs!$D$43)^Inputs!$D$44)</f>
        <v>0.31277221277221301</v>
      </c>
      <c r="F525" s="36">
        <f>MIN(Inputs!$E$16,Inputs!$D$16*(B525/Inputs!$D$42)^Inputs!$D$44)</f>
        <v>0.43275589945781112</v>
      </c>
      <c r="G525" s="37">
        <f>Inputs!$D$26*(1+Inputs!$D$41*(B525-Inputs!$D$42))</f>
        <v>1.59</v>
      </c>
      <c r="H525" s="35">
        <f>Inputs!$D$6*Inputs!$D$14*G525*Inputs!$D$29</f>
        <v>1997.7237</v>
      </c>
      <c r="I525" s="36">
        <f>H525/(A525*Inputs!$D$32)</f>
        <v>0.78961411067193676</v>
      </c>
      <c r="J525" s="38">
        <f>IF(I525&gt;=1,999,I525/(Inputs!$D$32*(1-I525))*60)</f>
        <v>4.094367803816449</v>
      </c>
      <c r="K525" s="37">
        <f>MIN(1,MAX(0,(J525-Inputs!$D$36)/(Inputs!$D$37-Inputs!$D$36)))</f>
        <v>0</v>
      </c>
      <c r="L525" s="35">
        <f>Inputs!$D$6*Inputs!$D$14*G525*(1-Inputs!$D$38*K525)</f>
        <v>13318.158000000001</v>
      </c>
      <c r="M525" s="39">
        <f>L525*Inputs!$D$11</f>
        <v>286340.39700000006</v>
      </c>
      <c r="N525" s="39">
        <f>M525*(1-Inputs!$D$17)</f>
        <v>100219.13895000001</v>
      </c>
      <c r="O525" s="35">
        <f>Inputs!$D$6*E525*Inputs!$D$27*Inputs!$D$30</f>
        <v>446.21835398475434</v>
      </c>
      <c r="P525" s="36">
        <f>O525/(C525*Inputs!$D$33)</f>
        <v>0.50706631134631175</v>
      </c>
      <c r="Q525" s="38">
        <f>IF(P525&gt;=1,999,P525/(Inputs!$D$33*(1-P525))*60)</f>
        <v>1.543005650713049</v>
      </c>
      <c r="R525" s="37">
        <f>MIN(1,MAX(0,(Q525-Inputs!$D$36)/(Inputs!$D$37-Inputs!$D$36)))</f>
        <v>0</v>
      </c>
      <c r="S525" s="35">
        <f>Inputs!$D$6*E525*Inputs!$D$27*(1-Inputs!$D$38*R525)</f>
        <v>3718.4862832062863</v>
      </c>
      <c r="T525" s="39">
        <f>S525*Inputs!$D$12</f>
        <v>59495.780531300581</v>
      </c>
      <c r="U525" s="39">
        <f>T525*(1-Inputs!$D$18)</f>
        <v>26773.101239085259</v>
      </c>
      <c r="V525" s="35">
        <f>Inputs!$D$6*F525*Inputs!$D$28*Inputs!$D$31</f>
        <v>729.64721876904355</v>
      </c>
      <c r="W525" s="36">
        <f>V525/(B525*Inputs!$D$34)</f>
        <v>0.80181013051543248</v>
      </c>
      <c r="X525" s="38">
        <f>IF(W525&gt;=1,999,W525/(Inputs!$D$34*(1-W525))*60)</f>
        <v>6.9354284146153136</v>
      </c>
      <c r="Y525" s="37">
        <f>MIN(1,MAX(0,(X525-Inputs!$D$36)/(Inputs!$D$37-Inputs!$D$36)))</f>
        <v>0.12902856097435425</v>
      </c>
      <c r="Z525" s="35">
        <f>Inputs!$D$6*F525*Inputs!$D$28*(1-Inputs!$D$38*Y525)</f>
        <v>5286.7832305655711</v>
      </c>
      <c r="AA525" s="39">
        <f>Z525*Inputs!$D$13</f>
        <v>44937.657459807357</v>
      </c>
      <c r="AB525" s="39">
        <f>AA525*(1-Inputs!$D$19)</f>
        <v>26962.594475884413</v>
      </c>
      <c r="AC525" s="39">
        <f t="shared" si="32"/>
        <v>390773.83499110799</v>
      </c>
      <c r="AD525" s="39">
        <f t="shared" si="33"/>
        <v>153954.83466496968</v>
      </c>
      <c r="AE525" s="36">
        <f t="shared" si="34"/>
        <v>0.80181013051543248</v>
      </c>
      <c r="AF525" s="35">
        <f>IF(AND(AE525&lt;=Inputs!$D$35,C525&gt;=Inputs!$D$48*(A525+B525+C525),B525*Inputs!$D$22&lt;=Inputs!$D$50*Inputs!$D$8,B525*Inputs!$D$22&gt;=Inputs!$D$49*Inputs!$D$8,A525*Inputs!$D$20&lt;=Inputs!$D$47*Inputs!$D$8,C525&gt;=1),1,0)</f>
        <v>1</v>
      </c>
      <c r="AG525" s="39">
        <f t="shared" si="35"/>
        <v>153954.83466496968</v>
      </c>
    </row>
    <row r="526" spans="1:33" x14ac:dyDescent="0.25">
      <c r="A526" s="35">
        <v>46</v>
      </c>
      <c r="B526" s="35">
        <v>27</v>
      </c>
      <c r="C526" s="35">
        <f>Inputs!$D$8-A526-Inputs!$D$22*B526</f>
        <v>20</v>
      </c>
      <c r="D526" s="35">
        <f>A526*Inputs!$D$20+C526*Inputs!$D$21+B526*Inputs!$D$22</f>
        <v>120</v>
      </c>
      <c r="E526" s="36">
        <f>MIN(Inputs!$E$15,Inputs!$D$15*(C526/Inputs!$D$43)^Inputs!$D$44)</f>
        <v>0.30395574554235194</v>
      </c>
      <c r="F526" s="36">
        <f>MIN(Inputs!$E$16,Inputs!$D$16*(B526/Inputs!$D$42)^Inputs!$D$44)</f>
        <v>0.43768344678187454</v>
      </c>
      <c r="G526" s="37">
        <f>Inputs!$D$26*(1+Inputs!$D$41*(B526-Inputs!$D$42))</f>
        <v>1.605</v>
      </c>
      <c r="H526" s="35">
        <f>Inputs!$D$6*Inputs!$D$14*G526*Inputs!$D$29</f>
        <v>2016.57015</v>
      </c>
      <c r="I526" s="36">
        <f>H526/(A526*Inputs!$D$32)</f>
        <v>0.79706330039525697</v>
      </c>
      <c r="J526" s="38">
        <f>IF(I526&gt;=1,999,I526/(Inputs!$D$32*(1-I526))*60)</f>
        <v>4.2847035658150956</v>
      </c>
      <c r="K526" s="37">
        <f>MIN(1,MAX(0,(J526-Inputs!$D$36)/(Inputs!$D$37-Inputs!$D$36)))</f>
        <v>0</v>
      </c>
      <c r="L526" s="35">
        <f>Inputs!$D$6*Inputs!$D$14*G526*(1-Inputs!$D$38*K526)</f>
        <v>13443.801000000001</v>
      </c>
      <c r="M526" s="39">
        <f>L526*Inputs!$D$11</f>
        <v>289041.72150000004</v>
      </c>
      <c r="N526" s="39">
        <f>M526*(1-Inputs!$D$17)</f>
        <v>101164.60252500001</v>
      </c>
      <c r="O526" s="35">
        <f>Inputs!$D$6*E526*Inputs!$D$27*Inputs!$D$30</f>
        <v>433.64028811246965</v>
      </c>
      <c r="P526" s="36">
        <f>O526/(C526*Inputs!$D$33)</f>
        <v>0.54205036014058705</v>
      </c>
      <c r="Q526" s="38">
        <f>IF(P526&gt;=1,999,P526/(Inputs!$D$33*(1-P526))*60)</f>
        <v>1.7754693299038049</v>
      </c>
      <c r="R526" s="37">
        <f>MIN(1,MAX(0,(Q526-Inputs!$D$36)/(Inputs!$D$37-Inputs!$D$36)))</f>
        <v>0</v>
      </c>
      <c r="S526" s="35">
        <f>Inputs!$D$6*E526*Inputs!$D$27*(1-Inputs!$D$38*R526)</f>
        <v>3613.6690676039138</v>
      </c>
      <c r="T526" s="39">
        <f>S526*Inputs!$D$12</f>
        <v>57818.705081662622</v>
      </c>
      <c r="U526" s="39">
        <f>T526*(1-Inputs!$D$18)</f>
        <v>26018.417286748176</v>
      </c>
      <c r="V526" s="35">
        <f>Inputs!$D$6*F526*Inputs!$D$28*Inputs!$D$31</f>
        <v>737.95530007968603</v>
      </c>
      <c r="W526" s="36">
        <f>V526/(B526*Inputs!$D$34)</f>
        <v>0.78090507944940324</v>
      </c>
      <c r="X526" s="38">
        <f>IF(W526&gt;=1,999,W526/(Inputs!$D$34*(1-W526))*60)</f>
        <v>6.1101116290101798</v>
      </c>
      <c r="Y526" s="37">
        <f>MIN(1,MAX(0,(X526-Inputs!$D$36)/(Inputs!$D$37-Inputs!$D$36)))</f>
        <v>7.4007441934011986E-2</v>
      </c>
      <c r="Z526" s="35">
        <f>Inputs!$D$6*F526*Inputs!$D$28*(1-Inputs!$D$38*Y526)</f>
        <v>5487.5301328495489</v>
      </c>
      <c r="AA526" s="39">
        <f>Z526*Inputs!$D$13</f>
        <v>46644.006129221169</v>
      </c>
      <c r="AB526" s="39">
        <f>AA526*(1-Inputs!$D$19)</f>
        <v>27986.4036775327</v>
      </c>
      <c r="AC526" s="39">
        <f t="shared" si="32"/>
        <v>393504.43271088385</v>
      </c>
      <c r="AD526" s="39">
        <f t="shared" si="33"/>
        <v>155169.42348928089</v>
      </c>
      <c r="AE526" s="36">
        <f t="shared" si="34"/>
        <v>0.79706330039525697</v>
      </c>
      <c r="AF526" s="35">
        <f>IF(AND(AE526&lt;=Inputs!$D$35,C526&gt;=Inputs!$D$48*(A526+B526+C526),B526*Inputs!$D$22&lt;=Inputs!$D$50*Inputs!$D$8,B526*Inputs!$D$22&gt;=Inputs!$D$49*Inputs!$D$8,A526*Inputs!$D$20&lt;=Inputs!$D$47*Inputs!$D$8,C526&gt;=1),1,0)</f>
        <v>1</v>
      </c>
      <c r="AG526" s="39">
        <f t="shared" si="35"/>
        <v>155169.42348928089</v>
      </c>
    </row>
    <row r="527" spans="1:33" x14ac:dyDescent="0.25">
      <c r="A527" s="35">
        <v>46</v>
      </c>
      <c r="B527" s="35">
        <v>28</v>
      </c>
      <c r="C527" s="35">
        <f>Inputs!$D$8-A527-Inputs!$D$22*B527</f>
        <v>18</v>
      </c>
      <c r="D527" s="35">
        <f>A527*Inputs!$D$20+C527*Inputs!$D$21+B527*Inputs!$D$22</f>
        <v>120</v>
      </c>
      <c r="E527" s="36">
        <f>MIN(Inputs!$E$15,Inputs!$D$15*(C527/Inputs!$D$43)^Inputs!$D$44)</f>
        <v>0.29449851547238159</v>
      </c>
      <c r="F527" s="36">
        <f>MIN(Inputs!$E$16,Inputs!$D$16*(B527/Inputs!$D$42)^Inputs!$D$44)</f>
        <v>0.44248484624799689</v>
      </c>
      <c r="G527" s="37">
        <f>Inputs!$D$26*(1+Inputs!$D$41*(B527-Inputs!$D$42))</f>
        <v>1.62</v>
      </c>
      <c r="H527" s="35">
        <f>Inputs!$D$6*Inputs!$D$14*G527*Inputs!$D$29</f>
        <v>2035.4166</v>
      </c>
      <c r="I527" s="36">
        <f>H527/(A527*Inputs!$D$32)</f>
        <v>0.80451249011857706</v>
      </c>
      <c r="J527" s="38">
        <f>IF(I527&gt;=1,999,I527/(Inputs!$D$32*(1-I527))*60)</f>
        <v>4.4895450852723169</v>
      </c>
      <c r="K527" s="37">
        <f>MIN(1,MAX(0,(J527-Inputs!$D$36)/(Inputs!$D$37-Inputs!$D$36)))</f>
        <v>0</v>
      </c>
      <c r="L527" s="35">
        <f>Inputs!$D$6*Inputs!$D$14*G527*(1-Inputs!$D$38*K527)</f>
        <v>13569.444000000001</v>
      </c>
      <c r="M527" s="39">
        <f>L527*Inputs!$D$11</f>
        <v>291743.04600000003</v>
      </c>
      <c r="N527" s="39">
        <f>M527*(1-Inputs!$D$17)</f>
        <v>102110.06610000001</v>
      </c>
      <c r="O527" s="35">
        <f>Inputs!$D$6*E527*Inputs!$D$27*Inputs!$D$30</f>
        <v>420.14807408976606</v>
      </c>
      <c r="P527" s="36">
        <f>O527/(C527*Inputs!$D$33)</f>
        <v>0.58353899179134172</v>
      </c>
      <c r="Q527" s="38">
        <f>IF(P527&gt;=1,999,P527/(Inputs!$D$33*(1-P527))*60)</f>
        <v>2.1017777665477375</v>
      </c>
      <c r="R527" s="37">
        <f>MIN(1,MAX(0,(Q527-Inputs!$D$36)/(Inputs!$D$37-Inputs!$D$36)))</f>
        <v>0</v>
      </c>
      <c r="S527" s="35">
        <f>Inputs!$D$6*E527*Inputs!$D$27*(1-Inputs!$D$38*R527)</f>
        <v>3501.2339507480506</v>
      </c>
      <c r="T527" s="39">
        <f>S527*Inputs!$D$12</f>
        <v>56019.743211968809</v>
      </c>
      <c r="U527" s="39">
        <f>T527*(1-Inputs!$D$18)</f>
        <v>25208.88444538596</v>
      </c>
      <c r="V527" s="35">
        <f>Inputs!$D$6*F527*Inputs!$D$28*Inputs!$D$31</f>
        <v>746.05069004674272</v>
      </c>
      <c r="W527" s="36">
        <f>V527/(B527*Inputs!$D$34)</f>
        <v>0.76127621433341097</v>
      </c>
      <c r="X527" s="38">
        <f>IF(W527&gt;=1,999,W527/(Inputs!$D$34*(1-W527))*60)</f>
        <v>5.4667570523531852</v>
      </c>
      <c r="Y527" s="37">
        <f>MIN(1,MAX(0,(X527-Inputs!$D$36)/(Inputs!$D$37-Inputs!$D$36)))</f>
        <v>3.111713682354568E-2</v>
      </c>
      <c r="Z527" s="35">
        <f>Inputs!$D$6*F527*Inputs!$D$28*(1-Inputs!$D$38*Y527)</f>
        <v>5658.4919801305723</v>
      </c>
      <c r="AA527" s="39">
        <f>Z527*Inputs!$D$13</f>
        <v>48097.181831109861</v>
      </c>
      <c r="AB527" s="39">
        <f>AA527*(1-Inputs!$D$19)</f>
        <v>28858.309098665915</v>
      </c>
      <c r="AC527" s="39">
        <f t="shared" si="32"/>
        <v>395859.97104307869</v>
      </c>
      <c r="AD527" s="39">
        <f t="shared" si="33"/>
        <v>156177.2596440519</v>
      </c>
      <c r="AE527" s="36">
        <f t="shared" si="34"/>
        <v>0.80451249011857706</v>
      </c>
      <c r="AF527" s="35">
        <f>IF(AND(AE527&lt;=Inputs!$D$35,C527&gt;=Inputs!$D$48*(A527+B527+C527),B527*Inputs!$D$22&lt;=Inputs!$D$50*Inputs!$D$8,B527*Inputs!$D$22&gt;=Inputs!$D$49*Inputs!$D$8,A527*Inputs!$D$20&lt;=Inputs!$D$47*Inputs!$D$8,C527&gt;=1),1,0)</f>
        <v>0</v>
      </c>
      <c r="AG527" s="39">
        <f t="shared" si="35"/>
        <v>-1</v>
      </c>
    </row>
    <row r="528" spans="1:33" x14ac:dyDescent="0.25">
      <c r="A528" s="35">
        <v>46</v>
      </c>
      <c r="B528" s="35">
        <v>29</v>
      </c>
      <c r="C528" s="35">
        <f>Inputs!$D$8-A528-Inputs!$D$22*B528</f>
        <v>16</v>
      </c>
      <c r="D528" s="35">
        <f>A528*Inputs!$D$20+C528*Inputs!$D$21+B528*Inputs!$D$22</f>
        <v>120</v>
      </c>
      <c r="E528" s="36">
        <f>MIN(Inputs!$E$15,Inputs!$D$15*(C528/Inputs!$D$43)^Inputs!$D$44)</f>
        <v>0.2842741392252523</v>
      </c>
      <c r="F528" s="36">
        <f>MIN(Inputs!$E$16,Inputs!$D$16*(B528/Inputs!$D$42)^Inputs!$D$44)</f>
        <v>0.44716766511947192</v>
      </c>
      <c r="G528" s="37">
        <f>Inputs!$D$26*(1+Inputs!$D$41*(B528-Inputs!$D$42))</f>
        <v>1.6350000000000002</v>
      </c>
      <c r="H528" s="35">
        <f>Inputs!$D$6*Inputs!$D$14*G528*Inputs!$D$29</f>
        <v>2054.2630500000005</v>
      </c>
      <c r="I528" s="36">
        <f>H528/(A528*Inputs!$D$32)</f>
        <v>0.81196167984189738</v>
      </c>
      <c r="J528" s="38">
        <f>IF(I528&gt;=1,999,I528/(Inputs!$D$32*(1-I528))*60)</f>
        <v>4.7106163108912158</v>
      </c>
      <c r="K528" s="37">
        <f>MIN(1,MAX(0,(J528-Inputs!$D$36)/(Inputs!$D$37-Inputs!$D$36)))</f>
        <v>0</v>
      </c>
      <c r="L528" s="35">
        <f>Inputs!$D$6*Inputs!$D$14*G528*(1-Inputs!$D$38*K528)</f>
        <v>13695.087000000003</v>
      </c>
      <c r="M528" s="39">
        <f>L528*Inputs!$D$11</f>
        <v>294444.37050000008</v>
      </c>
      <c r="N528" s="39">
        <f>M528*(1-Inputs!$D$17)</f>
        <v>103055.52967500003</v>
      </c>
      <c r="O528" s="35">
        <f>Inputs!$D$6*E528*Inputs!$D$27*Inputs!$D$30</f>
        <v>405.56140637054153</v>
      </c>
      <c r="P528" s="36">
        <f>O528/(C528*Inputs!$D$33)</f>
        <v>0.63368969745397119</v>
      </c>
      <c r="Q528" s="38">
        <f>IF(P528&gt;=1,999,P528/(Inputs!$D$33*(1-P528))*60)</f>
        <v>2.5948889222451426</v>
      </c>
      <c r="R528" s="37">
        <f>MIN(1,MAX(0,(Q528-Inputs!$D$36)/(Inputs!$D$37-Inputs!$D$36)))</f>
        <v>0</v>
      </c>
      <c r="S528" s="35">
        <f>Inputs!$D$6*E528*Inputs!$D$27*(1-Inputs!$D$38*R528)</f>
        <v>3379.6783864211798</v>
      </c>
      <c r="T528" s="39">
        <f>S528*Inputs!$D$12</f>
        <v>54074.854182738876</v>
      </c>
      <c r="U528" s="39">
        <f>T528*(1-Inputs!$D$18)</f>
        <v>24333.684382232492</v>
      </c>
      <c r="V528" s="35">
        <f>Inputs!$D$6*F528*Inputs!$D$28*Inputs!$D$31</f>
        <v>753.9461474393554</v>
      </c>
      <c r="W528" s="36">
        <f>V528/(B528*Inputs!$D$34)</f>
        <v>0.74280408614714821</v>
      </c>
      <c r="X528" s="38">
        <f>IF(W528&gt;=1,999,W528/(Inputs!$D$34*(1-W528))*60)</f>
        <v>4.9510056918075414</v>
      </c>
      <c r="Y528" s="37">
        <f>MIN(1,MAX(0,(X528-Inputs!$D$36)/(Inputs!$D$37-Inputs!$D$36)))</f>
        <v>0</v>
      </c>
      <c r="Z528" s="35">
        <f>Inputs!$D$6*F528*Inputs!$D$28*(1-Inputs!$D$38*Y528)</f>
        <v>5799.5857495335031</v>
      </c>
      <c r="AA528" s="39">
        <f>Z528*Inputs!$D$13</f>
        <v>49296.478871034778</v>
      </c>
      <c r="AB528" s="39">
        <f>AA528*(1-Inputs!$D$19)</f>
        <v>29577.887322620867</v>
      </c>
      <c r="AC528" s="39">
        <f t="shared" si="32"/>
        <v>397815.7035537737</v>
      </c>
      <c r="AD528" s="39">
        <f t="shared" si="33"/>
        <v>156967.10137985338</v>
      </c>
      <c r="AE528" s="36">
        <f t="shared" si="34"/>
        <v>0.81196167984189738</v>
      </c>
      <c r="AF528" s="35">
        <f>IF(AND(AE528&lt;=Inputs!$D$35,C528&gt;=Inputs!$D$48*(A528+B528+C528),B528*Inputs!$D$22&lt;=Inputs!$D$50*Inputs!$D$8,B528*Inputs!$D$22&gt;=Inputs!$D$49*Inputs!$D$8,A528*Inputs!$D$20&lt;=Inputs!$D$47*Inputs!$D$8,C528&gt;=1),1,0)</f>
        <v>0</v>
      </c>
      <c r="AG528" s="39">
        <f t="shared" si="35"/>
        <v>-1</v>
      </c>
    </row>
    <row r="529" spans="1:33" x14ac:dyDescent="0.25">
      <c r="A529" s="35">
        <v>46</v>
      </c>
      <c r="B529" s="35">
        <v>30</v>
      </c>
      <c r="C529" s="35">
        <f>Inputs!$D$8-A529-Inputs!$D$22*B529</f>
        <v>14</v>
      </c>
      <c r="D529" s="35">
        <f>A529*Inputs!$D$20+C529*Inputs!$D$21+B529*Inputs!$D$22</f>
        <v>120</v>
      </c>
      <c r="E529" s="36">
        <f>MIN(Inputs!$E$15,Inputs!$D$15*(C529/Inputs!$D$43)^Inputs!$D$44)</f>
        <v>0.27311136263675401</v>
      </c>
      <c r="F529" s="36">
        <f>MIN(Inputs!$E$16,Inputs!$D$16*(B529/Inputs!$D$42)^Inputs!$D$44)</f>
        <v>0.45173877418274222</v>
      </c>
      <c r="G529" s="37">
        <f>Inputs!$D$26*(1+Inputs!$D$41*(B529-Inputs!$D$42))</f>
        <v>1.6500000000000001</v>
      </c>
      <c r="H529" s="35">
        <f>Inputs!$D$6*Inputs!$D$14*G529*Inputs!$D$29</f>
        <v>2073.1095000000005</v>
      </c>
      <c r="I529" s="36">
        <f>H529/(A529*Inputs!$D$32)</f>
        <v>0.81941086956521758</v>
      </c>
      <c r="J529" s="38">
        <f>IF(I529&gt;=1,999,I529/(Inputs!$D$32*(1-I529))*60)</f>
        <v>4.9499256386377111</v>
      </c>
      <c r="K529" s="37">
        <f>MIN(1,MAX(0,(J529-Inputs!$D$36)/(Inputs!$D$37-Inputs!$D$36)))</f>
        <v>0</v>
      </c>
      <c r="L529" s="35">
        <f>Inputs!$D$6*Inputs!$D$14*G529*(1-Inputs!$D$38*K529)</f>
        <v>13820.730000000003</v>
      </c>
      <c r="M529" s="39">
        <f>L529*Inputs!$D$11</f>
        <v>297145.69500000007</v>
      </c>
      <c r="N529" s="39">
        <f>M529*(1-Inputs!$D$17)</f>
        <v>104000.99325000001</v>
      </c>
      <c r="O529" s="35">
        <f>Inputs!$D$6*E529*Inputs!$D$27*Inputs!$D$30</f>
        <v>389.63596417390096</v>
      </c>
      <c r="P529" s="36">
        <f>O529/(C529*Inputs!$D$33)</f>
        <v>0.69577850745339453</v>
      </c>
      <c r="Q529" s="38">
        <f>IF(P529&gt;=1,999,P529/(Inputs!$D$33*(1-P529))*60)</f>
        <v>3.4306181080227471</v>
      </c>
      <c r="R529" s="37">
        <f>MIN(1,MAX(0,(Q529-Inputs!$D$36)/(Inputs!$D$37-Inputs!$D$36)))</f>
        <v>0</v>
      </c>
      <c r="S529" s="35">
        <f>Inputs!$D$6*E529*Inputs!$D$27*(1-Inputs!$D$38*R529)</f>
        <v>3246.9663681158413</v>
      </c>
      <c r="T529" s="39">
        <f>S529*Inputs!$D$12</f>
        <v>51951.461889853461</v>
      </c>
      <c r="U529" s="39">
        <f>T529*(1-Inputs!$D$18)</f>
        <v>23378.157850434054</v>
      </c>
      <c r="V529" s="35">
        <f>Inputs!$D$6*F529*Inputs!$D$28*Inputs!$D$31</f>
        <v>761.65325673326424</v>
      </c>
      <c r="W529" s="36">
        <f>V529/(B529*Inputs!$D$34)</f>
        <v>0.72538405403168027</v>
      </c>
      <c r="X529" s="38">
        <f>IF(W529&gt;=1,999,W529/(Inputs!$D$34*(1-W529))*60)</f>
        <v>4.5281985239874629</v>
      </c>
      <c r="Y529" s="37">
        <f>MIN(1,MAX(0,(X529-Inputs!$D$36)/(Inputs!$D$37-Inputs!$D$36)))</f>
        <v>0</v>
      </c>
      <c r="Z529" s="35">
        <f>Inputs!$D$6*F529*Inputs!$D$28*(1-Inputs!$D$38*Y529)</f>
        <v>5858.8712056404938</v>
      </c>
      <c r="AA529" s="39">
        <f>Z529*Inputs!$D$13</f>
        <v>49800.405247944196</v>
      </c>
      <c r="AB529" s="39">
        <f>AA529*(1-Inputs!$D$19)</f>
        <v>29880.243148766516</v>
      </c>
      <c r="AC529" s="39">
        <f t="shared" si="32"/>
        <v>398897.56213779771</v>
      </c>
      <c r="AD529" s="39">
        <f t="shared" si="33"/>
        <v>157259.39424920059</v>
      </c>
      <c r="AE529" s="36">
        <f t="shared" si="34"/>
        <v>0.81941086956521758</v>
      </c>
      <c r="AF529" s="35">
        <f>IF(AND(AE529&lt;=Inputs!$D$35,C529&gt;=Inputs!$D$48*(A529+B529+C529),B529*Inputs!$D$22&lt;=Inputs!$D$50*Inputs!$D$8,B529*Inputs!$D$22&gt;=Inputs!$D$49*Inputs!$D$8,A529*Inputs!$D$20&lt;=Inputs!$D$47*Inputs!$D$8,C529&gt;=1),1,0)</f>
        <v>0</v>
      </c>
      <c r="AG529" s="39">
        <f t="shared" si="35"/>
        <v>-1</v>
      </c>
    </row>
    <row r="530" spans="1:33" x14ac:dyDescent="0.25">
      <c r="A530" s="35">
        <v>46</v>
      </c>
      <c r="B530" s="35">
        <v>31</v>
      </c>
      <c r="C530" s="35">
        <f>Inputs!$D$8-A530-Inputs!$D$22*B530</f>
        <v>12</v>
      </c>
      <c r="D530" s="35">
        <f>A530*Inputs!$D$20+C530*Inputs!$D$21+B530*Inputs!$D$22</f>
        <v>120</v>
      </c>
      <c r="E530" s="36">
        <f>MIN(Inputs!$E$15,Inputs!$D$15*(C530/Inputs!$D$43)^Inputs!$D$44)</f>
        <v>0.26076886227459228</v>
      </c>
      <c r="F530" s="36">
        <f>MIN(Inputs!$E$16,Inputs!$D$16*(B530/Inputs!$D$42)^Inputs!$D$44)</f>
        <v>0.45620443270573335</v>
      </c>
      <c r="G530" s="37">
        <f>Inputs!$D$26*(1+Inputs!$D$41*(B530-Inputs!$D$42))</f>
        <v>1.665</v>
      </c>
      <c r="H530" s="35">
        <f>Inputs!$D$6*Inputs!$D$14*G530*Inputs!$D$29</f>
        <v>2091.95595</v>
      </c>
      <c r="I530" s="36">
        <f>H530/(A530*Inputs!$D$32)</f>
        <v>0.82686005928853756</v>
      </c>
      <c r="J530" s="38">
        <f>IF(I530&gt;=1,999,I530/(Inputs!$D$32*(1-I530))*60)</f>
        <v>5.2098271021746871</v>
      </c>
      <c r="K530" s="37">
        <f>MIN(1,MAX(0,(J530-Inputs!$D$36)/(Inputs!$D$37-Inputs!$D$36)))</f>
        <v>1.3988473478312476E-2</v>
      </c>
      <c r="L530" s="35">
        <f>Inputs!$D$6*Inputs!$D$14*G530*(1-Inputs!$D$38*K530)</f>
        <v>13858.583189026882</v>
      </c>
      <c r="M530" s="39">
        <f>L530*Inputs!$D$11</f>
        <v>297959.53856407799</v>
      </c>
      <c r="N530" s="39">
        <f>M530*(1-Inputs!$D$17)</f>
        <v>104285.83849742729</v>
      </c>
      <c r="O530" s="35">
        <f>Inputs!$D$6*E530*Inputs!$D$27*Inputs!$D$30</f>
        <v>372.02746197722075</v>
      </c>
      <c r="P530" s="36">
        <f>O530/(C530*Inputs!$D$33)</f>
        <v>0.77505721245254322</v>
      </c>
      <c r="Q530" s="38">
        <f>IF(P530&gt;=1,999,P530/(Inputs!$D$33*(1-P530))*60)</f>
        <v>5.1683622816025654</v>
      </c>
      <c r="R530" s="37">
        <f>MIN(1,MAX(0,(Q530-Inputs!$D$36)/(Inputs!$D$37-Inputs!$D$36)))</f>
        <v>1.1224152106837693E-2</v>
      </c>
      <c r="S530" s="35">
        <f>Inputs!$D$6*E530*Inputs!$D$27*(1-Inputs!$D$38*R530)</f>
        <v>3084.5700017308486</v>
      </c>
      <c r="T530" s="39">
        <f>S530*Inputs!$D$12</f>
        <v>49353.120027693578</v>
      </c>
      <c r="U530" s="39">
        <f>T530*(1-Inputs!$D$18)</f>
        <v>22208.904012462106</v>
      </c>
      <c r="V530" s="35">
        <f>Inputs!$D$6*F530*Inputs!$D$28*Inputs!$D$31</f>
        <v>769.18257135463637</v>
      </c>
      <c r="W530" s="36">
        <f>V530/(B530*Inputs!$D$34)</f>
        <v>0.70892402889828232</v>
      </c>
      <c r="X530" s="38">
        <f>IF(W530&gt;=1,999,W530/(Inputs!$D$34*(1-W530))*60)</f>
        <v>4.1751929252501148</v>
      </c>
      <c r="Y530" s="37">
        <f>MIN(1,MAX(0,(X530-Inputs!$D$36)/(Inputs!$D$37-Inputs!$D$36)))</f>
        <v>0</v>
      </c>
      <c r="Z530" s="35">
        <f>Inputs!$D$6*F530*Inputs!$D$28*(1-Inputs!$D$38*Y530)</f>
        <v>5916.7890104202797</v>
      </c>
      <c r="AA530" s="39">
        <f>Z530*Inputs!$D$13</f>
        <v>50292.706588572379</v>
      </c>
      <c r="AB530" s="39">
        <f>AA530*(1-Inputs!$D$19)</f>
        <v>30175.623953143426</v>
      </c>
      <c r="AC530" s="39">
        <f t="shared" si="32"/>
        <v>397605.36518034391</v>
      </c>
      <c r="AD530" s="39">
        <f t="shared" si="33"/>
        <v>156670.36646303284</v>
      </c>
      <c r="AE530" s="36">
        <f t="shared" si="34"/>
        <v>0.82686005928853756</v>
      </c>
      <c r="AF530" s="35">
        <f>IF(AND(AE530&lt;=Inputs!$D$35,C530&gt;=Inputs!$D$48*(A530+B530+C530),B530*Inputs!$D$22&lt;=Inputs!$D$50*Inputs!$D$8,B530*Inputs!$D$22&gt;=Inputs!$D$49*Inputs!$D$8,A530*Inputs!$D$20&lt;=Inputs!$D$47*Inputs!$D$8,C530&gt;=1),1,0)</f>
        <v>0</v>
      </c>
      <c r="AG530" s="39">
        <f t="shared" si="35"/>
        <v>-1</v>
      </c>
    </row>
    <row r="531" spans="1:33" x14ac:dyDescent="0.25">
      <c r="A531" s="35">
        <v>46</v>
      </c>
      <c r="B531" s="35">
        <v>32</v>
      </c>
      <c r="C531" s="35">
        <f>Inputs!$D$8-A531-Inputs!$D$22*B531</f>
        <v>10</v>
      </c>
      <c r="D531" s="35">
        <f>A531*Inputs!$D$20+C531*Inputs!$D$21+B531*Inputs!$D$22</f>
        <v>120</v>
      </c>
      <c r="E531" s="36">
        <f>MIN(Inputs!$E$15,Inputs!$D$15*(C531/Inputs!$D$43)^Inputs!$D$44)</f>
        <v>0.24688878270302153</v>
      </c>
      <c r="F531" s="36">
        <f>MIN(Inputs!$E$16,Inputs!$D$16*(B531/Inputs!$D$42)^Inputs!$D$44)</f>
        <v>0.46057036065052986</v>
      </c>
      <c r="G531" s="37">
        <f>Inputs!$D$26*(1+Inputs!$D$41*(B531-Inputs!$D$42))</f>
        <v>1.6800000000000002</v>
      </c>
      <c r="H531" s="35">
        <f>Inputs!$D$6*Inputs!$D$14*G531*Inputs!$D$29</f>
        <v>2110.8024000000005</v>
      </c>
      <c r="I531" s="36">
        <f>H531/(A531*Inputs!$D$32)</f>
        <v>0.83430924901185788</v>
      </c>
      <c r="J531" s="38">
        <f>IF(I531&gt;=1,999,I531/(Inputs!$D$32*(1-I531))*60)</f>
        <v>5.4930980694372531</v>
      </c>
      <c r="K531" s="37">
        <f>MIN(1,MAX(0,(J531-Inputs!$D$36)/(Inputs!$D$37-Inputs!$D$36)))</f>
        <v>3.2873204629150207E-2</v>
      </c>
      <c r="L531" s="35">
        <f>Inputs!$D$6*Inputs!$D$14*G531*(1-Inputs!$D$38*K531)</f>
        <v>13863.8494823193</v>
      </c>
      <c r="M531" s="39">
        <f>L531*Inputs!$D$11</f>
        <v>298072.76386986492</v>
      </c>
      <c r="N531" s="39">
        <f>M531*(1-Inputs!$D$17)</f>
        <v>104325.46735445272</v>
      </c>
      <c r="O531" s="35">
        <f>Inputs!$D$6*E531*Inputs!$D$27*Inputs!$D$30</f>
        <v>352.22536317596189</v>
      </c>
      <c r="P531" s="36">
        <f>O531/(C531*Inputs!$D$33)</f>
        <v>0.88056340793990473</v>
      </c>
      <c r="Q531" s="38">
        <f>IF(P531&gt;=1,999,P531/(Inputs!$D$33*(1-P531))*60)</f>
        <v>11.05896517245959</v>
      </c>
      <c r="R531" s="37">
        <f>MIN(1,MAX(0,(Q531-Inputs!$D$36)/(Inputs!$D$37-Inputs!$D$36)))</f>
        <v>0.40393101149730604</v>
      </c>
      <c r="S531" s="35">
        <f>Inputs!$D$6*E531*Inputs!$D$27*(1-Inputs!$D$38*R531)</f>
        <v>2401.6810577146616</v>
      </c>
      <c r="T531" s="39">
        <f>S531*Inputs!$D$12</f>
        <v>38426.896923434586</v>
      </c>
      <c r="U531" s="39">
        <f>T531*(1-Inputs!$D$18)</f>
        <v>17292.103615545562</v>
      </c>
      <c r="V531" s="35">
        <f>Inputs!$D$6*F531*Inputs!$D$28*Inputs!$D$31</f>
        <v>776.54373543410452</v>
      </c>
      <c r="W531" s="36">
        <f>V531/(B531*Inputs!$D$34)</f>
        <v>0.69334262092330756</v>
      </c>
      <c r="X531" s="38">
        <f>IF(W531&gt;=1,999,W531/(Inputs!$D$34*(1-W531))*60)</f>
        <v>3.8759457011369869</v>
      </c>
      <c r="Y531" s="37">
        <f>MIN(1,MAX(0,(X531-Inputs!$D$36)/(Inputs!$D$37-Inputs!$D$36)))</f>
        <v>0</v>
      </c>
      <c r="Z531" s="35">
        <f>Inputs!$D$6*F531*Inputs!$D$28*(1-Inputs!$D$38*Y531)</f>
        <v>5973.4133494931111</v>
      </c>
      <c r="AA531" s="39">
        <f>Z531*Inputs!$D$13</f>
        <v>50774.013470691447</v>
      </c>
      <c r="AB531" s="39">
        <f>AA531*(1-Inputs!$D$19)</f>
        <v>30464.408082414866</v>
      </c>
      <c r="AC531" s="39">
        <f t="shared" si="32"/>
        <v>387273.67426399095</v>
      </c>
      <c r="AD531" s="39">
        <f t="shared" si="33"/>
        <v>152081.97905241314</v>
      </c>
      <c r="AE531" s="36">
        <f t="shared" si="34"/>
        <v>0.88056340793990473</v>
      </c>
      <c r="AF531" s="35">
        <f>IF(AND(AE531&lt;=Inputs!$D$35,C531&gt;=Inputs!$D$48*(A531+B531+C531),B531*Inputs!$D$22&lt;=Inputs!$D$50*Inputs!$D$8,B531*Inputs!$D$22&gt;=Inputs!$D$49*Inputs!$D$8,A531*Inputs!$D$20&lt;=Inputs!$D$47*Inputs!$D$8,C531&gt;=1),1,0)</f>
        <v>0</v>
      </c>
      <c r="AG531" s="39">
        <f t="shared" si="35"/>
        <v>-1</v>
      </c>
    </row>
    <row r="532" spans="1:33" x14ac:dyDescent="0.25">
      <c r="A532" s="35">
        <v>46</v>
      </c>
      <c r="B532" s="35">
        <v>33</v>
      </c>
      <c r="C532" s="35">
        <f>Inputs!$D$8-A532-Inputs!$D$22*B532</f>
        <v>8</v>
      </c>
      <c r="D532" s="35">
        <f>A532*Inputs!$D$20+C532*Inputs!$D$21+B532*Inputs!$D$22</f>
        <v>120</v>
      </c>
      <c r="E532" s="36">
        <f>MIN(Inputs!$E$15,Inputs!$D$15*(C532/Inputs!$D$43)^Inputs!$D$44)</f>
        <v>0.23090235080781729</v>
      </c>
      <c r="F532" s="36">
        <f>MIN(Inputs!$E$16,Inputs!$D$16*(B532/Inputs!$D$42)^Inputs!$D$44)</f>
        <v>0.46484180038786721</v>
      </c>
      <c r="G532" s="37">
        <f>Inputs!$D$26*(1+Inputs!$D$41*(B532-Inputs!$D$42))</f>
        <v>1.6949999999999998</v>
      </c>
      <c r="H532" s="35">
        <f>Inputs!$D$6*Inputs!$D$14*G532*Inputs!$D$29</f>
        <v>2129.64885</v>
      </c>
      <c r="I532" s="36">
        <f>H532/(A532*Inputs!$D$32)</f>
        <v>0.84175843873517786</v>
      </c>
      <c r="J532" s="38">
        <f>IF(I532&gt;=1,999,I532/(Inputs!$D$32*(1-I532))*60)</f>
        <v>5.8030388845119862</v>
      </c>
      <c r="K532" s="37">
        <f>MIN(1,MAX(0,(J532-Inputs!$D$36)/(Inputs!$D$37-Inputs!$D$36)))</f>
        <v>5.3535925634132418E-2</v>
      </c>
      <c r="L532" s="35">
        <f>Inputs!$D$6*Inputs!$D$14*G532*(1-Inputs!$D$38*K532)</f>
        <v>13855.620832618753</v>
      </c>
      <c r="M532" s="39">
        <f>L532*Inputs!$D$11</f>
        <v>297895.8479013032</v>
      </c>
      <c r="N532" s="39">
        <f>M532*(1-Inputs!$D$17)</f>
        <v>104263.54676545612</v>
      </c>
      <c r="O532" s="35">
        <f>Inputs!$D$6*E532*Inputs!$D$27*Inputs!$D$30</f>
        <v>329.41822419407742</v>
      </c>
      <c r="P532" s="36">
        <f>O532/(C532*Inputs!$D$33)</f>
        <v>1.029431950606492</v>
      </c>
      <c r="Q532" s="38">
        <f>IF(P532&gt;=1,999,P532/(Inputs!$D$33*(1-P532))*60)</f>
        <v>999</v>
      </c>
      <c r="R532" s="37">
        <f>MIN(1,MAX(0,(Q532-Inputs!$D$36)/(Inputs!$D$37-Inputs!$D$36)))</f>
        <v>1</v>
      </c>
      <c r="S532" s="35">
        <f>Inputs!$D$6*E532*Inputs!$D$27*(1-Inputs!$D$38*R532)</f>
        <v>1509.8335275561885</v>
      </c>
      <c r="T532" s="39">
        <f>S532*Inputs!$D$12</f>
        <v>24157.336440899016</v>
      </c>
      <c r="U532" s="39">
        <f>T532*(1-Inputs!$D$18)</f>
        <v>10870.801398404556</v>
      </c>
      <c r="V532" s="35">
        <f>Inputs!$D$6*F532*Inputs!$D$28*Inputs!$D$31</f>
        <v>783.74558786036266</v>
      </c>
      <c r="W532" s="36">
        <f>V532/(B532*Inputs!$D$34)</f>
        <v>0.67856760853711051</v>
      </c>
      <c r="X532" s="38">
        <f>IF(W532&gt;=1,999,W532/(Inputs!$D$34*(1-W532))*60)</f>
        <v>3.6189842355277744</v>
      </c>
      <c r="Y532" s="37">
        <f>MIN(1,MAX(0,(X532-Inputs!$D$36)/(Inputs!$D$37-Inputs!$D$36)))</f>
        <v>0</v>
      </c>
      <c r="Z532" s="35">
        <f>Inputs!$D$6*F532*Inputs!$D$28*(1-Inputs!$D$38*Y532)</f>
        <v>6028.812214310482</v>
      </c>
      <c r="AA532" s="39">
        <f>Z532*Inputs!$D$13</f>
        <v>51244.903821639098</v>
      </c>
      <c r="AB532" s="39">
        <f>AA532*(1-Inputs!$D$19)</f>
        <v>30746.942292983458</v>
      </c>
      <c r="AC532" s="39">
        <f t="shared" si="32"/>
        <v>373298.08816384128</v>
      </c>
      <c r="AD532" s="39">
        <f t="shared" si="33"/>
        <v>145881.29045684414</v>
      </c>
      <c r="AE532" s="36">
        <f t="shared" si="34"/>
        <v>1.029431950606492</v>
      </c>
      <c r="AF532" s="35">
        <f>IF(AND(AE532&lt;=Inputs!$D$35,C532&gt;=Inputs!$D$48*(A532+B532+C532),B532*Inputs!$D$22&lt;=Inputs!$D$50*Inputs!$D$8,B532*Inputs!$D$22&gt;=Inputs!$D$49*Inputs!$D$8,A532*Inputs!$D$20&lt;=Inputs!$D$47*Inputs!$D$8,C532&gt;=1),1,0)</f>
        <v>0</v>
      </c>
      <c r="AG532" s="39">
        <f t="shared" si="35"/>
        <v>-1</v>
      </c>
    </row>
    <row r="533" spans="1:33" x14ac:dyDescent="0.25">
      <c r="A533" s="35">
        <v>47</v>
      </c>
      <c r="B533" s="35">
        <v>10</v>
      </c>
      <c r="C533" s="35">
        <f>Inputs!$D$8-A533-Inputs!$D$22*B533</f>
        <v>53</v>
      </c>
      <c r="D533" s="35">
        <f>A533*Inputs!$D$20+C533*Inputs!$D$21+B533*Inputs!$D$22</f>
        <v>120</v>
      </c>
      <c r="E533" s="36">
        <f>MIN(Inputs!$E$15,Inputs!$D$15*(C533/Inputs!$D$43)^Inputs!$D$44)</f>
        <v>0.4</v>
      </c>
      <c r="F533" s="36">
        <f>MIN(Inputs!$E$16,Inputs!$D$16*(B533/Inputs!$D$42)^Inputs!$D$44)</f>
        <v>0.32490095854249423</v>
      </c>
      <c r="G533" s="37">
        <f>Inputs!$D$26*(1+Inputs!$D$41*(B533-Inputs!$D$42))</f>
        <v>1.35</v>
      </c>
      <c r="H533" s="35">
        <f>Inputs!$D$6*Inputs!$D$14*G533*Inputs!$D$29</f>
        <v>1696.1805000000004</v>
      </c>
      <c r="I533" s="36">
        <f>H533/(A533*Inputs!$D$32)</f>
        <v>0.65616266924564814</v>
      </c>
      <c r="J533" s="38">
        <f>IF(I533&gt;=1,999,I533/(Inputs!$D$32*(1-I533))*60)</f>
        <v>2.081838581706104</v>
      </c>
      <c r="K533" s="37">
        <f>MIN(1,MAX(0,(J533-Inputs!$D$36)/(Inputs!$D$37-Inputs!$D$36)))</f>
        <v>0</v>
      </c>
      <c r="L533" s="35">
        <f>Inputs!$D$6*Inputs!$D$14*G533*(1-Inputs!$D$38*K533)</f>
        <v>11307.870000000003</v>
      </c>
      <c r="M533" s="39">
        <f>L533*Inputs!$D$11</f>
        <v>243119.20500000005</v>
      </c>
      <c r="N533" s="39">
        <f>M533*(1-Inputs!$D$17)</f>
        <v>85091.721750000012</v>
      </c>
      <c r="O533" s="35">
        <f>Inputs!$D$6*E533*Inputs!$D$27*Inputs!$D$30</f>
        <v>570.66240000000005</v>
      </c>
      <c r="P533" s="36">
        <f>O533/(C533*Inputs!$D$33)</f>
        <v>0.2691803773584906</v>
      </c>
      <c r="Q533" s="38">
        <f>IF(P533&gt;=1,999,P533/(Inputs!$D$33*(1-P533))*60)</f>
        <v>0.5524900447778458</v>
      </c>
      <c r="R533" s="37">
        <f>MIN(1,MAX(0,(Q533-Inputs!$D$36)/(Inputs!$D$37-Inputs!$D$36)))</f>
        <v>0</v>
      </c>
      <c r="S533" s="35">
        <f>Inputs!$D$6*E533*Inputs!$D$27*(1-Inputs!$D$38*R533)</f>
        <v>4755.5200000000004</v>
      </c>
      <c r="T533" s="39">
        <f>S533*Inputs!$D$12</f>
        <v>76088.320000000007</v>
      </c>
      <c r="U533" s="39">
        <f>T533*(1-Inputs!$D$18)</f>
        <v>34239.743999999999</v>
      </c>
      <c r="V533" s="35">
        <f>Inputs!$D$6*F533*Inputs!$D$28*Inputs!$D$31</f>
        <v>547.7986113486553</v>
      </c>
      <c r="W533" s="36">
        <f>V533/(B533*Inputs!$D$34)</f>
        <v>1.5651388895675866</v>
      </c>
      <c r="X533" s="38">
        <f>IF(W533&gt;=1,999,W533/(Inputs!$D$34*(1-W533))*60)</f>
        <v>999</v>
      </c>
      <c r="Y533" s="37">
        <f>MIN(1,MAX(0,(X533-Inputs!$D$36)/(Inputs!$D$37-Inputs!$D$36)))</f>
        <v>1</v>
      </c>
      <c r="Z533" s="35">
        <f>Inputs!$D$6*F533*Inputs!$D$28*(1-Inputs!$D$38*Y533)</f>
        <v>2317.6095095520031</v>
      </c>
      <c r="AA533" s="39">
        <f>Z533*Inputs!$D$13</f>
        <v>19699.680831192025</v>
      </c>
      <c r="AB533" s="39">
        <f>AA533*(1-Inputs!$D$19)</f>
        <v>11819.808498715214</v>
      </c>
      <c r="AC533" s="39">
        <f t="shared" si="32"/>
        <v>338907.20583119203</v>
      </c>
      <c r="AD533" s="39">
        <f t="shared" si="33"/>
        <v>131151.27424871523</v>
      </c>
      <c r="AE533" s="36">
        <f t="shared" si="34"/>
        <v>1.5651388895675866</v>
      </c>
      <c r="AF533" s="35">
        <f>IF(AND(AE533&lt;=Inputs!$D$35,C533&gt;=Inputs!$D$48*(A533+B533+C533),B533*Inputs!$D$22&lt;=Inputs!$D$50*Inputs!$D$8,B533*Inputs!$D$22&gt;=Inputs!$D$49*Inputs!$D$8,A533*Inputs!$D$20&lt;=Inputs!$D$47*Inputs!$D$8,C533&gt;=1),1,0)</f>
        <v>0</v>
      </c>
      <c r="AG533" s="39">
        <f t="shared" si="35"/>
        <v>-1</v>
      </c>
    </row>
    <row r="534" spans="1:33" x14ac:dyDescent="0.25">
      <c r="A534" s="35">
        <v>47</v>
      </c>
      <c r="B534" s="35">
        <v>11</v>
      </c>
      <c r="C534" s="35">
        <f>Inputs!$D$8-A534-Inputs!$D$22*B534</f>
        <v>51</v>
      </c>
      <c r="D534" s="35">
        <f>A534*Inputs!$D$20+C534*Inputs!$D$21+B534*Inputs!$D$22</f>
        <v>120</v>
      </c>
      <c r="E534" s="36">
        <f>MIN(Inputs!$E$15,Inputs!$D$15*(C534/Inputs!$D$43)^Inputs!$D$44)</f>
        <v>0.4</v>
      </c>
      <c r="F534" s="36">
        <f>MIN(Inputs!$E$16,Inputs!$D$16*(B534/Inputs!$D$42)^Inputs!$D$44)</f>
        <v>0.33432495758166098</v>
      </c>
      <c r="G534" s="37">
        <f>Inputs!$D$26*(1+Inputs!$D$41*(B534-Inputs!$D$42))</f>
        <v>1.365</v>
      </c>
      <c r="H534" s="35">
        <f>Inputs!$D$6*Inputs!$D$14*G534*Inputs!$D$29</f>
        <v>1715.0269500000002</v>
      </c>
      <c r="I534" s="36">
        <f>H534/(A534*Inputs!$D$32)</f>
        <v>0.66345336557059964</v>
      </c>
      <c r="J534" s="38">
        <f>IF(I534&gt;=1,999,I534/(Inputs!$D$32*(1-I534))*60)</f>
        <v>2.1505706307903343</v>
      </c>
      <c r="K534" s="37">
        <f>MIN(1,MAX(0,(J534-Inputs!$D$36)/(Inputs!$D$37-Inputs!$D$36)))</f>
        <v>0</v>
      </c>
      <c r="L534" s="35">
        <f>Inputs!$D$6*Inputs!$D$14*G534*(1-Inputs!$D$38*K534)</f>
        <v>11433.513000000001</v>
      </c>
      <c r="M534" s="39">
        <f>L534*Inputs!$D$11</f>
        <v>245820.5295</v>
      </c>
      <c r="N534" s="39">
        <f>M534*(1-Inputs!$D$17)</f>
        <v>86037.185324999999</v>
      </c>
      <c r="O534" s="35">
        <f>Inputs!$D$6*E534*Inputs!$D$27*Inputs!$D$30</f>
        <v>570.66240000000005</v>
      </c>
      <c r="P534" s="36">
        <f>O534/(C534*Inputs!$D$33)</f>
        <v>0.27973647058823531</v>
      </c>
      <c r="Q534" s="38">
        <f>IF(P534&gt;=1,999,P534/(Inputs!$D$33*(1-P534))*60)</f>
        <v>0.5825710850930379</v>
      </c>
      <c r="R534" s="37">
        <f>MIN(1,MAX(0,(Q534-Inputs!$D$36)/(Inputs!$D$37-Inputs!$D$36)))</f>
        <v>0</v>
      </c>
      <c r="S534" s="35">
        <f>Inputs!$D$6*E534*Inputs!$D$27*(1-Inputs!$D$38*R534)</f>
        <v>4755.5200000000004</v>
      </c>
      <c r="T534" s="39">
        <f>S534*Inputs!$D$12</f>
        <v>76088.320000000007</v>
      </c>
      <c r="U534" s="39">
        <f>T534*(1-Inputs!$D$18)</f>
        <v>34239.743999999999</v>
      </c>
      <c r="V534" s="35">
        <f>Inputs!$D$6*F534*Inputs!$D$28*Inputs!$D$31</f>
        <v>563.68792608064427</v>
      </c>
      <c r="W534" s="36">
        <f>V534/(B534*Inputs!$D$34)</f>
        <v>1.4641244833263487</v>
      </c>
      <c r="X534" s="38">
        <f>IF(W534&gt;=1,999,W534/(Inputs!$D$34*(1-W534))*60)</f>
        <v>999</v>
      </c>
      <c r="Y534" s="37">
        <f>MIN(1,MAX(0,(X534-Inputs!$D$36)/(Inputs!$D$37-Inputs!$D$36)))</f>
        <v>1</v>
      </c>
      <c r="Z534" s="35">
        <f>Inputs!$D$6*F534*Inputs!$D$28*(1-Inputs!$D$38*Y534)</f>
        <v>2384.8335334181106</v>
      </c>
      <c r="AA534" s="39">
        <f>Z534*Inputs!$D$13</f>
        <v>20271.08503405394</v>
      </c>
      <c r="AB534" s="39">
        <f>AA534*(1-Inputs!$D$19)</f>
        <v>12162.651020432364</v>
      </c>
      <c r="AC534" s="39">
        <f t="shared" si="32"/>
        <v>342179.93453405396</v>
      </c>
      <c r="AD534" s="39">
        <f t="shared" si="33"/>
        <v>132439.58034543236</v>
      </c>
      <c r="AE534" s="36">
        <f t="shared" si="34"/>
        <v>1.4641244833263487</v>
      </c>
      <c r="AF534" s="35">
        <f>IF(AND(AE534&lt;=Inputs!$D$35,C534&gt;=Inputs!$D$48*(A534+B534+C534),B534*Inputs!$D$22&lt;=Inputs!$D$50*Inputs!$D$8,B534*Inputs!$D$22&gt;=Inputs!$D$49*Inputs!$D$8,A534*Inputs!$D$20&lt;=Inputs!$D$47*Inputs!$D$8,C534&gt;=1),1,0)</f>
        <v>0</v>
      </c>
      <c r="AG534" s="39">
        <f t="shared" si="35"/>
        <v>-1</v>
      </c>
    </row>
    <row r="535" spans="1:33" x14ac:dyDescent="0.25">
      <c r="A535" s="35">
        <v>47</v>
      </c>
      <c r="B535" s="35">
        <v>12</v>
      </c>
      <c r="C535" s="35">
        <f>Inputs!$D$8-A535-Inputs!$D$22*B535</f>
        <v>49</v>
      </c>
      <c r="D535" s="35">
        <f>A535*Inputs!$D$20+C535*Inputs!$D$21+B535*Inputs!$D$22</f>
        <v>120</v>
      </c>
      <c r="E535" s="36">
        <f>MIN(Inputs!$E$15,Inputs!$D$15*(C535/Inputs!$D$43)^Inputs!$D$44)</f>
        <v>0.39770420454194916</v>
      </c>
      <c r="F535" s="36">
        <f>MIN(Inputs!$E$16,Inputs!$D$16*(B535/Inputs!$D$42)^Inputs!$D$44)</f>
        <v>0.34316688017763797</v>
      </c>
      <c r="G535" s="37">
        <f>Inputs!$D$26*(1+Inputs!$D$41*(B535-Inputs!$D$42))</f>
        <v>1.3800000000000001</v>
      </c>
      <c r="H535" s="35">
        <f>Inputs!$D$6*Inputs!$D$14*G535*Inputs!$D$29</f>
        <v>1733.8734000000004</v>
      </c>
      <c r="I535" s="36">
        <f>H535/(A535*Inputs!$D$32)</f>
        <v>0.67074406189555136</v>
      </c>
      <c r="J535" s="38">
        <f>IF(I535&gt;=1,999,I535/(Inputs!$D$32*(1-I535))*60)</f>
        <v>2.2223465399218583</v>
      </c>
      <c r="K535" s="37">
        <f>MIN(1,MAX(0,(J535-Inputs!$D$36)/(Inputs!$D$37-Inputs!$D$36)))</f>
        <v>0</v>
      </c>
      <c r="L535" s="35">
        <f>Inputs!$D$6*Inputs!$D$14*G535*(1-Inputs!$D$38*K535)</f>
        <v>11559.156000000003</v>
      </c>
      <c r="M535" s="39">
        <f>L535*Inputs!$D$11</f>
        <v>248521.85400000005</v>
      </c>
      <c r="N535" s="39">
        <f>M535*(1-Inputs!$D$17)</f>
        <v>86982.648900000015</v>
      </c>
      <c r="O535" s="35">
        <f>Inputs!$D$6*E535*Inputs!$D$27*Inputs!$D$30</f>
        <v>567.38708963499903</v>
      </c>
      <c r="P535" s="36">
        <f>O535/(C535*Inputs!$D$33)</f>
        <v>0.2894832089974485</v>
      </c>
      <c r="Q535" s="38">
        <f>IF(P535&gt;=1,999,P535/(Inputs!$D$33*(1-P535))*60)</f>
        <v>0.61113941147467321</v>
      </c>
      <c r="R535" s="37">
        <f>MIN(1,MAX(0,(Q535-Inputs!$D$36)/(Inputs!$D$37-Inputs!$D$36)))</f>
        <v>0</v>
      </c>
      <c r="S535" s="35">
        <f>Inputs!$D$6*E535*Inputs!$D$27*(1-Inputs!$D$38*R535)</f>
        <v>4728.2257469583255</v>
      </c>
      <c r="T535" s="39">
        <f>S535*Inputs!$D$12</f>
        <v>75651.611951333209</v>
      </c>
      <c r="U535" s="39">
        <f>T535*(1-Inputs!$D$18)</f>
        <v>34043.225378099938</v>
      </c>
      <c r="V535" s="35">
        <f>Inputs!$D$6*F535*Inputs!$D$28*Inputs!$D$31</f>
        <v>578.5958319897461</v>
      </c>
      <c r="W535" s="36">
        <f>V535/(B535*Inputs!$D$34)</f>
        <v>1.3776091237851098</v>
      </c>
      <c r="X535" s="38">
        <f>IF(W535&gt;=1,999,W535/(Inputs!$D$34*(1-W535))*60)</f>
        <v>999</v>
      </c>
      <c r="Y535" s="37">
        <f>MIN(1,MAX(0,(X535-Inputs!$D$36)/(Inputs!$D$37-Inputs!$D$36)))</f>
        <v>1</v>
      </c>
      <c r="Z535" s="35">
        <f>Inputs!$D$6*F535*Inputs!$D$28*(1-Inputs!$D$38*Y535)</f>
        <v>2447.9054430335414</v>
      </c>
      <c r="AA535" s="39">
        <f>Z535*Inputs!$D$13</f>
        <v>20807.1962657851</v>
      </c>
      <c r="AB535" s="39">
        <f>AA535*(1-Inputs!$D$19)</f>
        <v>12484.31775947106</v>
      </c>
      <c r="AC535" s="39">
        <f t="shared" si="32"/>
        <v>344980.66221711837</v>
      </c>
      <c r="AD535" s="39">
        <f t="shared" si="33"/>
        <v>133510.19203757102</v>
      </c>
      <c r="AE535" s="36">
        <f t="shared" si="34"/>
        <v>1.3776091237851098</v>
      </c>
      <c r="AF535" s="35">
        <f>IF(AND(AE535&lt;=Inputs!$D$35,C535&gt;=Inputs!$D$48*(A535+B535+C535),B535*Inputs!$D$22&lt;=Inputs!$D$50*Inputs!$D$8,B535*Inputs!$D$22&gt;=Inputs!$D$49*Inputs!$D$8,A535*Inputs!$D$20&lt;=Inputs!$D$47*Inputs!$D$8,C535&gt;=1),1,0)</f>
        <v>0</v>
      </c>
      <c r="AG535" s="39">
        <f t="shared" si="35"/>
        <v>-1</v>
      </c>
    </row>
    <row r="536" spans="1:33" x14ac:dyDescent="0.25">
      <c r="A536" s="35">
        <v>47</v>
      </c>
      <c r="B536" s="35">
        <v>13</v>
      </c>
      <c r="C536" s="35">
        <f>Inputs!$D$8-A536-Inputs!$D$22*B536</f>
        <v>47</v>
      </c>
      <c r="D536" s="35">
        <f>A536*Inputs!$D$20+C536*Inputs!$D$21+B536*Inputs!$D$22</f>
        <v>120</v>
      </c>
      <c r="E536" s="36">
        <f>MIN(Inputs!$E$15,Inputs!$D$15*(C536/Inputs!$D$43)^Inputs!$D$44)</f>
        <v>0.39276313309091065</v>
      </c>
      <c r="F536" s="36">
        <f>MIN(Inputs!$E$16,Inputs!$D$16*(B536/Inputs!$D$42)^Inputs!$D$44)</f>
        <v>0.35150701637190523</v>
      </c>
      <c r="G536" s="37">
        <f>Inputs!$D$26*(1+Inputs!$D$41*(B536-Inputs!$D$42))</f>
        <v>1.395</v>
      </c>
      <c r="H536" s="35">
        <f>Inputs!$D$6*Inputs!$D$14*G536*Inputs!$D$29</f>
        <v>1752.7198500000002</v>
      </c>
      <c r="I536" s="36">
        <f>H536/(A536*Inputs!$D$32)</f>
        <v>0.67803475822050296</v>
      </c>
      <c r="J536" s="38">
        <f>IF(I536&gt;=1,999,I536/(Inputs!$D$32*(1-I536))*60)</f>
        <v>2.2973730878740994</v>
      </c>
      <c r="K536" s="37">
        <f>MIN(1,MAX(0,(J536-Inputs!$D$36)/(Inputs!$D$37-Inputs!$D$36)))</f>
        <v>0</v>
      </c>
      <c r="L536" s="35">
        <f>Inputs!$D$6*Inputs!$D$14*G536*(1-Inputs!$D$38*K536)</f>
        <v>11684.799000000001</v>
      </c>
      <c r="M536" s="39">
        <f>L536*Inputs!$D$11</f>
        <v>251223.17850000001</v>
      </c>
      <c r="N536" s="39">
        <f>M536*(1-Inputs!$D$17)</f>
        <v>87928.112475000002</v>
      </c>
      <c r="O536" s="35">
        <f>Inputs!$D$6*E536*Inputs!$D$27*Inputs!$D$30</f>
        <v>560.33788040294633</v>
      </c>
      <c r="P536" s="36">
        <f>O536/(C536*Inputs!$D$33)</f>
        <v>0.29805206404412038</v>
      </c>
      <c r="Q536" s="38">
        <f>IF(P536&gt;=1,999,P536/(Inputs!$D$33*(1-P536))*60)</f>
        <v>0.63691062138016075</v>
      </c>
      <c r="R536" s="37">
        <f>MIN(1,MAX(0,(Q536-Inputs!$D$36)/(Inputs!$D$37-Inputs!$D$36)))</f>
        <v>0</v>
      </c>
      <c r="S536" s="35">
        <f>Inputs!$D$6*E536*Inputs!$D$27*(1-Inputs!$D$38*R536)</f>
        <v>4669.4823366912196</v>
      </c>
      <c r="T536" s="39">
        <f>S536*Inputs!$D$12</f>
        <v>74711.717387059514</v>
      </c>
      <c r="U536" s="39">
        <f>T536*(1-Inputs!$D$18)</f>
        <v>33620.272824176776</v>
      </c>
      <c r="V536" s="35">
        <f>Inputs!$D$6*F536*Inputs!$D$28*Inputs!$D$31</f>
        <v>592.65770193981814</v>
      </c>
      <c r="W536" s="36">
        <f>V536/(B536*Inputs!$D$34)</f>
        <v>1.3025443998677322</v>
      </c>
      <c r="X536" s="38">
        <f>IF(W536&gt;=1,999,W536/(Inputs!$D$34*(1-W536))*60)</f>
        <v>999</v>
      </c>
      <c r="Y536" s="37">
        <f>MIN(1,MAX(0,(X536-Inputs!$D$36)/(Inputs!$D$37-Inputs!$D$36)))</f>
        <v>1</v>
      </c>
      <c r="Z536" s="35">
        <f>Inputs!$D$6*F536*Inputs!$D$28*(1-Inputs!$D$38*Y536)</f>
        <v>2507.3979697453847</v>
      </c>
      <c r="AA536" s="39">
        <f>Z536*Inputs!$D$13</f>
        <v>21312.882742835769</v>
      </c>
      <c r="AB536" s="39">
        <f>AA536*(1-Inputs!$D$19)</f>
        <v>12787.729645701462</v>
      </c>
      <c r="AC536" s="39">
        <f t="shared" si="32"/>
        <v>347247.7786298953</v>
      </c>
      <c r="AD536" s="39">
        <f t="shared" si="33"/>
        <v>134336.11494487824</v>
      </c>
      <c r="AE536" s="36">
        <f t="shared" si="34"/>
        <v>1.3025443998677322</v>
      </c>
      <c r="AF536" s="35">
        <f>IF(AND(AE536&lt;=Inputs!$D$35,C536&gt;=Inputs!$D$48*(A536+B536+C536),B536*Inputs!$D$22&lt;=Inputs!$D$50*Inputs!$D$8,B536*Inputs!$D$22&gt;=Inputs!$D$49*Inputs!$D$8,A536*Inputs!$D$20&lt;=Inputs!$D$47*Inputs!$D$8,C536&gt;=1),1,0)</f>
        <v>0</v>
      </c>
      <c r="AG536" s="39">
        <f t="shared" si="35"/>
        <v>-1</v>
      </c>
    </row>
    <row r="537" spans="1:33" x14ac:dyDescent="0.25">
      <c r="A537" s="35">
        <v>47</v>
      </c>
      <c r="B537" s="35">
        <v>14</v>
      </c>
      <c r="C537" s="35">
        <f>Inputs!$D$8-A537-Inputs!$D$22*B537</f>
        <v>45</v>
      </c>
      <c r="D537" s="35">
        <f>A537*Inputs!$D$20+C537*Inputs!$D$21+B537*Inputs!$D$22</f>
        <v>120</v>
      </c>
      <c r="E537" s="36">
        <f>MIN(Inputs!$E$15,Inputs!$D$15*(C537/Inputs!$D$43)^Inputs!$D$44)</f>
        <v>0.38767260497069417</v>
      </c>
      <c r="F537" s="36">
        <f>MIN(Inputs!$E$16,Inputs!$D$16*(B537/Inputs!$D$42)^Inputs!$D$44)</f>
        <v>0.35940937671625589</v>
      </c>
      <c r="G537" s="37">
        <f>Inputs!$D$26*(1+Inputs!$D$41*(B537-Inputs!$D$42))</f>
        <v>1.41</v>
      </c>
      <c r="H537" s="35">
        <f>Inputs!$D$6*Inputs!$D$14*G537*Inputs!$D$29</f>
        <v>1771.5663000000002</v>
      </c>
      <c r="I537" s="36">
        <f>H537/(A537*Inputs!$D$32)</f>
        <v>0.68532545454545457</v>
      </c>
      <c r="J537" s="38">
        <f>IF(I537&gt;=1,999,I537/(Inputs!$D$32*(1-I537))*60)</f>
        <v>2.3758762168547749</v>
      </c>
      <c r="K537" s="37">
        <f>MIN(1,MAX(0,(J537-Inputs!$D$36)/(Inputs!$D$37-Inputs!$D$36)))</f>
        <v>0</v>
      </c>
      <c r="L537" s="35">
        <f>Inputs!$D$6*Inputs!$D$14*G537*(1-Inputs!$D$38*K537)</f>
        <v>11810.442000000001</v>
      </c>
      <c r="M537" s="39">
        <f>L537*Inputs!$D$11</f>
        <v>253924.50300000003</v>
      </c>
      <c r="N537" s="39">
        <f>M537*(1-Inputs!$D$17)</f>
        <v>88873.576050000003</v>
      </c>
      <c r="O537" s="35">
        <f>Inputs!$D$6*E537*Inputs!$D$27*Inputs!$D$30</f>
        <v>553.07544791707073</v>
      </c>
      <c r="P537" s="36">
        <f>O537/(C537*Inputs!$D$33)</f>
        <v>0.30726413773170597</v>
      </c>
      <c r="Q537" s="38">
        <f>IF(P537&gt;=1,999,P537/(Inputs!$D$33*(1-P537))*60)</f>
        <v>0.66532748151423926</v>
      </c>
      <c r="R537" s="37">
        <f>MIN(1,MAX(0,(Q537-Inputs!$D$36)/(Inputs!$D$37-Inputs!$D$36)))</f>
        <v>0</v>
      </c>
      <c r="S537" s="35">
        <f>Inputs!$D$6*E537*Inputs!$D$27*(1-Inputs!$D$38*R537)</f>
        <v>4608.9620659755892</v>
      </c>
      <c r="T537" s="39">
        <f>S537*Inputs!$D$12</f>
        <v>73743.393055609427</v>
      </c>
      <c r="U537" s="39">
        <f>T537*(1-Inputs!$D$18)</f>
        <v>33184.526875024239</v>
      </c>
      <c r="V537" s="35">
        <f>Inputs!$D$6*F537*Inputs!$D$28*Inputs!$D$31</f>
        <v>605.98146079368973</v>
      </c>
      <c r="W537" s="36">
        <f>V537/(B537*Inputs!$D$34)</f>
        <v>1.2366968587626321</v>
      </c>
      <c r="X537" s="38">
        <f>IF(W537&gt;=1,999,W537/(Inputs!$D$34*(1-W537))*60)</f>
        <v>999</v>
      </c>
      <c r="Y537" s="37">
        <f>MIN(1,MAX(0,(X537-Inputs!$D$36)/(Inputs!$D$37-Inputs!$D$36)))</f>
        <v>1</v>
      </c>
      <c r="Z537" s="35">
        <f>Inputs!$D$6*F537*Inputs!$D$28*(1-Inputs!$D$38*Y537)</f>
        <v>2563.7677187425338</v>
      </c>
      <c r="AA537" s="39">
        <f>Z537*Inputs!$D$13</f>
        <v>21792.025609311539</v>
      </c>
      <c r="AB537" s="39">
        <f>AA537*(1-Inputs!$D$19)</f>
        <v>13075.215365586922</v>
      </c>
      <c r="AC537" s="39">
        <f t="shared" si="32"/>
        <v>349459.92166492098</v>
      </c>
      <c r="AD537" s="39">
        <f t="shared" si="33"/>
        <v>135133.31829061118</v>
      </c>
      <c r="AE537" s="36">
        <f t="shared" si="34"/>
        <v>1.2366968587626321</v>
      </c>
      <c r="AF537" s="35">
        <f>IF(AND(AE537&lt;=Inputs!$D$35,C537&gt;=Inputs!$D$48*(A537+B537+C537),B537*Inputs!$D$22&lt;=Inputs!$D$50*Inputs!$D$8,B537*Inputs!$D$22&gt;=Inputs!$D$49*Inputs!$D$8,A537*Inputs!$D$20&lt;=Inputs!$D$47*Inputs!$D$8,C537&gt;=1),1,0)</f>
        <v>0</v>
      </c>
      <c r="AG537" s="39">
        <f t="shared" si="35"/>
        <v>-1</v>
      </c>
    </row>
    <row r="538" spans="1:33" x14ac:dyDescent="0.25">
      <c r="A538" s="35">
        <v>47</v>
      </c>
      <c r="B538" s="35">
        <v>15</v>
      </c>
      <c r="C538" s="35">
        <f>Inputs!$D$8-A538-Inputs!$D$22*B538</f>
        <v>43</v>
      </c>
      <c r="D538" s="35">
        <f>A538*Inputs!$D$20+C538*Inputs!$D$21+B538*Inputs!$D$22</f>
        <v>120</v>
      </c>
      <c r="E538" s="36">
        <f>MIN(Inputs!$E$15,Inputs!$D$15*(C538/Inputs!$D$43)^Inputs!$D$44)</f>
        <v>0.38242114286867052</v>
      </c>
      <c r="F538" s="36">
        <f>MIN(Inputs!$E$16,Inputs!$D$16*(B538/Inputs!$D$42)^Inputs!$D$44)</f>
        <v>0.36692590185696072</v>
      </c>
      <c r="G538" s="37">
        <f>Inputs!$D$26*(1+Inputs!$D$41*(B538-Inputs!$D$42))</f>
        <v>1.4249999999999998</v>
      </c>
      <c r="H538" s="35">
        <f>Inputs!$D$6*Inputs!$D$14*G538*Inputs!$D$29</f>
        <v>1790.4127499999997</v>
      </c>
      <c r="I538" s="36">
        <f>H538/(A538*Inputs!$D$32)</f>
        <v>0.69261615087040607</v>
      </c>
      <c r="J538" s="38">
        <f>IF(I538&gt;=1,999,I538/(Inputs!$D$32*(1-I538))*60)</f>
        <v>2.4581033051493644</v>
      </c>
      <c r="K538" s="37">
        <f>MIN(1,MAX(0,(J538-Inputs!$D$36)/(Inputs!$D$37-Inputs!$D$36)))</f>
        <v>0</v>
      </c>
      <c r="L538" s="35">
        <f>Inputs!$D$6*Inputs!$D$14*G538*(1-Inputs!$D$38*K538)</f>
        <v>11936.084999999999</v>
      </c>
      <c r="M538" s="39">
        <f>L538*Inputs!$D$11</f>
        <v>256625.82749999998</v>
      </c>
      <c r="N538" s="39">
        <f>M538*(1-Inputs!$D$17)</f>
        <v>89819.03962499999</v>
      </c>
      <c r="O538" s="35">
        <f>Inputs!$D$6*E538*Inputs!$D$27*Inputs!$D$30</f>
        <v>545.58341800044604</v>
      </c>
      <c r="P538" s="36">
        <f>O538/(C538*Inputs!$D$33)</f>
        <v>0.31719966162816632</v>
      </c>
      <c r="Q538" s="38">
        <f>IF(P538&gt;=1,999,P538/(Inputs!$D$33*(1-P538))*60)</f>
        <v>0.69683546668534679</v>
      </c>
      <c r="R538" s="37">
        <f>MIN(1,MAX(0,(Q538-Inputs!$D$36)/(Inputs!$D$37-Inputs!$D$36)))</f>
        <v>0</v>
      </c>
      <c r="S538" s="35">
        <f>Inputs!$D$6*E538*Inputs!$D$27*(1-Inputs!$D$38*R538)</f>
        <v>4546.5284833370506</v>
      </c>
      <c r="T538" s="39">
        <f>S538*Inputs!$D$12</f>
        <v>72744.45573339281</v>
      </c>
      <c r="U538" s="39">
        <f>T538*(1-Inputs!$D$18)</f>
        <v>32735.00508002676</v>
      </c>
      <c r="V538" s="35">
        <f>Inputs!$D$6*F538*Inputs!$D$28*Inputs!$D$31</f>
        <v>618.65468297412497</v>
      </c>
      <c r="W538" s="36">
        <f>V538/(B538*Inputs!$D$34)</f>
        <v>1.1783898723316666</v>
      </c>
      <c r="X538" s="38">
        <f>IF(W538&gt;=1,999,W538/(Inputs!$D$34*(1-W538))*60)</f>
        <v>999</v>
      </c>
      <c r="Y538" s="37">
        <f>MIN(1,MAX(0,(X538-Inputs!$D$36)/(Inputs!$D$37-Inputs!$D$36)))</f>
        <v>1</v>
      </c>
      <c r="Z538" s="35">
        <f>Inputs!$D$6*F538*Inputs!$D$28*(1-Inputs!$D$38*Y538)</f>
        <v>2617.3851971982212</v>
      </c>
      <c r="AA538" s="39">
        <f>Z538*Inputs!$D$13</f>
        <v>22247.774176184881</v>
      </c>
      <c r="AB538" s="39">
        <f>AA538*(1-Inputs!$D$19)</f>
        <v>13348.664505710929</v>
      </c>
      <c r="AC538" s="39">
        <f t="shared" si="32"/>
        <v>351618.05740957771</v>
      </c>
      <c r="AD538" s="39">
        <f t="shared" si="33"/>
        <v>135902.7092107377</v>
      </c>
      <c r="AE538" s="36">
        <f t="shared" si="34"/>
        <v>1.1783898723316666</v>
      </c>
      <c r="AF538" s="35">
        <f>IF(AND(AE538&lt;=Inputs!$D$35,C538&gt;=Inputs!$D$48*(A538+B538+C538),B538*Inputs!$D$22&lt;=Inputs!$D$50*Inputs!$D$8,B538*Inputs!$D$22&gt;=Inputs!$D$49*Inputs!$D$8,A538*Inputs!$D$20&lt;=Inputs!$D$47*Inputs!$D$8,C538&gt;=1),1,0)</f>
        <v>0</v>
      </c>
      <c r="AG538" s="39">
        <f t="shared" si="35"/>
        <v>-1</v>
      </c>
    </row>
    <row r="539" spans="1:33" x14ac:dyDescent="0.25">
      <c r="A539" s="35">
        <v>47</v>
      </c>
      <c r="B539" s="35">
        <v>16</v>
      </c>
      <c r="C539" s="35">
        <f>Inputs!$D$8-A539-Inputs!$D$22*B539</f>
        <v>41</v>
      </c>
      <c r="D539" s="35">
        <f>A539*Inputs!$D$20+C539*Inputs!$D$21+B539*Inputs!$D$22</f>
        <v>120</v>
      </c>
      <c r="E539" s="36">
        <f>MIN(Inputs!$E$15,Inputs!$D$15*(C539/Inputs!$D$43)^Inputs!$D$44)</f>
        <v>0.37699580304543617</v>
      </c>
      <c r="F539" s="36">
        <f>MIN(Inputs!$E$16,Inputs!$D$16*(B539/Inputs!$D$42)^Inputs!$D$44)</f>
        <v>0.37409937912904856</v>
      </c>
      <c r="G539" s="37">
        <f>Inputs!$D$26*(1+Inputs!$D$41*(B539-Inputs!$D$42))</f>
        <v>1.44</v>
      </c>
      <c r="H539" s="35">
        <f>Inputs!$D$6*Inputs!$D$14*G539*Inputs!$D$29</f>
        <v>1809.2592000000002</v>
      </c>
      <c r="I539" s="36">
        <f>H539/(A539*Inputs!$D$32)</f>
        <v>0.6999068471953579</v>
      </c>
      <c r="J539" s="38">
        <f>IF(I539&gt;=1,999,I539/(Inputs!$D$32*(1-I539))*60)</f>
        <v>2.5443257710447997</v>
      </c>
      <c r="K539" s="37">
        <f>MIN(1,MAX(0,(J539-Inputs!$D$36)/(Inputs!$D$37-Inputs!$D$36)))</f>
        <v>0</v>
      </c>
      <c r="L539" s="35">
        <f>Inputs!$D$6*Inputs!$D$14*G539*(1-Inputs!$D$38*K539)</f>
        <v>12061.728000000001</v>
      </c>
      <c r="M539" s="39">
        <f>L539*Inputs!$D$11</f>
        <v>259327.15200000003</v>
      </c>
      <c r="N539" s="39">
        <f>M539*(1-Inputs!$D$17)</f>
        <v>90764.503200000006</v>
      </c>
      <c r="O539" s="35">
        <f>Inputs!$D$6*E539*Inputs!$D$27*Inputs!$D$30</f>
        <v>537.84332438958984</v>
      </c>
      <c r="P539" s="36">
        <f>O539/(C539*Inputs!$D$33)</f>
        <v>0.3279532465790182</v>
      </c>
      <c r="Q539" s="38">
        <f>IF(P539&gt;=1,999,P539/(Inputs!$D$33*(1-P539))*60)</f>
        <v>0.73198756985940516</v>
      </c>
      <c r="R539" s="37">
        <f>MIN(1,MAX(0,(Q539-Inputs!$D$36)/(Inputs!$D$37-Inputs!$D$36)))</f>
        <v>0</v>
      </c>
      <c r="S539" s="35">
        <f>Inputs!$D$6*E539*Inputs!$D$27*(1-Inputs!$D$38*R539)</f>
        <v>4482.027703246582</v>
      </c>
      <c r="T539" s="39">
        <f>S539*Inputs!$D$12</f>
        <v>71712.443251945311</v>
      </c>
      <c r="U539" s="39">
        <f>T539*(1-Inputs!$D$18)</f>
        <v>32270.599463375387</v>
      </c>
      <c r="V539" s="35">
        <f>Inputs!$D$6*F539*Inputs!$D$28*Inputs!$D$31</f>
        <v>630.74950998177405</v>
      </c>
      <c r="W539" s="36">
        <f>V539/(B539*Inputs!$D$34)</f>
        <v>1.1263384106817393</v>
      </c>
      <c r="X539" s="38">
        <f>IF(W539&gt;=1,999,W539/(Inputs!$D$34*(1-W539))*60)</f>
        <v>999</v>
      </c>
      <c r="Y539" s="37">
        <f>MIN(1,MAX(0,(X539-Inputs!$D$36)/(Inputs!$D$37-Inputs!$D$36)))</f>
        <v>1</v>
      </c>
      <c r="Z539" s="35">
        <f>Inputs!$D$6*F539*Inputs!$D$28*(1-Inputs!$D$38*Y539)</f>
        <v>2668.5556191536598</v>
      </c>
      <c r="AA539" s="39">
        <f>Z539*Inputs!$D$13</f>
        <v>22682.722762806108</v>
      </c>
      <c r="AB539" s="39">
        <f>AA539*(1-Inputs!$D$19)</f>
        <v>13609.633657683664</v>
      </c>
      <c r="AC539" s="39">
        <f t="shared" si="32"/>
        <v>353722.31801475142</v>
      </c>
      <c r="AD539" s="39">
        <f t="shared" si="33"/>
        <v>136644.73632105906</v>
      </c>
      <c r="AE539" s="36">
        <f t="shared" si="34"/>
        <v>1.1263384106817393</v>
      </c>
      <c r="AF539" s="35">
        <f>IF(AND(AE539&lt;=Inputs!$D$35,C539&gt;=Inputs!$D$48*(A539+B539+C539),B539*Inputs!$D$22&lt;=Inputs!$D$50*Inputs!$D$8,B539*Inputs!$D$22&gt;=Inputs!$D$49*Inputs!$D$8,A539*Inputs!$D$20&lt;=Inputs!$D$47*Inputs!$D$8,C539&gt;=1),1,0)</f>
        <v>0</v>
      </c>
      <c r="AG539" s="39">
        <f t="shared" si="35"/>
        <v>-1</v>
      </c>
    </row>
    <row r="540" spans="1:33" x14ac:dyDescent="0.25">
      <c r="A540" s="35">
        <v>47</v>
      </c>
      <c r="B540" s="35">
        <v>17</v>
      </c>
      <c r="C540" s="35">
        <f>Inputs!$D$8-A540-Inputs!$D$22*B540</f>
        <v>39</v>
      </c>
      <c r="D540" s="35">
        <f>A540*Inputs!$D$20+C540*Inputs!$D$21+B540*Inputs!$D$22</f>
        <v>120</v>
      </c>
      <c r="E540" s="36">
        <f>MIN(Inputs!$E$15,Inputs!$D$15*(C540/Inputs!$D$43)^Inputs!$D$44)</f>
        <v>0.37138190575462604</v>
      </c>
      <c r="F540" s="36">
        <f>MIN(Inputs!$E$16,Inputs!$D$16*(B540/Inputs!$D$42)^Inputs!$D$44)</f>
        <v>0.3809655184437048</v>
      </c>
      <c r="G540" s="37">
        <f>Inputs!$D$26*(1+Inputs!$D$41*(B540-Inputs!$D$42))</f>
        <v>1.4550000000000001</v>
      </c>
      <c r="H540" s="35">
        <f>Inputs!$D$6*Inputs!$D$14*G540*Inputs!$D$29</f>
        <v>1828.1056500000002</v>
      </c>
      <c r="I540" s="36">
        <f>H540/(A540*Inputs!$D$32)</f>
        <v>0.7071975435203095</v>
      </c>
      <c r="J540" s="38">
        <f>IF(I540&gt;=1,999,I540/(Inputs!$D$32*(1-I540))*60)</f>
        <v>2.634842065774798</v>
      </c>
      <c r="K540" s="37">
        <f>MIN(1,MAX(0,(J540-Inputs!$D$36)/(Inputs!$D$37-Inputs!$D$36)))</f>
        <v>0</v>
      </c>
      <c r="L540" s="35">
        <f>Inputs!$D$6*Inputs!$D$14*G540*(1-Inputs!$D$38*K540)</f>
        <v>12187.371000000001</v>
      </c>
      <c r="M540" s="39">
        <f>L540*Inputs!$D$11</f>
        <v>262028.47650000002</v>
      </c>
      <c r="N540" s="39">
        <f>M540*(1-Inputs!$D$17)</f>
        <v>91709.966775000008</v>
      </c>
      <c r="O540" s="35">
        <f>Inputs!$D$6*E540*Inputs!$D$27*Inputs!$D$30</f>
        <v>529.8342241362717</v>
      </c>
      <c r="P540" s="36">
        <f>O540/(C540*Inputs!$D$33)</f>
        <v>0.33963732316427675</v>
      </c>
      <c r="Q540" s="38">
        <f>IF(P540&gt;=1,999,P540/(Inputs!$D$33*(1-P540))*60)</f>
        <v>0.77147907145144612</v>
      </c>
      <c r="R540" s="37">
        <f>MIN(1,MAX(0,(Q540-Inputs!$D$36)/(Inputs!$D$37-Inputs!$D$36)))</f>
        <v>0</v>
      </c>
      <c r="S540" s="35">
        <f>Inputs!$D$6*E540*Inputs!$D$27*(1-Inputs!$D$38*R540)</f>
        <v>4415.2852011355981</v>
      </c>
      <c r="T540" s="39">
        <f>S540*Inputs!$D$12</f>
        <v>70644.563218169569</v>
      </c>
      <c r="U540" s="39">
        <f>T540*(1-Inputs!$D$18)</f>
        <v>31790.053448176302</v>
      </c>
      <c r="V540" s="35">
        <f>Inputs!$D$6*F540*Inputs!$D$28*Inputs!$D$31</f>
        <v>642.32615044097156</v>
      </c>
      <c r="W540" s="36">
        <f>V540/(B540*Inputs!$D$34)</f>
        <v>1.0795397486402882</v>
      </c>
      <c r="X540" s="38">
        <f>IF(W540&gt;=1,999,W540/(Inputs!$D$34*(1-W540))*60)</f>
        <v>999</v>
      </c>
      <c r="Y540" s="37">
        <f>MIN(1,MAX(0,(X540-Inputs!$D$36)/(Inputs!$D$37-Inputs!$D$36)))</f>
        <v>1</v>
      </c>
      <c r="Z540" s="35">
        <f>Inputs!$D$6*F540*Inputs!$D$28*(1-Inputs!$D$38*Y540)</f>
        <v>2717.5337134041106</v>
      </c>
      <c r="AA540" s="39">
        <f>Z540*Inputs!$D$13</f>
        <v>23099.03656393494</v>
      </c>
      <c r="AB540" s="39">
        <f>AA540*(1-Inputs!$D$19)</f>
        <v>13859.421938360963</v>
      </c>
      <c r="AC540" s="39">
        <f t="shared" si="32"/>
        <v>355772.07628210454</v>
      </c>
      <c r="AD540" s="39">
        <f t="shared" si="33"/>
        <v>137359.44216153727</v>
      </c>
      <c r="AE540" s="36">
        <f t="shared" si="34"/>
        <v>1.0795397486402882</v>
      </c>
      <c r="AF540" s="35">
        <f>IF(AND(AE540&lt;=Inputs!$D$35,C540&gt;=Inputs!$D$48*(A540+B540+C540),B540*Inputs!$D$22&lt;=Inputs!$D$50*Inputs!$D$8,B540*Inputs!$D$22&gt;=Inputs!$D$49*Inputs!$D$8,A540*Inputs!$D$20&lt;=Inputs!$D$47*Inputs!$D$8,C540&gt;=1),1,0)</f>
        <v>0</v>
      </c>
      <c r="AG540" s="39">
        <f t="shared" si="35"/>
        <v>-1</v>
      </c>
    </row>
    <row r="541" spans="1:33" x14ac:dyDescent="0.25">
      <c r="A541" s="35">
        <v>47</v>
      </c>
      <c r="B541" s="35">
        <v>18</v>
      </c>
      <c r="C541" s="35">
        <f>Inputs!$D$8-A541-Inputs!$D$22*B541</f>
        <v>37</v>
      </c>
      <c r="D541" s="35">
        <f>A541*Inputs!$D$20+C541*Inputs!$D$21+B541*Inputs!$D$22</f>
        <v>120</v>
      </c>
      <c r="E541" s="36">
        <f>MIN(Inputs!$E$15,Inputs!$D$15*(C541/Inputs!$D$43)^Inputs!$D$44)</f>
        <v>0.36556269939951974</v>
      </c>
      <c r="F541" s="36">
        <f>MIN(Inputs!$E$16,Inputs!$D$16*(B541/Inputs!$D$42)^Inputs!$D$44)</f>
        <v>0.38755446447890535</v>
      </c>
      <c r="G541" s="37">
        <f>Inputs!$D$26*(1+Inputs!$D$41*(B541-Inputs!$D$42))</f>
        <v>1.47</v>
      </c>
      <c r="H541" s="35">
        <f>Inputs!$D$6*Inputs!$D$14*G541*Inputs!$D$29</f>
        <v>1846.9521</v>
      </c>
      <c r="I541" s="36">
        <f>H541/(A541*Inputs!$D$32)</f>
        <v>0.71448823984526111</v>
      </c>
      <c r="J541" s="38">
        <f>IF(I541&gt;=1,999,I541/(Inputs!$D$32*(1-I541))*60)</f>
        <v>2.7299811250240484</v>
      </c>
      <c r="K541" s="37">
        <f>MIN(1,MAX(0,(J541-Inputs!$D$36)/(Inputs!$D$37-Inputs!$D$36)))</f>
        <v>0</v>
      </c>
      <c r="L541" s="35">
        <f>Inputs!$D$6*Inputs!$D$14*G541*(1-Inputs!$D$38*K541)</f>
        <v>12313.014000000001</v>
      </c>
      <c r="M541" s="39">
        <f>L541*Inputs!$D$11</f>
        <v>264729.80100000004</v>
      </c>
      <c r="N541" s="39">
        <f>M541*(1-Inputs!$D$17)</f>
        <v>92655.43035000001</v>
      </c>
      <c r="O541" s="35">
        <f>Inputs!$D$6*E541*Inputs!$D$27*Inputs!$D$30</f>
        <v>521.5322184745213</v>
      </c>
      <c r="P541" s="36">
        <f>O541/(C541*Inputs!$D$33)</f>
        <v>0.35238663410440629</v>
      </c>
      <c r="Q541" s="38">
        <f>IF(P541&gt;=1,999,P541/(Inputs!$D$33*(1-P541))*60)</f>
        <v>0.81619679116046151</v>
      </c>
      <c r="R541" s="37">
        <f>MIN(1,MAX(0,(Q541-Inputs!$D$36)/(Inputs!$D$37-Inputs!$D$36)))</f>
        <v>0</v>
      </c>
      <c r="S541" s="35">
        <f>Inputs!$D$6*E541*Inputs!$D$27*(1-Inputs!$D$38*R541)</f>
        <v>4346.101820621011</v>
      </c>
      <c r="T541" s="39">
        <f>S541*Inputs!$D$12</f>
        <v>69537.629129936176</v>
      </c>
      <c r="U541" s="39">
        <f>T541*(1-Inputs!$D$18)</f>
        <v>31291.933108471276</v>
      </c>
      <c r="V541" s="35">
        <f>Inputs!$D$6*F541*Inputs!$D$28*Inputs!$D$31</f>
        <v>653.43542972572936</v>
      </c>
      <c r="W541" s="36">
        <f>V541/(B541*Inputs!$D$34)</f>
        <v>1.037199094802745</v>
      </c>
      <c r="X541" s="38">
        <f>IF(W541&gt;=1,999,W541/(Inputs!$D$34*(1-W541))*60)</f>
        <v>999</v>
      </c>
      <c r="Y541" s="37">
        <f>MIN(1,MAX(0,(X541-Inputs!$D$36)/(Inputs!$D$37-Inputs!$D$36)))</f>
        <v>1</v>
      </c>
      <c r="Z541" s="35">
        <f>Inputs!$D$6*F541*Inputs!$D$28*(1-Inputs!$D$38*Y541)</f>
        <v>2764.534510378086</v>
      </c>
      <c r="AA541" s="39">
        <f>Z541*Inputs!$D$13</f>
        <v>23498.543338213731</v>
      </c>
      <c r="AB541" s="39">
        <f>AA541*(1-Inputs!$D$19)</f>
        <v>14099.126002928238</v>
      </c>
      <c r="AC541" s="39">
        <f t="shared" si="32"/>
        <v>357765.97346814995</v>
      </c>
      <c r="AD541" s="39">
        <f t="shared" si="33"/>
        <v>138046.48946139953</v>
      </c>
      <c r="AE541" s="36">
        <f t="shared" si="34"/>
        <v>1.037199094802745</v>
      </c>
      <c r="AF541" s="35">
        <f>IF(AND(AE541&lt;=Inputs!$D$35,C541&gt;=Inputs!$D$48*(A541+B541+C541),B541*Inputs!$D$22&lt;=Inputs!$D$50*Inputs!$D$8,B541*Inputs!$D$22&gt;=Inputs!$D$49*Inputs!$D$8,A541*Inputs!$D$20&lt;=Inputs!$D$47*Inputs!$D$8,C541&gt;=1),1,0)</f>
        <v>0</v>
      </c>
      <c r="AG541" s="39">
        <f t="shared" si="35"/>
        <v>-1</v>
      </c>
    </row>
    <row r="542" spans="1:33" x14ac:dyDescent="0.25">
      <c r="A542" s="35">
        <v>47</v>
      </c>
      <c r="B542" s="35">
        <v>19</v>
      </c>
      <c r="C542" s="35">
        <f>Inputs!$D$8-A542-Inputs!$D$22*B542</f>
        <v>35</v>
      </c>
      <c r="D542" s="35">
        <f>A542*Inputs!$D$20+C542*Inputs!$D$21+B542*Inputs!$D$22</f>
        <v>120</v>
      </c>
      <c r="E542" s="36">
        <f>MIN(Inputs!$E$15,Inputs!$D$15*(C542/Inputs!$D$43)^Inputs!$D$44)</f>
        <v>0.3595189375764975</v>
      </c>
      <c r="F542" s="36">
        <f>MIN(Inputs!$E$16,Inputs!$D$16*(B542/Inputs!$D$42)^Inputs!$D$44)</f>
        <v>0.39389192072703005</v>
      </c>
      <c r="G542" s="37">
        <f>Inputs!$D$26*(1+Inputs!$D$41*(B542-Inputs!$D$42))</f>
        <v>1.4849999999999999</v>
      </c>
      <c r="H542" s="35">
        <f>Inputs!$D$6*Inputs!$D$14*G542*Inputs!$D$29</f>
        <v>1865.7985499999998</v>
      </c>
      <c r="I542" s="36">
        <f>H542/(A542*Inputs!$D$32)</f>
        <v>0.72177893617021271</v>
      </c>
      <c r="J542" s="38">
        <f>IF(I542&gt;=1,999,I542/(Inputs!$D$32*(1-I542))*60)</f>
        <v>2.8301063631059136</v>
      </c>
      <c r="K542" s="37">
        <f>MIN(1,MAX(0,(J542-Inputs!$D$36)/(Inputs!$D$37-Inputs!$D$36)))</f>
        <v>0</v>
      </c>
      <c r="L542" s="35">
        <f>Inputs!$D$6*Inputs!$D$14*G542*(1-Inputs!$D$38*K542)</f>
        <v>12438.656999999999</v>
      </c>
      <c r="M542" s="39">
        <f>L542*Inputs!$D$11</f>
        <v>267431.12549999997</v>
      </c>
      <c r="N542" s="39">
        <f>M542*(1-Inputs!$D$17)</f>
        <v>93600.893924999982</v>
      </c>
      <c r="O542" s="35">
        <f>Inputs!$D$6*E542*Inputs!$D$27*Inputs!$D$30</f>
        <v>512.90984940713565</v>
      </c>
      <c r="P542" s="36">
        <f>O542/(C542*Inputs!$D$33)</f>
        <v>0.36636417814795402</v>
      </c>
      <c r="Q542" s="38">
        <f>IF(P542&gt;=1,999,P542/(Inputs!$D$33*(1-P542))*60)</f>
        <v>0.86729040289368331</v>
      </c>
      <c r="R542" s="37">
        <f>MIN(1,MAX(0,(Q542-Inputs!$D$36)/(Inputs!$D$37-Inputs!$D$36)))</f>
        <v>0</v>
      </c>
      <c r="S542" s="35">
        <f>Inputs!$D$6*E542*Inputs!$D$27*(1-Inputs!$D$38*R542)</f>
        <v>4274.2487450594635</v>
      </c>
      <c r="T542" s="39">
        <f>S542*Inputs!$D$12</f>
        <v>68387.979920951417</v>
      </c>
      <c r="U542" s="39">
        <f>T542*(1-Inputs!$D$18)</f>
        <v>30774.590964428135</v>
      </c>
      <c r="V542" s="35">
        <f>Inputs!$D$6*F542*Inputs!$D$28*Inputs!$D$31</f>
        <v>664.12068515796761</v>
      </c>
      <c r="W542" s="36">
        <f>V542/(B542*Inputs!$D$34)</f>
        <v>0.99867772204205651</v>
      </c>
      <c r="X542" s="38">
        <f>IF(W542&gt;=1,999,W542/(Inputs!$D$34*(1-W542))*60)</f>
        <v>1294.749671797274</v>
      </c>
      <c r="Y542" s="37">
        <f>MIN(1,MAX(0,(X542-Inputs!$D$36)/(Inputs!$D$37-Inputs!$D$36)))</f>
        <v>1</v>
      </c>
      <c r="Z542" s="35">
        <f>Inputs!$D$6*F542*Inputs!$D$28*(1-Inputs!$D$38*Y542)</f>
        <v>2809.7413602837091</v>
      </c>
      <c r="AA542" s="39">
        <f>Z542*Inputs!$D$13</f>
        <v>23882.801562411529</v>
      </c>
      <c r="AB542" s="39">
        <f>AA542*(1-Inputs!$D$19)</f>
        <v>14329.680937446918</v>
      </c>
      <c r="AC542" s="39">
        <f t="shared" si="32"/>
        <v>359701.90698336292</v>
      </c>
      <c r="AD542" s="39">
        <f t="shared" si="33"/>
        <v>138705.16582687505</v>
      </c>
      <c r="AE542" s="36">
        <f t="shared" si="34"/>
        <v>0.99867772204205651</v>
      </c>
      <c r="AF542" s="35">
        <f>IF(AND(AE542&lt;=Inputs!$D$35,C542&gt;=Inputs!$D$48*(A542+B542+C542),B542*Inputs!$D$22&lt;=Inputs!$D$50*Inputs!$D$8,B542*Inputs!$D$22&gt;=Inputs!$D$49*Inputs!$D$8,A542*Inputs!$D$20&lt;=Inputs!$D$47*Inputs!$D$8,C542&gt;=1),1,0)</f>
        <v>0</v>
      </c>
      <c r="AG542" s="39">
        <f t="shared" si="35"/>
        <v>-1</v>
      </c>
    </row>
    <row r="543" spans="1:33" x14ac:dyDescent="0.25">
      <c r="A543" s="35">
        <v>47</v>
      </c>
      <c r="B543" s="35">
        <v>20</v>
      </c>
      <c r="C543" s="35">
        <f>Inputs!$D$8-A543-Inputs!$D$22*B543</f>
        <v>33</v>
      </c>
      <c r="D543" s="35">
        <f>A543*Inputs!$D$20+C543*Inputs!$D$21+B543*Inputs!$D$22</f>
        <v>120</v>
      </c>
      <c r="E543" s="36">
        <f>MIN(Inputs!$E$15,Inputs!$D$15*(C543/Inputs!$D$43)^Inputs!$D$44)</f>
        <v>0.35322833999035824</v>
      </c>
      <c r="F543" s="36">
        <f>MIN(Inputs!$E$16,Inputs!$D$16*(B543/Inputs!$D$42)^Inputs!$D$44)</f>
        <v>0.4</v>
      </c>
      <c r="G543" s="37">
        <f>Inputs!$D$26*(1+Inputs!$D$41*(B543-Inputs!$D$42))</f>
        <v>1.5</v>
      </c>
      <c r="H543" s="35">
        <f>Inputs!$D$6*Inputs!$D$14*G543*Inputs!$D$29</f>
        <v>1884.645</v>
      </c>
      <c r="I543" s="36">
        <f>H543/(A543*Inputs!$D$32)</f>
        <v>0.72906963249516443</v>
      </c>
      <c r="J543" s="38">
        <f>IF(I543&gt;=1,999,I543/(Inputs!$D$32*(1-I543))*60)</f>
        <v>2.9356203120365585</v>
      </c>
      <c r="K543" s="37">
        <f>MIN(1,MAX(0,(J543-Inputs!$D$36)/(Inputs!$D$37-Inputs!$D$36)))</f>
        <v>0</v>
      </c>
      <c r="L543" s="35">
        <f>Inputs!$D$6*Inputs!$D$14*G543*(1-Inputs!$D$38*K543)</f>
        <v>12564.300000000001</v>
      </c>
      <c r="M543" s="39">
        <f>L543*Inputs!$D$11</f>
        <v>270132.45</v>
      </c>
      <c r="N543" s="39">
        <f>M543*(1-Inputs!$D$17)</f>
        <v>94546.357499999998</v>
      </c>
      <c r="O543" s="35">
        <f>Inputs!$D$6*E543*Inputs!$D$27*Inputs!$D$30</f>
        <v>503.93533061728459</v>
      </c>
      <c r="P543" s="36">
        <f>O543/(C543*Inputs!$D$33)</f>
        <v>0.38176918986157926</v>
      </c>
      <c r="Q543" s="38">
        <f>IF(P543&gt;=1,999,P543/(Inputs!$D$33*(1-P543))*60)</f>
        <v>0.92627830156855617</v>
      </c>
      <c r="R543" s="37">
        <f>MIN(1,MAX(0,(Q543-Inputs!$D$36)/(Inputs!$D$37-Inputs!$D$36)))</f>
        <v>0</v>
      </c>
      <c r="S543" s="35">
        <f>Inputs!$D$6*E543*Inputs!$D$27*(1-Inputs!$D$38*R543)</f>
        <v>4199.461088477372</v>
      </c>
      <c r="T543" s="39">
        <f>S543*Inputs!$D$12</f>
        <v>67191.377415637951</v>
      </c>
      <c r="U543" s="39">
        <f>T543*(1-Inputs!$D$18)</f>
        <v>30236.119837037077</v>
      </c>
      <c r="V543" s="35">
        <f>Inputs!$D$6*F543*Inputs!$D$28*Inputs!$D$31</f>
        <v>674.41919999999993</v>
      </c>
      <c r="W543" s="36">
        <f>V543/(B543*Inputs!$D$34)</f>
        <v>0.96345599999999987</v>
      </c>
      <c r="X543" s="38">
        <f>IF(W543&gt;=1,999,W543/(Inputs!$D$34*(1-W543))*60)</f>
        <v>45.195896922691851</v>
      </c>
      <c r="Y543" s="37">
        <f>MIN(1,MAX(0,(X543-Inputs!$D$36)/(Inputs!$D$37-Inputs!$D$36)))</f>
        <v>1</v>
      </c>
      <c r="Z543" s="35">
        <f>Inputs!$D$6*F543*Inputs!$D$28*(1-Inputs!$D$38*Y543)</f>
        <v>2853.3119999999999</v>
      </c>
      <c r="AA543" s="39">
        <f>Z543*Inputs!$D$13</f>
        <v>24253.151999999998</v>
      </c>
      <c r="AB543" s="39">
        <f>AA543*(1-Inputs!$D$19)</f>
        <v>14551.891199999998</v>
      </c>
      <c r="AC543" s="39">
        <f t="shared" si="32"/>
        <v>361576.97941563796</v>
      </c>
      <c r="AD543" s="39">
        <f t="shared" si="33"/>
        <v>139334.36853703705</v>
      </c>
      <c r="AE543" s="36">
        <f t="shared" si="34"/>
        <v>0.96345599999999987</v>
      </c>
      <c r="AF543" s="35">
        <f>IF(AND(AE543&lt;=Inputs!$D$35,C543&gt;=Inputs!$D$48*(A543+B543+C543),B543*Inputs!$D$22&lt;=Inputs!$D$50*Inputs!$D$8,B543*Inputs!$D$22&gt;=Inputs!$D$49*Inputs!$D$8,A543*Inputs!$D$20&lt;=Inputs!$D$47*Inputs!$D$8,C543&gt;=1),1,0)</f>
        <v>0</v>
      </c>
      <c r="AG543" s="39">
        <f t="shared" si="35"/>
        <v>-1</v>
      </c>
    </row>
    <row r="544" spans="1:33" x14ac:dyDescent="0.25">
      <c r="A544" s="35">
        <v>47</v>
      </c>
      <c r="B544" s="35">
        <v>21</v>
      </c>
      <c r="C544" s="35">
        <f>Inputs!$D$8-A544-Inputs!$D$22*B544</f>
        <v>31</v>
      </c>
      <c r="D544" s="35">
        <f>A544*Inputs!$D$20+C544*Inputs!$D$21+B544*Inputs!$D$22</f>
        <v>120</v>
      </c>
      <c r="E544" s="36">
        <f>MIN(Inputs!$E$15,Inputs!$D$15*(C544/Inputs!$D$43)^Inputs!$D$44)</f>
        <v>0.34666489615699225</v>
      </c>
      <c r="F544" s="36">
        <f>MIN(Inputs!$E$16,Inputs!$D$16*(B544/Inputs!$D$42)^Inputs!$D$44)</f>
        <v>0.40589787816896217</v>
      </c>
      <c r="G544" s="37">
        <f>Inputs!$D$26*(1+Inputs!$D$41*(B544-Inputs!$D$42))</f>
        <v>1.5150000000000001</v>
      </c>
      <c r="H544" s="35">
        <f>Inputs!$D$6*Inputs!$D$14*G544*Inputs!$D$29</f>
        <v>1903.4914500000004</v>
      </c>
      <c r="I544" s="36">
        <f>H544/(A544*Inputs!$D$32)</f>
        <v>0.73636032882011626</v>
      </c>
      <c r="J544" s="38">
        <f>IF(I544&gt;=1,999,I544/(Inputs!$D$32*(1-I544))*60)</f>
        <v>3.0469700303433163</v>
      </c>
      <c r="K544" s="37">
        <f>MIN(1,MAX(0,(J544-Inputs!$D$36)/(Inputs!$D$37-Inputs!$D$36)))</f>
        <v>0</v>
      </c>
      <c r="L544" s="35">
        <f>Inputs!$D$6*Inputs!$D$14*G544*(1-Inputs!$D$38*K544)</f>
        <v>12689.943000000003</v>
      </c>
      <c r="M544" s="39">
        <f>L544*Inputs!$D$11</f>
        <v>272833.77450000006</v>
      </c>
      <c r="N544" s="39">
        <f>M544*(1-Inputs!$D$17)</f>
        <v>95491.821075000014</v>
      </c>
      <c r="O544" s="35">
        <f>Inputs!$D$6*E544*Inputs!$D$27*Inputs!$D$30</f>
        <v>494.57155409174993</v>
      </c>
      <c r="P544" s="36">
        <f>O544/(C544*Inputs!$D$33)</f>
        <v>0.39884802749334675</v>
      </c>
      <c r="Q544" s="38">
        <f>IF(P544&gt;=1,999,P544/(Inputs!$D$33*(1-P544))*60)</f>
        <v>0.9952093124561755</v>
      </c>
      <c r="R544" s="37">
        <f>MIN(1,MAX(0,(Q544-Inputs!$D$36)/(Inputs!$D$37-Inputs!$D$36)))</f>
        <v>0</v>
      </c>
      <c r="S544" s="35">
        <f>Inputs!$D$6*E544*Inputs!$D$27*(1-Inputs!$D$38*R544)</f>
        <v>4121.4296174312494</v>
      </c>
      <c r="T544" s="39">
        <f>S544*Inputs!$D$12</f>
        <v>65942.873878899991</v>
      </c>
      <c r="U544" s="39">
        <f>T544*(1-Inputs!$D$18)</f>
        <v>29674.293245504992</v>
      </c>
      <c r="V544" s="35">
        <f>Inputs!$D$6*F544*Inputs!$D$28*Inputs!$D$31</f>
        <v>684.36330569102222</v>
      </c>
      <c r="W544" s="36">
        <f>V544/(B544*Inputs!$D$34)</f>
        <v>0.93110653835513224</v>
      </c>
      <c r="X544" s="38">
        <f>IF(W544&gt;=1,999,W544/(Inputs!$D$34*(1-W544))*60)</f>
        <v>23.16885520150278</v>
      </c>
      <c r="Y544" s="37">
        <f>MIN(1,MAX(0,(X544-Inputs!$D$36)/(Inputs!$D$37-Inputs!$D$36)))</f>
        <v>1</v>
      </c>
      <c r="Z544" s="35">
        <f>Inputs!$D$6*F544*Inputs!$D$28*(1-Inputs!$D$38*Y544)</f>
        <v>2895.3832163850943</v>
      </c>
      <c r="AA544" s="39">
        <f>Z544*Inputs!$D$13</f>
        <v>24610.757339273303</v>
      </c>
      <c r="AB544" s="39">
        <f>AA544*(1-Inputs!$D$19)</f>
        <v>14766.454403563981</v>
      </c>
      <c r="AC544" s="39">
        <f t="shared" si="32"/>
        <v>363387.40571817331</v>
      </c>
      <c r="AD544" s="39">
        <f t="shared" si="33"/>
        <v>139932.56872406899</v>
      </c>
      <c r="AE544" s="36">
        <f t="shared" si="34"/>
        <v>0.93110653835513224</v>
      </c>
      <c r="AF544" s="35">
        <f>IF(AND(AE544&lt;=Inputs!$D$35,C544&gt;=Inputs!$D$48*(A544+B544+C544),B544*Inputs!$D$22&lt;=Inputs!$D$50*Inputs!$D$8,B544*Inputs!$D$22&gt;=Inputs!$D$49*Inputs!$D$8,A544*Inputs!$D$20&lt;=Inputs!$D$47*Inputs!$D$8,C544&gt;=1),1,0)</f>
        <v>0</v>
      </c>
      <c r="AG544" s="39">
        <f t="shared" si="35"/>
        <v>-1</v>
      </c>
    </row>
    <row r="545" spans="1:33" x14ac:dyDescent="0.25">
      <c r="A545" s="35">
        <v>47</v>
      </c>
      <c r="B545" s="35">
        <v>22</v>
      </c>
      <c r="C545" s="35">
        <f>Inputs!$D$8-A545-Inputs!$D$22*B545</f>
        <v>29</v>
      </c>
      <c r="D545" s="35">
        <f>A545*Inputs!$D$20+C545*Inputs!$D$21+B545*Inputs!$D$22</f>
        <v>120</v>
      </c>
      <c r="E545" s="36">
        <f>MIN(Inputs!$E$15,Inputs!$D$15*(C545/Inputs!$D$43)^Inputs!$D$44)</f>
        <v>0.33979795258455459</v>
      </c>
      <c r="F545" s="36">
        <f>MIN(Inputs!$E$16,Inputs!$D$16*(B545/Inputs!$D$42)^Inputs!$D$44)</f>
        <v>0.41160230376843804</v>
      </c>
      <c r="G545" s="37">
        <f>Inputs!$D$26*(1+Inputs!$D$41*(B545-Inputs!$D$42))</f>
        <v>1.53</v>
      </c>
      <c r="H545" s="35">
        <f>Inputs!$D$6*Inputs!$D$14*G545*Inputs!$D$29</f>
        <v>1922.3379</v>
      </c>
      <c r="I545" s="36">
        <f>H545/(A545*Inputs!$D$32)</f>
        <v>0.74365102514506765</v>
      </c>
      <c r="J545" s="38">
        <f>IF(I545&gt;=1,999,I545/(Inputs!$D$32*(1-I545))*60)</f>
        <v>3.1646534348487569</v>
      </c>
      <c r="K545" s="37">
        <f>MIN(1,MAX(0,(J545-Inputs!$D$36)/(Inputs!$D$37-Inputs!$D$36)))</f>
        <v>0</v>
      </c>
      <c r="L545" s="35">
        <f>Inputs!$D$6*Inputs!$D$14*G545*(1-Inputs!$D$38*K545)</f>
        <v>12815.586000000001</v>
      </c>
      <c r="M545" s="39">
        <f>L545*Inputs!$D$11</f>
        <v>275535.09900000005</v>
      </c>
      <c r="N545" s="39">
        <f>M545*(1-Inputs!$D$17)</f>
        <v>96437.284650000016</v>
      </c>
      <c r="O545" s="35">
        <f>Inputs!$D$6*E545*Inputs!$D$27*Inputs!$D$30</f>
        <v>484.77478784247035</v>
      </c>
      <c r="P545" s="36">
        <f>O545/(C545*Inputs!$D$33)</f>
        <v>0.41790929986419856</v>
      </c>
      <c r="Q545" s="38">
        <f>IF(P545&gt;=1,999,P545/(Inputs!$D$33*(1-P545))*60)</f>
        <v>1.0769179951681944</v>
      </c>
      <c r="R545" s="37">
        <f>MIN(1,MAX(0,(Q545-Inputs!$D$36)/(Inputs!$D$37-Inputs!$D$36)))</f>
        <v>0</v>
      </c>
      <c r="S545" s="35">
        <f>Inputs!$D$6*E545*Inputs!$D$27*(1-Inputs!$D$38*R545)</f>
        <v>4039.7898986872528</v>
      </c>
      <c r="T545" s="39">
        <f>S545*Inputs!$D$12</f>
        <v>64636.638378996046</v>
      </c>
      <c r="U545" s="39">
        <f>T545*(1-Inputs!$D$18)</f>
        <v>29086.487270548219</v>
      </c>
      <c r="V545" s="35">
        <f>Inputs!$D$6*F545*Inputs!$D$28*Inputs!$D$31</f>
        <v>693.98124106416742</v>
      </c>
      <c r="W545" s="36">
        <f>V545/(B545*Inputs!$D$34)</f>
        <v>0.90127433904437326</v>
      </c>
      <c r="X545" s="38">
        <f>IF(W545&gt;=1,999,W545/(Inputs!$D$34*(1-W545))*60)</f>
        <v>15.649849381818807</v>
      </c>
      <c r="Y545" s="37">
        <f>MIN(1,MAX(0,(X545-Inputs!$D$36)/(Inputs!$D$37-Inputs!$D$36)))</f>
        <v>0.70998995878792048</v>
      </c>
      <c r="Z545" s="35">
        <f>Inputs!$D$6*F545*Inputs!$D$28*(1-Inputs!$D$38*Y545)</f>
        <v>3632.749002537963</v>
      </c>
      <c r="AA545" s="39">
        <f>Z545*Inputs!$D$13</f>
        <v>30878.366521572687</v>
      </c>
      <c r="AB545" s="39">
        <f>AA545*(1-Inputs!$D$19)</f>
        <v>18527.019912943611</v>
      </c>
      <c r="AC545" s="39">
        <f t="shared" si="32"/>
        <v>371050.10390056879</v>
      </c>
      <c r="AD545" s="39">
        <f t="shared" si="33"/>
        <v>144050.79183349185</v>
      </c>
      <c r="AE545" s="36">
        <f t="shared" si="34"/>
        <v>0.90127433904437326</v>
      </c>
      <c r="AF545" s="35">
        <f>IF(AND(AE545&lt;=Inputs!$D$35,C545&gt;=Inputs!$D$48*(A545+B545+C545),B545*Inputs!$D$22&lt;=Inputs!$D$50*Inputs!$D$8,B545*Inputs!$D$22&gt;=Inputs!$D$49*Inputs!$D$8,A545*Inputs!$D$20&lt;=Inputs!$D$47*Inputs!$D$8,C545&gt;=1),1,0)</f>
        <v>0</v>
      </c>
      <c r="AG545" s="39">
        <f t="shared" si="35"/>
        <v>-1</v>
      </c>
    </row>
    <row r="546" spans="1:33" x14ac:dyDescent="0.25">
      <c r="A546" s="35">
        <v>47</v>
      </c>
      <c r="B546" s="35">
        <v>23</v>
      </c>
      <c r="C546" s="35">
        <f>Inputs!$D$8-A546-Inputs!$D$22*B546</f>
        <v>27</v>
      </c>
      <c r="D546" s="35">
        <f>A546*Inputs!$D$20+C546*Inputs!$D$21+B546*Inputs!$D$22</f>
        <v>120</v>
      </c>
      <c r="E546" s="36">
        <f>MIN(Inputs!$E$15,Inputs!$D$15*(C546/Inputs!$D$43)^Inputs!$D$44)</f>
        <v>0.33259099594532748</v>
      </c>
      <c r="F546" s="36">
        <f>MIN(Inputs!$E$16,Inputs!$D$16*(B546/Inputs!$D$42)^Inputs!$D$44)</f>
        <v>0.41712800028621322</v>
      </c>
      <c r="G546" s="37">
        <f>Inputs!$D$26*(1+Inputs!$D$41*(B546-Inputs!$D$42))</f>
        <v>1.5449999999999999</v>
      </c>
      <c r="H546" s="35">
        <f>Inputs!$D$6*Inputs!$D$14*G546*Inputs!$D$29</f>
        <v>1941.18435</v>
      </c>
      <c r="I546" s="36">
        <f>H546/(A546*Inputs!$D$32)</f>
        <v>0.75094172147001936</v>
      </c>
      <c r="J546" s="38">
        <f>IF(I546&gt;=1,999,I546/(Inputs!$D$32*(1-I546))*60)</f>
        <v>3.2892267445587176</v>
      </c>
      <c r="K546" s="37">
        <f>MIN(1,MAX(0,(J546-Inputs!$D$36)/(Inputs!$D$37-Inputs!$D$36)))</f>
        <v>0</v>
      </c>
      <c r="L546" s="35">
        <f>Inputs!$D$6*Inputs!$D$14*G546*(1-Inputs!$D$38*K546)</f>
        <v>12941.229000000001</v>
      </c>
      <c r="M546" s="39">
        <f>L546*Inputs!$D$11</f>
        <v>278236.42350000003</v>
      </c>
      <c r="N546" s="39">
        <f>M546*(1-Inputs!$D$17)</f>
        <v>97382.748225000003</v>
      </c>
      <c r="O546" s="35">
        <f>Inputs!$D$6*E546*Inputs!$D$27*Inputs!$D$30</f>
        <v>474.49293991137716</v>
      </c>
      <c r="P546" s="36">
        <f>O546/(C546*Inputs!$D$33)</f>
        <v>0.43934531473275662</v>
      </c>
      <c r="Q546" s="38">
        <f>IF(P546&gt;=1,999,P546/(Inputs!$D$33*(1-P546))*60)</f>
        <v>1.1754436187133714</v>
      </c>
      <c r="R546" s="37">
        <f>MIN(1,MAX(0,(Q546-Inputs!$D$36)/(Inputs!$D$37-Inputs!$D$36)))</f>
        <v>0</v>
      </c>
      <c r="S546" s="35">
        <f>Inputs!$D$6*E546*Inputs!$D$27*(1-Inputs!$D$38*R546)</f>
        <v>3954.1078325948097</v>
      </c>
      <c r="T546" s="39">
        <f>S546*Inputs!$D$12</f>
        <v>63265.725321516955</v>
      </c>
      <c r="U546" s="39">
        <f>T546*(1-Inputs!$D$18)</f>
        <v>28469.576394682626</v>
      </c>
      <c r="V546" s="35">
        <f>Inputs!$D$6*F546*Inputs!$D$28*Inputs!$D$31</f>
        <v>703.29783062656929</v>
      </c>
      <c r="W546" s="36">
        <f>V546/(B546*Inputs!$D$34)</f>
        <v>0.87366190139946498</v>
      </c>
      <c r="X546" s="38">
        <f>IF(W546&gt;=1,999,W546/(Inputs!$D$34*(1-W546))*60)</f>
        <v>11.854746377182334</v>
      </c>
      <c r="Y546" s="37">
        <f>MIN(1,MAX(0,(X546-Inputs!$D$36)/(Inputs!$D$37-Inputs!$D$36)))</f>
        <v>0.45698309181215557</v>
      </c>
      <c r="Z546" s="35">
        <f>Inputs!$D$6*F546*Inputs!$D$28*(1-Inputs!$D$38*Y546)</f>
        <v>4297.4614071503011</v>
      </c>
      <c r="AA546" s="39">
        <f>Z546*Inputs!$D$13</f>
        <v>36528.421960777559</v>
      </c>
      <c r="AB546" s="39">
        <f>AA546*(1-Inputs!$D$19)</f>
        <v>21917.053176466536</v>
      </c>
      <c r="AC546" s="39">
        <f t="shared" si="32"/>
        <v>378030.57078229456</v>
      </c>
      <c r="AD546" s="39">
        <f t="shared" si="33"/>
        <v>147769.37779614917</v>
      </c>
      <c r="AE546" s="36">
        <f t="shared" si="34"/>
        <v>0.87366190139946498</v>
      </c>
      <c r="AF546" s="35">
        <f>IF(AND(AE546&lt;=Inputs!$D$35,C546&gt;=Inputs!$D$48*(A546+B546+C546),B546*Inputs!$D$22&lt;=Inputs!$D$50*Inputs!$D$8,B546*Inputs!$D$22&gt;=Inputs!$D$49*Inputs!$D$8,A546*Inputs!$D$20&lt;=Inputs!$D$47*Inputs!$D$8,C546&gt;=1),1,0)</f>
        <v>0</v>
      </c>
      <c r="AG546" s="39">
        <f t="shared" si="35"/>
        <v>-1</v>
      </c>
    </row>
    <row r="547" spans="1:33" x14ac:dyDescent="0.25">
      <c r="A547" s="35">
        <v>47</v>
      </c>
      <c r="B547" s="35">
        <v>24</v>
      </c>
      <c r="C547" s="35">
        <f>Inputs!$D$8-A547-Inputs!$D$22*B547</f>
        <v>25</v>
      </c>
      <c r="D547" s="35">
        <f>A547*Inputs!$D$20+C547*Inputs!$D$21+B547*Inputs!$D$22</f>
        <v>120</v>
      </c>
      <c r="E547" s="36">
        <f>MIN(Inputs!$E$15,Inputs!$D$15*(C547/Inputs!$D$43)^Inputs!$D$44)</f>
        <v>0.32500000000000001</v>
      </c>
      <c r="F547" s="36">
        <f>MIN(Inputs!$E$16,Inputs!$D$16*(B547/Inputs!$D$42)^Inputs!$D$44)</f>
        <v>0.42248798737570326</v>
      </c>
      <c r="G547" s="37">
        <f>Inputs!$D$26*(1+Inputs!$D$41*(B547-Inputs!$D$42))</f>
        <v>1.56</v>
      </c>
      <c r="H547" s="35">
        <f>Inputs!$D$6*Inputs!$D$14*G547*Inputs!$D$29</f>
        <v>1960.0308</v>
      </c>
      <c r="I547" s="36">
        <f>H547/(A547*Inputs!$D$32)</f>
        <v>0.75823241779497097</v>
      </c>
      <c r="J547" s="38">
        <f>IF(I547&gt;=1,999,I547/(Inputs!$D$32*(1-I547))*60)</f>
        <v>3.4213132714089238</v>
      </c>
      <c r="K547" s="37">
        <f>MIN(1,MAX(0,(J547-Inputs!$D$36)/(Inputs!$D$37-Inputs!$D$36)))</f>
        <v>0</v>
      </c>
      <c r="L547" s="35">
        <f>Inputs!$D$6*Inputs!$D$14*G547*(1-Inputs!$D$38*K547)</f>
        <v>13066.872000000001</v>
      </c>
      <c r="M547" s="39">
        <f>L547*Inputs!$D$11</f>
        <v>280937.74800000002</v>
      </c>
      <c r="N547" s="39">
        <f>M547*(1-Inputs!$D$17)</f>
        <v>98328.211800000005</v>
      </c>
      <c r="O547" s="35">
        <f>Inputs!$D$6*E547*Inputs!$D$27*Inputs!$D$30</f>
        <v>463.66320000000002</v>
      </c>
      <c r="P547" s="36">
        <f>O547/(C547*Inputs!$D$33)</f>
        <v>0.4636632</v>
      </c>
      <c r="Q547" s="38">
        <f>IF(P547&gt;=1,999,P547/(Inputs!$D$33*(1-P547))*60)</f>
        <v>1.296750101801704</v>
      </c>
      <c r="R547" s="37">
        <f>MIN(1,MAX(0,(Q547-Inputs!$D$36)/(Inputs!$D$37-Inputs!$D$36)))</f>
        <v>0</v>
      </c>
      <c r="S547" s="35">
        <f>Inputs!$D$6*E547*Inputs!$D$27*(1-Inputs!$D$38*R547)</f>
        <v>3863.86</v>
      </c>
      <c r="T547" s="39">
        <f>S547*Inputs!$D$12</f>
        <v>61821.760000000002</v>
      </c>
      <c r="U547" s="39">
        <f>T547*(1-Inputs!$D$18)</f>
        <v>27819.791999999998</v>
      </c>
      <c r="V547" s="35">
        <f>Inputs!$D$6*F547*Inputs!$D$28*Inputs!$D$31</f>
        <v>712.33502613882979</v>
      </c>
      <c r="W547" s="36">
        <f>V547/(B547*Inputs!$D$34)</f>
        <v>0.84801788826051161</v>
      </c>
      <c r="X547" s="38">
        <f>IF(W547&gt;=1,999,W547/(Inputs!$D$34*(1-W547))*60)</f>
        <v>9.5652372155190832</v>
      </c>
      <c r="Y547" s="37">
        <f>MIN(1,MAX(0,(X547-Inputs!$D$36)/(Inputs!$D$37-Inputs!$D$36)))</f>
        <v>0.30434914770127219</v>
      </c>
      <c r="Z547" s="35">
        <f>Inputs!$D$6*F547*Inputs!$D$28*(1-Inputs!$D$38*Y547)</f>
        <v>4729.0436538571339</v>
      </c>
      <c r="AA547" s="39">
        <f>Z547*Inputs!$D$13</f>
        <v>40196.87105778564</v>
      </c>
      <c r="AB547" s="39">
        <f>AA547*(1-Inputs!$D$19)</f>
        <v>24118.122634671385</v>
      </c>
      <c r="AC547" s="39">
        <f t="shared" si="32"/>
        <v>382956.37905778567</v>
      </c>
      <c r="AD547" s="39">
        <f t="shared" si="33"/>
        <v>150266.1264346714</v>
      </c>
      <c r="AE547" s="36">
        <f t="shared" si="34"/>
        <v>0.84801788826051161</v>
      </c>
      <c r="AF547" s="35">
        <f>IF(AND(AE547&lt;=Inputs!$D$35,C547&gt;=Inputs!$D$48*(A547+B547+C547),B547*Inputs!$D$22&lt;=Inputs!$D$50*Inputs!$D$8,B547*Inputs!$D$22&gt;=Inputs!$D$49*Inputs!$D$8,A547*Inputs!$D$20&lt;=Inputs!$D$47*Inputs!$D$8,C547&gt;=1),1,0)</f>
        <v>1</v>
      </c>
      <c r="AG547" s="39">
        <f t="shared" si="35"/>
        <v>150266.1264346714</v>
      </c>
    </row>
    <row r="548" spans="1:33" x14ac:dyDescent="0.25">
      <c r="A548" s="35">
        <v>47</v>
      </c>
      <c r="B548" s="35">
        <v>25</v>
      </c>
      <c r="C548" s="35">
        <f>Inputs!$D$8-A548-Inputs!$D$22*B548</f>
        <v>23</v>
      </c>
      <c r="D548" s="35">
        <f>A548*Inputs!$D$20+C548*Inputs!$D$21+B548*Inputs!$D$22</f>
        <v>120</v>
      </c>
      <c r="E548" s="36">
        <f>MIN(Inputs!$E$15,Inputs!$D$15*(C548/Inputs!$D$43)^Inputs!$D$44)</f>
        <v>0.31697113078396583</v>
      </c>
      <c r="F548" s="36">
        <f>MIN(Inputs!$E$16,Inputs!$D$16*(B548/Inputs!$D$42)^Inputs!$D$44)</f>
        <v>0.42769383999647526</v>
      </c>
      <c r="G548" s="37">
        <f>Inputs!$D$26*(1+Inputs!$D$41*(B548-Inputs!$D$42))</f>
        <v>1.5750000000000002</v>
      </c>
      <c r="H548" s="35">
        <f>Inputs!$D$6*Inputs!$D$14*G548*Inputs!$D$29</f>
        <v>1978.8772500000005</v>
      </c>
      <c r="I548" s="36">
        <f>H548/(A548*Inputs!$D$32)</f>
        <v>0.7655231141199228</v>
      </c>
      <c r="J548" s="38">
        <f>IF(I548&gt;=1,999,I548/(Inputs!$D$32*(1-I548))*60)</f>
        <v>3.5616138510197546</v>
      </c>
      <c r="K548" s="37">
        <f>MIN(1,MAX(0,(J548-Inputs!$D$36)/(Inputs!$D$37-Inputs!$D$36)))</f>
        <v>0</v>
      </c>
      <c r="L548" s="35">
        <f>Inputs!$D$6*Inputs!$D$14*G548*(1-Inputs!$D$38*K548)</f>
        <v>13192.515000000003</v>
      </c>
      <c r="M548" s="39">
        <f>L548*Inputs!$D$11</f>
        <v>283639.07250000007</v>
      </c>
      <c r="N548" s="39">
        <f>M548*(1-Inputs!$D$17)</f>
        <v>99273.675375000021</v>
      </c>
      <c r="O548" s="35">
        <f>Inputs!$D$6*E548*Inputs!$D$27*Inputs!$D$30</f>
        <v>452.20876555972956</v>
      </c>
      <c r="P548" s="36">
        <f>O548/(C548*Inputs!$D$33)</f>
        <v>0.49153126691274951</v>
      </c>
      <c r="Q548" s="38">
        <f>IF(P548&gt;=1,999,P548/(Inputs!$D$33*(1-P548))*60)</f>
        <v>1.4500339005950402</v>
      </c>
      <c r="R548" s="37">
        <f>MIN(1,MAX(0,(Q548-Inputs!$D$36)/(Inputs!$D$37-Inputs!$D$36)))</f>
        <v>0</v>
      </c>
      <c r="S548" s="35">
        <f>Inputs!$D$6*E548*Inputs!$D$27*(1-Inputs!$D$38*R548)</f>
        <v>3768.4063796644132</v>
      </c>
      <c r="T548" s="39">
        <f>S548*Inputs!$D$12</f>
        <v>60294.502074630611</v>
      </c>
      <c r="U548" s="39">
        <f>T548*(1-Inputs!$D$18)</f>
        <v>27132.525933583773</v>
      </c>
      <c r="V548" s="35">
        <f>Inputs!$D$6*F548*Inputs!$D$28*Inputs!$D$31</f>
        <v>721.1123435383771</v>
      </c>
      <c r="W548" s="36">
        <f>V548/(B548*Inputs!$D$34)</f>
        <v>0.82412839261528814</v>
      </c>
      <c r="X548" s="38">
        <f>IF(W548&gt;=1,999,W548/(Inputs!$D$34*(1-W548))*60)</f>
        <v>8.0330847668163621</v>
      </c>
      <c r="Y548" s="37">
        <f>MIN(1,MAX(0,(X548-Inputs!$D$36)/(Inputs!$D$37-Inputs!$D$36)))</f>
        <v>0.20220565112109082</v>
      </c>
      <c r="Z548" s="35">
        <f>Inputs!$D$6*F548*Inputs!$D$28*(1-Inputs!$D$38*Y548)</f>
        <v>5042.2807508299393</v>
      </c>
      <c r="AA548" s="39">
        <f>Z548*Inputs!$D$13</f>
        <v>42859.386382054487</v>
      </c>
      <c r="AB548" s="39">
        <f>AA548*(1-Inputs!$D$19)</f>
        <v>25715.631829232691</v>
      </c>
      <c r="AC548" s="39">
        <f t="shared" si="32"/>
        <v>386792.96095668519</v>
      </c>
      <c r="AD548" s="39">
        <f t="shared" si="33"/>
        <v>152121.83313781649</v>
      </c>
      <c r="AE548" s="36">
        <f t="shared" si="34"/>
        <v>0.82412839261528814</v>
      </c>
      <c r="AF548" s="35">
        <f>IF(AND(AE548&lt;=Inputs!$D$35,C548&gt;=Inputs!$D$48*(A548+B548+C548),B548*Inputs!$D$22&lt;=Inputs!$D$50*Inputs!$D$8,B548*Inputs!$D$22&gt;=Inputs!$D$49*Inputs!$D$8,A548*Inputs!$D$20&lt;=Inputs!$D$47*Inputs!$D$8,C548&gt;=1),1,0)</f>
        <v>1</v>
      </c>
      <c r="AG548" s="39">
        <f t="shared" si="35"/>
        <v>152121.83313781649</v>
      </c>
    </row>
    <row r="549" spans="1:33" x14ac:dyDescent="0.25">
      <c r="A549" s="35">
        <v>47</v>
      </c>
      <c r="B549" s="35">
        <v>26</v>
      </c>
      <c r="C549" s="35">
        <f>Inputs!$D$8-A549-Inputs!$D$22*B549</f>
        <v>21</v>
      </c>
      <c r="D549" s="35">
        <f>A549*Inputs!$D$20+C549*Inputs!$D$21+B549*Inputs!$D$22</f>
        <v>120</v>
      </c>
      <c r="E549" s="36">
        <f>MIN(Inputs!$E$15,Inputs!$D$15*(C549/Inputs!$D$43)^Inputs!$D$44)</f>
        <v>0.30843748043226404</v>
      </c>
      <c r="F549" s="36">
        <f>MIN(Inputs!$E$16,Inputs!$D$16*(B549/Inputs!$D$42)^Inputs!$D$44)</f>
        <v>0.43275589945781112</v>
      </c>
      <c r="G549" s="37">
        <f>Inputs!$D$26*(1+Inputs!$D$41*(B549-Inputs!$D$42))</f>
        <v>1.59</v>
      </c>
      <c r="H549" s="35">
        <f>Inputs!$D$6*Inputs!$D$14*G549*Inputs!$D$29</f>
        <v>1997.7237</v>
      </c>
      <c r="I549" s="36">
        <f>H549/(A549*Inputs!$D$32)</f>
        <v>0.77281381044487429</v>
      </c>
      <c r="J549" s="38">
        <f>IF(I549&gt;=1,999,I549/(Inputs!$D$32*(1-I549))*60)</f>
        <v>3.7109192818687653</v>
      </c>
      <c r="K549" s="37">
        <f>MIN(1,MAX(0,(J549-Inputs!$D$36)/(Inputs!$D$37-Inputs!$D$36)))</f>
        <v>0</v>
      </c>
      <c r="L549" s="35">
        <f>Inputs!$D$6*Inputs!$D$14*G549*(1-Inputs!$D$38*K549)</f>
        <v>13318.158000000001</v>
      </c>
      <c r="M549" s="39">
        <f>L549*Inputs!$D$11</f>
        <v>286340.39700000006</v>
      </c>
      <c r="N549" s="39">
        <f>M549*(1-Inputs!$D$17)</f>
        <v>100219.13895000001</v>
      </c>
      <c r="O549" s="35">
        <f>Inputs!$D$6*E549*Inputs!$D$27*Inputs!$D$30</f>
        <v>440.03418208357215</v>
      </c>
      <c r="P549" s="36">
        <f>O549/(C549*Inputs!$D$33)</f>
        <v>0.52385021676615728</v>
      </c>
      <c r="Q549" s="38">
        <f>IF(P549&gt;=1,999,P549/(Inputs!$D$33*(1-P549))*60)</f>
        <v>1.6502692069132636</v>
      </c>
      <c r="R549" s="37">
        <f>MIN(1,MAX(0,(Q549-Inputs!$D$36)/(Inputs!$D$37-Inputs!$D$36)))</f>
        <v>0</v>
      </c>
      <c r="S549" s="35">
        <f>Inputs!$D$6*E549*Inputs!$D$27*(1-Inputs!$D$38*R549)</f>
        <v>3666.9515173631012</v>
      </c>
      <c r="T549" s="39">
        <f>S549*Inputs!$D$12</f>
        <v>58671.224277809619</v>
      </c>
      <c r="U549" s="39">
        <f>T549*(1-Inputs!$D$18)</f>
        <v>26402.050925014326</v>
      </c>
      <c r="V549" s="35">
        <f>Inputs!$D$6*F549*Inputs!$D$28*Inputs!$D$31</f>
        <v>729.64721876904355</v>
      </c>
      <c r="W549" s="36">
        <f>V549/(B549*Inputs!$D$34)</f>
        <v>0.80181013051543248</v>
      </c>
      <c r="X549" s="38">
        <f>IF(W549&gt;=1,999,W549/(Inputs!$D$34*(1-W549))*60)</f>
        <v>6.9354284146153136</v>
      </c>
      <c r="Y549" s="37">
        <f>MIN(1,MAX(0,(X549-Inputs!$D$36)/(Inputs!$D$37-Inputs!$D$36)))</f>
        <v>0.12902856097435425</v>
      </c>
      <c r="Z549" s="35">
        <f>Inputs!$D$6*F549*Inputs!$D$28*(1-Inputs!$D$38*Y549)</f>
        <v>5286.7832305655711</v>
      </c>
      <c r="AA549" s="39">
        <f>Z549*Inputs!$D$13</f>
        <v>44937.657459807357</v>
      </c>
      <c r="AB549" s="39">
        <f>AA549*(1-Inputs!$D$19)</f>
        <v>26962.594475884413</v>
      </c>
      <c r="AC549" s="39">
        <f t="shared" si="32"/>
        <v>389949.27873761702</v>
      </c>
      <c r="AD549" s="39">
        <f t="shared" si="33"/>
        <v>153583.78435089876</v>
      </c>
      <c r="AE549" s="36">
        <f t="shared" si="34"/>
        <v>0.80181013051543248</v>
      </c>
      <c r="AF549" s="35">
        <f>IF(AND(AE549&lt;=Inputs!$D$35,C549&gt;=Inputs!$D$48*(A549+B549+C549),B549*Inputs!$D$22&lt;=Inputs!$D$50*Inputs!$D$8,B549*Inputs!$D$22&gt;=Inputs!$D$49*Inputs!$D$8,A549*Inputs!$D$20&lt;=Inputs!$D$47*Inputs!$D$8,C549&gt;=1),1,0)</f>
        <v>1</v>
      </c>
      <c r="AG549" s="39">
        <f t="shared" si="35"/>
        <v>153583.78435089876</v>
      </c>
    </row>
    <row r="550" spans="1:33" x14ac:dyDescent="0.25">
      <c r="A550" s="35">
        <v>47</v>
      </c>
      <c r="B550" s="35">
        <v>27</v>
      </c>
      <c r="C550" s="35">
        <f>Inputs!$D$8-A550-Inputs!$D$22*B550</f>
        <v>19</v>
      </c>
      <c r="D550" s="35">
        <f>A550*Inputs!$D$20+C550*Inputs!$D$21+B550*Inputs!$D$22</f>
        <v>120</v>
      </c>
      <c r="E550" s="36">
        <f>MIN(Inputs!$E$15,Inputs!$D$15*(C550/Inputs!$D$43)^Inputs!$D$44)</f>
        <v>0.29931428106923352</v>
      </c>
      <c r="F550" s="36">
        <f>MIN(Inputs!$E$16,Inputs!$D$16*(B550/Inputs!$D$42)^Inputs!$D$44)</f>
        <v>0.43768344678187454</v>
      </c>
      <c r="G550" s="37">
        <f>Inputs!$D$26*(1+Inputs!$D$41*(B550-Inputs!$D$42))</f>
        <v>1.605</v>
      </c>
      <c r="H550" s="35">
        <f>Inputs!$D$6*Inputs!$D$14*G550*Inputs!$D$29</f>
        <v>2016.57015</v>
      </c>
      <c r="I550" s="36">
        <f>H550/(A550*Inputs!$D$32)</f>
        <v>0.7801045067698259</v>
      </c>
      <c r="J550" s="38">
        <f>IF(I550&gt;=1,999,I550/(Inputs!$D$32*(1-I550))*60)</f>
        <v>3.8701252390086638</v>
      </c>
      <c r="K550" s="37">
        <f>MIN(1,MAX(0,(J550-Inputs!$D$36)/(Inputs!$D$37-Inputs!$D$36)))</f>
        <v>0</v>
      </c>
      <c r="L550" s="35">
        <f>Inputs!$D$6*Inputs!$D$14*G550*(1-Inputs!$D$38*K550)</f>
        <v>13443.801000000001</v>
      </c>
      <c r="M550" s="39">
        <f>L550*Inputs!$D$11</f>
        <v>289041.72150000004</v>
      </c>
      <c r="N550" s="39">
        <f>M550*(1-Inputs!$D$17)</f>
        <v>101164.60252500001</v>
      </c>
      <c r="O550" s="35">
        <f>Inputs!$D$6*E550*Inputs!$D$27*Inputs!$D$30</f>
        <v>427.01851497310844</v>
      </c>
      <c r="P550" s="36">
        <f>O550/(C550*Inputs!$D$33)</f>
        <v>0.56186646706987953</v>
      </c>
      <c r="Q550" s="38">
        <f>IF(P550&gt;=1,999,P550/(Inputs!$D$33*(1-P550))*60)</f>
        <v>1.9236137781292366</v>
      </c>
      <c r="R550" s="37">
        <f>MIN(1,MAX(0,(Q550-Inputs!$D$36)/(Inputs!$D$37-Inputs!$D$36)))</f>
        <v>0</v>
      </c>
      <c r="S550" s="35">
        <f>Inputs!$D$6*E550*Inputs!$D$27*(1-Inputs!$D$38*R550)</f>
        <v>3558.4876247759039</v>
      </c>
      <c r="T550" s="39">
        <f>S550*Inputs!$D$12</f>
        <v>56935.801996414462</v>
      </c>
      <c r="U550" s="39">
        <f>T550*(1-Inputs!$D$18)</f>
        <v>25621.110898386505</v>
      </c>
      <c r="V550" s="35">
        <f>Inputs!$D$6*F550*Inputs!$D$28*Inputs!$D$31</f>
        <v>737.95530007968603</v>
      </c>
      <c r="W550" s="36">
        <f>V550/(B550*Inputs!$D$34)</f>
        <v>0.78090507944940324</v>
      </c>
      <c r="X550" s="38">
        <f>IF(W550&gt;=1,999,W550/(Inputs!$D$34*(1-W550))*60)</f>
        <v>6.1101116290101798</v>
      </c>
      <c r="Y550" s="37">
        <f>MIN(1,MAX(0,(X550-Inputs!$D$36)/(Inputs!$D$37-Inputs!$D$36)))</f>
        <v>7.4007441934011986E-2</v>
      </c>
      <c r="Z550" s="35">
        <f>Inputs!$D$6*F550*Inputs!$D$28*(1-Inputs!$D$38*Y550)</f>
        <v>5487.5301328495489</v>
      </c>
      <c r="AA550" s="39">
        <f>Z550*Inputs!$D$13</f>
        <v>46644.006129221169</v>
      </c>
      <c r="AB550" s="39">
        <f>AA550*(1-Inputs!$D$19)</f>
        <v>27986.4036775327</v>
      </c>
      <c r="AC550" s="39">
        <f t="shared" si="32"/>
        <v>392621.52962563571</v>
      </c>
      <c r="AD550" s="39">
        <f t="shared" si="33"/>
        <v>154772.11710091922</v>
      </c>
      <c r="AE550" s="36">
        <f t="shared" si="34"/>
        <v>0.78090507944940324</v>
      </c>
      <c r="AF550" s="35">
        <f>IF(AND(AE550&lt;=Inputs!$D$35,C550&gt;=Inputs!$D$48*(A550+B550+C550),B550*Inputs!$D$22&lt;=Inputs!$D$50*Inputs!$D$8,B550*Inputs!$D$22&gt;=Inputs!$D$49*Inputs!$D$8,A550*Inputs!$D$20&lt;=Inputs!$D$47*Inputs!$D$8,C550&gt;=1),1,0)</f>
        <v>1</v>
      </c>
      <c r="AG550" s="39">
        <f t="shared" si="35"/>
        <v>154772.11710091922</v>
      </c>
    </row>
    <row r="551" spans="1:33" x14ac:dyDescent="0.25">
      <c r="A551" s="35">
        <v>47</v>
      </c>
      <c r="B551" s="35">
        <v>28</v>
      </c>
      <c r="C551" s="35">
        <f>Inputs!$D$8-A551-Inputs!$D$22*B551</f>
        <v>17</v>
      </c>
      <c r="D551" s="35">
        <f>A551*Inputs!$D$20+C551*Inputs!$D$21+B551*Inputs!$D$22</f>
        <v>120</v>
      </c>
      <c r="E551" s="36">
        <f>MIN(Inputs!$E$15,Inputs!$D$15*(C551/Inputs!$D$43)^Inputs!$D$44)</f>
        <v>0.28949164546121231</v>
      </c>
      <c r="F551" s="36">
        <f>MIN(Inputs!$E$16,Inputs!$D$16*(B551/Inputs!$D$42)^Inputs!$D$44)</f>
        <v>0.44248484624799689</v>
      </c>
      <c r="G551" s="37">
        <f>Inputs!$D$26*(1+Inputs!$D$41*(B551-Inputs!$D$42))</f>
        <v>1.62</v>
      </c>
      <c r="H551" s="35">
        <f>Inputs!$D$6*Inputs!$D$14*G551*Inputs!$D$29</f>
        <v>2035.4166</v>
      </c>
      <c r="I551" s="36">
        <f>H551/(A551*Inputs!$D$32)</f>
        <v>0.78739520309477762</v>
      </c>
      <c r="J551" s="38">
        <f>IF(I551&gt;=1,999,I551/(Inputs!$D$32*(1-I551))*60)</f>
        <v>4.0402502563346587</v>
      </c>
      <c r="K551" s="37">
        <f>MIN(1,MAX(0,(J551-Inputs!$D$36)/(Inputs!$D$37-Inputs!$D$36)))</f>
        <v>0</v>
      </c>
      <c r="L551" s="35">
        <f>Inputs!$D$6*Inputs!$D$14*G551*(1-Inputs!$D$38*K551)</f>
        <v>13569.444000000001</v>
      </c>
      <c r="M551" s="39">
        <f>L551*Inputs!$D$11</f>
        <v>291743.04600000003</v>
      </c>
      <c r="N551" s="39">
        <f>M551*(1-Inputs!$D$17)</f>
        <v>102110.06610000001</v>
      </c>
      <c r="O551" s="35">
        <f>Inputs!$D$6*E551*Inputs!$D$27*Inputs!$D$30</f>
        <v>413.00499294711136</v>
      </c>
      <c r="P551" s="36">
        <f>O551/(C551*Inputs!$D$33)</f>
        <v>0.60736028374575202</v>
      </c>
      <c r="Q551" s="38">
        <f>IF(P551&gt;=1,999,P551/(Inputs!$D$33*(1-P551))*60)</f>
        <v>2.3202961593133828</v>
      </c>
      <c r="R551" s="37">
        <f>MIN(1,MAX(0,(Q551-Inputs!$D$36)/(Inputs!$D$37-Inputs!$D$36)))</f>
        <v>0</v>
      </c>
      <c r="S551" s="35">
        <f>Inputs!$D$6*E551*Inputs!$D$27*(1-Inputs!$D$38*R551)</f>
        <v>3441.7082745592616</v>
      </c>
      <c r="T551" s="39">
        <f>S551*Inputs!$D$12</f>
        <v>55067.332392948185</v>
      </c>
      <c r="U551" s="39">
        <f>T551*(1-Inputs!$D$18)</f>
        <v>24780.299576826681</v>
      </c>
      <c r="V551" s="35">
        <f>Inputs!$D$6*F551*Inputs!$D$28*Inputs!$D$31</f>
        <v>746.05069004674272</v>
      </c>
      <c r="W551" s="36">
        <f>V551/(B551*Inputs!$D$34)</f>
        <v>0.76127621433341097</v>
      </c>
      <c r="X551" s="38">
        <f>IF(W551&gt;=1,999,W551/(Inputs!$D$34*(1-W551))*60)</f>
        <v>5.4667570523531852</v>
      </c>
      <c r="Y551" s="37">
        <f>MIN(1,MAX(0,(X551-Inputs!$D$36)/(Inputs!$D$37-Inputs!$D$36)))</f>
        <v>3.111713682354568E-2</v>
      </c>
      <c r="Z551" s="35">
        <f>Inputs!$D$6*F551*Inputs!$D$28*(1-Inputs!$D$38*Y551)</f>
        <v>5658.4919801305723</v>
      </c>
      <c r="AA551" s="39">
        <f>Z551*Inputs!$D$13</f>
        <v>48097.181831109861</v>
      </c>
      <c r="AB551" s="39">
        <f>AA551*(1-Inputs!$D$19)</f>
        <v>28858.309098665915</v>
      </c>
      <c r="AC551" s="39">
        <f t="shared" si="32"/>
        <v>394907.56022405805</v>
      </c>
      <c r="AD551" s="39">
        <f t="shared" si="33"/>
        <v>155748.6747754926</v>
      </c>
      <c r="AE551" s="36">
        <f t="shared" si="34"/>
        <v>0.78739520309477762</v>
      </c>
      <c r="AF551" s="35">
        <f>IF(AND(AE551&lt;=Inputs!$D$35,C551&gt;=Inputs!$D$48*(A551+B551+C551),B551*Inputs!$D$22&lt;=Inputs!$D$50*Inputs!$D$8,B551*Inputs!$D$22&gt;=Inputs!$D$49*Inputs!$D$8,A551*Inputs!$D$20&lt;=Inputs!$D$47*Inputs!$D$8,C551&gt;=1),1,0)</f>
        <v>0</v>
      </c>
      <c r="AG551" s="39">
        <f t="shared" si="35"/>
        <v>-1</v>
      </c>
    </row>
    <row r="552" spans="1:33" x14ac:dyDescent="0.25">
      <c r="A552" s="35">
        <v>47</v>
      </c>
      <c r="B552" s="35">
        <v>29</v>
      </c>
      <c r="C552" s="35">
        <f>Inputs!$D$8-A552-Inputs!$D$22*B552</f>
        <v>15</v>
      </c>
      <c r="D552" s="35">
        <f>A552*Inputs!$D$20+C552*Inputs!$D$21+B552*Inputs!$D$22</f>
        <v>120</v>
      </c>
      <c r="E552" s="36">
        <f>MIN(Inputs!$E$15,Inputs!$D$15*(C552/Inputs!$D$43)^Inputs!$D$44)</f>
        <v>0.27882309014433088</v>
      </c>
      <c r="F552" s="36">
        <f>MIN(Inputs!$E$16,Inputs!$D$16*(B552/Inputs!$D$42)^Inputs!$D$44)</f>
        <v>0.44716766511947192</v>
      </c>
      <c r="G552" s="37">
        <f>Inputs!$D$26*(1+Inputs!$D$41*(B552-Inputs!$D$42))</f>
        <v>1.6350000000000002</v>
      </c>
      <c r="H552" s="35">
        <f>Inputs!$D$6*Inputs!$D$14*G552*Inputs!$D$29</f>
        <v>2054.2630500000005</v>
      </c>
      <c r="I552" s="36">
        <f>H552/(A552*Inputs!$D$32)</f>
        <v>0.79468589941972934</v>
      </c>
      <c r="J552" s="38">
        <f>IF(I552&gt;=1,999,I552/(Inputs!$D$32*(1-I552))*60)</f>
        <v>4.2224575401498576</v>
      </c>
      <c r="K552" s="37">
        <f>MIN(1,MAX(0,(J552-Inputs!$D$36)/(Inputs!$D$37-Inputs!$D$36)))</f>
        <v>0</v>
      </c>
      <c r="L552" s="35">
        <f>Inputs!$D$6*Inputs!$D$14*G552*(1-Inputs!$D$38*K552)</f>
        <v>13695.087000000003</v>
      </c>
      <c r="M552" s="39">
        <f>L552*Inputs!$D$11</f>
        <v>294444.37050000008</v>
      </c>
      <c r="N552" s="39">
        <f>M552*(1-Inputs!$D$17)</f>
        <v>103055.52967500003</v>
      </c>
      <c r="O552" s="35">
        <f>Inputs!$D$6*E552*Inputs!$D$27*Inputs!$D$30</f>
        <v>397.78463449295054</v>
      </c>
      <c r="P552" s="36">
        <f>O552/(C552*Inputs!$D$33)</f>
        <v>0.66297439082158427</v>
      </c>
      <c r="Q552" s="38">
        <f>IF(P552&gt;=1,999,P552/(Inputs!$D$33*(1-P552))*60)</f>
        <v>2.9507003597044905</v>
      </c>
      <c r="R552" s="37">
        <f>MIN(1,MAX(0,(Q552-Inputs!$D$36)/(Inputs!$D$37-Inputs!$D$36)))</f>
        <v>0</v>
      </c>
      <c r="S552" s="35">
        <f>Inputs!$D$6*E552*Inputs!$D$27*(1-Inputs!$D$38*R552)</f>
        <v>3314.8719541079213</v>
      </c>
      <c r="T552" s="39">
        <f>S552*Inputs!$D$12</f>
        <v>53037.951265726741</v>
      </c>
      <c r="U552" s="39">
        <f>T552*(1-Inputs!$D$18)</f>
        <v>23867.07806957703</v>
      </c>
      <c r="V552" s="35">
        <f>Inputs!$D$6*F552*Inputs!$D$28*Inputs!$D$31</f>
        <v>753.9461474393554</v>
      </c>
      <c r="W552" s="36">
        <f>V552/(B552*Inputs!$D$34)</f>
        <v>0.74280408614714821</v>
      </c>
      <c r="X552" s="38">
        <f>IF(W552&gt;=1,999,W552/(Inputs!$D$34*(1-W552))*60)</f>
        <v>4.9510056918075414</v>
      </c>
      <c r="Y552" s="37">
        <f>MIN(1,MAX(0,(X552-Inputs!$D$36)/(Inputs!$D$37-Inputs!$D$36)))</f>
        <v>0</v>
      </c>
      <c r="Z552" s="35">
        <f>Inputs!$D$6*F552*Inputs!$D$28*(1-Inputs!$D$38*Y552)</f>
        <v>5799.5857495335031</v>
      </c>
      <c r="AA552" s="39">
        <f>Z552*Inputs!$D$13</f>
        <v>49296.478871034778</v>
      </c>
      <c r="AB552" s="39">
        <f>AA552*(1-Inputs!$D$19)</f>
        <v>29577.887322620867</v>
      </c>
      <c r="AC552" s="39">
        <f t="shared" si="32"/>
        <v>396778.80063676159</v>
      </c>
      <c r="AD552" s="39">
        <f t="shared" si="33"/>
        <v>156500.49506719792</v>
      </c>
      <c r="AE552" s="36">
        <f t="shared" si="34"/>
        <v>0.79468589941972934</v>
      </c>
      <c r="AF552" s="35">
        <f>IF(AND(AE552&lt;=Inputs!$D$35,C552&gt;=Inputs!$D$48*(A552+B552+C552),B552*Inputs!$D$22&lt;=Inputs!$D$50*Inputs!$D$8,B552*Inputs!$D$22&gt;=Inputs!$D$49*Inputs!$D$8,A552*Inputs!$D$20&lt;=Inputs!$D$47*Inputs!$D$8,C552&gt;=1),1,0)</f>
        <v>0</v>
      </c>
      <c r="AG552" s="39">
        <f t="shared" si="35"/>
        <v>-1</v>
      </c>
    </row>
    <row r="553" spans="1:33" x14ac:dyDescent="0.25">
      <c r="A553" s="35">
        <v>47</v>
      </c>
      <c r="B553" s="35">
        <v>30</v>
      </c>
      <c r="C553" s="35">
        <f>Inputs!$D$8-A553-Inputs!$D$22*B553</f>
        <v>13</v>
      </c>
      <c r="D553" s="35">
        <f>A553*Inputs!$D$20+C553*Inputs!$D$21+B553*Inputs!$D$22</f>
        <v>120</v>
      </c>
      <c r="E553" s="36">
        <f>MIN(Inputs!$E$15,Inputs!$D$15*(C553/Inputs!$D$43)^Inputs!$D$44)</f>
        <v>0.26710644306172537</v>
      </c>
      <c r="F553" s="36">
        <f>MIN(Inputs!$E$16,Inputs!$D$16*(B553/Inputs!$D$42)^Inputs!$D$44)</f>
        <v>0.45173877418274222</v>
      </c>
      <c r="G553" s="37">
        <f>Inputs!$D$26*(1+Inputs!$D$41*(B553-Inputs!$D$42))</f>
        <v>1.6500000000000001</v>
      </c>
      <c r="H553" s="35">
        <f>Inputs!$D$6*Inputs!$D$14*G553*Inputs!$D$29</f>
        <v>2073.1095000000005</v>
      </c>
      <c r="I553" s="36">
        <f>H553/(A553*Inputs!$D$32)</f>
        <v>0.80197659574468105</v>
      </c>
      <c r="J553" s="38">
        <f>IF(I553&gt;=1,999,I553/(Inputs!$D$32*(1-I553))*60)</f>
        <v>4.4180816014362501</v>
      </c>
      <c r="K553" s="37">
        <f>MIN(1,MAX(0,(J553-Inputs!$D$36)/(Inputs!$D$37-Inputs!$D$36)))</f>
        <v>0</v>
      </c>
      <c r="L553" s="35">
        <f>Inputs!$D$6*Inputs!$D$14*G553*(1-Inputs!$D$38*K553)</f>
        <v>13820.730000000003</v>
      </c>
      <c r="M553" s="39">
        <f>L553*Inputs!$D$11</f>
        <v>297145.69500000007</v>
      </c>
      <c r="N553" s="39">
        <f>M553*(1-Inputs!$D$17)</f>
        <v>104000.99325000001</v>
      </c>
      <c r="O553" s="35">
        <f>Inputs!$D$6*E553*Inputs!$D$27*Inputs!$D$30</f>
        <v>381.06900963266889</v>
      </c>
      <c r="P553" s="36">
        <f>O553/(C553*Inputs!$D$33)</f>
        <v>0.73282501852436321</v>
      </c>
      <c r="Q553" s="38">
        <f>IF(P553&gt;=1,999,P553/(Inputs!$D$33*(1-P553))*60)</f>
        <v>4.1142981341865736</v>
      </c>
      <c r="R553" s="37">
        <f>MIN(1,MAX(0,(Q553-Inputs!$D$36)/(Inputs!$D$37-Inputs!$D$36)))</f>
        <v>0</v>
      </c>
      <c r="S553" s="35">
        <f>Inputs!$D$6*E553*Inputs!$D$27*(1-Inputs!$D$38*R553)</f>
        <v>3175.5750802722409</v>
      </c>
      <c r="T553" s="39">
        <f>S553*Inputs!$D$12</f>
        <v>50809.201284355855</v>
      </c>
      <c r="U553" s="39">
        <f>T553*(1-Inputs!$D$18)</f>
        <v>22864.140577960134</v>
      </c>
      <c r="V553" s="35">
        <f>Inputs!$D$6*F553*Inputs!$D$28*Inputs!$D$31</f>
        <v>761.65325673326424</v>
      </c>
      <c r="W553" s="36">
        <f>V553/(B553*Inputs!$D$34)</f>
        <v>0.72538405403168027</v>
      </c>
      <c r="X553" s="38">
        <f>IF(W553&gt;=1,999,W553/(Inputs!$D$34*(1-W553))*60)</f>
        <v>4.5281985239874629</v>
      </c>
      <c r="Y553" s="37">
        <f>MIN(1,MAX(0,(X553-Inputs!$D$36)/(Inputs!$D$37-Inputs!$D$36)))</f>
        <v>0</v>
      </c>
      <c r="Z553" s="35">
        <f>Inputs!$D$6*F553*Inputs!$D$28*(1-Inputs!$D$38*Y553)</f>
        <v>5858.8712056404938</v>
      </c>
      <c r="AA553" s="39">
        <f>Z553*Inputs!$D$13</f>
        <v>49800.405247944196</v>
      </c>
      <c r="AB553" s="39">
        <f>AA553*(1-Inputs!$D$19)</f>
        <v>29880.243148766516</v>
      </c>
      <c r="AC553" s="39">
        <f t="shared" si="32"/>
        <v>397755.30153230007</v>
      </c>
      <c r="AD553" s="39">
        <f t="shared" si="33"/>
        <v>156745.37697672666</v>
      </c>
      <c r="AE553" s="36">
        <f t="shared" si="34"/>
        <v>0.80197659574468105</v>
      </c>
      <c r="AF553" s="35">
        <f>IF(AND(AE553&lt;=Inputs!$D$35,C553&gt;=Inputs!$D$48*(A553+B553+C553),B553*Inputs!$D$22&lt;=Inputs!$D$50*Inputs!$D$8,B553*Inputs!$D$22&gt;=Inputs!$D$49*Inputs!$D$8,A553*Inputs!$D$20&lt;=Inputs!$D$47*Inputs!$D$8,C553&gt;=1),1,0)</f>
        <v>0</v>
      </c>
      <c r="AG553" s="39">
        <f t="shared" si="35"/>
        <v>-1</v>
      </c>
    </row>
    <row r="554" spans="1:33" x14ac:dyDescent="0.25">
      <c r="A554" s="35">
        <v>47</v>
      </c>
      <c r="B554" s="35">
        <v>31</v>
      </c>
      <c r="C554" s="35">
        <f>Inputs!$D$8-A554-Inputs!$D$22*B554</f>
        <v>11</v>
      </c>
      <c r="D554" s="35">
        <f>A554*Inputs!$D$20+C554*Inputs!$D$21+B554*Inputs!$D$22</f>
        <v>120</v>
      </c>
      <c r="E554" s="36">
        <f>MIN(Inputs!$E$15,Inputs!$D$15*(C554/Inputs!$D$43)^Inputs!$D$44)</f>
        <v>0.25404997933787238</v>
      </c>
      <c r="F554" s="36">
        <f>MIN(Inputs!$E$16,Inputs!$D$16*(B554/Inputs!$D$42)^Inputs!$D$44)</f>
        <v>0.45620443270573335</v>
      </c>
      <c r="G554" s="37">
        <f>Inputs!$D$26*(1+Inputs!$D$41*(B554-Inputs!$D$42))</f>
        <v>1.665</v>
      </c>
      <c r="H554" s="35">
        <f>Inputs!$D$6*Inputs!$D$14*G554*Inputs!$D$29</f>
        <v>2091.95595</v>
      </c>
      <c r="I554" s="36">
        <f>H554/(A554*Inputs!$D$32)</f>
        <v>0.80926729206963255</v>
      </c>
      <c r="J554" s="38">
        <f>IF(I554&gt;=1,999,I554/(Inputs!$D$32*(1-I554))*60)</f>
        <v>4.6286609961855625</v>
      </c>
      <c r="K554" s="37">
        <f>MIN(1,MAX(0,(J554-Inputs!$D$36)/(Inputs!$D$37-Inputs!$D$36)))</f>
        <v>0</v>
      </c>
      <c r="L554" s="35">
        <f>Inputs!$D$6*Inputs!$D$14*G554*(1-Inputs!$D$38*K554)</f>
        <v>13946.373000000001</v>
      </c>
      <c r="M554" s="39">
        <f>L554*Inputs!$D$11</f>
        <v>299847.01950000005</v>
      </c>
      <c r="N554" s="39">
        <f>M554*(1-Inputs!$D$17)</f>
        <v>104946.45682500002</v>
      </c>
      <c r="O554" s="35">
        <f>Inputs!$D$6*E554*Inputs!$D$27*Inputs!$D$30</f>
        <v>362.44192732225167</v>
      </c>
      <c r="P554" s="36">
        <f>O554/(C554*Inputs!$D$33)</f>
        <v>0.82373165300511741</v>
      </c>
      <c r="Q554" s="38">
        <f>IF(P554&gt;=1,999,P554/(Inputs!$D$33*(1-P554))*60)</f>
        <v>7.0097524630644434</v>
      </c>
      <c r="R554" s="37">
        <f>MIN(1,MAX(0,(Q554-Inputs!$D$36)/(Inputs!$D$37-Inputs!$D$36)))</f>
        <v>0.13398349753762956</v>
      </c>
      <c r="S554" s="35">
        <f>Inputs!$D$6*E554*Inputs!$D$27*(1-Inputs!$D$38*R554)</f>
        <v>2838.2447553136676</v>
      </c>
      <c r="T554" s="39">
        <f>S554*Inputs!$D$12</f>
        <v>45411.916085018682</v>
      </c>
      <c r="U554" s="39">
        <f>T554*(1-Inputs!$D$18)</f>
        <v>20435.362238258404</v>
      </c>
      <c r="V554" s="35">
        <f>Inputs!$D$6*F554*Inputs!$D$28*Inputs!$D$31</f>
        <v>769.18257135463637</v>
      </c>
      <c r="W554" s="36">
        <f>V554/(B554*Inputs!$D$34)</f>
        <v>0.70892402889828232</v>
      </c>
      <c r="X554" s="38">
        <f>IF(W554&gt;=1,999,W554/(Inputs!$D$34*(1-W554))*60)</f>
        <v>4.1751929252501148</v>
      </c>
      <c r="Y554" s="37">
        <f>MIN(1,MAX(0,(X554-Inputs!$D$36)/(Inputs!$D$37-Inputs!$D$36)))</f>
        <v>0</v>
      </c>
      <c r="Z554" s="35">
        <f>Inputs!$D$6*F554*Inputs!$D$28*(1-Inputs!$D$38*Y554)</f>
        <v>5916.7890104202797</v>
      </c>
      <c r="AA554" s="39">
        <f>Z554*Inputs!$D$13</f>
        <v>50292.706588572379</v>
      </c>
      <c r="AB554" s="39">
        <f>AA554*(1-Inputs!$D$19)</f>
        <v>30175.623953143426</v>
      </c>
      <c r="AC554" s="39">
        <f t="shared" si="32"/>
        <v>395551.64217359107</v>
      </c>
      <c r="AD554" s="39">
        <f t="shared" si="33"/>
        <v>155557.44301640184</v>
      </c>
      <c r="AE554" s="36">
        <f t="shared" si="34"/>
        <v>0.82373165300511741</v>
      </c>
      <c r="AF554" s="35">
        <f>IF(AND(AE554&lt;=Inputs!$D$35,C554&gt;=Inputs!$D$48*(A554+B554+C554),B554*Inputs!$D$22&lt;=Inputs!$D$50*Inputs!$D$8,B554*Inputs!$D$22&gt;=Inputs!$D$49*Inputs!$D$8,A554*Inputs!$D$20&lt;=Inputs!$D$47*Inputs!$D$8,C554&gt;=1),1,0)</f>
        <v>0</v>
      </c>
      <c r="AG554" s="39">
        <f t="shared" si="35"/>
        <v>-1</v>
      </c>
    </row>
    <row r="555" spans="1:33" x14ac:dyDescent="0.25">
      <c r="A555" s="35">
        <v>47</v>
      </c>
      <c r="B555" s="35">
        <v>32</v>
      </c>
      <c r="C555" s="35">
        <f>Inputs!$D$8-A555-Inputs!$D$22*B555</f>
        <v>9</v>
      </c>
      <c r="D555" s="35">
        <f>A555*Inputs!$D$20+C555*Inputs!$D$21+B555*Inputs!$D$22</f>
        <v>120</v>
      </c>
      <c r="E555" s="36">
        <f>MIN(Inputs!$E$15,Inputs!$D$15*(C555/Inputs!$D$43)^Inputs!$D$44)</f>
        <v>0.23920712491579582</v>
      </c>
      <c r="F555" s="36">
        <f>MIN(Inputs!$E$16,Inputs!$D$16*(B555/Inputs!$D$42)^Inputs!$D$44)</f>
        <v>0.46057036065052986</v>
      </c>
      <c r="G555" s="37">
        <f>Inputs!$D$26*(1+Inputs!$D$41*(B555-Inputs!$D$42))</f>
        <v>1.6800000000000002</v>
      </c>
      <c r="H555" s="35">
        <f>Inputs!$D$6*Inputs!$D$14*G555*Inputs!$D$29</f>
        <v>2110.8024000000005</v>
      </c>
      <c r="I555" s="36">
        <f>H555/(A555*Inputs!$D$32)</f>
        <v>0.81655798839458438</v>
      </c>
      <c r="J555" s="38">
        <f>IF(I555&gt;=1,999,I555/(Inputs!$D$32*(1-I555))*60)</f>
        <v>4.8559788730957951</v>
      </c>
      <c r="K555" s="37">
        <f>MIN(1,MAX(0,(J555-Inputs!$D$36)/(Inputs!$D$37-Inputs!$D$36)))</f>
        <v>0</v>
      </c>
      <c r="L555" s="35">
        <f>Inputs!$D$6*Inputs!$D$14*G555*(1-Inputs!$D$38*K555)</f>
        <v>14072.016000000003</v>
      </c>
      <c r="M555" s="39">
        <f>L555*Inputs!$D$11</f>
        <v>302548.34400000004</v>
      </c>
      <c r="N555" s="39">
        <f>M555*(1-Inputs!$D$17)</f>
        <v>105891.9204</v>
      </c>
      <c r="O555" s="35">
        <f>Inputs!$D$6*E555*Inputs!$D$27*Inputs!$D$30</f>
        <v>341.26628000386961</v>
      </c>
      <c r="P555" s="36">
        <f>O555/(C555*Inputs!$D$33)</f>
        <v>0.94796188889963784</v>
      </c>
      <c r="Q555" s="38">
        <f>IF(P555&gt;=1,999,P555/(Inputs!$D$33*(1-P555))*60)</f>
        <v>27.325027816767943</v>
      </c>
      <c r="R555" s="37">
        <f>MIN(1,MAX(0,(Q555-Inputs!$D$36)/(Inputs!$D$37-Inputs!$D$36)))</f>
        <v>1</v>
      </c>
      <c r="S555" s="35">
        <f>Inputs!$D$6*E555*Inputs!$D$27*(1-Inputs!$D$38*R555)</f>
        <v>1564.1371166844026</v>
      </c>
      <c r="T555" s="39">
        <f>S555*Inputs!$D$12</f>
        <v>25026.193866950442</v>
      </c>
      <c r="U555" s="39">
        <f>T555*(1-Inputs!$D$18)</f>
        <v>11261.787240127698</v>
      </c>
      <c r="V555" s="35">
        <f>Inputs!$D$6*F555*Inputs!$D$28*Inputs!$D$31</f>
        <v>776.54373543410452</v>
      </c>
      <c r="W555" s="36">
        <f>V555/(B555*Inputs!$D$34)</f>
        <v>0.69334262092330756</v>
      </c>
      <c r="X555" s="38">
        <f>IF(W555&gt;=1,999,W555/(Inputs!$D$34*(1-W555))*60)</f>
        <v>3.8759457011369869</v>
      </c>
      <c r="Y555" s="37">
        <f>MIN(1,MAX(0,(X555-Inputs!$D$36)/(Inputs!$D$37-Inputs!$D$36)))</f>
        <v>0</v>
      </c>
      <c r="Z555" s="35">
        <f>Inputs!$D$6*F555*Inputs!$D$28*(1-Inputs!$D$38*Y555)</f>
        <v>5973.4133494931111</v>
      </c>
      <c r="AA555" s="39">
        <f>Z555*Inputs!$D$13</f>
        <v>50774.013470691447</v>
      </c>
      <c r="AB555" s="39">
        <f>AA555*(1-Inputs!$D$19)</f>
        <v>30464.408082414866</v>
      </c>
      <c r="AC555" s="39">
        <f t="shared" si="32"/>
        <v>378348.55133764195</v>
      </c>
      <c r="AD555" s="39">
        <f t="shared" si="33"/>
        <v>147618.11572254257</v>
      </c>
      <c r="AE555" s="36">
        <f t="shared" si="34"/>
        <v>0.94796188889963784</v>
      </c>
      <c r="AF555" s="35">
        <f>IF(AND(AE555&lt;=Inputs!$D$35,C555&gt;=Inputs!$D$48*(A555+B555+C555),B555*Inputs!$D$22&lt;=Inputs!$D$50*Inputs!$D$8,B555*Inputs!$D$22&gt;=Inputs!$D$49*Inputs!$D$8,A555*Inputs!$D$20&lt;=Inputs!$D$47*Inputs!$D$8,C555&gt;=1),1,0)</f>
        <v>0</v>
      </c>
      <c r="AG555" s="39">
        <f t="shared" si="35"/>
        <v>-1</v>
      </c>
    </row>
    <row r="556" spans="1:33" x14ac:dyDescent="0.25">
      <c r="A556" s="35">
        <v>47</v>
      </c>
      <c r="B556" s="35">
        <v>33</v>
      </c>
      <c r="C556" s="35">
        <f>Inputs!$D$8-A556-Inputs!$D$22*B556</f>
        <v>7</v>
      </c>
      <c r="D556" s="35">
        <f>A556*Inputs!$D$20+C556*Inputs!$D$21+B556*Inputs!$D$22</f>
        <v>120</v>
      </c>
      <c r="E556" s="36">
        <f>MIN(Inputs!$E$15,Inputs!$D$15*(C556/Inputs!$D$43)^Inputs!$D$44)</f>
        <v>0.2218353587738203</v>
      </c>
      <c r="F556" s="36">
        <f>MIN(Inputs!$E$16,Inputs!$D$16*(B556/Inputs!$D$42)^Inputs!$D$44)</f>
        <v>0.46484180038786721</v>
      </c>
      <c r="G556" s="37">
        <f>Inputs!$D$26*(1+Inputs!$D$41*(B556-Inputs!$D$42))</f>
        <v>1.6949999999999998</v>
      </c>
      <c r="H556" s="35">
        <f>Inputs!$D$6*Inputs!$D$14*G556*Inputs!$D$29</f>
        <v>2129.64885</v>
      </c>
      <c r="I556" s="36">
        <f>H556/(A556*Inputs!$D$32)</f>
        <v>0.82384868471953576</v>
      </c>
      <c r="J556" s="38">
        <f>IF(I556&gt;=1,999,I556/(Inputs!$D$32*(1-I556))*60)</f>
        <v>5.1021135905972583</v>
      </c>
      <c r="K556" s="37">
        <f>MIN(1,MAX(0,(J556-Inputs!$D$36)/(Inputs!$D$37-Inputs!$D$36)))</f>
        <v>6.8075727064838883E-3</v>
      </c>
      <c r="L556" s="35">
        <f>Inputs!$D$6*Inputs!$D$14*G556*(1-Inputs!$D$38*K556)</f>
        <v>14154.165781843034</v>
      </c>
      <c r="M556" s="39">
        <f>L556*Inputs!$D$11</f>
        <v>304314.56430962525</v>
      </c>
      <c r="N556" s="39">
        <f>M556*(1-Inputs!$D$17)</f>
        <v>106510.09750836882</v>
      </c>
      <c r="O556" s="35">
        <f>Inputs!$D$6*E556*Inputs!$D$27*Inputs!$D$30</f>
        <v>316.48274560682341</v>
      </c>
      <c r="P556" s="36">
        <f>O556/(C556*Inputs!$D$33)</f>
        <v>1.1302955200243694</v>
      </c>
      <c r="Q556" s="38">
        <f>IF(P556&gt;=1,999,P556/(Inputs!$D$33*(1-P556))*60)</f>
        <v>999</v>
      </c>
      <c r="R556" s="37">
        <f>MIN(1,MAX(0,(Q556-Inputs!$D$36)/(Inputs!$D$37-Inputs!$D$36)))</f>
        <v>1</v>
      </c>
      <c r="S556" s="35">
        <f>Inputs!$D$6*E556*Inputs!$D$27*(1-Inputs!$D$38*R556)</f>
        <v>1450.5459173646075</v>
      </c>
      <c r="T556" s="39">
        <f>S556*Inputs!$D$12</f>
        <v>23208.73467783372</v>
      </c>
      <c r="U556" s="39">
        <f>T556*(1-Inputs!$D$18)</f>
        <v>10443.930605025173</v>
      </c>
      <c r="V556" s="35">
        <f>Inputs!$D$6*F556*Inputs!$D$28*Inputs!$D$31</f>
        <v>783.74558786036266</v>
      </c>
      <c r="W556" s="36">
        <f>V556/(B556*Inputs!$D$34)</f>
        <v>0.67856760853711051</v>
      </c>
      <c r="X556" s="38">
        <f>IF(W556&gt;=1,999,W556/(Inputs!$D$34*(1-W556))*60)</f>
        <v>3.6189842355277744</v>
      </c>
      <c r="Y556" s="37">
        <f>MIN(1,MAX(0,(X556-Inputs!$D$36)/(Inputs!$D$37-Inputs!$D$36)))</f>
        <v>0</v>
      </c>
      <c r="Z556" s="35">
        <f>Inputs!$D$6*F556*Inputs!$D$28*(1-Inputs!$D$38*Y556)</f>
        <v>6028.812214310482</v>
      </c>
      <c r="AA556" s="39">
        <f>Z556*Inputs!$D$13</f>
        <v>51244.903821639098</v>
      </c>
      <c r="AB556" s="39">
        <f>AA556*(1-Inputs!$D$19)</f>
        <v>30746.942292983458</v>
      </c>
      <c r="AC556" s="39">
        <f t="shared" si="32"/>
        <v>378768.20280909806</v>
      </c>
      <c r="AD556" s="39">
        <f t="shared" si="33"/>
        <v>147700.97040637746</v>
      </c>
      <c r="AE556" s="36">
        <f t="shared" si="34"/>
        <v>1.1302955200243694</v>
      </c>
      <c r="AF556" s="35">
        <f>IF(AND(AE556&lt;=Inputs!$D$35,C556&gt;=Inputs!$D$48*(A556+B556+C556),B556*Inputs!$D$22&lt;=Inputs!$D$50*Inputs!$D$8,B556*Inputs!$D$22&gt;=Inputs!$D$49*Inputs!$D$8,A556*Inputs!$D$20&lt;=Inputs!$D$47*Inputs!$D$8,C556&gt;=1),1,0)</f>
        <v>0</v>
      </c>
      <c r="AG556" s="39">
        <f t="shared" si="35"/>
        <v>-1</v>
      </c>
    </row>
    <row r="557" spans="1:33" x14ac:dyDescent="0.25">
      <c r="A557" s="35">
        <v>48</v>
      </c>
      <c r="B557" s="35">
        <v>10</v>
      </c>
      <c r="C557" s="35">
        <f>Inputs!$D$8-A557-Inputs!$D$22*B557</f>
        <v>52</v>
      </c>
      <c r="D557" s="35">
        <f>A557*Inputs!$D$20+C557*Inputs!$D$21+B557*Inputs!$D$22</f>
        <v>120</v>
      </c>
      <c r="E557" s="36">
        <f>MIN(Inputs!$E$15,Inputs!$D$15*(C557/Inputs!$D$43)^Inputs!$D$44)</f>
        <v>0.4</v>
      </c>
      <c r="F557" s="36">
        <f>MIN(Inputs!$E$16,Inputs!$D$16*(B557/Inputs!$D$42)^Inputs!$D$44)</f>
        <v>0.32490095854249423</v>
      </c>
      <c r="G557" s="37">
        <f>Inputs!$D$26*(1+Inputs!$D$41*(B557-Inputs!$D$42))</f>
        <v>1.35</v>
      </c>
      <c r="H557" s="35">
        <f>Inputs!$D$6*Inputs!$D$14*G557*Inputs!$D$29</f>
        <v>1696.1805000000004</v>
      </c>
      <c r="I557" s="36">
        <f>H557/(A557*Inputs!$D$32)</f>
        <v>0.64249261363636379</v>
      </c>
      <c r="J557" s="38">
        <f>IF(I557&gt;=1,999,I557/(Inputs!$D$32*(1-I557))*60)</f>
        <v>1.9605218235825055</v>
      </c>
      <c r="K557" s="37">
        <f>MIN(1,MAX(0,(J557-Inputs!$D$36)/(Inputs!$D$37-Inputs!$D$36)))</f>
        <v>0</v>
      </c>
      <c r="L557" s="35">
        <f>Inputs!$D$6*Inputs!$D$14*G557*(1-Inputs!$D$38*K557)</f>
        <v>11307.870000000003</v>
      </c>
      <c r="M557" s="39">
        <f>L557*Inputs!$D$11</f>
        <v>243119.20500000005</v>
      </c>
      <c r="N557" s="39">
        <f>M557*(1-Inputs!$D$17)</f>
        <v>85091.721750000012</v>
      </c>
      <c r="O557" s="35">
        <f>Inputs!$D$6*E557*Inputs!$D$27*Inputs!$D$30</f>
        <v>570.66240000000005</v>
      </c>
      <c r="P557" s="36">
        <f>O557/(C557*Inputs!$D$33)</f>
        <v>0.27435692307692311</v>
      </c>
      <c r="Q557" s="38">
        <f>IF(P557&gt;=1,999,P557/(Inputs!$D$33*(1-P557))*60)</f>
        <v>0.56713196570469071</v>
      </c>
      <c r="R557" s="37">
        <f>MIN(1,MAX(0,(Q557-Inputs!$D$36)/(Inputs!$D$37-Inputs!$D$36)))</f>
        <v>0</v>
      </c>
      <c r="S557" s="35">
        <f>Inputs!$D$6*E557*Inputs!$D$27*(1-Inputs!$D$38*R557)</f>
        <v>4755.5200000000004</v>
      </c>
      <c r="T557" s="39">
        <f>S557*Inputs!$D$12</f>
        <v>76088.320000000007</v>
      </c>
      <c r="U557" s="39">
        <f>T557*(1-Inputs!$D$18)</f>
        <v>34239.743999999999</v>
      </c>
      <c r="V557" s="35">
        <f>Inputs!$D$6*F557*Inputs!$D$28*Inputs!$D$31</f>
        <v>547.7986113486553</v>
      </c>
      <c r="W557" s="36">
        <f>V557/(B557*Inputs!$D$34)</f>
        <v>1.5651388895675866</v>
      </c>
      <c r="X557" s="38">
        <f>IF(W557&gt;=1,999,W557/(Inputs!$D$34*(1-W557))*60)</f>
        <v>999</v>
      </c>
      <c r="Y557" s="37">
        <f>MIN(1,MAX(0,(X557-Inputs!$D$36)/(Inputs!$D$37-Inputs!$D$36)))</f>
        <v>1</v>
      </c>
      <c r="Z557" s="35">
        <f>Inputs!$D$6*F557*Inputs!$D$28*(1-Inputs!$D$38*Y557)</f>
        <v>2317.6095095520031</v>
      </c>
      <c r="AA557" s="39">
        <f>Z557*Inputs!$D$13</f>
        <v>19699.680831192025</v>
      </c>
      <c r="AB557" s="39">
        <f>AA557*(1-Inputs!$D$19)</f>
        <v>11819.808498715214</v>
      </c>
      <c r="AC557" s="39">
        <f t="shared" si="32"/>
        <v>338907.20583119203</v>
      </c>
      <c r="AD557" s="39">
        <f t="shared" si="33"/>
        <v>131151.27424871523</v>
      </c>
      <c r="AE557" s="36">
        <f t="shared" si="34"/>
        <v>1.5651388895675866</v>
      </c>
      <c r="AF557" s="35">
        <f>IF(AND(AE557&lt;=Inputs!$D$35,C557&gt;=Inputs!$D$48*(A557+B557+C557),B557*Inputs!$D$22&lt;=Inputs!$D$50*Inputs!$D$8,B557*Inputs!$D$22&gt;=Inputs!$D$49*Inputs!$D$8,A557*Inputs!$D$20&lt;=Inputs!$D$47*Inputs!$D$8,C557&gt;=1),1,0)</f>
        <v>0</v>
      </c>
      <c r="AG557" s="39">
        <f t="shared" si="35"/>
        <v>-1</v>
      </c>
    </row>
    <row r="558" spans="1:33" x14ac:dyDescent="0.25">
      <c r="A558" s="35">
        <v>48</v>
      </c>
      <c r="B558" s="35">
        <v>11</v>
      </c>
      <c r="C558" s="35">
        <f>Inputs!$D$8-A558-Inputs!$D$22*B558</f>
        <v>50</v>
      </c>
      <c r="D558" s="35">
        <f>A558*Inputs!$D$20+C558*Inputs!$D$21+B558*Inputs!$D$22</f>
        <v>120</v>
      </c>
      <c r="E558" s="36">
        <f>MIN(Inputs!$E$15,Inputs!$D$15*(C558/Inputs!$D$43)^Inputs!$D$44)</f>
        <v>0.4</v>
      </c>
      <c r="F558" s="36">
        <f>MIN(Inputs!$E$16,Inputs!$D$16*(B558/Inputs!$D$42)^Inputs!$D$44)</f>
        <v>0.33432495758166098</v>
      </c>
      <c r="G558" s="37">
        <f>Inputs!$D$26*(1+Inputs!$D$41*(B558-Inputs!$D$42))</f>
        <v>1.365</v>
      </c>
      <c r="H558" s="35">
        <f>Inputs!$D$6*Inputs!$D$14*G558*Inputs!$D$29</f>
        <v>1715.0269500000002</v>
      </c>
      <c r="I558" s="36">
        <f>H558/(A558*Inputs!$D$32)</f>
        <v>0.64963142045454547</v>
      </c>
      <c r="J558" s="38">
        <f>IF(I558&gt;=1,999,I558/(Inputs!$D$32*(1-I558))*60)</f>
        <v>2.0226951378843863</v>
      </c>
      <c r="K558" s="37">
        <f>MIN(1,MAX(0,(J558-Inputs!$D$36)/(Inputs!$D$37-Inputs!$D$36)))</f>
        <v>0</v>
      </c>
      <c r="L558" s="35">
        <f>Inputs!$D$6*Inputs!$D$14*G558*(1-Inputs!$D$38*K558)</f>
        <v>11433.513000000001</v>
      </c>
      <c r="M558" s="39">
        <f>L558*Inputs!$D$11</f>
        <v>245820.5295</v>
      </c>
      <c r="N558" s="39">
        <f>M558*(1-Inputs!$D$17)</f>
        <v>86037.185324999999</v>
      </c>
      <c r="O558" s="35">
        <f>Inputs!$D$6*E558*Inputs!$D$27*Inputs!$D$30</f>
        <v>570.66240000000005</v>
      </c>
      <c r="P558" s="36">
        <f>O558/(C558*Inputs!$D$33)</f>
        <v>0.28533120000000001</v>
      </c>
      <c r="Q558" s="38">
        <f>IF(P558&gt;=1,999,P558/(Inputs!$D$33*(1-P558))*60)</f>
        <v>0.59887433171841276</v>
      </c>
      <c r="R558" s="37">
        <f>MIN(1,MAX(0,(Q558-Inputs!$D$36)/(Inputs!$D$37-Inputs!$D$36)))</f>
        <v>0</v>
      </c>
      <c r="S558" s="35">
        <f>Inputs!$D$6*E558*Inputs!$D$27*(1-Inputs!$D$38*R558)</f>
        <v>4755.5200000000004</v>
      </c>
      <c r="T558" s="39">
        <f>S558*Inputs!$D$12</f>
        <v>76088.320000000007</v>
      </c>
      <c r="U558" s="39">
        <f>T558*(1-Inputs!$D$18)</f>
        <v>34239.743999999999</v>
      </c>
      <c r="V558" s="35">
        <f>Inputs!$D$6*F558*Inputs!$D$28*Inputs!$D$31</f>
        <v>563.68792608064427</v>
      </c>
      <c r="W558" s="36">
        <f>V558/(B558*Inputs!$D$34)</f>
        <v>1.4641244833263487</v>
      </c>
      <c r="X558" s="38">
        <f>IF(W558&gt;=1,999,W558/(Inputs!$D$34*(1-W558))*60)</f>
        <v>999</v>
      </c>
      <c r="Y558" s="37">
        <f>MIN(1,MAX(0,(X558-Inputs!$D$36)/(Inputs!$D$37-Inputs!$D$36)))</f>
        <v>1</v>
      </c>
      <c r="Z558" s="35">
        <f>Inputs!$D$6*F558*Inputs!$D$28*(1-Inputs!$D$38*Y558)</f>
        <v>2384.8335334181106</v>
      </c>
      <c r="AA558" s="39">
        <f>Z558*Inputs!$D$13</f>
        <v>20271.08503405394</v>
      </c>
      <c r="AB558" s="39">
        <f>AA558*(1-Inputs!$D$19)</f>
        <v>12162.651020432364</v>
      </c>
      <c r="AC558" s="39">
        <f t="shared" si="32"/>
        <v>342179.93453405396</v>
      </c>
      <c r="AD558" s="39">
        <f t="shared" si="33"/>
        <v>132439.58034543236</v>
      </c>
      <c r="AE558" s="36">
        <f t="shared" si="34"/>
        <v>1.4641244833263487</v>
      </c>
      <c r="AF558" s="35">
        <f>IF(AND(AE558&lt;=Inputs!$D$35,C558&gt;=Inputs!$D$48*(A558+B558+C558),B558*Inputs!$D$22&lt;=Inputs!$D$50*Inputs!$D$8,B558*Inputs!$D$22&gt;=Inputs!$D$49*Inputs!$D$8,A558*Inputs!$D$20&lt;=Inputs!$D$47*Inputs!$D$8,C558&gt;=1),1,0)</f>
        <v>0</v>
      </c>
      <c r="AG558" s="39">
        <f t="shared" si="35"/>
        <v>-1</v>
      </c>
    </row>
    <row r="559" spans="1:33" x14ac:dyDescent="0.25">
      <c r="A559" s="35">
        <v>48</v>
      </c>
      <c r="B559" s="35">
        <v>12</v>
      </c>
      <c r="C559" s="35">
        <f>Inputs!$D$8-A559-Inputs!$D$22*B559</f>
        <v>48</v>
      </c>
      <c r="D559" s="35">
        <f>A559*Inputs!$D$20+C559*Inputs!$D$21+B559*Inputs!$D$22</f>
        <v>120</v>
      </c>
      <c r="E559" s="36">
        <f>MIN(Inputs!$E$15,Inputs!$D$15*(C559/Inputs!$D$43)^Inputs!$D$44)</f>
        <v>0.39525168457966786</v>
      </c>
      <c r="F559" s="36">
        <f>MIN(Inputs!$E$16,Inputs!$D$16*(B559/Inputs!$D$42)^Inputs!$D$44)</f>
        <v>0.34316688017763797</v>
      </c>
      <c r="G559" s="37">
        <f>Inputs!$D$26*(1+Inputs!$D$41*(B559-Inputs!$D$42))</f>
        <v>1.3800000000000001</v>
      </c>
      <c r="H559" s="35">
        <f>Inputs!$D$6*Inputs!$D$14*G559*Inputs!$D$29</f>
        <v>1733.8734000000004</v>
      </c>
      <c r="I559" s="36">
        <f>H559/(A559*Inputs!$D$32)</f>
        <v>0.65677022727272738</v>
      </c>
      <c r="J559" s="38">
        <f>IF(I559&gt;=1,999,I559/(Inputs!$D$32*(1-I559))*60)</f>
        <v>2.087454727126933</v>
      </c>
      <c r="K559" s="37">
        <f>MIN(1,MAX(0,(J559-Inputs!$D$36)/(Inputs!$D$37-Inputs!$D$36)))</f>
        <v>0</v>
      </c>
      <c r="L559" s="35">
        <f>Inputs!$D$6*Inputs!$D$14*G559*(1-Inputs!$D$38*K559)</f>
        <v>11559.156000000003</v>
      </c>
      <c r="M559" s="39">
        <f>L559*Inputs!$D$11</f>
        <v>248521.85400000005</v>
      </c>
      <c r="N559" s="39">
        <f>M559*(1-Inputs!$D$17)</f>
        <v>86982.648900000015</v>
      </c>
      <c r="O559" s="35">
        <f>Inputs!$D$6*E559*Inputs!$D$27*Inputs!$D$30</f>
        <v>563.88818731569074</v>
      </c>
      <c r="P559" s="36">
        <f>O559/(C559*Inputs!$D$33)</f>
        <v>0.29369176422692228</v>
      </c>
      <c r="Q559" s="38">
        <f>IF(P559&gt;=1,999,P559/(Inputs!$D$33*(1-P559))*60)</f>
        <v>0.62371868828373556</v>
      </c>
      <c r="R559" s="37">
        <f>MIN(1,MAX(0,(Q559-Inputs!$D$36)/(Inputs!$D$37-Inputs!$D$36)))</f>
        <v>0</v>
      </c>
      <c r="S559" s="35">
        <f>Inputs!$D$6*E559*Inputs!$D$27*(1-Inputs!$D$38*R559)</f>
        <v>4699.0682276307562</v>
      </c>
      <c r="T559" s="39">
        <f>S559*Inputs!$D$12</f>
        <v>75185.091642092098</v>
      </c>
      <c r="U559" s="39">
        <f>T559*(1-Inputs!$D$18)</f>
        <v>33833.291238941441</v>
      </c>
      <c r="V559" s="35">
        <f>Inputs!$D$6*F559*Inputs!$D$28*Inputs!$D$31</f>
        <v>578.5958319897461</v>
      </c>
      <c r="W559" s="36">
        <f>V559/(B559*Inputs!$D$34)</f>
        <v>1.3776091237851098</v>
      </c>
      <c r="X559" s="38">
        <f>IF(W559&gt;=1,999,W559/(Inputs!$D$34*(1-W559))*60)</f>
        <v>999</v>
      </c>
      <c r="Y559" s="37">
        <f>MIN(1,MAX(0,(X559-Inputs!$D$36)/(Inputs!$D$37-Inputs!$D$36)))</f>
        <v>1</v>
      </c>
      <c r="Z559" s="35">
        <f>Inputs!$D$6*F559*Inputs!$D$28*(1-Inputs!$D$38*Y559)</f>
        <v>2447.9054430335414</v>
      </c>
      <c r="AA559" s="39">
        <f>Z559*Inputs!$D$13</f>
        <v>20807.1962657851</v>
      </c>
      <c r="AB559" s="39">
        <f>AA559*(1-Inputs!$D$19)</f>
        <v>12484.31775947106</v>
      </c>
      <c r="AC559" s="39">
        <f t="shared" si="32"/>
        <v>344514.14190787723</v>
      </c>
      <c r="AD559" s="39">
        <f t="shared" si="33"/>
        <v>133300.25789841253</v>
      </c>
      <c r="AE559" s="36">
        <f t="shared" si="34"/>
        <v>1.3776091237851098</v>
      </c>
      <c r="AF559" s="35">
        <f>IF(AND(AE559&lt;=Inputs!$D$35,C559&gt;=Inputs!$D$48*(A559+B559+C559),B559*Inputs!$D$22&lt;=Inputs!$D$50*Inputs!$D$8,B559*Inputs!$D$22&gt;=Inputs!$D$49*Inputs!$D$8,A559*Inputs!$D$20&lt;=Inputs!$D$47*Inputs!$D$8,C559&gt;=1),1,0)</f>
        <v>0</v>
      </c>
      <c r="AG559" s="39">
        <f t="shared" si="35"/>
        <v>-1</v>
      </c>
    </row>
    <row r="560" spans="1:33" x14ac:dyDescent="0.25">
      <c r="A560" s="35">
        <v>48</v>
      </c>
      <c r="B560" s="35">
        <v>13</v>
      </c>
      <c r="C560" s="35">
        <f>Inputs!$D$8-A560-Inputs!$D$22*B560</f>
        <v>46</v>
      </c>
      <c r="D560" s="35">
        <f>A560*Inputs!$D$20+C560*Inputs!$D$21+B560*Inputs!$D$22</f>
        <v>120</v>
      </c>
      <c r="E560" s="36">
        <f>MIN(Inputs!$E$15,Inputs!$D$15*(C560/Inputs!$D$43)^Inputs!$D$44)</f>
        <v>0.39023723685630041</v>
      </c>
      <c r="F560" s="36">
        <f>MIN(Inputs!$E$16,Inputs!$D$16*(B560/Inputs!$D$42)^Inputs!$D$44)</f>
        <v>0.35150701637190523</v>
      </c>
      <c r="G560" s="37">
        <f>Inputs!$D$26*(1+Inputs!$D$41*(B560-Inputs!$D$42))</f>
        <v>1.395</v>
      </c>
      <c r="H560" s="35">
        <f>Inputs!$D$6*Inputs!$D$14*G560*Inputs!$D$29</f>
        <v>1752.7198500000002</v>
      </c>
      <c r="I560" s="36">
        <f>H560/(A560*Inputs!$D$32)</f>
        <v>0.66390903409090918</v>
      </c>
      <c r="J560" s="38">
        <f>IF(I560&gt;=1,999,I560/(Inputs!$D$32*(1-I560))*60)</f>
        <v>2.1549653941675793</v>
      </c>
      <c r="K560" s="37">
        <f>MIN(1,MAX(0,(J560-Inputs!$D$36)/(Inputs!$D$37-Inputs!$D$36)))</f>
        <v>0</v>
      </c>
      <c r="L560" s="35">
        <f>Inputs!$D$6*Inputs!$D$14*G560*(1-Inputs!$D$38*K560)</f>
        <v>11684.799000000001</v>
      </c>
      <c r="M560" s="39">
        <f>L560*Inputs!$D$11</f>
        <v>251223.17850000001</v>
      </c>
      <c r="N560" s="39">
        <f>M560*(1-Inputs!$D$17)</f>
        <v>87928.112475000002</v>
      </c>
      <c r="O560" s="35">
        <f>Inputs!$D$6*E560*Inputs!$D$27*Inputs!$D$30</f>
        <v>556.73429538446214</v>
      </c>
      <c r="P560" s="36">
        <f>O560/(C560*Inputs!$D$33)</f>
        <v>0.30257298662199028</v>
      </c>
      <c r="Q560" s="38">
        <f>IF(P560&gt;=1,999,P560/(Inputs!$D$33*(1-P560))*60)</f>
        <v>0.65076269090109196</v>
      </c>
      <c r="R560" s="37">
        <f>MIN(1,MAX(0,(Q560-Inputs!$D$36)/(Inputs!$D$37-Inputs!$D$36)))</f>
        <v>0</v>
      </c>
      <c r="S560" s="35">
        <f>Inputs!$D$6*E560*Inputs!$D$27*(1-Inputs!$D$38*R560)</f>
        <v>4639.4524615371847</v>
      </c>
      <c r="T560" s="39">
        <f>S560*Inputs!$D$12</f>
        <v>74231.239384594955</v>
      </c>
      <c r="U560" s="39">
        <f>T560*(1-Inputs!$D$18)</f>
        <v>33404.05772306773</v>
      </c>
      <c r="V560" s="35">
        <f>Inputs!$D$6*F560*Inputs!$D$28*Inputs!$D$31</f>
        <v>592.65770193981814</v>
      </c>
      <c r="W560" s="36">
        <f>V560/(B560*Inputs!$D$34)</f>
        <v>1.3025443998677322</v>
      </c>
      <c r="X560" s="38">
        <f>IF(W560&gt;=1,999,W560/(Inputs!$D$34*(1-W560))*60)</f>
        <v>999</v>
      </c>
      <c r="Y560" s="37">
        <f>MIN(1,MAX(0,(X560-Inputs!$D$36)/(Inputs!$D$37-Inputs!$D$36)))</f>
        <v>1</v>
      </c>
      <c r="Z560" s="35">
        <f>Inputs!$D$6*F560*Inputs!$D$28*(1-Inputs!$D$38*Y560)</f>
        <v>2507.3979697453847</v>
      </c>
      <c r="AA560" s="39">
        <f>Z560*Inputs!$D$13</f>
        <v>21312.882742835769</v>
      </c>
      <c r="AB560" s="39">
        <f>AA560*(1-Inputs!$D$19)</f>
        <v>12787.729645701462</v>
      </c>
      <c r="AC560" s="39">
        <f t="shared" si="32"/>
        <v>346767.30062743078</v>
      </c>
      <c r="AD560" s="39">
        <f t="shared" si="33"/>
        <v>134119.89984376921</v>
      </c>
      <c r="AE560" s="36">
        <f t="shared" si="34"/>
        <v>1.3025443998677322</v>
      </c>
      <c r="AF560" s="35">
        <f>IF(AND(AE560&lt;=Inputs!$D$35,C560&gt;=Inputs!$D$48*(A560+B560+C560),B560*Inputs!$D$22&lt;=Inputs!$D$50*Inputs!$D$8,B560*Inputs!$D$22&gt;=Inputs!$D$49*Inputs!$D$8,A560*Inputs!$D$20&lt;=Inputs!$D$47*Inputs!$D$8,C560&gt;=1),1,0)</f>
        <v>0</v>
      </c>
      <c r="AG560" s="39">
        <f t="shared" si="35"/>
        <v>-1</v>
      </c>
    </row>
    <row r="561" spans="1:33" x14ac:dyDescent="0.25">
      <c r="A561" s="35">
        <v>48</v>
      </c>
      <c r="B561" s="35">
        <v>14</v>
      </c>
      <c r="C561" s="35">
        <f>Inputs!$D$8-A561-Inputs!$D$22*B561</f>
        <v>44</v>
      </c>
      <c r="D561" s="35">
        <f>A561*Inputs!$D$20+C561*Inputs!$D$21+B561*Inputs!$D$22</f>
        <v>120</v>
      </c>
      <c r="E561" s="36">
        <f>MIN(Inputs!$E$15,Inputs!$D$15*(C561/Inputs!$D$43)^Inputs!$D$44)</f>
        <v>0.38506776240403751</v>
      </c>
      <c r="F561" s="36">
        <f>MIN(Inputs!$E$16,Inputs!$D$16*(B561/Inputs!$D$42)^Inputs!$D$44)</f>
        <v>0.35940937671625589</v>
      </c>
      <c r="G561" s="37">
        <f>Inputs!$D$26*(1+Inputs!$D$41*(B561-Inputs!$D$42))</f>
        <v>1.41</v>
      </c>
      <c r="H561" s="35">
        <f>Inputs!$D$6*Inputs!$D$14*G561*Inputs!$D$29</f>
        <v>1771.5663000000002</v>
      </c>
      <c r="I561" s="36">
        <f>H561/(A561*Inputs!$D$32)</f>
        <v>0.67104784090909098</v>
      </c>
      <c r="J561" s="38">
        <f>IF(I561&gt;=1,999,I561/(Inputs!$D$32*(1-I561))*60)</f>
        <v>2.2254062478438854</v>
      </c>
      <c r="K561" s="37">
        <f>MIN(1,MAX(0,(J561-Inputs!$D$36)/(Inputs!$D$37-Inputs!$D$36)))</f>
        <v>0</v>
      </c>
      <c r="L561" s="35">
        <f>Inputs!$D$6*Inputs!$D$14*G561*(1-Inputs!$D$38*K561)</f>
        <v>11810.442000000001</v>
      </c>
      <c r="M561" s="39">
        <f>L561*Inputs!$D$11</f>
        <v>253924.50300000003</v>
      </c>
      <c r="N561" s="39">
        <f>M561*(1-Inputs!$D$17)</f>
        <v>88873.576050000003</v>
      </c>
      <c r="O561" s="35">
        <f>Inputs!$D$6*E561*Inputs!$D$27*Inputs!$D$30</f>
        <v>549.35923364029463</v>
      </c>
      <c r="P561" s="36">
        <f>O561/(C561*Inputs!$D$33)</f>
        <v>0.31213592820471286</v>
      </c>
      <c r="Q561" s="38">
        <f>IF(P561&gt;=1,999,P561/(Inputs!$D$33*(1-P561))*60)</f>
        <v>0.6806633919476025</v>
      </c>
      <c r="R561" s="37">
        <f>MIN(1,MAX(0,(Q561-Inputs!$D$36)/(Inputs!$D$37-Inputs!$D$36)))</f>
        <v>0</v>
      </c>
      <c r="S561" s="35">
        <f>Inputs!$D$6*E561*Inputs!$D$27*(1-Inputs!$D$38*R561)</f>
        <v>4577.9936136691222</v>
      </c>
      <c r="T561" s="39">
        <f>S561*Inputs!$D$12</f>
        <v>73247.897818705955</v>
      </c>
      <c r="U561" s="39">
        <f>T561*(1-Inputs!$D$18)</f>
        <v>32961.554018417679</v>
      </c>
      <c r="V561" s="35">
        <f>Inputs!$D$6*F561*Inputs!$D$28*Inputs!$D$31</f>
        <v>605.98146079368973</v>
      </c>
      <c r="W561" s="36">
        <f>V561/(B561*Inputs!$D$34)</f>
        <v>1.2366968587626321</v>
      </c>
      <c r="X561" s="38">
        <f>IF(W561&gt;=1,999,W561/(Inputs!$D$34*(1-W561))*60)</f>
        <v>999</v>
      </c>
      <c r="Y561" s="37">
        <f>MIN(1,MAX(0,(X561-Inputs!$D$36)/(Inputs!$D$37-Inputs!$D$36)))</f>
        <v>1</v>
      </c>
      <c r="Z561" s="35">
        <f>Inputs!$D$6*F561*Inputs!$D$28*(1-Inputs!$D$38*Y561)</f>
        <v>2563.7677187425338</v>
      </c>
      <c r="AA561" s="39">
        <f>Z561*Inputs!$D$13</f>
        <v>21792.025609311539</v>
      </c>
      <c r="AB561" s="39">
        <f>AA561*(1-Inputs!$D$19)</f>
        <v>13075.215365586922</v>
      </c>
      <c r="AC561" s="39">
        <f t="shared" si="32"/>
        <v>348964.4264280175</v>
      </c>
      <c r="AD561" s="39">
        <f t="shared" si="33"/>
        <v>134910.34543400462</v>
      </c>
      <c r="AE561" s="36">
        <f t="shared" si="34"/>
        <v>1.2366968587626321</v>
      </c>
      <c r="AF561" s="35">
        <f>IF(AND(AE561&lt;=Inputs!$D$35,C561&gt;=Inputs!$D$48*(A561+B561+C561),B561*Inputs!$D$22&lt;=Inputs!$D$50*Inputs!$D$8,B561*Inputs!$D$22&gt;=Inputs!$D$49*Inputs!$D$8,A561*Inputs!$D$20&lt;=Inputs!$D$47*Inputs!$D$8,C561&gt;=1),1,0)</f>
        <v>0</v>
      </c>
      <c r="AG561" s="39">
        <f t="shared" si="35"/>
        <v>-1</v>
      </c>
    </row>
    <row r="562" spans="1:33" x14ac:dyDescent="0.25">
      <c r="A562" s="35">
        <v>48</v>
      </c>
      <c r="B562" s="35">
        <v>15</v>
      </c>
      <c r="C562" s="35">
        <f>Inputs!$D$8-A562-Inputs!$D$22*B562</f>
        <v>42</v>
      </c>
      <c r="D562" s="35">
        <f>A562*Inputs!$D$20+C562*Inputs!$D$21+B562*Inputs!$D$22</f>
        <v>120</v>
      </c>
      <c r="E562" s="36">
        <f>MIN(Inputs!$E$15,Inputs!$D$15*(C562/Inputs!$D$43)^Inputs!$D$44)</f>
        <v>0.37973108090036384</v>
      </c>
      <c r="F562" s="36">
        <f>MIN(Inputs!$E$16,Inputs!$D$16*(B562/Inputs!$D$42)^Inputs!$D$44)</f>
        <v>0.36692590185696072</v>
      </c>
      <c r="G562" s="37">
        <f>Inputs!$D$26*(1+Inputs!$D$41*(B562-Inputs!$D$42))</f>
        <v>1.4249999999999998</v>
      </c>
      <c r="H562" s="35">
        <f>Inputs!$D$6*Inputs!$D$14*G562*Inputs!$D$29</f>
        <v>1790.4127499999997</v>
      </c>
      <c r="I562" s="36">
        <f>H562/(A562*Inputs!$D$32)</f>
        <v>0.67818664772727266</v>
      </c>
      <c r="J562" s="38">
        <f>IF(I562&gt;=1,999,I562/(Inputs!$D$32*(1-I562))*60)</f>
        <v>2.2989722897260343</v>
      </c>
      <c r="K562" s="37">
        <f>MIN(1,MAX(0,(J562-Inputs!$D$36)/(Inputs!$D$37-Inputs!$D$36)))</f>
        <v>0</v>
      </c>
      <c r="L562" s="35">
        <f>Inputs!$D$6*Inputs!$D$14*G562*(1-Inputs!$D$38*K562)</f>
        <v>11936.084999999999</v>
      </c>
      <c r="M562" s="39">
        <f>L562*Inputs!$D$11</f>
        <v>256625.82749999998</v>
      </c>
      <c r="N562" s="39">
        <f>M562*(1-Inputs!$D$17)</f>
        <v>89819.03962499999</v>
      </c>
      <c r="O562" s="35">
        <f>Inputs!$D$6*E562*Inputs!$D$27*Inputs!$D$30</f>
        <v>541.74562495298949</v>
      </c>
      <c r="P562" s="36">
        <f>O562/(C562*Inputs!$D$33)</f>
        <v>0.32246763390058897</v>
      </c>
      <c r="Q562" s="38">
        <f>IF(P562&gt;=1,999,P562/(Inputs!$D$33*(1-P562))*60)</f>
        <v>0.71391637514762252</v>
      </c>
      <c r="R562" s="37">
        <f>MIN(1,MAX(0,(Q562-Inputs!$D$36)/(Inputs!$D$37-Inputs!$D$36)))</f>
        <v>0</v>
      </c>
      <c r="S562" s="35">
        <f>Inputs!$D$6*E562*Inputs!$D$27*(1-Inputs!$D$38*R562)</f>
        <v>4514.5468746082461</v>
      </c>
      <c r="T562" s="39">
        <f>S562*Inputs!$D$12</f>
        <v>72232.749993731937</v>
      </c>
      <c r="U562" s="39">
        <f>T562*(1-Inputs!$D$18)</f>
        <v>32504.737497179369</v>
      </c>
      <c r="V562" s="35">
        <f>Inputs!$D$6*F562*Inputs!$D$28*Inputs!$D$31</f>
        <v>618.65468297412497</v>
      </c>
      <c r="W562" s="36">
        <f>V562/(B562*Inputs!$D$34)</f>
        <v>1.1783898723316666</v>
      </c>
      <c r="X562" s="38">
        <f>IF(W562&gt;=1,999,W562/(Inputs!$D$34*(1-W562))*60)</f>
        <v>999</v>
      </c>
      <c r="Y562" s="37">
        <f>MIN(1,MAX(0,(X562-Inputs!$D$36)/(Inputs!$D$37-Inputs!$D$36)))</f>
        <v>1</v>
      </c>
      <c r="Z562" s="35">
        <f>Inputs!$D$6*F562*Inputs!$D$28*(1-Inputs!$D$38*Y562)</f>
        <v>2617.3851971982212</v>
      </c>
      <c r="AA562" s="39">
        <f>Z562*Inputs!$D$13</f>
        <v>22247.774176184881</v>
      </c>
      <c r="AB562" s="39">
        <f>AA562*(1-Inputs!$D$19)</f>
        <v>13348.664505710929</v>
      </c>
      <c r="AC562" s="39">
        <f t="shared" si="32"/>
        <v>351106.35166991682</v>
      </c>
      <c r="AD562" s="39">
        <f t="shared" si="33"/>
        <v>135672.44162789031</v>
      </c>
      <c r="AE562" s="36">
        <f t="shared" si="34"/>
        <v>1.1783898723316666</v>
      </c>
      <c r="AF562" s="35">
        <f>IF(AND(AE562&lt;=Inputs!$D$35,C562&gt;=Inputs!$D$48*(A562+B562+C562),B562*Inputs!$D$22&lt;=Inputs!$D$50*Inputs!$D$8,B562*Inputs!$D$22&gt;=Inputs!$D$49*Inputs!$D$8,A562*Inputs!$D$20&lt;=Inputs!$D$47*Inputs!$D$8,C562&gt;=1),1,0)</f>
        <v>0</v>
      </c>
      <c r="AG562" s="39">
        <f t="shared" si="35"/>
        <v>-1</v>
      </c>
    </row>
    <row r="563" spans="1:33" x14ac:dyDescent="0.25">
      <c r="A563" s="35">
        <v>48</v>
      </c>
      <c r="B563" s="35">
        <v>16</v>
      </c>
      <c r="C563" s="35">
        <f>Inputs!$D$8-A563-Inputs!$D$22*B563</f>
        <v>40</v>
      </c>
      <c r="D563" s="35">
        <f>A563*Inputs!$D$20+C563*Inputs!$D$21+B563*Inputs!$D$22</f>
        <v>120</v>
      </c>
      <c r="E563" s="36">
        <f>MIN(Inputs!$E$15,Inputs!$D$15*(C563/Inputs!$D$43)^Inputs!$D$44)</f>
        <v>0.37421341802855551</v>
      </c>
      <c r="F563" s="36">
        <f>MIN(Inputs!$E$16,Inputs!$D$16*(B563/Inputs!$D$42)^Inputs!$D$44)</f>
        <v>0.37409937912904856</v>
      </c>
      <c r="G563" s="37">
        <f>Inputs!$D$26*(1+Inputs!$D$41*(B563-Inputs!$D$42))</f>
        <v>1.44</v>
      </c>
      <c r="H563" s="35">
        <f>Inputs!$D$6*Inputs!$D$14*G563*Inputs!$D$29</f>
        <v>1809.2592000000002</v>
      </c>
      <c r="I563" s="36">
        <f>H563/(A563*Inputs!$D$32)</f>
        <v>0.68532545454545457</v>
      </c>
      <c r="J563" s="38">
        <f>IF(I563&gt;=1,999,I563/(Inputs!$D$32*(1-I563))*60)</f>
        <v>2.3758762168547749</v>
      </c>
      <c r="K563" s="37">
        <f>MIN(1,MAX(0,(J563-Inputs!$D$36)/(Inputs!$D$37-Inputs!$D$36)))</f>
        <v>0</v>
      </c>
      <c r="L563" s="35">
        <f>Inputs!$D$6*Inputs!$D$14*G563*(1-Inputs!$D$38*K563)</f>
        <v>12061.728000000001</v>
      </c>
      <c r="M563" s="39">
        <f>L563*Inputs!$D$11</f>
        <v>259327.15200000003</v>
      </c>
      <c r="N563" s="39">
        <f>M563*(1-Inputs!$D$17)</f>
        <v>90764.503200000006</v>
      </c>
      <c r="O563" s="35">
        <f>Inputs!$D$6*E563*Inputs!$D$27*Inputs!$D$30</f>
        <v>533.8738181109469</v>
      </c>
      <c r="P563" s="36">
        <f>O563/(C563*Inputs!$D$33)</f>
        <v>0.33367113631934181</v>
      </c>
      <c r="Q563" s="38">
        <f>IF(P563&gt;=1,999,P563/(Inputs!$D$33*(1-P563))*60)</f>
        <v>0.75114066305685867</v>
      </c>
      <c r="R563" s="37">
        <f>MIN(1,MAX(0,(Q563-Inputs!$D$36)/(Inputs!$D$37-Inputs!$D$36)))</f>
        <v>0</v>
      </c>
      <c r="S563" s="35">
        <f>Inputs!$D$6*E563*Inputs!$D$27*(1-Inputs!$D$38*R563)</f>
        <v>4448.9484842578913</v>
      </c>
      <c r="T563" s="39">
        <f>S563*Inputs!$D$12</f>
        <v>71183.175748126261</v>
      </c>
      <c r="U563" s="39">
        <f>T563*(1-Inputs!$D$18)</f>
        <v>32032.429086656815</v>
      </c>
      <c r="V563" s="35">
        <f>Inputs!$D$6*F563*Inputs!$D$28*Inputs!$D$31</f>
        <v>630.74950998177405</v>
      </c>
      <c r="W563" s="36">
        <f>V563/(B563*Inputs!$D$34)</f>
        <v>1.1263384106817393</v>
      </c>
      <c r="X563" s="38">
        <f>IF(W563&gt;=1,999,W563/(Inputs!$D$34*(1-W563))*60)</f>
        <v>999</v>
      </c>
      <c r="Y563" s="37">
        <f>MIN(1,MAX(0,(X563-Inputs!$D$36)/(Inputs!$D$37-Inputs!$D$36)))</f>
        <v>1</v>
      </c>
      <c r="Z563" s="35">
        <f>Inputs!$D$6*F563*Inputs!$D$28*(1-Inputs!$D$38*Y563)</f>
        <v>2668.5556191536598</v>
      </c>
      <c r="AA563" s="39">
        <f>Z563*Inputs!$D$13</f>
        <v>22682.722762806108</v>
      </c>
      <c r="AB563" s="39">
        <f>AA563*(1-Inputs!$D$19)</f>
        <v>13609.633657683664</v>
      </c>
      <c r="AC563" s="39">
        <f t="shared" si="32"/>
        <v>353193.0505109324</v>
      </c>
      <c r="AD563" s="39">
        <f t="shared" si="33"/>
        <v>136406.56594434049</v>
      </c>
      <c r="AE563" s="36">
        <f t="shared" si="34"/>
        <v>1.1263384106817393</v>
      </c>
      <c r="AF563" s="35">
        <f>IF(AND(AE563&lt;=Inputs!$D$35,C563&gt;=Inputs!$D$48*(A563+B563+C563),B563*Inputs!$D$22&lt;=Inputs!$D$50*Inputs!$D$8,B563*Inputs!$D$22&gt;=Inputs!$D$49*Inputs!$D$8,A563*Inputs!$D$20&lt;=Inputs!$D$47*Inputs!$D$8,C563&gt;=1),1,0)</f>
        <v>0</v>
      </c>
      <c r="AG563" s="39">
        <f t="shared" si="35"/>
        <v>-1</v>
      </c>
    </row>
    <row r="564" spans="1:33" x14ac:dyDescent="0.25">
      <c r="A564" s="35">
        <v>48</v>
      </c>
      <c r="B564" s="35">
        <v>17</v>
      </c>
      <c r="C564" s="35">
        <f>Inputs!$D$8-A564-Inputs!$D$22*B564</f>
        <v>38</v>
      </c>
      <c r="D564" s="35">
        <f>A564*Inputs!$D$20+C564*Inputs!$D$21+B564*Inputs!$D$22</f>
        <v>120</v>
      </c>
      <c r="E564" s="36">
        <f>MIN(Inputs!$E$15,Inputs!$D$15*(C564/Inputs!$D$43)^Inputs!$D$44)</f>
        <v>0.36849910497273691</v>
      </c>
      <c r="F564" s="36">
        <f>MIN(Inputs!$E$16,Inputs!$D$16*(B564/Inputs!$D$42)^Inputs!$D$44)</f>
        <v>0.3809655184437048</v>
      </c>
      <c r="G564" s="37">
        <f>Inputs!$D$26*(1+Inputs!$D$41*(B564-Inputs!$D$42))</f>
        <v>1.4550000000000001</v>
      </c>
      <c r="H564" s="35">
        <f>Inputs!$D$6*Inputs!$D$14*G564*Inputs!$D$29</f>
        <v>1828.1056500000002</v>
      </c>
      <c r="I564" s="36">
        <f>H564/(A564*Inputs!$D$32)</f>
        <v>0.69246426136363648</v>
      </c>
      <c r="J564" s="38">
        <f>IF(I564&gt;=1,999,I564/(Inputs!$D$32*(1-I564))*60)</f>
        <v>2.4563504755603653</v>
      </c>
      <c r="K564" s="37">
        <f>MIN(1,MAX(0,(J564-Inputs!$D$36)/(Inputs!$D$37-Inputs!$D$36)))</f>
        <v>0</v>
      </c>
      <c r="L564" s="35">
        <f>Inputs!$D$6*Inputs!$D$14*G564*(1-Inputs!$D$38*K564)</f>
        <v>12187.371000000001</v>
      </c>
      <c r="M564" s="39">
        <f>L564*Inputs!$D$11</f>
        <v>262028.47650000002</v>
      </c>
      <c r="N564" s="39">
        <f>M564*(1-Inputs!$D$17)</f>
        <v>91709.966775000008</v>
      </c>
      <c r="O564" s="35">
        <f>Inputs!$D$6*E564*Inputs!$D$27*Inputs!$D$30</f>
        <v>525.72145910398501</v>
      </c>
      <c r="P564" s="36">
        <f>O564/(C564*Inputs!$D$33)</f>
        <v>0.34586938098946385</v>
      </c>
      <c r="Q564" s="38">
        <f>IF(P564&gt;=1,999,P564/(Inputs!$D$33*(1-P564))*60)</f>
        <v>0.79311999225622454</v>
      </c>
      <c r="R564" s="37">
        <f>MIN(1,MAX(0,(Q564-Inputs!$D$36)/(Inputs!$D$37-Inputs!$D$36)))</f>
        <v>0</v>
      </c>
      <c r="S564" s="35">
        <f>Inputs!$D$6*E564*Inputs!$D$27*(1-Inputs!$D$38*R564)</f>
        <v>4381.012159199875</v>
      </c>
      <c r="T564" s="39">
        <f>S564*Inputs!$D$12</f>
        <v>70096.194547198</v>
      </c>
      <c r="U564" s="39">
        <f>T564*(1-Inputs!$D$18)</f>
        <v>31543.287546239098</v>
      </c>
      <c r="V564" s="35">
        <f>Inputs!$D$6*F564*Inputs!$D$28*Inputs!$D$31</f>
        <v>642.32615044097156</v>
      </c>
      <c r="W564" s="36">
        <f>V564/(B564*Inputs!$D$34)</f>
        <v>1.0795397486402882</v>
      </c>
      <c r="X564" s="38">
        <f>IF(W564&gt;=1,999,W564/(Inputs!$D$34*(1-W564))*60)</f>
        <v>999</v>
      </c>
      <c r="Y564" s="37">
        <f>MIN(1,MAX(0,(X564-Inputs!$D$36)/(Inputs!$D$37-Inputs!$D$36)))</f>
        <v>1</v>
      </c>
      <c r="Z564" s="35">
        <f>Inputs!$D$6*F564*Inputs!$D$28*(1-Inputs!$D$38*Y564)</f>
        <v>2717.5337134041106</v>
      </c>
      <c r="AA564" s="39">
        <f>Z564*Inputs!$D$13</f>
        <v>23099.03656393494</v>
      </c>
      <c r="AB564" s="39">
        <f>AA564*(1-Inputs!$D$19)</f>
        <v>13859.421938360963</v>
      </c>
      <c r="AC564" s="39">
        <f t="shared" si="32"/>
        <v>355223.70761113294</v>
      </c>
      <c r="AD564" s="39">
        <f t="shared" si="33"/>
        <v>137112.67625960006</v>
      </c>
      <c r="AE564" s="36">
        <f t="shared" si="34"/>
        <v>1.0795397486402882</v>
      </c>
      <c r="AF564" s="35">
        <f>IF(AND(AE564&lt;=Inputs!$D$35,C564&gt;=Inputs!$D$48*(A564+B564+C564),B564*Inputs!$D$22&lt;=Inputs!$D$50*Inputs!$D$8,B564*Inputs!$D$22&gt;=Inputs!$D$49*Inputs!$D$8,A564*Inputs!$D$20&lt;=Inputs!$D$47*Inputs!$D$8,C564&gt;=1),1,0)</f>
        <v>0</v>
      </c>
      <c r="AG564" s="39">
        <f t="shared" si="35"/>
        <v>-1</v>
      </c>
    </row>
    <row r="565" spans="1:33" x14ac:dyDescent="0.25">
      <c r="A565" s="35">
        <v>48</v>
      </c>
      <c r="B565" s="35">
        <v>18</v>
      </c>
      <c r="C565" s="35">
        <f>Inputs!$D$8-A565-Inputs!$D$22*B565</f>
        <v>36</v>
      </c>
      <c r="D565" s="35">
        <f>A565*Inputs!$D$20+C565*Inputs!$D$21+B565*Inputs!$D$22</f>
        <v>120</v>
      </c>
      <c r="E565" s="36">
        <f>MIN(Inputs!$E$15,Inputs!$D$15*(C565/Inputs!$D$43)^Inputs!$D$44)</f>
        <v>0.36257020206219398</v>
      </c>
      <c r="F565" s="36">
        <f>MIN(Inputs!$E$16,Inputs!$D$16*(B565/Inputs!$D$42)^Inputs!$D$44)</f>
        <v>0.38755446447890535</v>
      </c>
      <c r="G565" s="37">
        <f>Inputs!$D$26*(1+Inputs!$D$41*(B565-Inputs!$D$42))</f>
        <v>1.47</v>
      </c>
      <c r="H565" s="35">
        <f>Inputs!$D$6*Inputs!$D$14*G565*Inputs!$D$29</f>
        <v>1846.9521</v>
      </c>
      <c r="I565" s="36">
        <f>H565/(A565*Inputs!$D$32)</f>
        <v>0.69960306818181817</v>
      </c>
      <c r="J565" s="38">
        <f>IF(I565&gt;=1,999,I565/(Inputs!$D$32*(1-I565))*60)</f>
        <v>2.5406496081303991</v>
      </c>
      <c r="K565" s="37">
        <f>MIN(1,MAX(0,(J565-Inputs!$D$36)/(Inputs!$D$37-Inputs!$D$36)))</f>
        <v>0</v>
      </c>
      <c r="L565" s="35">
        <f>Inputs!$D$6*Inputs!$D$14*G565*(1-Inputs!$D$38*K565)</f>
        <v>12313.014000000001</v>
      </c>
      <c r="M565" s="39">
        <f>L565*Inputs!$D$11</f>
        <v>264729.80100000004</v>
      </c>
      <c r="N565" s="39">
        <f>M565*(1-Inputs!$D$17)</f>
        <v>92655.43035000001</v>
      </c>
      <c r="O565" s="35">
        <f>Inputs!$D$6*E565*Inputs!$D$27*Inputs!$D$30</f>
        <v>517.26295419324151</v>
      </c>
      <c r="P565" s="36">
        <f>O565/(C565*Inputs!$D$33)</f>
        <v>0.35921038485641771</v>
      </c>
      <c r="Q565" s="38">
        <f>IF(P565&gt;=1,999,P565/(Inputs!$D$33*(1-P565))*60)</f>
        <v>0.84086190623406665</v>
      </c>
      <c r="R565" s="37">
        <f>MIN(1,MAX(0,(Q565-Inputs!$D$36)/(Inputs!$D$37-Inputs!$D$36)))</f>
        <v>0</v>
      </c>
      <c r="S565" s="35">
        <f>Inputs!$D$6*E565*Inputs!$D$27*(1-Inputs!$D$38*R565)</f>
        <v>4310.5246182770125</v>
      </c>
      <c r="T565" s="39">
        <f>S565*Inputs!$D$12</f>
        <v>68968.393892432199</v>
      </c>
      <c r="U565" s="39">
        <f>T565*(1-Inputs!$D$18)</f>
        <v>31035.777251594485</v>
      </c>
      <c r="V565" s="35">
        <f>Inputs!$D$6*F565*Inputs!$D$28*Inputs!$D$31</f>
        <v>653.43542972572936</v>
      </c>
      <c r="W565" s="36">
        <f>V565/(B565*Inputs!$D$34)</f>
        <v>1.037199094802745</v>
      </c>
      <c r="X565" s="38">
        <f>IF(W565&gt;=1,999,W565/(Inputs!$D$34*(1-W565))*60)</f>
        <v>999</v>
      </c>
      <c r="Y565" s="37">
        <f>MIN(1,MAX(0,(X565-Inputs!$D$36)/(Inputs!$D$37-Inputs!$D$36)))</f>
        <v>1</v>
      </c>
      <c r="Z565" s="35">
        <f>Inputs!$D$6*F565*Inputs!$D$28*(1-Inputs!$D$38*Y565)</f>
        <v>2764.534510378086</v>
      </c>
      <c r="AA565" s="39">
        <f>Z565*Inputs!$D$13</f>
        <v>23498.543338213731</v>
      </c>
      <c r="AB565" s="39">
        <f>AA565*(1-Inputs!$D$19)</f>
        <v>14099.126002928238</v>
      </c>
      <c r="AC565" s="39">
        <f t="shared" si="32"/>
        <v>357196.73823064601</v>
      </c>
      <c r="AD565" s="39">
        <f t="shared" si="33"/>
        <v>137790.33360452272</v>
      </c>
      <c r="AE565" s="36">
        <f t="shared" si="34"/>
        <v>1.037199094802745</v>
      </c>
      <c r="AF565" s="35">
        <f>IF(AND(AE565&lt;=Inputs!$D$35,C565&gt;=Inputs!$D$48*(A565+B565+C565),B565*Inputs!$D$22&lt;=Inputs!$D$50*Inputs!$D$8,B565*Inputs!$D$22&gt;=Inputs!$D$49*Inputs!$D$8,A565*Inputs!$D$20&lt;=Inputs!$D$47*Inputs!$D$8,C565&gt;=1),1,0)</f>
        <v>0</v>
      </c>
      <c r="AG565" s="39">
        <f t="shared" si="35"/>
        <v>-1</v>
      </c>
    </row>
    <row r="566" spans="1:33" x14ac:dyDescent="0.25">
      <c r="A566" s="35">
        <v>48</v>
      </c>
      <c r="B566" s="35">
        <v>19</v>
      </c>
      <c r="C566" s="35">
        <f>Inputs!$D$8-A566-Inputs!$D$22*B566</f>
        <v>34</v>
      </c>
      <c r="D566" s="35">
        <f>A566*Inputs!$D$20+C566*Inputs!$D$21+B566*Inputs!$D$22</f>
        <v>120</v>
      </c>
      <c r="E566" s="36">
        <f>MIN(Inputs!$E$15,Inputs!$D$15*(C566/Inputs!$D$43)^Inputs!$D$44)</f>
        <v>0.35640602201959876</v>
      </c>
      <c r="F566" s="36">
        <f>MIN(Inputs!$E$16,Inputs!$D$16*(B566/Inputs!$D$42)^Inputs!$D$44)</f>
        <v>0.39389192072703005</v>
      </c>
      <c r="G566" s="37">
        <f>Inputs!$D$26*(1+Inputs!$D$41*(B566-Inputs!$D$42))</f>
        <v>1.4849999999999999</v>
      </c>
      <c r="H566" s="35">
        <f>Inputs!$D$6*Inputs!$D$14*G566*Inputs!$D$29</f>
        <v>1865.7985499999998</v>
      </c>
      <c r="I566" s="36">
        <f>H566/(A566*Inputs!$D$32)</f>
        <v>0.70674187499999985</v>
      </c>
      <c r="J566" s="38">
        <f>IF(I566&gt;=1,999,I566/(Inputs!$D$32*(1-I566))*60)</f>
        <v>2.6290529422284066</v>
      </c>
      <c r="K566" s="37">
        <f>MIN(1,MAX(0,(J566-Inputs!$D$36)/(Inputs!$D$37-Inputs!$D$36)))</f>
        <v>0</v>
      </c>
      <c r="L566" s="35">
        <f>Inputs!$D$6*Inputs!$D$14*G566*(1-Inputs!$D$38*K566)</f>
        <v>12438.656999999999</v>
      </c>
      <c r="M566" s="39">
        <f>L566*Inputs!$D$11</f>
        <v>267431.12549999997</v>
      </c>
      <c r="N566" s="39">
        <f>M566*(1-Inputs!$D$17)</f>
        <v>93600.893924999982</v>
      </c>
      <c r="O566" s="35">
        <f>Inputs!$D$6*E566*Inputs!$D$27*Inputs!$D$30</f>
        <v>508.46878975039266</v>
      </c>
      <c r="P566" s="36">
        <f>O566/(C566*Inputs!$D$33)</f>
        <v>0.37387411011058286</v>
      </c>
      <c r="Q566" s="38">
        <f>IF(P566&gt;=1,999,P566/(Inputs!$D$33*(1-P566))*60)</f>
        <v>0.89568435712652228</v>
      </c>
      <c r="R566" s="37">
        <f>MIN(1,MAX(0,(Q566-Inputs!$D$36)/(Inputs!$D$37-Inputs!$D$36)))</f>
        <v>0</v>
      </c>
      <c r="S566" s="35">
        <f>Inputs!$D$6*E566*Inputs!$D$27*(1-Inputs!$D$38*R566)</f>
        <v>4237.2399145866057</v>
      </c>
      <c r="T566" s="39">
        <f>S566*Inputs!$D$12</f>
        <v>67795.838633385691</v>
      </c>
      <c r="U566" s="39">
        <f>T566*(1-Inputs!$D$18)</f>
        <v>30508.127385023559</v>
      </c>
      <c r="V566" s="35">
        <f>Inputs!$D$6*F566*Inputs!$D$28*Inputs!$D$31</f>
        <v>664.12068515796761</v>
      </c>
      <c r="W566" s="36">
        <f>V566/(B566*Inputs!$D$34)</f>
        <v>0.99867772204205651</v>
      </c>
      <c r="X566" s="38">
        <f>IF(W566&gt;=1,999,W566/(Inputs!$D$34*(1-W566))*60)</f>
        <v>1294.749671797274</v>
      </c>
      <c r="Y566" s="37">
        <f>MIN(1,MAX(0,(X566-Inputs!$D$36)/(Inputs!$D$37-Inputs!$D$36)))</f>
        <v>1</v>
      </c>
      <c r="Z566" s="35">
        <f>Inputs!$D$6*F566*Inputs!$D$28*(1-Inputs!$D$38*Y566)</f>
        <v>2809.7413602837091</v>
      </c>
      <c r="AA566" s="39">
        <f>Z566*Inputs!$D$13</f>
        <v>23882.801562411529</v>
      </c>
      <c r="AB566" s="39">
        <f>AA566*(1-Inputs!$D$19)</f>
        <v>14329.680937446918</v>
      </c>
      <c r="AC566" s="39">
        <f t="shared" si="32"/>
        <v>359109.76569579722</v>
      </c>
      <c r="AD566" s="39">
        <f t="shared" si="33"/>
        <v>138438.70224747047</v>
      </c>
      <c r="AE566" s="36">
        <f t="shared" si="34"/>
        <v>0.99867772204205651</v>
      </c>
      <c r="AF566" s="35">
        <f>IF(AND(AE566&lt;=Inputs!$D$35,C566&gt;=Inputs!$D$48*(A566+B566+C566),B566*Inputs!$D$22&lt;=Inputs!$D$50*Inputs!$D$8,B566*Inputs!$D$22&gt;=Inputs!$D$49*Inputs!$D$8,A566*Inputs!$D$20&lt;=Inputs!$D$47*Inputs!$D$8,C566&gt;=1),1,0)</f>
        <v>0</v>
      </c>
      <c r="AG566" s="39">
        <f t="shared" si="35"/>
        <v>-1</v>
      </c>
    </row>
    <row r="567" spans="1:33" x14ac:dyDescent="0.25">
      <c r="A567" s="35">
        <v>48</v>
      </c>
      <c r="B567" s="35">
        <v>20</v>
      </c>
      <c r="C567" s="35">
        <f>Inputs!$D$8-A567-Inputs!$D$22*B567</f>
        <v>32</v>
      </c>
      <c r="D567" s="35">
        <f>A567*Inputs!$D$20+C567*Inputs!$D$21+B567*Inputs!$D$22</f>
        <v>120</v>
      </c>
      <c r="E567" s="36">
        <f>MIN(Inputs!$E$15,Inputs!$D$15*(C567/Inputs!$D$43)^Inputs!$D$44)</f>
        <v>0.34998251836560429</v>
      </c>
      <c r="F567" s="36">
        <f>MIN(Inputs!$E$16,Inputs!$D$16*(B567/Inputs!$D$42)^Inputs!$D$44)</f>
        <v>0.4</v>
      </c>
      <c r="G567" s="37">
        <f>Inputs!$D$26*(1+Inputs!$D$41*(B567-Inputs!$D$42))</f>
        <v>1.5</v>
      </c>
      <c r="H567" s="35">
        <f>Inputs!$D$6*Inputs!$D$14*G567*Inputs!$D$29</f>
        <v>1884.645</v>
      </c>
      <c r="I567" s="36">
        <f>H567/(A567*Inputs!$D$32)</f>
        <v>0.71388068181818176</v>
      </c>
      <c r="J567" s="38">
        <f>IF(I567&gt;=1,999,I567/(Inputs!$D$32*(1-I567))*60)</f>
        <v>2.7218676829257276</v>
      </c>
      <c r="K567" s="37">
        <f>MIN(1,MAX(0,(J567-Inputs!$D$36)/(Inputs!$D$37-Inputs!$D$36)))</f>
        <v>0</v>
      </c>
      <c r="L567" s="35">
        <f>Inputs!$D$6*Inputs!$D$14*G567*(1-Inputs!$D$38*K567)</f>
        <v>12564.300000000001</v>
      </c>
      <c r="M567" s="39">
        <f>L567*Inputs!$D$11</f>
        <v>270132.45</v>
      </c>
      <c r="N567" s="39">
        <f>M567*(1-Inputs!$D$17)</f>
        <v>94546.357499999998</v>
      </c>
      <c r="O567" s="35">
        <f>Inputs!$D$6*E567*Inputs!$D$27*Inputs!$D$30</f>
        <v>499.30465972139962</v>
      </c>
      <c r="P567" s="36">
        <f>O567/(C567*Inputs!$D$33)</f>
        <v>0.39008176540734346</v>
      </c>
      <c r="Q567" s="38">
        <f>IF(P567&gt;=1,999,P567/(Inputs!$D$33*(1-P567))*60)</f>
        <v>0.95934604824825165</v>
      </c>
      <c r="R567" s="37">
        <f>MIN(1,MAX(0,(Q567-Inputs!$D$36)/(Inputs!$D$37-Inputs!$D$36)))</f>
        <v>0</v>
      </c>
      <c r="S567" s="35">
        <f>Inputs!$D$6*E567*Inputs!$D$27*(1-Inputs!$D$38*R567)</f>
        <v>4160.8721643449971</v>
      </c>
      <c r="T567" s="39">
        <f>S567*Inputs!$D$12</f>
        <v>66573.954629519954</v>
      </c>
      <c r="U567" s="39">
        <f>T567*(1-Inputs!$D$18)</f>
        <v>29958.279583283977</v>
      </c>
      <c r="V567" s="35">
        <f>Inputs!$D$6*F567*Inputs!$D$28*Inputs!$D$31</f>
        <v>674.41919999999993</v>
      </c>
      <c r="W567" s="36">
        <f>V567/(B567*Inputs!$D$34)</f>
        <v>0.96345599999999987</v>
      </c>
      <c r="X567" s="38">
        <f>IF(W567&gt;=1,999,W567/(Inputs!$D$34*(1-W567))*60)</f>
        <v>45.195896922691851</v>
      </c>
      <c r="Y567" s="37">
        <f>MIN(1,MAX(0,(X567-Inputs!$D$36)/(Inputs!$D$37-Inputs!$D$36)))</f>
        <v>1</v>
      </c>
      <c r="Z567" s="35">
        <f>Inputs!$D$6*F567*Inputs!$D$28*(1-Inputs!$D$38*Y567)</f>
        <v>2853.3119999999999</v>
      </c>
      <c r="AA567" s="39">
        <f>Z567*Inputs!$D$13</f>
        <v>24253.151999999998</v>
      </c>
      <c r="AB567" s="39">
        <f>AA567*(1-Inputs!$D$19)</f>
        <v>14551.891199999998</v>
      </c>
      <c r="AC567" s="39">
        <f t="shared" si="32"/>
        <v>360959.55662951997</v>
      </c>
      <c r="AD567" s="39">
        <f t="shared" si="33"/>
        <v>139056.52828328399</v>
      </c>
      <c r="AE567" s="36">
        <f t="shared" si="34"/>
        <v>0.96345599999999987</v>
      </c>
      <c r="AF567" s="35">
        <f>IF(AND(AE567&lt;=Inputs!$D$35,C567&gt;=Inputs!$D$48*(A567+B567+C567),B567*Inputs!$D$22&lt;=Inputs!$D$50*Inputs!$D$8,B567*Inputs!$D$22&gt;=Inputs!$D$49*Inputs!$D$8,A567*Inputs!$D$20&lt;=Inputs!$D$47*Inputs!$D$8,C567&gt;=1),1,0)</f>
        <v>0</v>
      </c>
      <c r="AG567" s="39">
        <f t="shared" si="35"/>
        <v>-1</v>
      </c>
    </row>
    <row r="568" spans="1:33" x14ac:dyDescent="0.25">
      <c r="A568" s="35">
        <v>48</v>
      </c>
      <c r="B568" s="35">
        <v>21</v>
      </c>
      <c r="C568" s="35">
        <f>Inputs!$D$8-A568-Inputs!$D$22*B568</f>
        <v>30</v>
      </c>
      <c r="D568" s="35">
        <f>A568*Inputs!$D$20+C568*Inputs!$D$21+B568*Inputs!$D$22</f>
        <v>120</v>
      </c>
      <c r="E568" s="36">
        <f>MIN(Inputs!$E$15,Inputs!$D$15*(C568/Inputs!$D$43)^Inputs!$D$44)</f>
        <v>0.3432714897427589</v>
      </c>
      <c r="F568" s="36">
        <f>MIN(Inputs!$E$16,Inputs!$D$16*(B568/Inputs!$D$42)^Inputs!$D$44)</f>
        <v>0.40589787816896217</v>
      </c>
      <c r="G568" s="37">
        <f>Inputs!$D$26*(1+Inputs!$D$41*(B568-Inputs!$D$42))</f>
        <v>1.5150000000000001</v>
      </c>
      <c r="H568" s="35">
        <f>Inputs!$D$6*Inputs!$D$14*G568*Inputs!$D$29</f>
        <v>1903.4914500000004</v>
      </c>
      <c r="I568" s="36">
        <f>H568/(A568*Inputs!$D$32)</f>
        <v>0.72101948863636378</v>
      </c>
      <c r="J568" s="38">
        <f>IF(I568&gt;=1,999,I568/(Inputs!$D$32*(1-I568))*60)</f>
        <v>2.8194324794637193</v>
      </c>
      <c r="K568" s="37">
        <f>MIN(1,MAX(0,(J568-Inputs!$D$36)/(Inputs!$D$37-Inputs!$D$36)))</f>
        <v>0</v>
      </c>
      <c r="L568" s="35">
        <f>Inputs!$D$6*Inputs!$D$14*G568*(1-Inputs!$D$38*K568)</f>
        <v>12689.943000000003</v>
      </c>
      <c r="M568" s="39">
        <f>L568*Inputs!$D$11</f>
        <v>272833.77450000006</v>
      </c>
      <c r="N568" s="39">
        <f>M568*(1-Inputs!$D$17)</f>
        <v>95491.821075000014</v>
      </c>
      <c r="O568" s="35">
        <f>Inputs!$D$6*E568*Inputs!$D$27*Inputs!$D$30</f>
        <v>489.73033047044544</v>
      </c>
      <c r="P568" s="36">
        <f>O568/(C568*Inputs!$D$33)</f>
        <v>0.40810860872537119</v>
      </c>
      <c r="Q568" s="38">
        <f>IF(P568&gt;=1,999,P568/(Inputs!$D$33*(1-P568))*60)</f>
        <v>1.0342487187890559</v>
      </c>
      <c r="R568" s="37">
        <f>MIN(1,MAX(0,(Q568-Inputs!$D$36)/(Inputs!$D$37-Inputs!$D$36)))</f>
        <v>0</v>
      </c>
      <c r="S568" s="35">
        <f>Inputs!$D$6*E568*Inputs!$D$27*(1-Inputs!$D$38*R568)</f>
        <v>4081.0860872537123</v>
      </c>
      <c r="T568" s="39">
        <f>S568*Inputs!$D$12</f>
        <v>65297.377396059397</v>
      </c>
      <c r="U568" s="39">
        <f>T568*(1-Inputs!$D$18)</f>
        <v>29383.819828226726</v>
      </c>
      <c r="V568" s="35">
        <f>Inputs!$D$6*F568*Inputs!$D$28*Inputs!$D$31</f>
        <v>684.36330569102222</v>
      </c>
      <c r="W568" s="36">
        <f>V568/(B568*Inputs!$D$34)</f>
        <v>0.93110653835513224</v>
      </c>
      <c r="X568" s="38">
        <f>IF(W568&gt;=1,999,W568/(Inputs!$D$34*(1-W568))*60)</f>
        <v>23.16885520150278</v>
      </c>
      <c r="Y568" s="37">
        <f>MIN(1,MAX(0,(X568-Inputs!$D$36)/(Inputs!$D$37-Inputs!$D$36)))</f>
        <v>1</v>
      </c>
      <c r="Z568" s="35">
        <f>Inputs!$D$6*F568*Inputs!$D$28*(1-Inputs!$D$38*Y568)</f>
        <v>2895.3832163850943</v>
      </c>
      <c r="AA568" s="39">
        <f>Z568*Inputs!$D$13</f>
        <v>24610.757339273303</v>
      </c>
      <c r="AB568" s="39">
        <f>AA568*(1-Inputs!$D$19)</f>
        <v>14766.454403563981</v>
      </c>
      <c r="AC568" s="39">
        <f t="shared" si="32"/>
        <v>362741.90923533274</v>
      </c>
      <c r="AD568" s="39">
        <f t="shared" si="33"/>
        <v>139642.09530679072</v>
      </c>
      <c r="AE568" s="36">
        <f t="shared" si="34"/>
        <v>0.93110653835513224</v>
      </c>
      <c r="AF568" s="35">
        <f>IF(AND(AE568&lt;=Inputs!$D$35,C568&gt;=Inputs!$D$48*(A568+B568+C568),B568*Inputs!$D$22&lt;=Inputs!$D$50*Inputs!$D$8,B568*Inputs!$D$22&gt;=Inputs!$D$49*Inputs!$D$8,A568*Inputs!$D$20&lt;=Inputs!$D$47*Inputs!$D$8,C568&gt;=1),1,0)</f>
        <v>0</v>
      </c>
      <c r="AG568" s="39">
        <f t="shared" si="35"/>
        <v>-1</v>
      </c>
    </row>
    <row r="569" spans="1:33" x14ac:dyDescent="0.25">
      <c r="A569" s="35">
        <v>48</v>
      </c>
      <c r="B569" s="35">
        <v>22</v>
      </c>
      <c r="C569" s="35">
        <f>Inputs!$D$8-A569-Inputs!$D$22*B569</f>
        <v>28</v>
      </c>
      <c r="D569" s="35">
        <f>A569*Inputs!$D$20+C569*Inputs!$D$21+B569*Inputs!$D$22</f>
        <v>120</v>
      </c>
      <c r="E569" s="36">
        <f>MIN(Inputs!$E$15,Inputs!$D$15*(C569/Inputs!$D$43)^Inputs!$D$44)</f>
        <v>0.33623952833125714</v>
      </c>
      <c r="F569" s="36">
        <f>MIN(Inputs!$E$16,Inputs!$D$16*(B569/Inputs!$D$42)^Inputs!$D$44)</f>
        <v>0.41160230376843804</v>
      </c>
      <c r="G569" s="37">
        <f>Inputs!$D$26*(1+Inputs!$D$41*(B569-Inputs!$D$42))</f>
        <v>1.53</v>
      </c>
      <c r="H569" s="35">
        <f>Inputs!$D$6*Inputs!$D$14*G569*Inputs!$D$29</f>
        <v>1922.3379</v>
      </c>
      <c r="I569" s="36">
        <f>H569/(A569*Inputs!$D$32)</f>
        <v>0.72815829545454547</v>
      </c>
      <c r="J569" s="38">
        <f>IF(I569&gt;=1,999,I569/(Inputs!$D$32*(1-I569))*60)</f>
        <v>2.9221215540141952</v>
      </c>
      <c r="K569" s="37">
        <f>MIN(1,MAX(0,(J569-Inputs!$D$36)/(Inputs!$D$37-Inputs!$D$36)))</f>
        <v>0</v>
      </c>
      <c r="L569" s="35">
        <f>Inputs!$D$6*Inputs!$D$14*G569*(1-Inputs!$D$38*K569)</f>
        <v>12815.586000000001</v>
      </c>
      <c r="M569" s="39">
        <f>L569*Inputs!$D$11</f>
        <v>275535.09900000005</v>
      </c>
      <c r="N569" s="39">
        <f>M569*(1-Inputs!$D$17)</f>
        <v>96437.284650000016</v>
      </c>
      <c r="O569" s="35">
        <f>Inputs!$D$6*E569*Inputs!$D$27*Inputs!$D$30</f>
        <v>479.69814053095797</v>
      </c>
      <c r="P569" s="36">
        <f>O569/(C569*Inputs!$D$33)</f>
        <v>0.42830191118835531</v>
      </c>
      <c r="Q569" s="38">
        <f>IF(P569&gt;=1,999,P569/(Inputs!$D$33*(1-P569))*60)</f>
        <v>1.1237624882006552</v>
      </c>
      <c r="R569" s="37">
        <f>MIN(1,MAX(0,(Q569-Inputs!$D$36)/(Inputs!$D$37-Inputs!$D$36)))</f>
        <v>0</v>
      </c>
      <c r="S569" s="35">
        <f>Inputs!$D$6*E569*Inputs!$D$27*(1-Inputs!$D$38*R569)</f>
        <v>3997.4845044246499</v>
      </c>
      <c r="T569" s="39">
        <f>S569*Inputs!$D$12</f>
        <v>63959.752070794399</v>
      </c>
      <c r="U569" s="39">
        <f>T569*(1-Inputs!$D$18)</f>
        <v>28781.888431857478</v>
      </c>
      <c r="V569" s="35">
        <f>Inputs!$D$6*F569*Inputs!$D$28*Inputs!$D$31</f>
        <v>693.98124106416742</v>
      </c>
      <c r="W569" s="36">
        <f>V569/(B569*Inputs!$D$34)</f>
        <v>0.90127433904437326</v>
      </c>
      <c r="X569" s="38">
        <f>IF(W569&gt;=1,999,W569/(Inputs!$D$34*(1-W569))*60)</f>
        <v>15.649849381818807</v>
      </c>
      <c r="Y569" s="37">
        <f>MIN(1,MAX(0,(X569-Inputs!$D$36)/(Inputs!$D$37-Inputs!$D$36)))</f>
        <v>0.70998995878792048</v>
      </c>
      <c r="Z569" s="35">
        <f>Inputs!$D$6*F569*Inputs!$D$28*(1-Inputs!$D$38*Y569)</f>
        <v>3632.749002537963</v>
      </c>
      <c r="AA569" s="39">
        <f>Z569*Inputs!$D$13</f>
        <v>30878.366521572687</v>
      </c>
      <c r="AB569" s="39">
        <f>AA569*(1-Inputs!$D$19)</f>
        <v>18527.019912943611</v>
      </c>
      <c r="AC569" s="39">
        <f t="shared" si="32"/>
        <v>370373.21759236715</v>
      </c>
      <c r="AD569" s="39">
        <f t="shared" si="33"/>
        <v>143746.19299480112</v>
      </c>
      <c r="AE569" s="36">
        <f t="shared" si="34"/>
        <v>0.90127433904437326</v>
      </c>
      <c r="AF569" s="35">
        <f>IF(AND(AE569&lt;=Inputs!$D$35,C569&gt;=Inputs!$D$48*(A569+B569+C569),B569*Inputs!$D$22&lt;=Inputs!$D$50*Inputs!$D$8,B569*Inputs!$D$22&gt;=Inputs!$D$49*Inputs!$D$8,A569*Inputs!$D$20&lt;=Inputs!$D$47*Inputs!$D$8,C569&gt;=1),1,0)</f>
        <v>0</v>
      </c>
      <c r="AG569" s="39">
        <f t="shared" si="35"/>
        <v>-1</v>
      </c>
    </row>
    <row r="570" spans="1:33" x14ac:dyDescent="0.25">
      <c r="A570" s="35">
        <v>48</v>
      </c>
      <c r="B570" s="35">
        <v>23</v>
      </c>
      <c r="C570" s="35">
        <f>Inputs!$D$8-A570-Inputs!$D$22*B570</f>
        <v>26</v>
      </c>
      <c r="D570" s="35">
        <f>A570*Inputs!$D$20+C570*Inputs!$D$21+B570*Inputs!$D$22</f>
        <v>120</v>
      </c>
      <c r="E570" s="36">
        <f>MIN(Inputs!$E$15,Inputs!$D$15*(C570/Inputs!$D$43)^Inputs!$D$44)</f>
        <v>0.32884660514387515</v>
      </c>
      <c r="F570" s="36">
        <f>MIN(Inputs!$E$16,Inputs!$D$16*(B570/Inputs!$D$42)^Inputs!$D$44)</f>
        <v>0.41712800028621322</v>
      </c>
      <c r="G570" s="37">
        <f>Inputs!$D$26*(1+Inputs!$D$41*(B570-Inputs!$D$42))</f>
        <v>1.5449999999999999</v>
      </c>
      <c r="H570" s="35">
        <f>Inputs!$D$6*Inputs!$D$14*G570*Inputs!$D$29</f>
        <v>1941.18435</v>
      </c>
      <c r="I570" s="36">
        <f>H570/(A570*Inputs!$D$32)</f>
        <v>0.73529710227272727</v>
      </c>
      <c r="J570" s="38">
        <f>IF(I570&gt;=1,999,I570/(Inputs!$D$32*(1-I570))*60)</f>
        <v>3.0303494985343478</v>
      </c>
      <c r="K570" s="37">
        <f>MIN(1,MAX(0,(J570-Inputs!$D$36)/(Inputs!$D$37-Inputs!$D$36)))</f>
        <v>0</v>
      </c>
      <c r="L570" s="35">
        <f>Inputs!$D$6*Inputs!$D$14*G570*(1-Inputs!$D$38*K570)</f>
        <v>12941.229000000001</v>
      </c>
      <c r="M570" s="39">
        <f>L570*Inputs!$D$11</f>
        <v>278236.42350000003</v>
      </c>
      <c r="N570" s="39">
        <f>M570*(1-Inputs!$D$17)</f>
        <v>97382.748225000003</v>
      </c>
      <c r="O570" s="35">
        <f>Inputs!$D$6*E570*Inputs!$D$27*Inputs!$D$30</f>
        <v>469.15098230814039</v>
      </c>
      <c r="P570" s="36">
        <f>O570/(C570*Inputs!$D$33)</f>
        <v>0.45110671375782729</v>
      </c>
      <c r="Q570" s="38">
        <f>IF(P570&gt;=1,999,P570/(Inputs!$D$33*(1-P570))*60)</f>
        <v>1.2327716290160586</v>
      </c>
      <c r="R570" s="37">
        <f>MIN(1,MAX(0,(Q570-Inputs!$D$36)/(Inputs!$D$37-Inputs!$D$36)))</f>
        <v>0</v>
      </c>
      <c r="S570" s="35">
        <f>Inputs!$D$6*E570*Inputs!$D$27*(1-Inputs!$D$38*R570)</f>
        <v>3909.5915192345033</v>
      </c>
      <c r="T570" s="39">
        <f>S570*Inputs!$D$12</f>
        <v>62553.464307752052</v>
      </c>
      <c r="U570" s="39">
        <f>T570*(1-Inputs!$D$18)</f>
        <v>28149.058938488422</v>
      </c>
      <c r="V570" s="35">
        <f>Inputs!$D$6*F570*Inputs!$D$28*Inputs!$D$31</f>
        <v>703.29783062656929</v>
      </c>
      <c r="W570" s="36">
        <f>V570/(B570*Inputs!$D$34)</f>
        <v>0.87366190139946498</v>
      </c>
      <c r="X570" s="38">
        <f>IF(W570&gt;=1,999,W570/(Inputs!$D$34*(1-W570))*60)</f>
        <v>11.854746377182334</v>
      </c>
      <c r="Y570" s="37">
        <f>MIN(1,MAX(0,(X570-Inputs!$D$36)/(Inputs!$D$37-Inputs!$D$36)))</f>
        <v>0.45698309181215557</v>
      </c>
      <c r="Z570" s="35">
        <f>Inputs!$D$6*F570*Inputs!$D$28*(1-Inputs!$D$38*Y570)</f>
        <v>4297.4614071503011</v>
      </c>
      <c r="AA570" s="39">
        <f>Z570*Inputs!$D$13</f>
        <v>36528.421960777559</v>
      </c>
      <c r="AB570" s="39">
        <f>AA570*(1-Inputs!$D$19)</f>
        <v>21917.053176466536</v>
      </c>
      <c r="AC570" s="39">
        <f t="shared" si="32"/>
        <v>377318.30976852961</v>
      </c>
      <c r="AD570" s="39">
        <f t="shared" si="33"/>
        <v>147448.86033995496</v>
      </c>
      <c r="AE570" s="36">
        <f t="shared" si="34"/>
        <v>0.87366190139946498</v>
      </c>
      <c r="AF570" s="35">
        <f>IF(AND(AE570&lt;=Inputs!$D$35,C570&gt;=Inputs!$D$48*(A570+B570+C570),B570*Inputs!$D$22&lt;=Inputs!$D$50*Inputs!$D$8,B570*Inputs!$D$22&gt;=Inputs!$D$49*Inputs!$D$8,A570*Inputs!$D$20&lt;=Inputs!$D$47*Inputs!$D$8,C570&gt;=1),1,0)</f>
        <v>0</v>
      </c>
      <c r="AG570" s="39">
        <f t="shared" si="35"/>
        <v>-1</v>
      </c>
    </row>
    <row r="571" spans="1:33" x14ac:dyDescent="0.25">
      <c r="A571" s="35">
        <v>48</v>
      </c>
      <c r="B571" s="35">
        <v>24</v>
      </c>
      <c r="C571" s="35">
        <f>Inputs!$D$8-A571-Inputs!$D$22*B571</f>
        <v>24</v>
      </c>
      <c r="D571" s="35">
        <f>A571*Inputs!$D$20+C571*Inputs!$D$21+B571*Inputs!$D$22</f>
        <v>120</v>
      </c>
      <c r="E571" s="36">
        <f>MIN(Inputs!$E$15,Inputs!$D$15*(C571/Inputs!$D$43)^Inputs!$D$44)</f>
        <v>0.32104412796367415</v>
      </c>
      <c r="F571" s="36">
        <f>MIN(Inputs!$E$16,Inputs!$D$16*(B571/Inputs!$D$42)^Inputs!$D$44)</f>
        <v>0.42248798737570326</v>
      </c>
      <c r="G571" s="37">
        <f>Inputs!$D$26*(1+Inputs!$D$41*(B571-Inputs!$D$42))</f>
        <v>1.56</v>
      </c>
      <c r="H571" s="35">
        <f>Inputs!$D$6*Inputs!$D$14*G571*Inputs!$D$29</f>
        <v>1960.0308</v>
      </c>
      <c r="I571" s="36">
        <f>H571/(A571*Inputs!$D$32)</f>
        <v>0.74243590909090906</v>
      </c>
      <c r="J571" s="38">
        <f>IF(I571&gt;=1,999,I571/(Inputs!$D$32*(1-I571))*60)</f>
        <v>3.1445768693373433</v>
      </c>
      <c r="K571" s="37">
        <f>MIN(1,MAX(0,(J571-Inputs!$D$36)/(Inputs!$D$37-Inputs!$D$36)))</f>
        <v>0</v>
      </c>
      <c r="L571" s="35">
        <f>Inputs!$D$6*Inputs!$D$14*G571*(1-Inputs!$D$38*K571)</f>
        <v>13066.872000000001</v>
      </c>
      <c r="M571" s="39">
        <f>L571*Inputs!$D$11</f>
        <v>280937.74800000002</v>
      </c>
      <c r="N571" s="39">
        <f>M571*(1-Inputs!$D$17)</f>
        <v>98328.211800000005</v>
      </c>
      <c r="O571" s="35">
        <f>Inputs!$D$6*E571*Inputs!$D$27*Inputs!$D$30</f>
        <v>458.01953142414351</v>
      </c>
      <c r="P571" s="36">
        <f>O571/(C571*Inputs!$D$33)</f>
        <v>0.47710367856681618</v>
      </c>
      <c r="Q571" s="38">
        <f>IF(P571&gt;=1,999,P571/(Inputs!$D$33*(1-P571))*60)</f>
        <v>1.3686375071232384</v>
      </c>
      <c r="R571" s="37">
        <f>MIN(1,MAX(0,(Q571-Inputs!$D$36)/(Inputs!$D$37-Inputs!$D$36)))</f>
        <v>0</v>
      </c>
      <c r="S571" s="35">
        <f>Inputs!$D$6*E571*Inputs!$D$27*(1-Inputs!$D$38*R571)</f>
        <v>3816.8294285345296</v>
      </c>
      <c r="T571" s="39">
        <f>S571*Inputs!$D$12</f>
        <v>61069.270856552474</v>
      </c>
      <c r="U571" s="39">
        <f>T571*(1-Inputs!$D$18)</f>
        <v>27481.17188544861</v>
      </c>
      <c r="V571" s="35">
        <f>Inputs!$D$6*F571*Inputs!$D$28*Inputs!$D$31</f>
        <v>712.33502613882979</v>
      </c>
      <c r="W571" s="36">
        <f>V571/(B571*Inputs!$D$34)</f>
        <v>0.84801788826051161</v>
      </c>
      <c r="X571" s="38">
        <f>IF(W571&gt;=1,999,W571/(Inputs!$D$34*(1-W571))*60)</f>
        <v>9.5652372155190832</v>
      </c>
      <c r="Y571" s="37">
        <f>MIN(1,MAX(0,(X571-Inputs!$D$36)/(Inputs!$D$37-Inputs!$D$36)))</f>
        <v>0.30434914770127219</v>
      </c>
      <c r="Z571" s="35">
        <f>Inputs!$D$6*F571*Inputs!$D$28*(1-Inputs!$D$38*Y571)</f>
        <v>4729.0436538571339</v>
      </c>
      <c r="AA571" s="39">
        <f>Z571*Inputs!$D$13</f>
        <v>40196.87105778564</v>
      </c>
      <c r="AB571" s="39">
        <f>AA571*(1-Inputs!$D$19)</f>
        <v>24118.122634671385</v>
      </c>
      <c r="AC571" s="39">
        <f t="shared" si="32"/>
        <v>382203.88991433813</v>
      </c>
      <c r="AD571" s="39">
        <f t="shared" si="33"/>
        <v>149927.50632012001</v>
      </c>
      <c r="AE571" s="36">
        <f t="shared" si="34"/>
        <v>0.84801788826051161</v>
      </c>
      <c r="AF571" s="35">
        <f>IF(AND(AE571&lt;=Inputs!$D$35,C571&gt;=Inputs!$D$48*(A571+B571+C571),B571*Inputs!$D$22&lt;=Inputs!$D$50*Inputs!$D$8,B571*Inputs!$D$22&gt;=Inputs!$D$49*Inputs!$D$8,A571*Inputs!$D$20&lt;=Inputs!$D$47*Inputs!$D$8,C571&gt;=1),1,0)</f>
        <v>1</v>
      </c>
      <c r="AG571" s="39">
        <f t="shared" si="35"/>
        <v>149927.50632012001</v>
      </c>
    </row>
    <row r="572" spans="1:33" x14ac:dyDescent="0.25">
      <c r="A572" s="35">
        <v>48</v>
      </c>
      <c r="B572" s="35">
        <v>25</v>
      </c>
      <c r="C572" s="35">
        <f>Inputs!$D$8-A572-Inputs!$D$22*B572</f>
        <v>22</v>
      </c>
      <c r="D572" s="35">
        <f>A572*Inputs!$D$20+C572*Inputs!$D$21+B572*Inputs!$D$22</f>
        <v>120</v>
      </c>
      <c r="E572" s="36">
        <f>MIN(Inputs!$E$15,Inputs!$D$15*(C572/Inputs!$D$43)^Inputs!$D$44)</f>
        <v>0.31277221277221301</v>
      </c>
      <c r="F572" s="36">
        <f>MIN(Inputs!$E$16,Inputs!$D$16*(B572/Inputs!$D$42)^Inputs!$D$44)</f>
        <v>0.42769383999647526</v>
      </c>
      <c r="G572" s="37">
        <f>Inputs!$D$26*(1+Inputs!$D$41*(B572-Inputs!$D$42))</f>
        <v>1.5750000000000002</v>
      </c>
      <c r="H572" s="35">
        <f>Inputs!$D$6*Inputs!$D$14*G572*Inputs!$D$29</f>
        <v>1978.8772500000005</v>
      </c>
      <c r="I572" s="36">
        <f>H572/(A572*Inputs!$D$32)</f>
        <v>0.74957471590909108</v>
      </c>
      <c r="J572" s="38">
        <f>IF(I572&gt;=1,999,I572/(Inputs!$D$32*(1-I572))*60)</f>
        <v>3.265316738560553</v>
      </c>
      <c r="K572" s="37">
        <f>MIN(1,MAX(0,(J572-Inputs!$D$36)/(Inputs!$D$37-Inputs!$D$36)))</f>
        <v>0</v>
      </c>
      <c r="L572" s="35">
        <f>Inputs!$D$6*Inputs!$D$14*G572*(1-Inputs!$D$38*K572)</f>
        <v>13192.515000000003</v>
      </c>
      <c r="M572" s="39">
        <f>L572*Inputs!$D$11</f>
        <v>283639.07250000007</v>
      </c>
      <c r="N572" s="39">
        <f>M572*(1-Inputs!$D$17)</f>
        <v>99273.675375000021</v>
      </c>
      <c r="O572" s="35">
        <f>Inputs!$D$6*E572*Inputs!$D$27*Inputs!$D$30</f>
        <v>446.21835398475434</v>
      </c>
      <c r="P572" s="36">
        <f>O572/(C572*Inputs!$D$33)</f>
        <v>0.50706631134631175</v>
      </c>
      <c r="Q572" s="38">
        <f>IF(P572&gt;=1,999,P572/(Inputs!$D$33*(1-P572))*60)</f>
        <v>1.543005650713049</v>
      </c>
      <c r="R572" s="37">
        <f>MIN(1,MAX(0,(Q572-Inputs!$D$36)/(Inputs!$D$37-Inputs!$D$36)))</f>
        <v>0</v>
      </c>
      <c r="S572" s="35">
        <f>Inputs!$D$6*E572*Inputs!$D$27*(1-Inputs!$D$38*R572)</f>
        <v>3718.4862832062863</v>
      </c>
      <c r="T572" s="39">
        <f>S572*Inputs!$D$12</f>
        <v>59495.780531300581</v>
      </c>
      <c r="U572" s="39">
        <f>T572*(1-Inputs!$D$18)</f>
        <v>26773.101239085259</v>
      </c>
      <c r="V572" s="35">
        <f>Inputs!$D$6*F572*Inputs!$D$28*Inputs!$D$31</f>
        <v>721.1123435383771</v>
      </c>
      <c r="W572" s="36">
        <f>V572/(B572*Inputs!$D$34)</f>
        <v>0.82412839261528814</v>
      </c>
      <c r="X572" s="38">
        <f>IF(W572&gt;=1,999,W572/(Inputs!$D$34*(1-W572))*60)</f>
        <v>8.0330847668163621</v>
      </c>
      <c r="Y572" s="37">
        <f>MIN(1,MAX(0,(X572-Inputs!$D$36)/(Inputs!$D$37-Inputs!$D$36)))</f>
        <v>0.20220565112109082</v>
      </c>
      <c r="Z572" s="35">
        <f>Inputs!$D$6*F572*Inputs!$D$28*(1-Inputs!$D$38*Y572)</f>
        <v>5042.2807508299393</v>
      </c>
      <c r="AA572" s="39">
        <f>Z572*Inputs!$D$13</f>
        <v>42859.386382054487</v>
      </c>
      <c r="AB572" s="39">
        <f>AA572*(1-Inputs!$D$19)</f>
        <v>25715.631829232691</v>
      </c>
      <c r="AC572" s="39">
        <f t="shared" si="32"/>
        <v>385994.23941335513</v>
      </c>
      <c r="AD572" s="39">
        <f t="shared" si="33"/>
        <v>151762.40844331798</v>
      </c>
      <c r="AE572" s="36">
        <f t="shared" si="34"/>
        <v>0.82412839261528814</v>
      </c>
      <c r="AF572" s="35">
        <f>IF(AND(AE572&lt;=Inputs!$D$35,C572&gt;=Inputs!$D$48*(A572+B572+C572),B572*Inputs!$D$22&lt;=Inputs!$D$50*Inputs!$D$8,B572*Inputs!$D$22&gt;=Inputs!$D$49*Inputs!$D$8,A572*Inputs!$D$20&lt;=Inputs!$D$47*Inputs!$D$8,C572&gt;=1),1,0)</f>
        <v>1</v>
      </c>
      <c r="AG572" s="39">
        <f t="shared" si="35"/>
        <v>151762.40844331798</v>
      </c>
    </row>
    <row r="573" spans="1:33" x14ac:dyDescent="0.25">
      <c r="A573" s="35">
        <v>48</v>
      </c>
      <c r="B573" s="35">
        <v>26</v>
      </c>
      <c r="C573" s="35">
        <f>Inputs!$D$8-A573-Inputs!$D$22*B573</f>
        <v>20</v>
      </c>
      <c r="D573" s="35">
        <f>A573*Inputs!$D$20+C573*Inputs!$D$21+B573*Inputs!$D$22</f>
        <v>120</v>
      </c>
      <c r="E573" s="36">
        <f>MIN(Inputs!$E$15,Inputs!$D$15*(C573/Inputs!$D$43)^Inputs!$D$44)</f>
        <v>0.30395574554235194</v>
      </c>
      <c r="F573" s="36">
        <f>MIN(Inputs!$E$16,Inputs!$D$16*(B573/Inputs!$D$42)^Inputs!$D$44)</f>
        <v>0.43275589945781112</v>
      </c>
      <c r="G573" s="37">
        <f>Inputs!$D$26*(1+Inputs!$D$41*(B573-Inputs!$D$42))</f>
        <v>1.59</v>
      </c>
      <c r="H573" s="35">
        <f>Inputs!$D$6*Inputs!$D$14*G573*Inputs!$D$29</f>
        <v>1997.7237</v>
      </c>
      <c r="I573" s="36">
        <f>H573/(A573*Inputs!$D$32)</f>
        <v>0.75671352272727277</v>
      </c>
      <c r="J573" s="38">
        <f>IF(I573&gt;=1,999,I573/(Inputs!$D$32*(1-I573))*60)</f>
        <v>3.3931423990804985</v>
      </c>
      <c r="K573" s="37">
        <f>MIN(1,MAX(0,(J573-Inputs!$D$36)/(Inputs!$D$37-Inputs!$D$36)))</f>
        <v>0</v>
      </c>
      <c r="L573" s="35">
        <f>Inputs!$D$6*Inputs!$D$14*G573*(1-Inputs!$D$38*K573)</f>
        <v>13318.158000000001</v>
      </c>
      <c r="M573" s="39">
        <f>L573*Inputs!$D$11</f>
        <v>286340.39700000006</v>
      </c>
      <c r="N573" s="39">
        <f>M573*(1-Inputs!$D$17)</f>
        <v>100219.13895000001</v>
      </c>
      <c r="O573" s="35">
        <f>Inputs!$D$6*E573*Inputs!$D$27*Inputs!$D$30</f>
        <v>433.64028811246965</v>
      </c>
      <c r="P573" s="36">
        <f>O573/(C573*Inputs!$D$33)</f>
        <v>0.54205036014058705</v>
      </c>
      <c r="Q573" s="38">
        <f>IF(P573&gt;=1,999,P573/(Inputs!$D$33*(1-P573))*60)</f>
        <v>1.7754693299038049</v>
      </c>
      <c r="R573" s="37">
        <f>MIN(1,MAX(0,(Q573-Inputs!$D$36)/(Inputs!$D$37-Inputs!$D$36)))</f>
        <v>0</v>
      </c>
      <c r="S573" s="35">
        <f>Inputs!$D$6*E573*Inputs!$D$27*(1-Inputs!$D$38*R573)</f>
        <v>3613.6690676039138</v>
      </c>
      <c r="T573" s="39">
        <f>S573*Inputs!$D$12</f>
        <v>57818.705081662622</v>
      </c>
      <c r="U573" s="39">
        <f>T573*(1-Inputs!$D$18)</f>
        <v>26018.417286748176</v>
      </c>
      <c r="V573" s="35">
        <f>Inputs!$D$6*F573*Inputs!$D$28*Inputs!$D$31</f>
        <v>729.64721876904355</v>
      </c>
      <c r="W573" s="36">
        <f>V573/(B573*Inputs!$D$34)</f>
        <v>0.80181013051543248</v>
      </c>
      <c r="X573" s="38">
        <f>IF(W573&gt;=1,999,W573/(Inputs!$D$34*(1-W573))*60)</f>
        <v>6.9354284146153136</v>
      </c>
      <c r="Y573" s="37">
        <f>MIN(1,MAX(0,(X573-Inputs!$D$36)/(Inputs!$D$37-Inputs!$D$36)))</f>
        <v>0.12902856097435425</v>
      </c>
      <c r="Z573" s="35">
        <f>Inputs!$D$6*F573*Inputs!$D$28*(1-Inputs!$D$38*Y573)</f>
        <v>5286.7832305655711</v>
      </c>
      <c r="AA573" s="39">
        <f>Z573*Inputs!$D$13</f>
        <v>44937.657459807357</v>
      </c>
      <c r="AB573" s="39">
        <f>AA573*(1-Inputs!$D$19)</f>
        <v>26962.594475884413</v>
      </c>
      <c r="AC573" s="39">
        <f t="shared" si="32"/>
        <v>389096.75954147003</v>
      </c>
      <c r="AD573" s="39">
        <f t="shared" si="33"/>
        <v>153200.15071263257</v>
      </c>
      <c r="AE573" s="36">
        <f t="shared" si="34"/>
        <v>0.80181013051543248</v>
      </c>
      <c r="AF573" s="35">
        <f>IF(AND(AE573&lt;=Inputs!$D$35,C573&gt;=Inputs!$D$48*(A573+B573+C573),B573*Inputs!$D$22&lt;=Inputs!$D$50*Inputs!$D$8,B573*Inputs!$D$22&gt;=Inputs!$D$49*Inputs!$D$8,A573*Inputs!$D$20&lt;=Inputs!$D$47*Inputs!$D$8,C573&gt;=1),1,0)</f>
        <v>1</v>
      </c>
      <c r="AG573" s="39">
        <f t="shared" si="35"/>
        <v>153200.15071263257</v>
      </c>
    </row>
    <row r="574" spans="1:33" x14ac:dyDescent="0.25">
      <c r="A574" s="35">
        <v>48</v>
      </c>
      <c r="B574" s="35">
        <v>27</v>
      </c>
      <c r="C574" s="35">
        <f>Inputs!$D$8-A574-Inputs!$D$22*B574</f>
        <v>18</v>
      </c>
      <c r="D574" s="35">
        <f>A574*Inputs!$D$20+C574*Inputs!$D$21+B574*Inputs!$D$22</f>
        <v>120</v>
      </c>
      <c r="E574" s="36">
        <f>MIN(Inputs!$E$15,Inputs!$D$15*(C574/Inputs!$D$43)^Inputs!$D$44)</f>
        <v>0.29449851547238159</v>
      </c>
      <c r="F574" s="36">
        <f>MIN(Inputs!$E$16,Inputs!$D$16*(B574/Inputs!$D$42)^Inputs!$D$44)</f>
        <v>0.43768344678187454</v>
      </c>
      <c r="G574" s="37">
        <f>Inputs!$D$26*(1+Inputs!$D$41*(B574-Inputs!$D$42))</f>
        <v>1.605</v>
      </c>
      <c r="H574" s="35">
        <f>Inputs!$D$6*Inputs!$D$14*G574*Inputs!$D$29</f>
        <v>2016.57015</v>
      </c>
      <c r="I574" s="36">
        <f>H574/(A574*Inputs!$D$32)</f>
        <v>0.76385232954545457</v>
      </c>
      <c r="J574" s="38">
        <f>IF(I574&gt;=1,999,I574/(Inputs!$D$32*(1-I574))*60)</f>
        <v>3.5286964669576046</v>
      </c>
      <c r="K574" s="37">
        <f>MIN(1,MAX(0,(J574-Inputs!$D$36)/(Inputs!$D$37-Inputs!$D$36)))</f>
        <v>0</v>
      </c>
      <c r="L574" s="35">
        <f>Inputs!$D$6*Inputs!$D$14*G574*(1-Inputs!$D$38*K574)</f>
        <v>13443.801000000001</v>
      </c>
      <c r="M574" s="39">
        <f>L574*Inputs!$D$11</f>
        <v>289041.72150000004</v>
      </c>
      <c r="N574" s="39">
        <f>M574*(1-Inputs!$D$17)</f>
        <v>101164.60252500001</v>
      </c>
      <c r="O574" s="35">
        <f>Inputs!$D$6*E574*Inputs!$D$27*Inputs!$D$30</f>
        <v>420.14807408976606</v>
      </c>
      <c r="P574" s="36">
        <f>O574/(C574*Inputs!$D$33)</f>
        <v>0.58353899179134172</v>
      </c>
      <c r="Q574" s="38">
        <f>IF(P574&gt;=1,999,P574/(Inputs!$D$33*(1-P574))*60)</f>
        <v>2.1017777665477375</v>
      </c>
      <c r="R574" s="37">
        <f>MIN(1,MAX(0,(Q574-Inputs!$D$36)/(Inputs!$D$37-Inputs!$D$36)))</f>
        <v>0</v>
      </c>
      <c r="S574" s="35">
        <f>Inputs!$D$6*E574*Inputs!$D$27*(1-Inputs!$D$38*R574)</f>
        <v>3501.2339507480506</v>
      </c>
      <c r="T574" s="39">
        <f>S574*Inputs!$D$12</f>
        <v>56019.743211968809</v>
      </c>
      <c r="U574" s="39">
        <f>T574*(1-Inputs!$D$18)</f>
        <v>25208.88444538596</v>
      </c>
      <c r="V574" s="35">
        <f>Inputs!$D$6*F574*Inputs!$D$28*Inputs!$D$31</f>
        <v>737.95530007968603</v>
      </c>
      <c r="W574" s="36">
        <f>V574/(B574*Inputs!$D$34)</f>
        <v>0.78090507944940324</v>
      </c>
      <c r="X574" s="38">
        <f>IF(W574&gt;=1,999,W574/(Inputs!$D$34*(1-W574))*60)</f>
        <v>6.1101116290101798</v>
      </c>
      <c r="Y574" s="37">
        <f>MIN(1,MAX(0,(X574-Inputs!$D$36)/(Inputs!$D$37-Inputs!$D$36)))</f>
        <v>7.4007441934011986E-2</v>
      </c>
      <c r="Z574" s="35">
        <f>Inputs!$D$6*F574*Inputs!$D$28*(1-Inputs!$D$38*Y574)</f>
        <v>5487.5301328495489</v>
      </c>
      <c r="AA574" s="39">
        <f>Z574*Inputs!$D$13</f>
        <v>46644.006129221169</v>
      </c>
      <c r="AB574" s="39">
        <f>AA574*(1-Inputs!$D$19)</f>
        <v>27986.4036775327</v>
      </c>
      <c r="AC574" s="39">
        <f t="shared" si="32"/>
        <v>391705.47084119002</v>
      </c>
      <c r="AD574" s="39">
        <f t="shared" si="33"/>
        <v>154359.89064791868</v>
      </c>
      <c r="AE574" s="36">
        <f t="shared" si="34"/>
        <v>0.78090507944940324</v>
      </c>
      <c r="AF574" s="35">
        <f>IF(AND(AE574&lt;=Inputs!$D$35,C574&gt;=Inputs!$D$48*(A574+B574+C574),B574*Inputs!$D$22&lt;=Inputs!$D$50*Inputs!$D$8,B574*Inputs!$D$22&gt;=Inputs!$D$49*Inputs!$D$8,A574*Inputs!$D$20&lt;=Inputs!$D$47*Inputs!$D$8,C574&gt;=1),1,0)</f>
        <v>1</v>
      </c>
      <c r="AG574" s="39">
        <f t="shared" si="35"/>
        <v>154359.89064791868</v>
      </c>
    </row>
    <row r="575" spans="1:33" x14ac:dyDescent="0.25">
      <c r="A575" s="35">
        <v>48</v>
      </c>
      <c r="B575" s="35">
        <v>28</v>
      </c>
      <c r="C575" s="35">
        <f>Inputs!$D$8-A575-Inputs!$D$22*B575</f>
        <v>16</v>
      </c>
      <c r="D575" s="35">
        <f>A575*Inputs!$D$20+C575*Inputs!$D$21+B575*Inputs!$D$22</f>
        <v>120</v>
      </c>
      <c r="E575" s="36">
        <f>MIN(Inputs!$E$15,Inputs!$D$15*(C575/Inputs!$D$43)^Inputs!$D$44)</f>
        <v>0.2842741392252523</v>
      </c>
      <c r="F575" s="36">
        <f>MIN(Inputs!$E$16,Inputs!$D$16*(B575/Inputs!$D$42)^Inputs!$D$44)</f>
        <v>0.44248484624799689</v>
      </c>
      <c r="G575" s="37">
        <f>Inputs!$D$26*(1+Inputs!$D$41*(B575-Inputs!$D$42))</f>
        <v>1.62</v>
      </c>
      <c r="H575" s="35">
        <f>Inputs!$D$6*Inputs!$D$14*G575*Inputs!$D$29</f>
        <v>2035.4166</v>
      </c>
      <c r="I575" s="36">
        <f>H575/(A575*Inputs!$D$32)</f>
        <v>0.77099113636363636</v>
      </c>
      <c r="J575" s="38">
        <f>IF(I575&gt;=1,999,I575/(Inputs!$D$32*(1-I575))*60)</f>
        <v>3.6727016863633248</v>
      </c>
      <c r="K575" s="37">
        <f>MIN(1,MAX(0,(J575-Inputs!$D$36)/(Inputs!$D$37-Inputs!$D$36)))</f>
        <v>0</v>
      </c>
      <c r="L575" s="35">
        <f>Inputs!$D$6*Inputs!$D$14*G575*(1-Inputs!$D$38*K575)</f>
        <v>13569.444000000001</v>
      </c>
      <c r="M575" s="39">
        <f>L575*Inputs!$D$11</f>
        <v>291743.04600000003</v>
      </c>
      <c r="N575" s="39">
        <f>M575*(1-Inputs!$D$17)</f>
        <v>102110.06610000001</v>
      </c>
      <c r="O575" s="35">
        <f>Inputs!$D$6*E575*Inputs!$D$27*Inputs!$D$30</f>
        <v>405.56140637054153</v>
      </c>
      <c r="P575" s="36">
        <f>O575/(C575*Inputs!$D$33)</f>
        <v>0.63368969745397119</v>
      </c>
      <c r="Q575" s="38">
        <f>IF(P575&gt;=1,999,P575/(Inputs!$D$33*(1-P575))*60)</f>
        <v>2.5948889222451426</v>
      </c>
      <c r="R575" s="37">
        <f>MIN(1,MAX(0,(Q575-Inputs!$D$36)/(Inputs!$D$37-Inputs!$D$36)))</f>
        <v>0</v>
      </c>
      <c r="S575" s="35">
        <f>Inputs!$D$6*E575*Inputs!$D$27*(1-Inputs!$D$38*R575)</f>
        <v>3379.6783864211798</v>
      </c>
      <c r="T575" s="39">
        <f>S575*Inputs!$D$12</f>
        <v>54074.854182738876</v>
      </c>
      <c r="U575" s="39">
        <f>T575*(1-Inputs!$D$18)</f>
        <v>24333.684382232492</v>
      </c>
      <c r="V575" s="35">
        <f>Inputs!$D$6*F575*Inputs!$D$28*Inputs!$D$31</f>
        <v>746.05069004674272</v>
      </c>
      <c r="W575" s="36">
        <f>V575/(B575*Inputs!$D$34)</f>
        <v>0.76127621433341097</v>
      </c>
      <c r="X575" s="38">
        <f>IF(W575&gt;=1,999,W575/(Inputs!$D$34*(1-W575))*60)</f>
        <v>5.4667570523531852</v>
      </c>
      <c r="Y575" s="37">
        <f>MIN(1,MAX(0,(X575-Inputs!$D$36)/(Inputs!$D$37-Inputs!$D$36)))</f>
        <v>3.111713682354568E-2</v>
      </c>
      <c r="Z575" s="35">
        <f>Inputs!$D$6*F575*Inputs!$D$28*(1-Inputs!$D$38*Y575)</f>
        <v>5658.4919801305723</v>
      </c>
      <c r="AA575" s="39">
        <f>Z575*Inputs!$D$13</f>
        <v>48097.181831109861</v>
      </c>
      <c r="AB575" s="39">
        <f>AA575*(1-Inputs!$D$19)</f>
        <v>28858.309098665915</v>
      </c>
      <c r="AC575" s="39">
        <f t="shared" si="32"/>
        <v>393915.08201384876</v>
      </c>
      <c r="AD575" s="39">
        <f t="shared" si="33"/>
        <v>155302.05958089841</v>
      </c>
      <c r="AE575" s="36">
        <f t="shared" si="34"/>
        <v>0.77099113636363636</v>
      </c>
      <c r="AF575" s="35">
        <f>IF(AND(AE575&lt;=Inputs!$D$35,C575&gt;=Inputs!$D$48*(A575+B575+C575),B575*Inputs!$D$22&lt;=Inputs!$D$50*Inputs!$D$8,B575*Inputs!$D$22&gt;=Inputs!$D$49*Inputs!$D$8,A575*Inputs!$D$20&lt;=Inputs!$D$47*Inputs!$D$8,C575&gt;=1),1,0)</f>
        <v>0</v>
      </c>
      <c r="AG575" s="39">
        <f t="shared" si="35"/>
        <v>-1</v>
      </c>
    </row>
    <row r="576" spans="1:33" x14ac:dyDescent="0.25">
      <c r="A576" s="35">
        <v>48</v>
      </c>
      <c r="B576" s="35">
        <v>29</v>
      </c>
      <c r="C576" s="35">
        <f>Inputs!$D$8-A576-Inputs!$D$22*B576</f>
        <v>14</v>
      </c>
      <c r="D576" s="35">
        <f>A576*Inputs!$D$20+C576*Inputs!$D$21+B576*Inputs!$D$22</f>
        <v>120</v>
      </c>
      <c r="E576" s="36">
        <f>MIN(Inputs!$E$15,Inputs!$D$15*(C576/Inputs!$D$43)^Inputs!$D$44)</f>
        <v>0.27311136263675401</v>
      </c>
      <c r="F576" s="36">
        <f>MIN(Inputs!$E$16,Inputs!$D$16*(B576/Inputs!$D$42)^Inputs!$D$44)</f>
        <v>0.44716766511947192</v>
      </c>
      <c r="G576" s="37">
        <f>Inputs!$D$26*(1+Inputs!$D$41*(B576-Inputs!$D$42))</f>
        <v>1.6350000000000002</v>
      </c>
      <c r="H576" s="35">
        <f>Inputs!$D$6*Inputs!$D$14*G576*Inputs!$D$29</f>
        <v>2054.2630500000005</v>
      </c>
      <c r="I576" s="36">
        <f>H576/(A576*Inputs!$D$32)</f>
        <v>0.77812994318181838</v>
      </c>
      <c r="J576" s="38">
        <f>IF(I576&gt;=1,999,I576/(Inputs!$D$32*(1-I576))*60)</f>
        <v>3.825973820438747</v>
      </c>
      <c r="K576" s="37">
        <f>MIN(1,MAX(0,(J576-Inputs!$D$36)/(Inputs!$D$37-Inputs!$D$36)))</f>
        <v>0</v>
      </c>
      <c r="L576" s="35">
        <f>Inputs!$D$6*Inputs!$D$14*G576*(1-Inputs!$D$38*K576)</f>
        <v>13695.087000000003</v>
      </c>
      <c r="M576" s="39">
        <f>L576*Inputs!$D$11</f>
        <v>294444.37050000008</v>
      </c>
      <c r="N576" s="39">
        <f>M576*(1-Inputs!$D$17)</f>
        <v>103055.52967500003</v>
      </c>
      <c r="O576" s="35">
        <f>Inputs!$D$6*E576*Inputs!$D$27*Inputs!$D$30</f>
        <v>389.63596417390096</v>
      </c>
      <c r="P576" s="36">
        <f>O576/(C576*Inputs!$D$33)</f>
        <v>0.69577850745339453</v>
      </c>
      <c r="Q576" s="38">
        <f>IF(P576&gt;=1,999,P576/(Inputs!$D$33*(1-P576))*60)</f>
        <v>3.4306181080227471</v>
      </c>
      <c r="R576" s="37">
        <f>MIN(1,MAX(0,(Q576-Inputs!$D$36)/(Inputs!$D$37-Inputs!$D$36)))</f>
        <v>0</v>
      </c>
      <c r="S576" s="35">
        <f>Inputs!$D$6*E576*Inputs!$D$27*(1-Inputs!$D$38*R576)</f>
        <v>3246.9663681158413</v>
      </c>
      <c r="T576" s="39">
        <f>S576*Inputs!$D$12</f>
        <v>51951.461889853461</v>
      </c>
      <c r="U576" s="39">
        <f>T576*(1-Inputs!$D$18)</f>
        <v>23378.157850434054</v>
      </c>
      <c r="V576" s="35">
        <f>Inputs!$D$6*F576*Inputs!$D$28*Inputs!$D$31</f>
        <v>753.9461474393554</v>
      </c>
      <c r="W576" s="36">
        <f>V576/(B576*Inputs!$D$34)</f>
        <v>0.74280408614714821</v>
      </c>
      <c r="X576" s="38">
        <f>IF(W576&gt;=1,999,W576/(Inputs!$D$34*(1-W576))*60)</f>
        <v>4.9510056918075414</v>
      </c>
      <c r="Y576" s="37">
        <f>MIN(1,MAX(0,(X576-Inputs!$D$36)/(Inputs!$D$37-Inputs!$D$36)))</f>
        <v>0</v>
      </c>
      <c r="Z576" s="35">
        <f>Inputs!$D$6*F576*Inputs!$D$28*(1-Inputs!$D$38*Y576)</f>
        <v>5799.5857495335031</v>
      </c>
      <c r="AA576" s="39">
        <f>Z576*Inputs!$D$13</f>
        <v>49296.478871034778</v>
      </c>
      <c r="AB576" s="39">
        <f>AA576*(1-Inputs!$D$19)</f>
        <v>29577.887322620867</v>
      </c>
      <c r="AC576" s="39">
        <f t="shared" si="32"/>
        <v>395692.31126088835</v>
      </c>
      <c r="AD576" s="39">
        <f t="shared" si="33"/>
        <v>156011.57484805497</v>
      </c>
      <c r="AE576" s="36">
        <f t="shared" si="34"/>
        <v>0.77812994318181838</v>
      </c>
      <c r="AF576" s="35">
        <f>IF(AND(AE576&lt;=Inputs!$D$35,C576&gt;=Inputs!$D$48*(A576+B576+C576),B576*Inputs!$D$22&lt;=Inputs!$D$50*Inputs!$D$8,B576*Inputs!$D$22&gt;=Inputs!$D$49*Inputs!$D$8,A576*Inputs!$D$20&lt;=Inputs!$D$47*Inputs!$D$8,C576&gt;=1),1,0)</f>
        <v>0</v>
      </c>
      <c r="AG576" s="39">
        <f t="shared" si="35"/>
        <v>-1</v>
      </c>
    </row>
    <row r="577" spans="1:33" x14ac:dyDescent="0.25">
      <c r="A577" s="35">
        <v>48</v>
      </c>
      <c r="B577" s="35">
        <v>30</v>
      </c>
      <c r="C577" s="35">
        <f>Inputs!$D$8-A577-Inputs!$D$22*B577</f>
        <v>12</v>
      </c>
      <c r="D577" s="35">
        <f>A577*Inputs!$D$20+C577*Inputs!$D$21+B577*Inputs!$D$22</f>
        <v>120</v>
      </c>
      <c r="E577" s="36">
        <f>MIN(Inputs!$E$15,Inputs!$D$15*(C577/Inputs!$D$43)^Inputs!$D$44)</f>
        <v>0.26076886227459228</v>
      </c>
      <c r="F577" s="36">
        <f>MIN(Inputs!$E$16,Inputs!$D$16*(B577/Inputs!$D$42)^Inputs!$D$44)</f>
        <v>0.45173877418274222</v>
      </c>
      <c r="G577" s="37">
        <f>Inputs!$D$26*(1+Inputs!$D$41*(B577-Inputs!$D$42))</f>
        <v>1.6500000000000001</v>
      </c>
      <c r="H577" s="35">
        <f>Inputs!$D$6*Inputs!$D$14*G577*Inputs!$D$29</f>
        <v>2073.1095000000005</v>
      </c>
      <c r="I577" s="36">
        <f>H577/(A577*Inputs!$D$32)</f>
        <v>0.78526875000000018</v>
      </c>
      <c r="J577" s="38">
        <f>IF(I577&gt;=1,999,I577/(Inputs!$D$32*(1-I577))*60)</f>
        <v>3.9894371135166362</v>
      </c>
      <c r="K577" s="37">
        <f>MIN(1,MAX(0,(J577-Inputs!$D$36)/(Inputs!$D$37-Inputs!$D$36)))</f>
        <v>0</v>
      </c>
      <c r="L577" s="35">
        <f>Inputs!$D$6*Inputs!$D$14*G577*(1-Inputs!$D$38*K577)</f>
        <v>13820.730000000003</v>
      </c>
      <c r="M577" s="39">
        <f>L577*Inputs!$D$11</f>
        <v>297145.69500000007</v>
      </c>
      <c r="N577" s="39">
        <f>M577*(1-Inputs!$D$17)</f>
        <v>104000.99325000001</v>
      </c>
      <c r="O577" s="35">
        <f>Inputs!$D$6*E577*Inputs!$D$27*Inputs!$D$30</f>
        <v>372.02746197722075</v>
      </c>
      <c r="P577" s="36">
        <f>O577/(C577*Inputs!$D$33)</f>
        <v>0.77505721245254322</v>
      </c>
      <c r="Q577" s="38">
        <f>IF(P577&gt;=1,999,P577/(Inputs!$D$33*(1-P577))*60)</f>
        <v>5.1683622816025654</v>
      </c>
      <c r="R577" s="37">
        <f>MIN(1,MAX(0,(Q577-Inputs!$D$36)/(Inputs!$D$37-Inputs!$D$36)))</f>
        <v>1.1224152106837693E-2</v>
      </c>
      <c r="S577" s="35">
        <f>Inputs!$D$6*E577*Inputs!$D$27*(1-Inputs!$D$38*R577)</f>
        <v>3084.5700017308486</v>
      </c>
      <c r="T577" s="39">
        <f>S577*Inputs!$D$12</f>
        <v>49353.120027693578</v>
      </c>
      <c r="U577" s="39">
        <f>T577*(1-Inputs!$D$18)</f>
        <v>22208.904012462106</v>
      </c>
      <c r="V577" s="35">
        <f>Inputs!$D$6*F577*Inputs!$D$28*Inputs!$D$31</f>
        <v>761.65325673326424</v>
      </c>
      <c r="W577" s="36">
        <f>V577/(B577*Inputs!$D$34)</f>
        <v>0.72538405403168027</v>
      </c>
      <c r="X577" s="38">
        <f>IF(W577&gt;=1,999,W577/(Inputs!$D$34*(1-W577))*60)</f>
        <v>4.5281985239874629</v>
      </c>
      <c r="Y577" s="37">
        <f>MIN(1,MAX(0,(X577-Inputs!$D$36)/(Inputs!$D$37-Inputs!$D$36)))</f>
        <v>0</v>
      </c>
      <c r="Z577" s="35">
        <f>Inputs!$D$6*F577*Inputs!$D$28*(1-Inputs!$D$38*Y577)</f>
        <v>5858.8712056404938</v>
      </c>
      <c r="AA577" s="39">
        <f>Z577*Inputs!$D$13</f>
        <v>49800.405247944196</v>
      </c>
      <c r="AB577" s="39">
        <f>AA577*(1-Inputs!$D$19)</f>
        <v>29880.243148766516</v>
      </c>
      <c r="AC577" s="39">
        <f t="shared" si="32"/>
        <v>396299.22027563781</v>
      </c>
      <c r="AD577" s="39">
        <f t="shared" si="33"/>
        <v>156090.14041122864</v>
      </c>
      <c r="AE577" s="36">
        <f t="shared" si="34"/>
        <v>0.78526875000000018</v>
      </c>
      <c r="AF577" s="35">
        <f>IF(AND(AE577&lt;=Inputs!$D$35,C577&gt;=Inputs!$D$48*(A577+B577+C577),B577*Inputs!$D$22&lt;=Inputs!$D$50*Inputs!$D$8,B577*Inputs!$D$22&gt;=Inputs!$D$49*Inputs!$D$8,A577*Inputs!$D$20&lt;=Inputs!$D$47*Inputs!$D$8,C577&gt;=1),1,0)</f>
        <v>0</v>
      </c>
      <c r="AG577" s="39">
        <f t="shared" si="35"/>
        <v>-1</v>
      </c>
    </row>
    <row r="578" spans="1:33" x14ac:dyDescent="0.25">
      <c r="A578" s="35">
        <v>48</v>
      </c>
      <c r="B578" s="35">
        <v>31</v>
      </c>
      <c r="C578" s="35">
        <f>Inputs!$D$8-A578-Inputs!$D$22*B578</f>
        <v>10</v>
      </c>
      <c r="D578" s="35">
        <f>A578*Inputs!$D$20+C578*Inputs!$D$21+B578*Inputs!$D$22</f>
        <v>120</v>
      </c>
      <c r="E578" s="36">
        <f>MIN(Inputs!$E$15,Inputs!$D$15*(C578/Inputs!$D$43)^Inputs!$D$44)</f>
        <v>0.24688878270302153</v>
      </c>
      <c r="F578" s="36">
        <f>MIN(Inputs!$E$16,Inputs!$D$16*(B578/Inputs!$D$42)^Inputs!$D$44)</f>
        <v>0.45620443270573335</v>
      </c>
      <c r="G578" s="37">
        <f>Inputs!$D$26*(1+Inputs!$D$41*(B578-Inputs!$D$42))</f>
        <v>1.665</v>
      </c>
      <c r="H578" s="35">
        <f>Inputs!$D$6*Inputs!$D$14*G578*Inputs!$D$29</f>
        <v>2091.95595</v>
      </c>
      <c r="I578" s="36">
        <f>H578/(A578*Inputs!$D$32)</f>
        <v>0.79240755681818187</v>
      </c>
      <c r="J578" s="38">
        <f>IF(I578&gt;=1,999,I578/(Inputs!$D$32*(1-I578))*60)</f>
        <v>4.164142943685575</v>
      </c>
      <c r="K578" s="37">
        <f>MIN(1,MAX(0,(J578-Inputs!$D$36)/(Inputs!$D$37-Inputs!$D$36)))</f>
        <v>0</v>
      </c>
      <c r="L578" s="35">
        <f>Inputs!$D$6*Inputs!$D$14*G578*(1-Inputs!$D$38*K578)</f>
        <v>13946.373000000001</v>
      </c>
      <c r="M578" s="39">
        <f>L578*Inputs!$D$11</f>
        <v>299847.01950000005</v>
      </c>
      <c r="N578" s="39">
        <f>M578*(1-Inputs!$D$17)</f>
        <v>104946.45682500002</v>
      </c>
      <c r="O578" s="35">
        <f>Inputs!$D$6*E578*Inputs!$D$27*Inputs!$D$30</f>
        <v>352.22536317596189</v>
      </c>
      <c r="P578" s="36">
        <f>O578/(C578*Inputs!$D$33)</f>
        <v>0.88056340793990473</v>
      </c>
      <c r="Q578" s="38">
        <f>IF(P578&gt;=1,999,P578/(Inputs!$D$33*(1-P578))*60)</f>
        <v>11.05896517245959</v>
      </c>
      <c r="R578" s="37">
        <f>MIN(1,MAX(0,(Q578-Inputs!$D$36)/(Inputs!$D$37-Inputs!$D$36)))</f>
        <v>0.40393101149730604</v>
      </c>
      <c r="S578" s="35">
        <f>Inputs!$D$6*E578*Inputs!$D$27*(1-Inputs!$D$38*R578)</f>
        <v>2401.6810577146616</v>
      </c>
      <c r="T578" s="39">
        <f>S578*Inputs!$D$12</f>
        <v>38426.896923434586</v>
      </c>
      <c r="U578" s="39">
        <f>T578*(1-Inputs!$D$18)</f>
        <v>17292.103615545562</v>
      </c>
      <c r="V578" s="35">
        <f>Inputs!$D$6*F578*Inputs!$D$28*Inputs!$D$31</f>
        <v>769.18257135463637</v>
      </c>
      <c r="W578" s="36">
        <f>V578/(B578*Inputs!$D$34)</f>
        <v>0.70892402889828232</v>
      </c>
      <c r="X578" s="38">
        <f>IF(W578&gt;=1,999,W578/(Inputs!$D$34*(1-W578))*60)</f>
        <v>4.1751929252501148</v>
      </c>
      <c r="Y578" s="37">
        <f>MIN(1,MAX(0,(X578-Inputs!$D$36)/(Inputs!$D$37-Inputs!$D$36)))</f>
        <v>0</v>
      </c>
      <c r="Z578" s="35">
        <f>Inputs!$D$6*F578*Inputs!$D$28*(1-Inputs!$D$38*Y578)</f>
        <v>5916.7890104202797</v>
      </c>
      <c r="AA578" s="39">
        <f>Z578*Inputs!$D$13</f>
        <v>50292.706588572379</v>
      </c>
      <c r="AB578" s="39">
        <f>AA578*(1-Inputs!$D$19)</f>
        <v>30175.623953143426</v>
      </c>
      <c r="AC578" s="39">
        <f t="shared" si="32"/>
        <v>388566.62301200698</v>
      </c>
      <c r="AD578" s="39">
        <f t="shared" si="33"/>
        <v>152414.18439368901</v>
      </c>
      <c r="AE578" s="36">
        <f t="shared" si="34"/>
        <v>0.88056340793990473</v>
      </c>
      <c r="AF578" s="35">
        <f>IF(AND(AE578&lt;=Inputs!$D$35,C578&gt;=Inputs!$D$48*(A578+B578+C578),B578*Inputs!$D$22&lt;=Inputs!$D$50*Inputs!$D$8,B578*Inputs!$D$22&gt;=Inputs!$D$49*Inputs!$D$8,A578*Inputs!$D$20&lt;=Inputs!$D$47*Inputs!$D$8,C578&gt;=1),1,0)</f>
        <v>0</v>
      </c>
      <c r="AG578" s="39">
        <f t="shared" si="35"/>
        <v>-1</v>
      </c>
    </row>
    <row r="579" spans="1:33" x14ac:dyDescent="0.25">
      <c r="A579" s="35">
        <v>48</v>
      </c>
      <c r="B579" s="35">
        <v>32</v>
      </c>
      <c r="C579" s="35">
        <f>Inputs!$D$8-A579-Inputs!$D$22*B579</f>
        <v>8</v>
      </c>
      <c r="D579" s="35">
        <f>A579*Inputs!$D$20+C579*Inputs!$D$21+B579*Inputs!$D$22</f>
        <v>120</v>
      </c>
      <c r="E579" s="36">
        <f>MIN(Inputs!$E$15,Inputs!$D$15*(C579/Inputs!$D$43)^Inputs!$D$44)</f>
        <v>0.23090235080781729</v>
      </c>
      <c r="F579" s="36">
        <f>MIN(Inputs!$E$16,Inputs!$D$16*(B579/Inputs!$D$42)^Inputs!$D$44)</f>
        <v>0.46057036065052986</v>
      </c>
      <c r="G579" s="37">
        <f>Inputs!$D$26*(1+Inputs!$D$41*(B579-Inputs!$D$42))</f>
        <v>1.6800000000000002</v>
      </c>
      <c r="H579" s="35">
        <f>Inputs!$D$6*Inputs!$D$14*G579*Inputs!$D$29</f>
        <v>2110.8024000000005</v>
      </c>
      <c r="I579" s="36">
        <f>H579/(A579*Inputs!$D$32)</f>
        <v>0.79954636363636378</v>
      </c>
      <c r="J579" s="38">
        <f>IF(I579&gt;=1,999,I579/(Inputs!$D$32*(1-I579))*60)</f>
        <v>4.3512924610253894</v>
      </c>
      <c r="K579" s="37">
        <f>MIN(1,MAX(0,(J579-Inputs!$D$36)/(Inputs!$D$37-Inputs!$D$36)))</f>
        <v>0</v>
      </c>
      <c r="L579" s="35">
        <f>Inputs!$D$6*Inputs!$D$14*G579*(1-Inputs!$D$38*K579)</f>
        <v>14072.016000000003</v>
      </c>
      <c r="M579" s="39">
        <f>L579*Inputs!$D$11</f>
        <v>302548.34400000004</v>
      </c>
      <c r="N579" s="39">
        <f>M579*(1-Inputs!$D$17)</f>
        <v>105891.9204</v>
      </c>
      <c r="O579" s="35">
        <f>Inputs!$D$6*E579*Inputs!$D$27*Inputs!$D$30</f>
        <v>329.41822419407742</v>
      </c>
      <c r="P579" s="36">
        <f>O579/(C579*Inputs!$D$33)</f>
        <v>1.029431950606492</v>
      </c>
      <c r="Q579" s="38">
        <f>IF(P579&gt;=1,999,P579/(Inputs!$D$33*(1-P579))*60)</f>
        <v>999</v>
      </c>
      <c r="R579" s="37">
        <f>MIN(1,MAX(0,(Q579-Inputs!$D$36)/(Inputs!$D$37-Inputs!$D$36)))</f>
        <v>1</v>
      </c>
      <c r="S579" s="35">
        <f>Inputs!$D$6*E579*Inputs!$D$27*(1-Inputs!$D$38*R579)</f>
        <v>1509.8335275561885</v>
      </c>
      <c r="T579" s="39">
        <f>S579*Inputs!$D$12</f>
        <v>24157.336440899016</v>
      </c>
      <c r="U579" s="39">
        <f>T579*(1-Inputs!$D$18)</f>
        <v>10870.801398404556</v>
      </c>
      <c r="V579" s="35">
        <f>Inputs!$D$6*F579*Inputs!$D$28*Inputs!$D$31</f>
        <v>776.54373543410452</v>
      </c>
      <c r="W579" s="36">
        <f>V579/(B579*Inputs!$D$34)</f>
        <v>0.69334262092330756</v>
      </c>
      <c r="X579" s="38">
        <f>IF(W579&gt;=1,999,W579/(Inputs!$D$34*(1-W579))*60)</f>
        <v>3.8759457011369869</v>
      </c>
      <c r="Y579" s="37">
        <f>MIN(1,MAX(0,(X579-Inputs!$D$36)/(Inputs!$D$37-Inputs!$D$36)))</f>
        <v>0</v>
      </c>
      <c r="Z579" s="35">
        <f>Inputs!$D$6*F579*Inputs!$D$28*(1-Inputs!$D$38*Y579)</f>
        <v>5973.4133494931111</v>
      </c>
      <c r="AA579" s="39">
        <f>Z579*Inputs!$D$13</f>
        <v>50774.013470691447</v>
      </c>
      <c r="AB579" s="39">
        <f>AA579*(1-Inputs!$D$19)</f>
        <v>30464.408082414866</v>
      </c>
      <c r="AC579" s="39">
        <f t="shared" si="32"/>
        <v>377479.6939115905</v>
      </c>
      <c r="AD579" s="39">
        <f t="shared" si="33"/>
        <v>147227.12988081941</v>
      </c>
      <c r="AE579" s="36">
        <f t="shared" si="34"/>
        <v>1.029431950606492</v>
      </c>
      <c r="AF579" s="35">
        <f>IF(AND(AE579&lt;=Inputs!$D$35,C579&gt;=Inputs!$D$48*(A579+B579+C579),B579*Inputs!$D$22&lt;=Inputs!$D$50*Inputs!$D$8,B579*Inputs!$D$22&gt;=Inputs!$D$49*Inputs!$D$8,A579*Inputs!$D$20&lt;=Inputs!$D$47*Inputs!$D$8,C579&gt;=1),1,0)</f>
        <v>0</v>
      </c>
      <c r="AG579" s="39">
        <f t="shared" si="35"/>
        <v>-1</v>
      </c>
    </row>
    <row r="580" spans="1:33" x14ac:dyDescent="0.25">
      <c r="A580" s="35">
        <v>48</v>
      </c>
      <c r="B580" s="35">
        <v>33</v>
      </c>
      <c r="C580" s="35">
        <f>Inputs!$D$8-A580-Inputs!$D$22*B580</f>
        <v>6</v>
      </c>
      <c r="D580" s="35">
        <f>A580*Inputs!$D$20+C580*Inputs!$D$21+B580*Inputs!$D$22</f>
        <v>120</v>
      </c>
      <c r="E580" s="36">
        <f>MIN(Inputs!$E$15,Inputs!$D$15*(C580/Inputs!$D$43)^Inputs!$D$44)</f>
        <v>0.21181013327762671</v>
      </c>
      <c r="F580" s="36">
        <f>MIN(Inputs!$E$16,Inputs!$D$16*(B580/Inputs!$D$42)^Inputs!$D$44)</f>
        <v>0.46484180038786721</v>
      </c>
      <c r="G580" s="37">
        <f>Inputs!$D$26*(1+Inputs!$D$41*(B580-Inputs!$D$42))</f>
        <v>1.6949999999999998</v>
      </c>
      <c r="H580" s="35">
        <f>Inputs!$D$6*Inputs!$D$14*G580*Inputs!$D$29</f>
        <v>2129.64885</v>
      </c>
      <c r="I580" s="36">
        <f>H580/(A580*Inputs!$D$32)</f>
        <v>0.80668517045454546</v>
      </c>
      <c r="J580" s="38">
        <f>IF(I580&gt;=1,999,I580/(Inputs!$D$32*(1-I580))*60)</f>
        <v>4.5522642418050614</v>
      </c>
      <c r="K580" s="37">
        <f>MIN(1,MAX(0,(J580-Inputs!$D$36)/(Inputs!$D$37-Inputs!$D$36)))</f>
        <v>0</v>
      </c>
      <c r="L580" s="35">
        <f>Inputs!$D$6*Inputs!$D$14*G580*(1-Inputs!$D$38*K580)</f>
        <v>14197.659</v>
      </c>
      <c r="M580" s="39">
        <f>L580*Inputs!$D$11</f>
        <v>305249.66849999997</v>
      </c>
      <c r="N580" s="39">
        <f>M580*(1-Inputs!$D$17)</f>
        <v>106837.38397499999</v>
      </c>
      <c r="O580" s="35">
        <f>Inputs!$D$6*E580*Inputs!$D$27*Inputs!$D$30</f>
        <v>302.18019750132584</v>
      </c>
      <c r="P580" s="36">
        <f>O580/(C580*Inputs!$D$33)</f>
        <v>1.2590841562555244</v>
      </c>
      <c r="Q580" s="38">
        <f>IF(P580&gt;=1,999,P580/(Inputs!$D$33*(1-P580))*60)</f>
        <v>999</v>
      </c>
      <c r="R580" s="37">
        <f>MIN(1,MAX(0,(Q580-Inputs!$D$36)/(Inputs!$D$37-Inputs!$D$36)))</f>
        <v>1</v>
      </c>
      <c r="S580" s="35">
        <f>Inputs!$D$6*E580*Inputs!$D$27*(1-Inputs!$D$38*R580)</f>
        <v>1384.9925718810769</v>
      </c>
      <c r="T580" s="39">
        <f>S580*Inputs!$D$12</f>
        <v>22159.88115009723</v>
      </c>
      <c r="U580" s="39">
        <f>T580*(1-Inputs!$D$18)</f>
        <v>9971.9465175437526</v>
      </c>
      <c r="V580" s="35">
        <f>Inputs!$D$6*F580*Inputs!$D$28*Inputs!$D$31</f>
        <v>783.74558786036266</v>
      </c>
      <c r="W580" s="36">
        <f>V580/(B580*Inputs!$D$34)</f>
        <v>0.67856760853711051</v>
      </c>
      <c r="X580" s="38">
        <f>IF(W580&gt;=1,999,W580/(Inputs!$D$34*(1-W580))*60)</f>
        <v>3.6189842355277744</v>
      </c>
      <c r="Y580" s="37">
        <f>MIN(1,MAX(0,(X580-Inputs!$D$36)/(Inputs!$D$37-Inputs!$D$36)))</f>
        <v>0</v>
      </c>
      <c r="Z580" s="35">
        <f>Inputs!$D$6*F580*Inputs!$D$28*(1-Inputs!$D$38*Y580)</f>
        <v>6028.812214310482</v>
      </c>
      <c r="AA580" s="39">
        <f>Z580*Inputs!$D$13</f>
        <v>51244.903821639098</v>
      </c>
      <c r="AB580" s="39">
        <f>AA580*(1-Inputs!$D$19)</f>
        <v>30746.942292983458</v>
      </c>
      <c r="AC580" s="39">
        <f t="shared" si="32"/>
        <v>378654.45347173628</v>
      </c>
      <c r="AD580" s="39">
        <f t="shared" si="33"/>
        <v>147556.2727855272</v>
      </c>
      <c r="AE580" s="36">
        <f t="shared" si="34"/>
        <v>1.2590841562555244</v>
      </c>
      <c r="AF580" s="35">
        <f>IF(AND(AE580&lt;=Inputs!$D$35,C580&gt;=Inputs!$D$48*(A580+B580+C580),B580*Inputs!$D$22&lt;=Inputs!$D$50*Inputs!$D$8,B580*Inputs!$D$22&gt;=Inputs!$D$49*Inputs!$D$8,A580*Inputs!$D$20&lt;=Inputs!$D$47*Inputs!$D$8,C580&gt;=1),1,0)</f>
        <v>0</v>
      </c>
      <c r="AG580" s="39">
        <f t="shared" si="35"/>
        <v>-1</v>
      </c>
    </row>
    <row r="581" spans="1:33" x14ac:dyDescent="0.25">
      <c r="A581" s="35">
        <v>49</v>
      </c>
      <c r="B581" s="35">
        <v>10</v>
      </c>
      <c r="C581" s="35">
        <f>Inputs!$D$8-A581-Inputs!$D$22*B581</f>
        <v>51</v>
      </c>
      <c r="D581" s="35">
        <f>A581*Inputs!$D$20+C581*Inputs!$D$21+B581*Inputs!$D$22</f>
        <v>120</v>
      </c>
      <c r="E581" s="36">
        <f>MIN(Inputs!$E$15,Inputs!$D$15*(C581/Inputs!$D$43)^Inputs!$D$44)</f>
        <v>0.4</v>
      </c>
      <c r="F581" s="36">
        <f>MIN(Inputs!$E$16,Inputs!$D$16*(B581/Inputs!$D$42)^Inputs!$D$44)</f>
        <v>0.32490095854249423</v>
      </c>
      <c r="G581" s="37">
        <f>Inputs!$D$26*(1+Inputs!$D$41*(B581-Inputs!$D$42))</f>
        <v>1.35</v>
      </c>
      <c r="H581" s="35">
        <f>Inputs!$D$6*Inputs!$D$14*G581*Inputs!$D$29</f>
        <v>1696.1805000000004</v>
      </c>
      <c r="I581" s="36">
        <f>H581/(A581*Inputs!$D$32)</f>
        <v>0.62938051948051965</v>
      </c>
      <c r="J581" s="38">
        <f>IF(I581&gt;=1,999,I581/(Inputs!$D$32*(1-I581))*60)</f>
        <v>1.852565681059219</v>
      </c>
      <c r="K581" s="37">
        <f>MIN(1,MAX(0,(J581-Inputs!$D$36)/(Inputs!$D$37-Inputs!$D$36)))</f>
        <v>0</v>
      </c>
      <c r="L581" s="35">
        <f>Inputs!$D$6*Inputs!$D$14*G581*(1-Inputs!$D$38*K581)</f>
        <v>11307.870000000003</v>
      </c>
      <c r="M581" s="39">
        <f>L581*Inputs!$D$11</f>
        <v>243119.20500000005</v>
      </c>
      <c r="N581" s="39">
        <f>M581*(1-Inputs!$D$17)</f>
        <v>85091.721750000012</v>
      </c>
      <c r="O581" s="35">
        <f>Inputs!$D$6*E581*Inputs!$D$27*Inputs!$D$30</f>
        <v>570.66240000000005</v>
      </c>
      <c r="P581" s="36">
        <f>O581/(C581*Inputs!$D$33)</f>
        <v>0.27973647058823531</v>
      </c>
      <c r="Q581" s="38">
        <f>IF(P581&gt;=1,999,P581/(Inputs!$D$33*(1-P581))*60)</f>
        <v>0.5825710850930379</v>
      </c>
      <c r="R581" s="37">
        <f>MIN(1,MAX(0,(Q581-Inputs!$D$36)/(Inputs!$D$37-Inputs!$D$36)))</f>
        <v>0</v>
      </c>
      <c r="S581" s="35">
        <f>Inputs!$D$6*E581*Inputs!$D$27*(1-Inputs!$D$38*R581)</f>
        <v>4755.5200000000004</v>
      </c>
      <c r="T581" s="39">
        <f>S581*Inputs!$D$12</f>
        <v>76088.320000000007</v>
      </c>
      <c r="U581" s="39">
        <f>T581*(1-Inputs!$D$18)</f>
        <v>34239.743999999999</v>
      </c>
      <c r="V581" s="35">
        <f>Inputs!$D$6*F581*Inputs!$D$28*Inputs!$D$31</f>
        <v>547.7986113486553</v>
      </c>
      <c r="W581" s="36">
        <f>V581/(B581*Inputs!$D$34)</f>
        <v>1.5651388895675866</v>
      </c>
      <c r="X581" s="38">
        <f>IF(W581&gt;=1,999,W581/(Inputs!$D$34*(1-W581))*60)</f>
        <v>999</v>
      </c>
      <c r="Y581" s="37">
        <f>MIN(1,MAX(0,(X581-Inputs!$D$36)/(Inputs!$D$37-Inputs!$D$36)))</f>
        <v>1</v>
      </c>
      <c r="Z581" s="35">
        <f>Inputs!$D$6*F581*Inputs!$D$28*(1-Inputs!$D$38*Y581)</f>
        <v>2317.6095095520031</v>
      </c>
      <c r="AA581" s="39">
        <f>Z581*Inputs!$D$13</f>
        <v>19699.680831192025</v>
      </c>
      <c r="AB581" s="39">
        <f>AA581*(1-Inputs!$D$19)</f>
        <v>11819.808498715214</v>
      </c>
      <c r="AC581" s="39">
        <f t="shared" ref="AC581:AC644" si="36">M581+T581+AA581</f>
        <v>338907.20583119203</v>
      </c>
      <c r="AD581" s="39">
        <f t="shared" ref="AD581:AD644" si="37">N581+U581+AB581</f>
        <v>131151.27424871523</v>
      </c>
      <c r="AE581" s="36">
        <f t="shared" ref="AE581:AE644" si="38">MAX(I581,P581,W581)</f>
        <v>1.5651388895675866</v>
      </c>
      <c r="AF581" s="35">
        <f>IF(AND(AE581&lt;=Inputs!$D$35,C581&gt;=Inputs!$D$48*(A581+B581+C581),B581*Inputs!$D$22&lt;=Inputs!$D$50*Inputs!$D$8,B581*Inputs!$D$22&gt;=Inputs!$D$49*Inputs!$D$8,A581*Inputs!$D$20&lt;=Inputs!$D$47*Inputs!$D$8,C581&gt;=1),1,0)</f>
        <v>0</v>
      </c>
      <c r="AG581" s="39">
        <f t="shared" ref="AG581:AG644" si="39">IF(AF581=1,AD581,-1)</f>
        <v>-1</v>
      </c>
    </row>
    <row r="582" spans="1:33" x14ac:dyDescent="0.25">
      <c r="A582" s="35">
        <v>49</v>
      </c>
      <c r="B582" s="35">
        <v>11</v>
      </c>
      <c r="C582" s="35">
        <f>Inputs!$D$8-A582-Inputs!$D$22*B582</f>
        <v>49</v>
      </c>
      <c r="D582" s="35">
        <f>A582*Inputs!$D$20+C582*Inputs!$D$21+B582*Inputs!$D$22</f>
        <v>120</v>
      </c>
      <c r="E582" s="36">
        <f>MIN(Inputs!$E$15,Inputs!$D$15*(C582/Inputs!$D$43)^Inputs!$D$44)</f>
        <v>0.39770420454194916</v>
      </c>
      <c r="F582" s="36">
        <f>MIN(Inputs!$E$16,Inputs!$D$16*(B582/Inputs!$D$42)^Inputs!$D$44)</f>
        <v>0.33432495758166098</v>
      </c>
      <c r="G582" s="37">
        <f>Inputs!$D$26*(1+Inputs!$D$41*(B582-Inputs!$D$42))</f>
        <v>1.365</v>
      </c>
      <c r="H582" s="35">
        <f>Inputs!$D$6*Inputs!$D$14*G582*Inputs!$D$29</f>
        <v>1715.0269500000002</v>
      </c>
      <c r="I582" s="36">
        <f>H582/(A582*Inputs!$D$32)</f>
        <v>0.63637363636363642</v>
      </c>
      <c r="J582" s="38">
        <f>IF(I582&gt;=1,999,I582/(Inputs!$D$32*(1-I582))*60)</f>
        <v>1.9091734113597223</v>
      </c>
      <c r="K582" s="37">
        <f>MIN(1,MAX(0,(J582-Inputs!$D$36)/(Inputs!$D$37-Inputs!$D$36)))</f>
        <v>0</v>
      </c>
      <c r="L582" s="35">
        <f>Inputs!$D$6*Inputs!$D$14*G582*(1-Inputs!$D$38*K582)</f>
        <v>11433.513000000001</v>
      </c>
      <c r="M582" s="39">
        <f>L582*Inputs!$D$11</f>
        <v>245820.5295</v>
      </c>
      <c r="N582" s="39">
        <f>M582*(1-Inputs!$D$17)</f>
        <v>86037.185324999999</v>
      </c>
      <c r="O582" s="35">
        <f>Inputs!$D$6*E582*Inputs!$D$27*Inputs!$D$30</f>
        <v>567.38708963499903</v>
      </c>
      <c r="P582" s="36">
        <f>O582/(C582*Inputs!$D$33)</f>
        <v>0.2894832089974485</v>
      </c>
      <c r="Q582" s="38">
        <f>IF(P582&gt;=1,999,P582/(Inputs!$D$33*(1-P582))*60)</f>
        <v>0.61113941147467321</v>
      </c>
      <c r="R582" s="37">
        <f>MIN(1,MAX(0,(Q582-Inputs!$D$36)/(Inputs!$D$37-Inputs!$D$36)))</f>
        <v>0</v>
      </c>
      <c r="S582" s="35">
        <f>Inputs!$D$6*E582*Inputs!$D$27*(1-Inputs!$D$38*R582)</f>
        <v>4728.2257469583255</v>
      </c>
      <c r="T582" s="39">
        <f>S582*Inputs!$D$12</f>
        <v>75651.611951333209</v>
      </c>
      <c r="U582" s="39">
        <f>T582*(1-Inputs!$D$18)</f>
        <v>34043.225378099938</v>
      </c>
      <c r="V582" s="35">
        <f>Inputs!$D$6*F582*Inputs!$D$28*Inputs!$D$31</f>
        <v>563.68792608064427</v>
      </c>
      <c r="W582" s="36">
        <f>V582/(B582*Inputs!$D$34)</f>
        <v>1.4641244833263487</v>
      </c>
      <c r="X582" s="38">
        <f>IF(W582&gt;=1,999,W582/(Inputs!$D$34*(1-W582))*60)</f>
        <v>999</v>
      </c>
      <c r="Y582" s="37">
        <f>MIN(1,MAX(0,(X582-Inputs!$D$36)/(Inputs!$D$37-Inputs!$D$36)))</f>
        <v>1</v>
      </c>
      <c r="Z582" s="35">
        <f>Inputs!$D$6*F582*Inputs!$D$28*(1-Inputs!$D$38*Y582)</f>
        <v>2384.8335334181106</v>
      </c>
      <c r="AA582" s="39">
        <f>Z582*Inputs!$D$13</f>
        <v>20271.08503405394</v>
      </c>
      <c r="AB582" s="39">
        <f>AA582*(1-Inputs!$D$19)</f>
        <v>12162.651020432364</v>
      </c>
      <c r="AC582" s="39">
        <f t="shared" si="36"/>
        <v>341743.22648538713</v>
      </c>
      <c r="AD582" s="39">
        <f t="shared" si="37"/>
        <v>132243.0617235323</v>
      </c>
      <c r="AE582" s="36">
        <f t="shared" si="38"/>
        <v>1.4641244833263487</v>
      </c>
      <c r="AF582" s="35">
        <f>IF(AND(AE582&lt;=Inputs!$D$35,C582&gt;=Inputs!$D$48*(A582+B582+C582),B582*Inputs!$D$22&lt;=Inputs!$D$50*Inputs!$D$8,B582*Inputs!$D$22&gt;=Inputs!$D$49*Inputs!$D$8,A582*Inputs!$D$20&lt;=Inputs!$D$47*Inputs!$D$8,C582&gt;=1),1,0)</f>
        <v>0</v>
      </c>
      <c r="AG582" s="39">
        <f t="shared" si="39"/>
        <v>-1</v>
      </c>
    </row>
    <row r="583" spans="1:33" x14ac:dyDescent="0.25">
      <c r="A583" s="35">
        <v>49</v>
      </c>
      <c r="B583" s="35">
        <v>12</v>
      </c>
      <c r="C583" s="35">
        <f>Inputs!$D$8-A583-Inputs!$D$22*B583</f>
        <v>47</v>
      </c>
      <c r="D583" s="35">
        <f>A583*Inputs!$D$20+C583*Inputs!$D$21+B583*Inputs!$D$22</f>
        <v>120</v>
      </c>
      <c r="E583" s="36">
        <f>MIN(Inputs!$E$15,Inputs!$D$15*(C583/Inputs!$D$43)^Inputs!$D$44)</f>
        <v>0.39276313309091065</v>
      </c>
      <c r="F583" s="36">
        <f>MIN(Inputs!$E$16,Inputs!$D$16*(B583/Inputs!$D$42)^Inputs!$D$44)</f>
        <v>0.34316688017763797</v>
      </c>
      <c r="G583" s="37">
        <f>Inputs!$D$26*(1+Inputs!$D$41*(B583-Inputs!$D$42))</f>
        <v>1.3800000000000001</v>
      </c>
      <c r="H583" s="35">
        <f>Inputs!$D$6*Inputs!$D$14*G583*Inputs!$D$29</f>
        <v>1733.8734000000004</v>
      </c>
      <c r="I583" s="36">
        <f>H583/(A583*Inputs!$D$32)</f>
        <v>0.64336675324675341</v>
      </c>
      <c r="J583" s="38">
        <f>IF(I583&gt;=1,999,I583/(Inputs!$D$32*(1-I583))*60)</f>
        <v>1.968001150468061</v>
      </c>
      <c r="K583" s="37">
        <f>MIN(1,MAX(0,(J583-Inputs!$D$36)/(Inputs!$D$37-Inputs!$D$36)))</f>
        <v>0</v>
      </c>
      <c r="L583" s="35">
        <f>Inputs!$D$6*Inputs!$D$14*G583*(1-Inputs!$D$38*K583)</f>
        <v>11559.156000000003</v>
      </c>
      <c r="M583" s="39">
        <f>L583*Inputs!$D$11</f>
        <v>248521.85400000005</v>
      </c>
      <c r="N583" s="39">
        <f>M583*(1-Inputs!$D$17)</f>
        <v>86982.648900000015</v>
      </c>
      <c r="O583" s="35">
        <f>Inputs!$D$6*E583*Inputs!$D$27*Inputs!$D$30</f>
        <v>560.33788040294633</v>
      </c>
      <c r="P583" s="36">
        <f>O583/(C583*Inputs!$D$33)</f>
        <v>0.29805206404412038</v>
      </c>
      <c r="Q583" s="38">
        <f>IF(P583&gt;=1,999,P583/(Inputs!$D$33*(1-P583))*60)</f>
        <v>0.63691062138016075</v>
      </c>
      <c r="R583" s="37">
        <f>MIN(1,MAX(0,(Q583-Inputs!$D$36)/(Inputs!$D$37-Inputs!$D$36)))</f>
        <v>0</v>
      </c>
      <c r="S583" s="35">
        <f>Inputs!$D$6*E583*Inputs!$D$27*(1-Inputs!$D$38*R583)</f>
        <v>4669.4823366912196</v>
      </c>
      <c r="T583" s="39">
        <f>S583*Inputs!$D$12</f>
        <v>74711.717387059514</v>
      </c>
      <c r="U583" s="39">
        <f>T583*(1-Inputs!$D$18)</f>
        <v>33620.272824176776</v>
      </c>
      <c r="V583" s="35">
        <f>Inputs!$D$6*F583*Inputs!$D$28*Inputs!$D$31</f>
        <v>578.5958319897461</v>
      </c>
      <c r="W583" s="36">
        <f>V583/(B583*Inputs!$D$34)</f>
        <v>1.3776091237851098</v>
      </c>
      <c r="X583" s="38">
        <f>IF(W583&gt;=1,999,W583/(Inputs!$D$34*(1-W583))*60)</f>
        <v>999</v>
      </c>
      <c r="Y583" s="37">
        <f>MIN(1,MAX(0,(X583-Inputs!$D$36)/(Inputs!$D$37-Inputs!$D$36)))</f>
        <v>1</v>
      </c>
      <c r="Z583" s="35">
        <f>Inputs!$D$6*F583*Inputs!$D$28*(1-Inputs!$D$38*Y583)</f>
        <v>2447.9054430335414</v>
      </c>
      <c r="AA583" s="39">
        <f>Z583*Inputs!$D$13</f>
        <v>20807.1962657851</v>
      </c>
      <c r="AB583" s="39">
        <f>AA583*(1-Inputs!$D$19)</f>
        <v>12484.31775947106</v>
      </c>
      <c r="AC583" s="39">
        <f t="shared" si="36"/>
        <v>344040.76765284466</v>
      </c>
      <c r="AD583" s="39">
        <f t="shared" si="37"/>
        <v>133087.23948364786</v>
      </c>
      <c r="AE583" s="36">
        <f t="shared" si="38"/>
        <v>1.3776091237851098</v>
      </c>
      <c r="AF583" s="35">
        <f>IF(AND(AE583&lt;=Inputs!$D$35,C583&gt;=Inputs!$D$48*(A583+B583+C583),B583*Inputs!$D$22&lt;=Inputs!$D$50*Inputs!$D$8,B583*Inputs!$D$22&gt;=Inputs!$D$49*Inputs!$D$8,A583*Inputs!$D$20&lt;=Inputs!$D$47*Inputs!$D$8,C583&gt;=1),1,0)</f>
        <v>0</v>
      </c>
      <c r="AG583" s="39">
        <f t="shared" si="39"/>
        <v>-1</v>
      </c>
    </row>
    <row r="584" spans="1:33" x14ac:dyDescent="0.25">
      <c r="A584" s="35">
        <v>49</v>
      </c>
      <c r="B584" s="35">
        <v>13</v>
      </c>
      <c r="C584" s="35">
        <f>Inputs!$D$8-A584-Inputs!$D$22*B584</f>
        <v>45</v>
      </c>
      <c r="D584" s="35">
        <f>A584*Inputs!$D$20+C584*Inputs!$D$21+B584*Inputs!$D$22</f>
        <v>120</v>
      </c>
      <c r="E584" s="36">
        <f>MIN(Inputs!$E$15,Inputs!$D$15*(C584/Inputs!$D$43)^Inputs!$D$44)</f>
        <v>0.38767260497069417</v>
      </c>
      <c r="F584" s="36">
        <f>MIN(Inputs!$E$16,Inputs!$D$16*(B584/Inputs!$D$42)^Inputs!$D$44)</f>
        <v>0.35150701637190523</v>
      </c>
      <c r="G584" s="37">
        <f>Inputs!$D$26*(1+Inputs!$D$41*(B584-Inputs!$D$42))</f>
        <v>1.395</v>
      </c>
      <c r="H584" s="35">
        <f>Inputs!$D$6*Inputs!$D$14*G584*Inputs!$D$29</f>
        <v>1752.7198500000002</v>
      </c>
      <c r="I584" s="36">
        <f>H584/(A584*Inputs!$D$32)</f>
        <v>0.65035987012987018</v>
      </c>
      <c r="J584" s="38">
        <f>IF(I584&gt;=1,999,I584/(Inputs!$D$32*(1-I584))*60)</f>
        <v>2.0291821048992897</v>
      </c>
      <c r="K584" s="37">
        <f>MIN(1,MAX(0,(J584-Inputs!$D$36)/(Inputs!$D$37-Inputs!$D$36)))</f>
        <v>0</v>
      </c>
      <c r="L584" s="35">
        <f>Inputs!$D$6*Inputs!$D$14*G584*(1-Inputs!$D$38*K584)</f>
        <v>11684.799000000001</v>
      </c>
      <c r="M584" s="39">
        <f>L584*Inputs!$D$11</f>
        <v>251223.17850000001</v>
      </c>
      <c r="N584" s="39">
        <f>M584*(1-Inputs!$D$17)</f>
        <v>87928.112475000002</v>
      </c>
      <c r="O584" s="35">
        <f>Inputs!$D$6*E584*Inputs!$D$27*Inputs!$D$30</f>
        <v>553.07544791707073</v>
      </c>
      <c r="P584" s="36">
        <f>O584/(C584*Inputs!$D$33)</f>
        <v>0.30726413773170597</v>
      </c>
      <c r="Q584" s="38">
        <f>IF(P584&gt;=1,999,P584/(Inputs!$D$33*(1-P584))*60)</f>
        <v>0.66532748151423926</v>
      </c>
      <c r="R584" s="37">
        <f>MIN(1,MAX(0,(Q584-Inputs!$D$36)/(Inputs!$D$37-Inputs!$D$36)))</f>
        <v>0</v>
      </c>
      <c r="S584" s="35">
        <f>Inputs!$D$6*E584*Inputs!$D$27*(1-Inputs!$D$38*R584)</f>
        <v>4608.9620659755892</v>
      </c>
      <c r="T584" s="39">
        <f>S584*Inputs!$D$12</f>
        <v>73743.393055609427</v>
      </c>
      <c r="U584" s="39">
        <f>T584*(1-Inputs!$D$18)</f>
        <v>33184.526875024239</v>
      </c>
      <c r="V584" s="35">
        <f>Inputs!$D$6*F584*Inputs!$D$28*Inputs!$D$31</f>
        <v>592.65770193981814</v>
      </c>
      <c r="W584" s="36">
        <f>V584/(B584*Inputs!$D$34)</f>
        <v>1.3025443998677322</v>
      </c>
      <c r="X584" s="38">
        <f>IF(W584&gt;=1,999,W584/(Inputs!$D$34*(1-W584))*60)</f>
        <v>999</v>
      </c>
      <c r="Y584" s="37">
        <f>MIN(1,MAX(0,(X584-Inputs!$D$36)/(Inputs!$D$37-Inputs!$D$36)))</f>
        <v>1</v>
      </c>
      <c r="Z584" s="35">
        <f>Inputs!$D$6*F584*Inputs!$D$28*(1-Inputs!$D$38*Y584)</f>
        <v>2507.3979697453847</v>
      </c>
      <c r="AA584" s="39">
        <f>Z584*Inputs!$D$13</f>
        <v>21312.882742835769</v>
      </c>
      <c r="AB584" s="39">
        <f>AA584*(1-Inputs!$D$19)</f>
        <v>12787.729645701462</v>
      </c>
      <c r="AC584" s="39">
        <f t="shared" si="36"/>
        <v>346279.45429844526</v>
      </c>
      <c r="AD584" s="39">
        <f t="shared" si="37"/>
        <v>133900.3689957257</v>
      </c>
      <c r="AE584" s="36">
        <f t="shared" si="38"/>
        <v>1.3025443998677322</v>
      </c>
      <c r="AF584" s="35">
        <f>IF(AND(AE584&lt;=Inputs!$D$35,C584&gt;=Inputs!$D$48*(A584+B584+C584),B584*Inputs!$D$22&lt;=Inputs!$D$50*Inputs!$D$8,B584*Inputs!$D$22&gt;=Inputs!$D$49*Inputs!$D$8,A584*Inputs!$D$20&lt;=Inputs!$D$47*Inputs!$D$8,C584&gt;=1),1,0)</f>
        <v>0</v>
      </c>
      <c r="AG584" s="39">
        <f t="shared" si="39"/>
        <v>-1</v>
      </c>
    </row>
    <row r="585" spans="1:33" x14ac:dyDescent="0.25">
      <c r="A585" s="35">
        <v>49</v>
      </c>
      <c r="B585" s="35">
        <v>14</v>
      </c>
      <c r="C585" s="35">
        <f>Inputs!$D$8-A585-Inputs!$D$22*B585</f>
        <v>43</v>
      </c>
      <c r="D585" s="35">
        <f>A585*Inputs!$D$20+C585*Inputs!$D$21+B585*Inputs!$D$22</f>
        <v>120</v>
      </c>
      <c r="E585" s="36">
        <f>MIN(Inputs!$E$15,Inputs!$D$15*(C585/Inputs!$D$43)^Inputs!$D$44)</f>
        <v>0.38242114286867052</v>
      </c>
      <c r="F585" s="36">
        <f>MIN(Inputs!$E$16,Inputs!$D$16*(B585/Inputs!$D$42)^Inputs!$D$44)</f>
        <v>0.35940937671625589</v>
      </c>
      <c r="G585" s="37">
        <f>Inputs!$D$26*(1+Inputs!$D$41*(B585-Inputs!$D$42))</f>
        <v>1.41</v>
      </c>
      <c r="H585" s="35">
        <f>Inputs!$D$6*Inputs!$D$14*G585*Inputs!$D$29</f>
        <v>1771.5663000000002</v>
      </c>
      <c r="I585" s="36">
        <f>H585/(A585*Inputs!$D$32)</f>
        <v>0.65735298701298706</v>
      </c>
      <c r="J585" s="38">
        <f>IF(I585&gt;=1,999,I585/(Inputs!$D$32*(1-I585))*60)</f>
        <v>2.0928603556683951</v>
      </c>
      <c r="K585" s="37">
        <f>MIN(1,MAX(0,(J585-Inputs!$D$36)/(Inputs!$D$37-Inputs!$D$36)))</f>
        <v>0</v>
      </c>
      <c r="L585" s="35">
        <f>Inputs!$D$6*Inputs!$D$14*G585*(1-Inputs!$D$38*K585)</f>
        <v>11810.442000000001</v>
      </c>
      <c r="M585" s="39">
        <f>L585*Inputs!$D$11</f>
        <v>253924.50300000003</v>
      </c>
      <c r="N585" s="39">
        <f>M585*(1-Inputs!$D$17)</f>
        <v>88873.576050000003</v>
      </c>
      <c r="O585" s="35">
        <f>Inputs!$D$6*E585*Inputs!$D$27*Inputs!$D$30</f>
        <v>545.58341800044604</v>
      </c>
      <c r="P585" s="36">
        <f>O585/(C585*Inputs!$D$33)</f>
        <v>0.31719966162816632</v>
      </c>
      <c r="Q585" s="38">
        <f>IF(P585&gt;=1,999,P585/(Inputs!$D$33*(1-P585))*60)</f>
        <v>0.69683546668534679</v>
      </c>
      <c r="R585" s="37">
        <f>MIN(1,MAX(0,(Q585-Inputs!$D$36)/(Inputs!$D$37-Inputs!$D$36)))</f>
        <v>0</v>
      </c>
      <c r="S585" s="35">
        <f>Inputs!$D$6*E585*Inputs!$D$27*(1-Inputs!$D$38*R585)</f>
        <v>4546.5284833370506</v>
      </c>
      <c r="T585" s="39">
        <f>S585*Inputs!$D$12</f>
        <v>72744.45573339281</v>
      </c>
      <c r="U585" s="39">
        <f>T585*(1-Inputs!$D$18)</f>
        <v>32735.00508002676</v>
      </c>
      <c r="V585" s="35">
        <f>Inputs!$D$6*F585*Inputs!$D$28*Inputs!$D$31</f>
        <v>605.98146079368973</v>
      </c>
      <c r="W585" s="36">
        <f>V585/(B585*Inputs!$D$34)</f>
        <v>1.2366968587626321</v>
      </c>
      <c r="X585" s="38">
        <f>IF(W585&gt;=1,999,W585/(Inputs!$D$34*(1-W585))*60)</f>
        <v>999</v>
      </c>
      <c r="Y585" s="37">
        <f>MIN(1,MAX(0,(X585-Inputs!$D$36)/(Inputs!$D$37-Inputs!$D$36)))</f>
        <v>1</v>
      </c>
      <c r="Z585" s="35">
        <f>Inputs!$D$6*F585*Inputs!$D$28*(1-Inputs!$D$38*Y585)</f>
        <v>2563.7677187425338</v>
      </c>
      <c r="AA585" s="39">
        <f>Z585*Inputs!$D$13</f>
        <v>21792.025609311539</v>
      </c>
      <c r="AB585" s="39">
        <f>AA585*(1-Inputs!$D$19)</f>
        <v>13075.215365586922</v>
      </c>
      <c r="AC585" s="39">
        <f t="shared" si="36"/>
        <v>348460.98434270435</v>
      </c>
      <c r="AD585" s="39">
        <f t="shared" si="37"/>
        <v>134683.7964956137</v>
      </c>
      <c r="AE585" s="36">
        <f t="shared" si="38"/>
        <v>1.2366968587626321</v>
      </c>
      <c r="AF585" s="35">
        <f>IF(AND(AE585&lt;=Inputs!$D$35,C585&gt;=Inputs!$D$48*(A585+B585+C585),B585*Inputs!$D$22&lt;=Inputs!$D$50*Inputs!$D$8,B585*Inputs!$D$22&gt;=Inputs!$D$49*Inputs!$D$8,A585*Inputs!$D$20&lt;=Inputs!$D$47*Inputs!$D$8,C585&gt;=1),1,0)</f>
        <v>0</v>
      </c>
      <c r="AG585" s="39">
        <f t="shared" si="39"/>
        <v>-1</v>
      </c>
    </row>
    <row r="586" spans="1:33" x14ac:dyDescent="0.25">
      <c r="A586" s="35">
        <v>49</v>
      </c>
      <c r="B586" s="35">
        <v>15</v>
      </c>
      <c r="C586" s="35">
        <f>Inputs!$D$8-A586-Inputs!$D$22*B586</f>
        <v>41</v>
      </c>
      <c r="D586" s="35">
        <f>A586*Inputs!$D$20+C586*Inputs!$D$21+B586*Inputs!$D$22</f>
        <v>120</v>
      </c>
      <c r="E586" s="36">
        <f>MIN(Inputs!$E$15,Inputs!$D$15*(C586/Inputs!$D$43)^Inputs!$D$44)</f>
        <v>0.37699580304543617</v>
      </c>
      <c r="F586" s="36">
        <f>MIN(Inputs!$E$16,Inputs!$D$16*(B586/Inputs!$D$42)^Inputs!$D$44)</f>
        <v>0.36692590185696072</v>
      </c>
      <c r="G586" s="37">
        <f>Inputs!$D$26*(1+Inputs!$D$41*(B586-Inputs!$D$42))</f>
        <v>1.4249999999999998</v>
      </c>
      <c r="H586" s="35">
        <f>Inputs!$D$6*Inputs!$D$14*G586*Inputs!$D$29</f>
        <v>1790.4127499999997</v>
      </c>
      <c r="I586" s="36">
        <f>H586/(A586*Inputs!$D$32)</f>
        <v>0.66434610389610382</v>
      </c>
      <c r="J586" s="38">
        <f>IF(I586&gt;=1,999,I586/(Inputs!$D$32*(1-I586))*60)</f>
        <v>2.1591919911037269</v>
      </c>
      <c r="K586" s="37">
        <f>MIN(1,MAX(0,(J586-Inputs!$D$36)/(Inputs!$D$37-Inputs!$D$36)))</f>
        <v>0</v>
      </c>
      <c r="L586" s="35">
        <f>Inputs!$D$6*Inputs!$D$14*G586*(1-Inputs!$D$38*K586)</f>
        <v>11936.084999999999</v>
      </c>
      <c r="M586" s="39">
        <f>L586*Inputs!$D$11</f>
        <v>256625.82749999998</v>
      </c>
      <c r="N586" s="39">
        <f>M586*(1-Inputs!$D$17)</f>
        <v>89819.03962499999</v>
      </c>
      <c r="O586" s="35">
        <f>Inputs!$D$6*E586*Inputs!$D$27*Inputs!$D$30</f>
        <v>537.84332438958984</v>
      </c>
      <c r="P586" s="36">
        <f>O586/(C586*Inputs!$D$33)</f>
        <v>0.3279532465790182</v>
      </c>
      <c r="Q586" s="38">
        <f>IF(P586&gt;=1,999,P586/(Inputs!$D$33*(1-P586))*60)</f>
        <v>0.73198756985940516</v>
      </c>
      <c r="R586" s="37">
        <f>MIN(1,MAX(0,(Q586-Inputs!$D$36)/(Inputs!$D$37-Inputs!$D$36)))</f>
        <v>0</v>
      </c>
      <c r="S586" s="35">
        <f>Inputs!$D$6*E586*Inputs!$D$27*(1-Inputs!$D$38*R586)</f>
        <v>4482.027703246582</v>
      </c>
      <c r="T586" s="39">
        <f>S586*Inputs!$D$12</f>
        <v>71712.443251945311</v>
      </c>
      <c r="U586" s="39">
        <f>T586*(1-Inputs!$D$18)</f>
        <v>32270.599463375387</v>
      </c>
      <c r="V586" s="35">
        <f>Inputs!$D$6*F586*Inputs!$D$28*Inputs!$D$31</f>
        <v>618.65468297412497</v>
      </c>
      <c r="W586" s="36">
        <f>V586/(B586*Inputs!$D$34)</f>
        <v>1.1783898723316666</v>
      </c>
      <c r="X586" s="38">
        <f>IF(W586&gt;=1,999,W586/(Inputs!$D$34*(1-W586))*60)</f>
        <v>999</v>
      </c>
      <c r="Y586" s="37">
        <f>MIN(1,MAX(0,(X586-Inputs!$D$36)/(Inputs!$D$37-Inputs!$D$36)))</f>
        <v>1</v>
      </c>
      <c r="Z586" s="35">
        <f>Inputs!$D$6*F586*Inputs!$D$28*(1-Inputs!$D$38*Y586)</f>
        <v>2617.3851971982212</v>
      </c>
      <c r="AA586" s="39">
        <f>Z586*Inputs!$D$13</f>
        <v>22247.774176184881</v>
      </c>
      <c r="AB586" s="39">
        <f>AA586*(1-Inputs!$D$19)</f>
        <v>13348.664505710929</v>
      </c>
      <c r="AC586" s="39">
        <f t="shared" si="36"/>
        <v>350586.04492813023</v>
      </c>
      <c r="AD586" s="39">
        <f t="shared" si="37"/>
        <v>135438.30359408632</v>
      </c>
      <c r="AE586" s="36">
        <f t="shared" si="38"/>
        <v>1.1783898723316666</v>
      </c>
      <c r="AF586" s="35">
        <f>IF(AND(AE586&lt;=Inputs!$D$35,C586&gt;=Inputs!$D$48*(A586+B586+C586),B586*Inputs!$D$22&lt;=Inputs!$D$50*Inputs!$D$8,B586*Inputs!$D$22&gt;=Inputs!$D$49*Inputs!$D$8,A586*Inputs!$D$20&lt;=Inputs!$D$47*Inputs!$D$8,C586&gt;=1),1,0)</f>
        <v>0</v>
      </c>
      <c r="AG586" s="39">
        <f t="shared" si="39"/>
        <v>-1</v>
      </c>
    </row>
    <row r="587" spans="1:33" x14ac:dyDescent="0.25">
      <c r="A587" s="35">
        <v>49</v>
      </c>
      <c r="B587" s="35">
        <v>16</v>
      </c>
      <c r="C587" s="35">
        <f>Inputs!$D$8-A587-Inputs!$D$22*B587</f>
        <v>39</v>
      </c>
      <c r="D587" s="35">
        <f>A587*Inputs!$D$20+C587*Inputs!$D$21+B587*Inputs!$D$22</f>
        <v>120</v>
      </c>
      <c r="E587" s="36">
        <f>MIN(Inputs!$E$15,Inputs!$D$15*(C587/Inputs!$D$43)^Inputs!$D$44)</f>
        <v>0.37138190575462604</v>
      </c>
      <c r="F587" s="36">
        <f>MIN(Inputs!$E$16,Inputs!$D$16*(B587/Inputs!$D$42)^Inputs!$D$44)</f>
        <v>0.37409937912904856</v>
      </c>
      <c r="G587" s="37">
        <f>Inputs!$D$26*(1+Inputs!$D$41*(B587-Inputs!$D$42))</f>
        <v>1.44</v>
      </c>
      <c r="H587" s="35">
        <f>Inputs!$D$6*Inputs!$D$14*G587*Inputs!$D$29</f>
        <v>1809.2592000000002</v>
      </c>
      <c r="I587" s="36">
        <f>H587/(A587*Inputs!$D$32)</f>
        <v>0.67133922077922081</v>
      </c>
      <c r="J587" s="38">
        <f>IF(I587&gt;=1,999,I587/(Inputs!$D$32*(1-I587))*60)</f>
        <v>2.2283463842818456</v>
      </c>
      <c r="K587" s="37">
        <f>MIN(1,MAX(0,(J587-Inputs!$D$36)/(Inputs!$D$37-Inputs!$D$36)))</f>
        <v>0</v>
      </c>
      <c r="L587" s="35">
        <f>Inputs!$D$6*Inputs!$D$14*G587*(1-Inputs!$D$38*K587)</f>
        <v>12061.728000000001</v>
      </c>
      <c r="M587" s="39">
        <f>L587*Inputs!$D$11</f>
        <v>259327.15200000003</v>
      </c>
      <c r="N587" s="39">
        <f>M587*(1-Inputs!$D$17)</f>
        <v>90764.503200000006</v>
      </c>
      <c r="O587" s="35">
        <f>Inputs!$D$6*E587*Inputs!$D$27*Inputs!$D$30</f>
        <v>529.8342241362717</v>
      </c>
      <c r="P587" s="36">
        <f>O587/(C587*Inputs!$D$33)</f>
        <v>0.33963732316427675</v>
      </c>
      <c r="Q587" s="38">
        <f>IF(P587&gt;=1,999,P587/(Inputs!$D$33*(1-P587))*60)</f>
        <v>0.77147907145144612</v>
      </c>
      <c r="R587" s="37">
        <f>MIN(1,MAX(0,(Q587-Inputs!$D$36)/(Inputs!$D$37-Inputs!$D$36)))</f>
        <v>0</v>
      </c>
      <c r="S587" s="35">
        <f>Inputs!$D$6*E587*Inputs!$D$27*(1-Inputs!$D$38*R587)</f>
        <v>4415.2852011355981</v>
      </c>
      <c r="T587" s="39">
        <f>S587*Inputs!$D$12</f>
        <v>70644.563218169569</v>
      </c>
      <c r="U587" s="39">
        <f>T587*(1-Inputs!$D$18)</f>
        <v>31790.053448176302</v>
      </c>
      <c r="V587" s="35">
        <f>Inputs!$D$6*F587*Inputs!$D$28*Inputs!$D$31</f>
        <v>630.74950998177405</v>
      </c>
      <c r="W587" s="36">
        <f>V587/(B587*Inputs!$D$34)</f>
        <v>1.1263384106817393</v>
      </c>
      <c r="X587" s="38">
        <f>IF(W587&gt;=1,999,W587/(Inputs!$D$34*(1-W587))*60)</f>
        <v>999</v>
      </c>
      <c r="Y587" s="37">
        <f>MIN(1,MAX(0,(X587-Inputs!$D$36)/(Inputs!$D$37-Inputs!$D$36)))</f>
        <v>1</v>
      </c>
      <c r="Z587" s="35">
        <f>Inputs!$D$6*F587*Inputs!$D$28*(1-Inputs!$D$38*Y587)</f>
        <v>2668.5556191536598</v>
      </c>
      <c r="AA587" s="39">
        <f>Z587*Inputs!$D$13</f>
        <v>22682.722762806108</v>
      </c>
      <c r="AB587" s="39">
        <f>AA587*(1-Inputs!$D$19)</f>
        <v>13609.633657683664</v>
      </c>
      <c r="AC587" s="39">
        <f t="shared" si="36"/>
        <v>352654.43798097572</v>
      </c>
      <c r="AD587" s="39">
        <f t="shared" si="37"/>
        <v>136164.19030585999</v>
      </c>
      <c r="AE587" s="36">
        <f t="shared" si="38"/>
        <v>1.1263384106817393</v>
      </c>
      <c r="AF587" s="35">
        <f>IF(AND(AE587&lt;=Inputs!$D$35,C587&gt;=Inputs!$D$48*(A587+B587+C587),B587*Inputs!$D$22&lt;=Inputs!$D$50*Inputs!$D$8,B587*Inputs!$D$22&gt;=Inputs!$D$49*Inputs!$D$8,A587*Inputs!$D$20&lt;=Inputs!$D$47*Inputs!$D$8,C587&gt;=1),1,0)</f>
        <v>0</v>
      </c>
      <c r="AG587" s="39">
        <f t="shared" si="39"/>
        <v>-1</v>
      </c>
    </row>
    <row r="588" spans="1:33" x14ac:dyDescent="0.25">
      <c r="A588" s="35">
        <v>49</v>
      </c>
      <c r="B588" s="35">
        <v>17</v>
      </c>
      <c r="C588" s="35">
        <f>Inputs!$D$8-A588-Inputs!$D$22*B588</f>
        <v>37</v>
      </c>
      <c r="D588" s="35">
        <f>A588*Inputs!$D$20+C588*Inputs!$D$21+B588*Inputs!$D$22</f>
        <v>120</v>
      </c>
      <c r="E588" s="36">
        <f>MIN(Inputs!$E$15,Inputs!$D$15*(C588/Inputs!$D$43)^Inputs!$D$44)</f>
        <v>0.36556269939951974</v>
      </c>
      <c r="F588" s="36">
        <f>MIN(Inputs!$E$16,Inputs!$D$16*(B588/Inputs!$D$42)^Inputs!$D$44)</f>
        <v>0.3809655184437048</v>
      </c>
      <c r="G588" s="37">
        <f>Inputs!$D$26*(1+Inputs!$D$41*(B588-Inputs!$D$42))</f>
        <v>1.4550000000000001</v>
      </c>
      <c r="H588" s="35">
        <f>Inputs!$D$6*Inputs!$D$14*G588*Inputs!$D$29</f>
        <v>1828.1056500000002</v>
      </c>
      <c r="I588" s="36">
        <f>H588/(A588*Inputs!$D$32)</f>
        <v>0.67833233766233769</v>
      </c>
      <c r="J588" s="38">
        <f>IF(I588&gt;=1,999,I588/(Inputs!$D$32*(1-I588))*60)</f>
        <v>2.3005076370924247</v>
      </c>
      <c r="K588" s="37">
        <f>MIN(1,MAX(0,(J588-Inputs!$D$36)/(Inputs!$D$37-Inputs!$D$36)))</f>
        <v>0</v>
      </c>
      <c r="L588" s="35">
        <f>Inputs!$D$6*Inputs!$D$14*G588*(1-Inputs!$D$38*K588)</f>
        <v>12187.371000000001</v>
      </c>
      <c r="M588" s="39">
        <f>L588*Inputs!$D$11</f>
        <v>262028.47650000002</v>
      </c>
      <c r="N588" s="39">
        <f>M588*(1-Inputs!$D$17)</f>
        <v>91709.966775000008</v>
      </c>
      <c r="O588" s="35">
        <f>Inputs!$D$6*E588*Inputs!$D$27*Inputs!$D$30</f>
        <v>521.5322184745213</v>
      </c>
      <c r="P588" s="36">
        <f>O588/(C588*Inputs!$D$33)</f>
        <v>0.35238663410440629</v>
      </c>
      <c r="Q588" s="38">
        <f>IF(P588&gt;=1,999,P588/(Inputs!$D$33*(1-P588))*60)</f>
        <v>0.81619679116046151</v>
      </c>
      <c r="R588" s="37">
        <f>MIN(1,MAX(0,(Q588-Inputs!$D$36)/(Inputs!$D$37-Inputs!$D$36)))</f>
        <v>0</v>
      </c>
      <c r="S588" s="35">
        <f>Inputs!$D$6*E588*Inputs!$D$27*(1-Inputs!$D$38*R588)</f>
        <v>4346.101820621011</v>
      </c>
      <c r="T588" s="39">
        <f>S588*Inputs!$D$12</f>
        <v>69537.629129936176</v>
      </c>
      <c r="U588" s="39">
        <f>T588*(1-Inputs!$D$18)</f>
        <v>31291.933108471276</v>
      </c>
      <c r="V588" s="35">
        <f>Inputs!$D$6*F588*Inputs!$D$28*Inputs!$D$31</f>
        <v>642.32615044097156</v>
      </c>
      <c r="W588" s="36">
        <f>V588/(B588*Inputs!$D$34)</f>
        <v>1.0795397486402882</v>
      </c>
      <c r="X588" s="38">
        <f>IF(W588&gt;=1,999,W588/(Inputs!$D$34*(1-W588))*60)</f>
        <v>999</v>
      </c>
      <c r="Y588" s="37">
        <f>MIN(1,MAX(0,(X588-Inputs!$D$36)/(Inputs!$D$37-Inputs!$D$36)))</f>
        <v>1</v>
      </c>
      <c r="Z588" s="35">
        <f>Inputs!$D$6*F588*Inputs!$D$28*(1-Inputs!$D$38*Y588)</f>
        <v>2717.5337134041106</v>
      </c>
      <c r="AA588" s="39">
        <f>Z588*Inputs!$D$13</f>
        <v>23099.03656393494</v>
      </c>
      <c r="AB588" s="39">
        <f>AA588*(1-Inputs!$D$19)</f>
        <v>13859.421938360963</v>
      </c>
      <c r="AC588" s="39">
        <f t="shared" si="36"/>
        <v>354665.14219387114</v>
      </c>
      <c r="AD588" s="39">
        <f t="shared" si="37"/>
        <v>136861.32182183224</v>
      </c>
      <c r="AE588" s="36">
        <f t="shared" si="38"/>
        <v>1.0795397486402882</v>
      </c>
      <c r="AF588" s="35">
        <f>IF(AND(AE588&lt;=Inputs!$D$35,C588&gt;=Inputs!$D$48*(A588+B588+C588),B588*Inputs!$D$22&lt;=Inputs!$D$50*Inputs!$D$8,B588*Inputs!$D$22&gt;=Inputs!$D$49*Inputs!$D$8,A588*Inputs!$D$20&lt;=Inputs!$D$47*Inputs!$D$8,C588&gt;=1),1,0)</f>
        <v>0</v>
      </c>
      <c r="AG588" s="39">
        <f t="shared" si="39"/>
        <v>-1</v>
      </c>
    </row>
    <row r="589" spans="1:33" x14ac:dyDescent="0.25">
      <c r="A589" s="35">
        <v>49</v>
      </c>
      <c r="B589" s="35">
        <v>18</v>
      </c>
      <c r="C589" s="35">
        <f>Inputs!$D$8-A589-Inputs!$D$22*B589</f>
        <v>35</v>
      </c>
      <c r="D589" s="35">
        <f>A589*Inputs!$D$20+C589*Inputs!$D$21+B589*Inputs!$D$22</f>
        <v>120</v>
      </c>
      <c r="E589" s="36">
        <f>MIN(Inputs!$E$15,Inputs!$D$15*(C589/Inputs!$D$43)^Inputs!$D$44)</f>
        <v>0.3595189375764975</v>
      </c>
      <c r="F589" s="36">
        <f>MIN(Inputs!$E$16,Inputs!$D$16*(B589/Inputs!$D$42)^Inputs!$D$44)</f>
        <v>0.38755446447890535</v>
      </c>
      <c r="G589" s="37">
        <f>Inputs!$D$26*(1+Inputs!$D$41*(B589-Inputs!$D$42))</f>
        <v>1.47</v>
      </c>
      <c r="H589" s="35">
        <f>Inputs!$D$6*Inputs!$D$14*G589*Inputs!$D$29</f>
        <v>1846.9521</v>
      </c>
      <c r="I589" s="36">
        <f>H589/(A589*Inputs!$D$32)</f>
        <v>0.68532545454545457</v>
      </c>
      <c r="J589" s="38">
        <f>IF(I589&gt;=1,999,I589/(Inputs!$D$32*(1-I589))*60)</f>
        <v>2.3758762168547749</v>
      </c>
      <c r="K589" s="37">
        <f>MIN(1,MAX(0,(J589-Inputs!$D$36)/(Inputs!$D$37-Inputs!$D$36)))</f>
        <v>0</v>
      </c>
      <c r="L589" s="35">
        <f>Inputs!$D$6*Inputs!$D$14*G589*(1-Inputs!$D$38*K589)</f>
        <v>12313.014000000001</v>
      </c>
      <c r="M589" s="39">
        <f>L589*Inputs!$D$11</f>
        <v>264729.80100000004</v>
      </c>
      <c r="N589" s="39">
        <f>M589*(1-Inputs!$D$17)</f>
        <v>92655.43035000001</v>
      </c>
      <c r="O589" s="35">
        <f>Inputs!$D$6*E589*Inputs!$D$27*Inputs!$D$30</f>
        <v>512.90984940713565</v>
      </c>
      <c r="P589" s="36">
        <f>O589/(C589*Inputs!$D$33)</f>
        <v>0.36636417814795402</v>
      </c>
      <c r="Q589" s="38">
        <f>IF(P589&gt;=1,999,P589/(Inputs!$D$33*(1-P589))*60)</f>
        <v>0.86729040289368331</v>
      </c>
      <c r="R589" s="37">
        <f>MIN(1,MAX(0,(Q589-Inputs!$D$36)/(Inputs!$D$37-Inputs!$D$36)))</f>
        <v>0</v>
      </c>
      <c r="S589" s="35">
        <f>Inputs!$D$6*E589*Inputs!$D$27*(1-Inputs!$D$38*R589)</f>
        <v>4274.2487450594635</v>
      </c>
      <c r="T589" s="39">
        <f>S589*Inputs!$D$12</f>
        <v>68387.979920951417</v>
      </c>
      <c r="U589" s="39">
        <f>T589*(1-Inputs!$D$18)</f>
        <v>30774.590964428135</v>
      </c>
      <c r="V589" s="35">
        <f>Inputs!$D$6*F589*Inputs!$D$28*Inputs!$D$31</f>
        <v>653.43542972572936</v>
      </c>
      <c r="W589" s="36">
        <f>V589/(B589*Inputs!$D$34)</f>
        <v>1.037199094802745</v>
      </c>
      <c r="X589" s="38">
        <f>IF(W589&gt;=1,999,W589/(Inputs!$D$34*(1-W589))*60)</f>
        <v>999</v>
      </c>
      <c r="Y589" s="37">
        <f>MIN(1,MAX(0,(X589-Inputs!$D$36)/(Inputs!$D$37-Inputs!$D$36)))</f>
        <v>1</v>
      </c>
      <c r="Z589" s="35">
        <f>Inputs!$D$6*F589*Inputs!$D$28*(1-Inputs!$D$38*Y589)</f>
        <v>2764.534510378086</v>
      </c>
      <c r="AA589" s="39">
        <f>Z589*Inputs!$D$13</f>
        <v>23498.543338213731</v>
      </c>
      <c r="AB589" s="39">
        <f>AA589*(1-Inputs!$D$19)</f>
        <v>14099.126002928238</v>
      </c>
      <c r="AC589" s="39">
        <f t="shared" si="36"/>
        <v>356616.32425916521</v>
      </c>
      <c r="AD589" s="39">
        <f t="shared" si="37"/>
        <v>137529.14731735637</v>
      </c>
      <c r="AE589" s="36">
        <f t="shared" si="38"/>
        <v>1.037199094802745</v>
      </c>
      <c r="AF589" s="35">
        <f>IF(AND(AE589&lt;=Inputs!$D$35,C589&gt;=Inputs!$D$48*(A589+B589+C589),B589*Inputs!$D$22&lt;=Inputs!$D$50*Inputs!$D$8,B589*Inputs!$D$22&gt;=Inputs!$D$49*Inputs!$D$8,A589*Inputs!$D$20&lt;=Inputs!$D$47*Inputs!$D$8,C589&gt;=1),1,0)</f>
        <v>0</v>
      </c>
      <c r="AG589" s="39">
        <f t="shared" si="39"/>
        <v>-1</v>
      </c>
    </row>
    <row r="590" spans="1:33" x14ac:dyDescent="0.25">
      <c r="A590" s="35">
        <v>49</v>
      </c>
      <c r="B590" s="35">
        <v>19</v>
      </c>
      <c r="C590" s="35">
        <f>Inputs!$D$8-A590-Inputs!$D$22*B590</f>
        <v>33</v>
      </c>
      <c r="D590" s="35">
        <f>A590*Inputs!$D$20+C590*Inputs!$D$21+B590*Inputs!$D$22</f>
        <v>120</v>
      </c>
      <c r="E590" s="36">
        <f>MIN(Inputs!$E$15,Inputs!$D$15*(C590/Inputs!$D$43)^Inputs!$D$44)</f>
        <v>0.35322833999035824</v>
      </c>
      <c r="F590" s="36">
        <f>MIN(Inputs!$E$16,Inputs!$D$16*(B590/Inputs!$D$42)^Inputs!$D$44)</f>
        <v>0.39389192072703005</v>
      </c>
      <c r="G590" s="37">
        <f>Inputs!$D$26*(1+Inputs!$D$41*(B590-Inputs!$D$42))</f>
        <v>1.4849999999999999</v>
      </c>
      <c r="H590" s="35">
        <f>Inputs!$D$6*Inputs!$D$14*G590*Inputs!$D$29</f>
        <v>1865.7985499999998</v>
      </c>
      <c r="I590" s="36">
        <f>H590/(A590*Inputs!$D$32)</f>
        <v>0.69231857142857134</v>
      </c>
      <c r="J590" s="38">
        <f>IF(I590&gt;=1,999,I590/(Inputs!$D$32*(1-I590))*60)</f>
        <v>2.4546708161207373</v>
      </c>
      <c r="K590" s="37">
        <f>MIN(1,MAX(0,(J590-Inputs!$D$36)/(Inputs!$D$37-Inputs!$D$36)))</f>
        <v>0</v>
      </c>
      <c r="L590" s="35">
        <f>Inputs!$D$6*Inputs!$D$14*G590*(1-Inputs!$D$38*K590)</f>
        <v>12438.656999999999</v>
      </c>
      <c r="M590" s="39">
        <f>L590*Inputs!$D$11</f>
        <v>267431.12549999997</v>
      </c>
      <c r="N590" s="39">
        <f>M590*(1-Inputs!$D$17)</f>
        <v>93600.893924999982</v>
      </c>
      <c r="O590" s="35">
        <f>Inputs!$D$6*E590*Inputs!$D$27*Inputs!$D$30</f>
        <v>503.93533061728459</v>
      </c>
      <c r="P590" s="36">
        <f>O590/(C590*Inputs!$D$33)</f>
        <v>0.38176918986157926</v>
      </c>
      <c r="Q590" s="38">
        <f>IF(P590&gt;=1,999,P590/(Inputs!$D$33*(1-P590))*60)</f>
        <v>0.92627830156855617</v>
      </c>
      <c r="R590" s="37">
        <f>MIN(1,MAX(0,(Q590-Inputs!$D$36)/(Inputs!$D$37-Inputs!$D$36)))</f>
        <v>0</v>
      </c>
      <c r="S590" s="35">
        <f>Inputs!$D$6*E590*Inputs!$D$27*(1-Inputs!$D$38*R590)</f>
        <v>4199.461088477372</v>
      </c>
      <c r="T590" s="39">
        <f>S590*Inputs!$D$12</f>
        <v>67191.377415637951</v>
      </c>
      <c r="U590" s="39">
        <f>T590*(1-Inputs!$D$18)</f>
        <v>30236.119837037077</v>
      </c>
      <c r="V590" s="35">
        <f>Inputs!$D$6*F590*Inputs!$D$28*Inputs!$D$31</f>
        <v>664.12068515796761</v>
      </c>
      <c r="W590" s="36">
        <f>V590/(B590*Inputs!$D$34)</f>
        <v>0.99867772204205651</v>
      </c>
      <c r="X590" s="38">
        <f>IF(W590&gt;=1,999,W590/(Inputs!$D$34*(1-W590))*60)</f>
        <v>1294.749671797274</v>
      </c>
      <c r="Y590" s="37">
        <f>MIN(1,MAX(0,(X590-Inputs!$D$36)/(Inputs!$D$37-Inputs!$D$36)))</f>
        <v>1</v>
      </c>
      <c r="Z590" s="35">
        <f>Inputs!$D$6*F590*Inputs!$D$28*(1-Inputs!$D$38*Y590)</f>
        <v>2809.7413602837091</v>
      </c>
      <c r="AA590" s="39">
        <f>Z590*Inputs!$D$13</f>
        <v>23882.801562411529</v>
      </c>
      <c r="AB590" s="39">
        <f>AA590*(1-Inputs!$D$19)</f>
        <v>14329.680937446918</v>
      </c>
      <c r="AC590" s="39">
        <f t="shared" si="36"/>
        <v>358505.30447804945</v>
      </c>
      <c r="AD590" s="39">
        <f t="shared" si="37"/>
        <v>138166.69469948398</v>
      </c>
      <c r="AE590" s="36">
        <f t="shared" si="38"/>
        <v>0.99867772204205651</v>
      </c>
      <c r="AF590" s="35">
        <f>IF(AND(AE590&lt;=Inputs!$D$35,C590&gt;=Inputs!$D$48*(A590+B590+C590),B590*Inputs!$D$22&lt;=Inputs!$D$50*Inputs!$D$8,B590*Inputs!$D$22&gt;=Inputs!$D$49*Inputs!$D$8,A590*Inputs!$D$20&lt;=Inputs!$D$47*Inputs!$D$8,C590&gt;=1),1,0)</f>
        <v>0</v>
      </c>
      <c r="AG590" s="39">
        <f t="shared" si="39"/>
        <v>-1</v>
      </c>
    </row>
    <row r="591" spans="1:33" x14ac:dyDescent="0.25">
      <c r="A591" s="35">
        <v>49</v>
      </c>
      <c r="B591" s="35">
        <v>20</v>
      </c>
      <c r="C591" s="35">
        <f>Inputs!$D$8-A591-Inputs!$D$22*B591</f>
        <v>31</v>
      </c>
      <c r="D591" s="35">
        <f>A591*Inputs!$D$20+C591*Inputs!$D$21+B591*Inputs!$D$22</f>
        <v>120</v>
      </c>
      <c r="E591" s="36">
        <f>MIN(Inputs!$E$15,Inputs!$D$15*(C591/Inputs!$D$43)^Inputs!$D$44)</f>
        <v>0.34666489615699225</v>
      </c>
      <c r="F591" s="36">
        <f>MIN(Inputs!$E$16,Inputs!$D$16*(B591/Inputs!$D$42)^Inputs!$D$44)</f>
        <v>0.4</v>
      </c>
      <c r="G591" s="37">
        <f>Inputs!$D$26*(1+Inputs!$D$41*(B591-Inputs!$D$42))</f>
        <v>1.5</v>
      </c>
      <c r="H591" s="35">
        <f>Inputs!$D$6*Inputs!$D$14*G591*Inputs!$D$29</f>
        <v>1884.645</v>
      </c>
      <c r="I591" s="36">
        <f>H591/(A591*Inputs!$D$32)</f>
        <v>0.69931168831168833</v>
      </c>
      <c r="J591" s="38">
        <f>IF(I591&gt;=1,999,I591/(Inputs!$D$32*(1-I591))*60)</f>
        <v>2.5371304719985237</v>
      </c>
      <c r="K591" s="37">
        <f>MIN(1,MAX(0,(J591-Inputs!$D$36)/(Inputs!$D$37-Inputs!$D$36)))</f>
        <v>0</v>
      </c>
      <c r="L591" s="35">
        <f>Inputs!$D$6*Inputs!$D$14*G591*(1-Inputs!$D$38*K591)</f>
        <v>12564.300000000001</v>
      </c>
      <c r="M591" s="39">
        <f>L591*Inputs!$D$11</f>
        <v>270132.45</v>
      </c>
      <c r="N591" s="39">
        <f>M591*(1-Inputs!$D$17)</f>
        <v>94546.357499999998</v>
      </c>
      <c r="O591" s="35">
        <f>Inputs!$D$6*E591*Inputs!$D$27*Inputs!$D$30</f>
        <v>494.57155409174993</v>
      </c>
      <c r="P591" s="36">
        <f>O591/(C591*Inputs!$D$33)</f>
        <v>0.39884802749334675</v>
      </c>
      <c r="Q591" s="38">
        <f>IF(P591&gt;=1,999,P591/(Inputs!$D$33*(1-P591))*60)</f>
        <v>0.9952093124561755</v>
      </c>
      <c r="R591" s="37">
        <f>MIN(1,MAX(0,(Q591-Inputs!$D$36)/(Inputs!$D$37-Inputs!$D$36)))</f>
        <v>0</v>
      </c>
      <c r="S591" s="35">
        <f>Inputs!$D$6*E591*Inputs!$D$27*(1-Inputs!$D$38*R591)</f>
        <v>4121.4296174312494</v>
      </c>
      <c r="T591" s="39">
        <f>S591*Inputs!$D$12</f>
        <v>65942.873878899991</v>
      </c>
      <c r="U591" s="39">
        <f>T591*(1-Inputs!$D$18)</f>
        <v>29674.293245504992</v>
      </c>
      <c r="V591" s="35">
        <f>Inputs!$D$6*F591*Inputs!$D$28*Inputs!$D$31</f>
        <v>674.41919999999993</v>
      </c>
      <c r="W591" s="36">
        <f>V591/(B591*Inputs!$D$34)</f>
        <v>0.96345599999999987</v>
      </c>
      <c r="X591" s="38">
        <f>IF(W591&gt;=1,999,W591/(Inputs!$D$34*(1-W591))*60)</f>
        <v>45.195896922691851</v>
      </c>
      <c r="Y591" s="37">
        <f>MIN(1,MAX(0,(X591-Inputs!$D$36)/(Inputs!$D$37-Inputs!$D$36)))</f>
        <v>1</v>
      </c>
      <c r="Z591" s="35">
        <f>Inputs!$D$6*F591*Inputs!$D$28*(1-Inputs!$D$38*Y591)</f>
        <v>2853.3119999999999</v>
      </c>
      <c r="AA591" s="39">
        <f>Z591*Inputs!$D$13</f>
        <v>24253.151999999998</v>
      </c>
      <c r="AB591" s="39">
        <f>AA591*(1-Inputs!$D$19)</f>
        <v>14551.891199999998</v>
      </c>
      <c r="AC591" s="39">
        <f t="shared" si="36"/>
        <v>360328.47587890003</v>
      </c>
      <c r="AD591" s="39">
        <f t="shared" si="37"/>
        <v>138772.54194550499</v>
      </c>
      <c r="AE591" s="36">
        <f t="shared" si="38"/>
        <v>0.96345599999999987</v>
      </c>
      <c r="AF591" s="35">
        <f>IF(AND(AE591&lt;=Inputs!$D$35,C591&gt;=Inputs!$D$48*(A591+B591+C591),B591*Inputs!$D$22&lt;=Inputs!$D$50*Inputs!$D$8,B591*Inputs!$D$22&gt;=Inputs!$D$49*Inputs!$D$8,A591*Inputs!$D$20&lt;=Inputs!$D$47*Inputs!$D$8,C591&gt;=1),1,0)</f>
        <v>0</v>
      </c>
      <c r="AG591" s="39">
        <f t="shared" si="39"/>
        <v>-1</v>
      </c>
    </row>
    <row r="592" spans="1:33" x14ac:dyDescent="0.25">
      <c r="A592" s="35">
        <v>49</v>
      </c>
      <c r="B592" s="35">
        <v>21</v>
      </c>
      <c r="C592" s="35">
        <f>Inputs!$D$8-A592-Inputs!$D$22*B592</f>
        <v>29</v>
      </c>
      <c r="D592" s="35">
        <f>A592*Inputs!$D$20+C592*Inputs!$D$21+B592*Inputs!$D$22</f>
        <v>120</v>
      </c>
      <c r="E592" s="36">
        <f>MIN(Inputs!$E$15,Inputs!$D$15*(C592/Inputs!$D$43)^Inputs!$D$44)</f>
        <v>0.33979795258455459</v>
      </c>
      <c r="F592" s="36">
        <f>MIN(Inputs!$E$16,Inputs!$D$16*(B592/Inputs!$D$42)^Inputs!$D$44)</f>
        <v>0.40589787816896217</v>
      </c>
      <c r="G592" s="37">
        <f>Inputs!$D$26*(1+Inputs!$D$41*(B592-Inputs!$D$42))</f>
        <v>1.5150000000000001</v>
      </c>
      <c r="H592" s="35">
        <f>Inputs!$D$6*Inputs!$D$14*G592*Inputs!$D$29</f>
        <v>1903.4914500000004</v>
      </c>
      <c r="I592" s="36">
        <f>H592/(A592*Inputs!$D$32)</f>
        <v>0.70630480519480532</v>
      </c>
      <c r="J592" s="38">
        <f>IF(I592&gt;=1,999,I592/(Inputs!$D$32*(1-I592))*60)</f>
        <v>2.6235169882532898</v>
      </c>
      <c r="K592" s="37">
        <f>MIN(1,MAX(0,(J592-Inputs!$D$36)/(Inputs!$D$37-Inputs!$D$36)))</f>
        <v>0</v>
      </c>
      <c r="L592" s="35">
        <f>Inputs!$D$6*Inputs!$D$14*G592*(1-Inputs!$D$38*K592)</f>
        <v>12689.943000000003</v>
      </c>
      <c r="M592" s="39">
        <f>L592*Inputs!$D$11</f>
        <v>272833.77450000006</v>
      </c>
      <c r="N592" s="39">
        <f>M592*(1-Inputs!$D$17)</f>
        <v>95491.821075000014</v>
      </c>
      <c r="O592" s="35">
        <f>Inputs!$D$6*E592*Inputs!$D$27*Inputs!$D$30</f>
        <v>484.77478784247035</v>
      </c>
      <c r="P592" s="36">
        <f>O592/(C592*Inputs!$D$33)</f>
        <v>0.41790929986419856</v>
      </c>
      <c r="Q592" s="38">
        <f>IF(P592&gt;=1,999,P592/(Inputs!$D$33*(1-P592))*60)</f>
        <v>1.0769179951681944</v>
      </c>
      <c r="R592" s="37">
        <f>MIN(1,MAX(0,(Q592-Inputs!$D$36)/(Inputs!$D$37-Inputs!$D$36)))</f>
        <v>0</v>
      </c>
      <c r="S592" s="35">
        <f>Inputs!$D$6*E592*Inputs!$D$27*(1-Inputs!$D$38*R592)</f>
        <v>4039.7898986872528</v>
      </c>
      <c r="T592" s="39">
        <f>S592*Inputs!$D$12</f>
        <v>64636.638378996046</v>
      </c>
      <c r="U592" s="39">
        <f>T592*(1-Inputs!$D$18)</f>
        <v>29086.487270548219</v>
      </c>
      <c r="V592" s="35">
        <f>Inputs!$D$6*F592*Inputs!$D$28*Inputs!$D$31</f>
        <v>684.36330569102222</v>
      </c>
      <c r="W592" s="36">
        <f>V592/(B592*Inputs!$D$34)</f>
        <v>0.93110653835513224</v>
      </c>
      <c r="X592" s="38">
        <f>IF(W592&gt;=1,999,W592/(Inputs!$D$34*(1-W592))*60)</f>
        <v>23.16885520150278</v>
      </c>
      <c r="Y592" s="37">
        <f>MIN(1,MAX(0,(X592-Inputs!$D$36)/(Inputs!$D$37-Inputs!$D$36)))</f>
        <v>1</v>
      </c>
      <c r="Z592" s="35">
        <f>Inputs!$D$6*F592*Inputs!$D$28*(1-Inputs!$D$38*Y592)</f>
        <v>2895.3832163850943</v>
      </c>
      <c r="AA592" s="39">
        <f>Z592*Inputs!$D$13</f>
        <v>24610.757339273303</v>
      </c>
      <c r="AB592" s="39">
        <f>AA592*(1-Inputs!$D$19)</f>
        <v>14766.454403563981</v>
      </c>
      <c r="AC592" s="39">
        <f t="shared" si="36"/>
        <v>362081.1702182694</v>
      </c>
      <c r="AD592" s="39">
        <f t="shared" si="37"/>
        <v>139344.76274911221</v>
      </c>
      <c r="AE592" s="36">
        <f t="shared" si="38"/>
        <v>0.93110653835513224</v>
      </c>
      <c r="AF592" s="35">
        <f>IF(AND(AE592&lt;=Inputs!$D$35,C592&gt;=Inputs!$D$48*(A592+B592+C592),B592*Inputs!$D$22&lt;=Inputs!$D$50*Inputs!$D$8,B592*Inputs!$D$22&gt;=Inputs!$D$49*Inputs!$D$8,A592*Inputs!$D$20&lt;=Inputs!$D$47*Inputs!$D$8,C592&gt;=1),1,0)</f>
        <v>0</v>
      </c>
      <c r="AG592" s="39">
        <f t="shared" si="39"/>
        <v>-1</v>
      </c>
    </row>
    <row r="593" spans="1:33" x14ac:dyDescent="0.25">
      <c r="A593" s="35">
        <v>49</v>
      </c>
      <c r="B593" s="35">
        <v>22</v>
      </c>
      <c r="C593" s="35">
        <f>Inputs!$D$8-A593-Inputs!$D$22*B593</f>
        <v>27</v>
      </c>
      <c r="D593" s="35">
        <f>A593*Inputs!$D$20+C593*Inputs!$D$21+B593*Inputs!$D$22</f>
        <v>120</v>
      </c>
      <c r="E593" s="36">
        <f>MIN(Inputs!$E$15,Inputs!$D$15*(C593/Inputs!$D$43)^Inputs!$D$44)</f>
        <v>0.33259099594532748</v>
      </c>
      <c r="F593" s="36">
        <f>MIN(Inputs!$E$16,Inputs!$D$16*(B593/Inputs!$D$42)^Inputs!$D$44)</f>
        <v>0.41160230376843804</v>
      </c>
      <c r="G593" s="37">
        <f>Inputs!$D$26*(1+Inputs!$D$41*(B593-Inputs!$D$42))</f>
        <v>1.53</v>
      </c>
      <c r="H593" s="35">
        <f>Inputs!$D$6*Inputs!$D$14*G593*Inputs!$D$29</f>
        <v>1922.3379</v>
      </c>
      <c r="I593" s="36">
        <f>H593/(A593*Inputs!$D$32)</f>
        <v>0.71329792207792209</v>
      </c>
      <c r="J593" s="38">
        <f>IF(I593&gt;=1,999,I593/(Inputs!$D$32*(1-I593))*60)</f>
        <v>2.7141177118808999</v>
      </c>
      <c r="K593" s="37">
        <f>MIN(1,MAX(0,(J593-Inputs!$D$36)/(Inputs!$D$37-Inputs!$D$36)))</f>
        <v>0</v>
      </c>
      <c r="L593" s="35">
        <f>Inputs!$D$6*Inputs!$D$14*G593*(1-Inputs!$D$38*K593)</f>
        <v>12815.586000000001</v>
      </c>
      <c r="M593" s="39">
        <f>L593*Inputs!$D$11</f>
        <v>275535.09900000005</v>
      </c>
      <c r="N593" s="39">
        <f>M593*(1-Inputs!$D$17)</f>
        <v>96437.284650000016</v>
      </c>
      <c r="O593" s="35">
        <f>Inputs!$D$6*E593*Inputs!$D$27*Inputs!$D$30</f>
        <v>474.49293991137716</v>
      </c>
      <c r="P593" s="36">
        <f>O593/(C593*Inputs!$D$33)</f>
        <v>0.43934531473275662</v>
      </c>
      <c r="Q593" s="38">
        <f>IF(P593&gt;=1,999,P593/(Inputs!$D$33*(1-P593))*60)</f>
        <v>1.1754436187133714</v>
      </c>
      <c r="R593" s="37">
        <f>MIN(1,MAX(0,(Q593-Inputs!$D$36)/(Inputs!$D$37-Inputs!$D$36)))</f>
        <v>0</v>
      </c>
      <c r="S593" s="35">
        <f>Inputs!$D$6*E593*Inputs!$D$27*(1-Inputs!$D$38*R593)</f>
        <v>3954.1078325948097</v>
      </c>
      <c r="T593" s="39">
        <f>S593*Inputs!$D$12</f>
        <v>63265.725321516955</v>
      </c>
      <c r="U593" s="39">
        <f>T593*(1-Inputs!$D$18)</f>
        <v>28469.576394682626</v>
      </c>
      <c r="V593" s="35">
        <f>Inputs!$D$6*F593*Inputs!$D$28*Inputs!$D$31</f>
        <v>693.98124106416742</v>
      </c>
      <c r="W593" s="36">
        <f>V593/(B593*Inputs!$D$34)</f>
        <v>0.90127433904437326</v>
      </c>
      <c r="X593" s="38">
        <f>IF(W593&gt;=1,999,W593/(Inputs!$D$34*(1-W593))*60)</f>
        <v>15.649849381818807</v>
      </c>
      <c r="Y593" s="37">
        <f>MIN(1,MAX(0,(X593-Inputs!$D$36)/(Inputs!$D$37-Inputs!$D$36)))</f>
        <v>0.70998995878792048</v>
      </c>
      <c r="Z593" s="35">
        <f>Inputs!$D$6*F593*Inputs!$D$28*(1-Inputs!$D$38*Y593)</f>
        <v>3632.749002537963</v>
      </c>
      <c r="AA593" s="39">
        <f>Z593*Inputs!$D$13</f>
        <v>30878.366521572687</v>
      </c>
      <c r="AB593" s="39">
        <f>AA593*(1-Inputs!$D$19)</f>
        <v>18527.019912943611</v>
      </c>
      <c r="AC593" s="39">
        <f t="shared" si="36"/>
        <v>369679.19084308972</v>
      </c>
      <c r="AD593" s="39">
        <f t="shared" si="37"/>
        <v>143433.88095762627</v>
      </c>
      <c r="AE593" s="36">
        <f t="shared" si="38"/>
        <v>0.90127433904437326</v>
      </c>
      <c r="AF593" s="35">
        <f>IF(AND(AE593&lt;=Inputs!$D$35,C593&gt;=Inputs!$D$48*(A593+B593+C593),B593*Inputs!$D$22&lt;=Inputs!$D$50*Inputs!$D$8,B593*Inputs!$D$22&gt;=Inputs!$D$49*Inputs!$D$8,A593*Inputs!$D$20&lt;=Inputs!$D$47*Inputs!$D$8,C593&gt;=1),1,0)</f>
        <v>0</v>
      </c>
      <c r="AG593" s="39">
        <f t="shared" si="39"/>
        <v>-1</v>
      </c>
    </row>
    <row r="594" spans="1:33" x14ac:dyDescent="0.25">
      <c r="A594" s="35">
        <v>49</v>
      </c>
      <c r="B594" s="35">
        <v>23</v>
      </c>
      <c r="C594" s="35">
        <f>Inputs!$D$8-A594-Inputs!$D$22*B594</f>
        <v>25</v>
      </c>
      <c r="D594" s="35">
        <f>A594*Inputs!$D$20+C594*Inputs!$D$21+B594*Inputs!$D$22</f>
        <v>120</v>
      </c>
      <c r="E594" s="36">
        <f>MIN(Inputs!$E$15,Inputs!$D$15*(C594/Inputs!$D$43)^Inputs!$D$44)</f>
        <v>0.32500000000000001</v>
      </c>
      <c r="F594" s="36">
        <f>MIN(Inputs!$E$16,Inputs!$D$16*(B594/Inputs!$D$42)^Inputs!$D$44)</f>
        <v>0.41712800028621322</v>
      </c>
      <c r="G594" s="37">
        <f>Inputs!$D$26*(1+Inputs!$D$41*(B594-Inputs!$D$42))</f>
        <v>1.5449999999999999</v>
      </c>
      <c r="H594" s="35">
        <f>Inputs!$D$6*Inputs!$D$14*G594*Inputs!$D$29</f>
        <v>1941.18435</v>
      </c>
      <c r="I594" s="36">
        <f>H594/(A594*Inputs!$D$32)</f>
        <v>0.72029103896103897</v>
      </c>
      <c r="J594" s="38">
        <f>IF(I594&gt;=1,999,I594/(Inputs!$D$32*(1-I594))*60)</f>
        <v>2.809248726191151</v>
      </c>
      <c r="K594" s="37">
        <f>MIN(1,MAX(0,(J594-Inputs!$D$36)/(Inputs!$D$37-Inputs!$D$36)))</f>
        <v>0</v>
      </c>
      <c r="L594" s="35">
        <f>Inputs!$D$6*Inputs!$D$14*G594*(1-Inputs!$D$38*K594)</f>
        <v>12941.229000000001</v>
      </c>
      <c r="M594" s="39">
        <f>L594*Inputs!$D$11</f>
        <v>278236.42350000003</v>
      </c>
      <c r="N594" s="39">
        <f>M594*(1-Inputs!$D$17)</f>
        <v>97382.748225000003</v>
      </c>
      <c r="O594" s="35">
        <f>Inputs!$D$6*E594*Inputs!$D$27*Inputs!$D$30</f>
        <v>463.66320000000002</v>
      </c>
      <c r="P594" s="36">
        <f>O594/(C594*Inputs!$D$33)</f>
        <v>0.4636632</v>
      </c>
      <c r="Q594" s="38">
        <f>IF(P594&gt;=1,999,P594/(Inputs!$D$33*(1-P594))*60)</f>
        <v>1.296750101801704</v>
      </c>
      <c r="R594" s="37">
        <f>MIN(1,MAX(0,(Q594-Inputs!$D$36)/(Inputs!$D$37-Inputs!$D$36)))</f>
        <v>0</v>
      </c>
      <c r="S594" s="35">
        <f>Inputs!$D$6*E594*Inputs!$D$27*(1-Inputs!$D$38*R594)</f>
        <v>3863.86</v>
      </c>
      <c r="T594" s="39">
        <f>S594*Inputs!$D$12</f>
        <v>61821.760000000002</v>
      </c>
      <c r="U594" s="39">
        <f>T594*(1-Inputs!$D$18)</f>
        <v>27819.791999999998</v>
      </c>
      <c r="V594" s="35">
        <f>Inputs!$D$6*F594*Inputs!$D$28*Inputs!$D$31</f>
        <v>703.29783062656929</v>
      </c>
      <c r="W594" s="36">
        <f>V594/(B594*Inputs!$D$34)</f>
        <v>0.87366190139946498</v>
      </c>
      <c r="X594" s="38">
        <f>IF(W594&gt;=1,999,W594/(Inputs!$D$34*(1-W594))*60)</f>
        <v>11.854746377182334</v>
      </c>
      <c r="Y594" s="37">
        <f>MIN(1,MAX(0,(X594-Inputs!$D$36)/(Inputs!$D$37-Inputs!$D$36)))</f>
        <v>0.45698309181215557</v>
      </c>
      <c r="Z594" s="35">
        <f>Inputs!$D$6*F594*Inputs!$D$28*(1-Inputs!$D$38*Y594)</f>
        <v>4297.4614071503011</v>
      </c>
      <c r="AA594" s="39">
        <f>Z594*Inputs!$D$13</f>
        <v>36528.421960777559</v>
      </c>
      <c r="AB594" s="39">
        <f>AA594*(1-Inputs!$D$19)</f>
        <v>21917.053176466536</v>
      </c>
      <c r="AC594" s="39">
        <f t="shared" si="36"/>
        <v>376586.60546077759</v>
      </c>
      <c r="AD594" s="39">
        <f t="shared" si="37"/>
        <v>147119.59340146655</v>
      </c>
      <c r="AE594" s="36">
        <f t="shared" si="38"/>
        <v>0.87366190139946498</v>
      </c>
      <c r="AF594" s="35">
        <f>IF(AND(AE594&lt;=Inputs!$D$35,C594&gt;=Inputs!$D$48*(A594+B594+C594),B594*Inputs!$D$22&lt;=Inputs!$D$50*Inputs!$D$8,B594*Inputs!$D$22&gt;=Inputs!$D$49*Inputs!$D$8,A594*Inputs!$D$20&lt;=Inputs!$D$47*Inputs!$D$8,C594&gt;=1),1,0)</f>
        <v>0</v>
      </c>
      <c r="AG594" s="39">
        <f t="shared" si="39"/>
        <v>-1</v>
      </c>
    </row>
    <row r="595" spans="1:33" x14ac:dyDescent="0.25">
      <c r="A595" s="35">
        <v>49</v>
      </c>
      <c r="B595" s="35">
        <v>24</v>
      </c>
      <c r="C595" s="35">
        <f>Inputs!$D$8-A595-Inputs!$D$22*B595</f>
        <v>23</v>
      </c>
      <c r="D595" s="35">
        <f>A595*Inputs!$D$20+C595*Inputs!$D$21+B595*Inputs!$D$22</f>
        <v>120</v>
      </c>
      <c r="E595" s="36">
        <f>MIN(Inputs!$E$15,Inputs!$D$15*(C595/Inputs!$D$43)^Inputs!$D$44)</f>
        <v>0.31697113078396583</v>
      </c>
      <c r="F595" s="36">
        <f>MIN(Inputs!$E$16,Inputs!$D$16*(B595/Inputs!$D$42)^Inputs!$D$44)</f>
        <v>0.42248798737570326</v>
      </c>
      <c r="G595" s="37">
        <f>Inputs!$D$26*(1+Inputs!$D$41*(B595-Inputs!$D$42))</f>
        <v>1.56</v>
      </c>
      <c r="H595" s="35">
        <f>Inputs!$D$6*Inputs!$D$14*G595*Inputs!$D$29</f>
        <v>1960.0308</v>
      </c>
      <c r="I595" s="36">
        <f>H595/(A595*Inputs!$D$32)</f>
        <v>0.72728415584415584</v>
      </c>
      <c r="J595" s="38">
        <f>IF(I595&gt;=1,999,I595/(Inputs!$D$32*(1-I595))*60)</f>
        <v>2.9092585351628588</v>
      </c>
      <c r="K595" s="37">
        <f>MIN(1,MAX(0,(J595-Inputs!$D$36)/(Inputs!$D$37-Inputs!$D$36)))</f>
        <v>0</v>
      </c>
      <c r="L595" s="35">
        <f>Inputs!$D$6*Inputs!$D$14*G595*(1-Inputs!$D$38*K595)</f>
        <v>13066.872000000001</v>
      </c>
      <c r="M595" s="39">
        <f>L595*Inputs!$D$11</f>
        <v>280937.74800000002</v>
      </c>
      <c r="N595" s="39">
        <f>M595*(1-Inputs!$D$17)</f>
        <v>98328.211800000005</v>
      </c>
      <c r="O595" s="35">
        <f>Inputs!$D$6*E595*Inputs!$D$27*Inputs!$D$30</f>
        <v>452.20876555972956</v>
      </c>
      <c r="P595" s="36">
        <f>O595/(C595*Inputs!$D$33)</f>
        <v>0.49153126691274951</v>
      </c>
      <c r="Q595" s="38">
        <f>IF(P595&gt;=1,999,P595/(Inputs!$D$33*(1-P595))*60)</f>
        <v>1.4500339005950402</v>
      </c>
      <c r="R595" s="37">
        <f>MIN(1,MAX(0,(Q595-Inputs!$D$36)/(Inputs!$D$37-Inputs!$D$36)))</f>
        <v>0</v>
      </c>
      <c r="S595" s="35">
        <f>Inputs!$D$6*E595*Inputs!$D$27*(1-Inputs!$D$38*R595)</f>
        <v>3768.4063796644132</v>
      </c>
      <c r="T595" s="39">
        <f>S595*Inputs!$D$12</f>
        <v>60294.502074630611</v>
      </c>
      <c r="U595" s="39">
        <f>T595*(1-Inputs!$D$18)</f>
        <v>27132.525933583773</v>
      </c>
      <c r="V595" s="35">
        <f>Inputs!$D$6*F595*Inputs!$D$28*Inputs!$D$31</f>
        <v>712.33502613882979</v>
      </c>
      <c r="W595" s="36">
        <f>V595/(B595*Inputs!$D$34)</f>
        <v>0.84801788826051161</v>
      </c>
      <c r="X595" s="38">
        <f>IF(W595&gt;=1,999,W595/(Inputs!$D$34*(1-W595))*60)</f>
        <v>9.5652372155190832</v>
      </c>
      <c r="Y595" s="37">
        <f>MIN(1,MAX(0,(X595-Inputs!$D$36)/(Inputs!$D$37-Inputs!$D$36)))</f>
        <v>0.30434914770127219</v>
      </c>
      <c r="Z595" s="35">
        <f>Inputs!$D$6*F595*Inputs!$D$28*(1-Inputs!$D$38*Y595)</f>
        <v>4729.0436538571339</v>
      </c>
      <c r="AA595" s="39">
        <f>Z595*Inputs!$D$13</f>
        <v>40196.87105778564</v>
      </c>
      <c r="AB595" s="39">
        <f>AA595*(1-Inputs!$D$19)</f>
        <v>24118.122634671385</v>
      </c>
      <c r="AC595" s="39">
        <f t="shared" si="36"/>
        <v>381429.12113241624</v>
      </c>
      <c r="AD595" s="39">
        <f t="shared" si="37"/>
        <v>149578.86036825518</v>
      </c>
      <c r="AE595" s="36">
        <f t="shared" si="38"/>
        <v>0.84801788826051161</v>
      </c>
      <c r="AF595" s="35">
        <f>IF(AND(AE595&lt;=Inputs!$D$35,C595&gt;=Inputs!$D$48*(A595+B595+C595),B595*Inputs!$D$22&lt;=Inputs!$D$50*Inputs!$D$8,B595*Inputs!$D$22&gt;=Inputs!$D$49*Inputs!$D$8,A595*Inputs!$D$20&lt;=Inputs!$D$47*Inputs!$D$8,C595&gt;=1),1,0)</f>
        <v>1</v>
      </c>
      <c r="AG595" s="39">
        <f t="shared" si="39"/>
        <v>149578.86036825518</v>
      </c>
    </row>
    <row r="596" spans="1:33" x14ac:dyDescent="0.25">
      <c r="A596" s="35">
        <v>49</v>
      </c>
      <c r="B596" s="35">
        <v>25</v>
      </c>
      <c r="C596" s="35">
        <f>Inputs!$D$8-A596-Inputs!$D$22*B596</f>
        <v>21</v>
      </c>
      <c r="D596" s="35">
        <f>A596*Inputs!$D$20+C596*Inputs!$D$21+B596*Inputs!$D$22</f>
        <v>120</v>
      </c>
      <c r="E596" s="36">
        <f>MIN(Inputs!$E$15,Inputs!$D$15*(C596/Inputs!$D$43)^Inputs!$D$44)</f>
        <v>0.30843748043226404</v>
      </c>
      <c r="F596" s="36">
        <f>MIN(Inputs!$E$16,Inputs!$D$16*(B596/Inputs!$D$42)^Inputs!$D$44)</f>
        <v>0.42769383999647526</v>
      </c>
      <c r="G596" s="37">
        <f>Inputs!$D$26*(1+Inputs!$D$41*(B596-Inputs!$D$42))</f>
        <v>1.5750000000000002</v>
      </c>
      <c r="H596" s="35">
        <f>Inputs!$D$6*Inputs!$D$14*G596*Inputs!$D$29</f>
        <v>1978.8772500000005</v>
      </c>
      <c r="I596" s="36">
        <f>H596/(A596*Inputs!$D$32)</f>
        <v>0.73427727272727294</v>
      </c>
      <c r="J596" s="38">
        <f>IF(I596&gt;=1,999,I596/(Inputs!$D$32*(1-I596))*60)</f>
        <v>3.0145323295736439</v>
      </c>
      <c r="K596" s="37">
        <f>MIN(1,MAX(0,(J596-Inputs!$D$36)/(Inputs!$D$37-Inputs!$D$36)))</f>
        <v>0</v>
      </c>
      <c r="L596" s="35">
        <f>Inputs!$D$6*Inputs!$D$14*G596*(1-Inputs!$D$38*K596)</f>
        <v>13192.515000000003</v>
      </c>
      <c r="M596" s="39">
        <f>L596*Inputs!$D$11</f>
        <v>283639.07250000007</v>
      </c>
      <c r="N596" s="39">
        <f>M596*(1-Inputs!$D$17)</f>
        <v>99273.675375000021</v>
      </c>
      <c r="O596" s="35">
        <f>Inputs!$D$6*E596*Inputs!$D$27*Inputs!$D$30</f>
        <v>440.03418208357215</v>
      </c>
      <c r="P596" s="36">
        <f>O596/(C596*Inputs!$D$33)</f>
        <v>0.52385021676615728</v>
      </c>
      <c r="Q596" s="38">
        <f>IF(P596&gt;=1,999,P596/(Inputs!$D$33*(1-P596))*60)</f>
        <v>1.6502692069132636</v>
      </c>
      <c r="R596" s="37">
        <f>MIN(1,MAX(0,(Q596-Inputs!$D$36)/(Inputs!$D$37-Inputs!$D$36)))</f>
        <v>0</v>
      </c>
      <c r="S596" s="35">
        <f>Inputs!$D$6*E596*Inputs!$D$27*(1-Inputs!$D$38*R596)</f>
        <v>3666.9515173631012</v>
      </c>
      <c r="T596" s="39">
        <f>S596*Inputs!$D$12</f>
        <v>58671.224277809619</v>
      </c>
      <c r="U596" s="39">
        <f>T596*(1-Inputs!$D$18)</f>
        <v>26402.050925014326</v>
      </c>
      <c r="V596" s="35">
        <f>Inputs!$D$6*F596*Inputs!$D$28*Inputs!$D$31</f>
        <v>721.1123435383771</v>
      </c>
      <c r="W596" s="36">
        <f>V596/(B596*Inputs!$D$34)</f>
        <v>0.82412839261528814</v>
      </c>
      <c r="X596" s="38">
        <f>IF(W596&gt;=1,999,W596/(Inputs!$D$34*(1-W596))*60)</f>
        <v>8.0330847668163621</v>
      </c>
      <c r="Y596" s="37">
        <f>MIN(1,MAX(0,(X596-Inputs!$D$36)/(Inputs!$D$37-Inputs!$D$36)))</f>
        <v>0.20220565112109082</v>
      </c>
      <c r="Z596" s="35">
        <f>Inputs!$D$6*F596*Inputs!$D$28*(1-Inputs!$D$38*Y596)</f>
        <v>5042.2807508299393</v>
      </c>
      <c r="AA596" s="39">
        <f>Z596*Inputs!$D$13</f>
        <v>42859.386382054487</v>
      </c>
      <c r="AB596" s="39">
        <f>AA596*(1-Inputs!$D$19)</f>
        <v>25715.631829232691</v>
      </c>
      <c r="AC596" s="39">
        <f t="shared" si="36"/>
        <v>385169.68315986416</v>
      </c>
      <c r="AD596" s="39">
        <f t="shared" si="37"/>
        <v>151391.35812924703</v>
      </c>
      <c r="AE596" s="36">
        <f t="shared" si="38"/>
        <v>0.82412839261528814</v>
      </c>
      <c r="AF596" s="35">
        <f>IF(AND(AE596&lt;=Inputs!$D$35,C596&gt;=Inputs!$D$48*(A596+B596+C596),B596*Inputs!$D$22&lt;=Inputs!$D$50*Inputs!$D$8,B596*Inputs!$D$22&gt;=Inputs!$D$49*Inputs!$D$8,A596*Inputs!$D$20&lt;=Inputs!$D$47*Inputs!$D$8,C596&gt;=1),1,0)</f>
        <v>1</v>
      </c>
      <c r="AG596" s="39">
        <f t="shared" si="39"/>
        <v>151391.35812924703</v>
      </c>
    </row>
    <row r="597" spans="1:33" x14ac:dyDescent="0.25">
      <c r="A597" s="35">
        <v>49</v>
      </c>
      <c r="B597" s="35">
        <v>26</v>
      </c>
      <c r="C597" s="35">
        <f>Inputs!$D$8-A597-Inputs!$D$22*B597</f>
        <v>19</v>
      </c>
      <c r="D597" s="35">
        <f>A597*Inputs!$D$20+C597*Inputs!$D$21+B597*Inputs!$D$22</f>
        <v>120</v>
      </c>
      <c r="E597" s="36">
        <f>MIN(Inputs!$E$15,Inputs!$D$15*(C597/Inputs!$D$43)^Inputs!$D$44)</f>
        <v>0.29931428106923352</v>
      </c>
      <c r="F597" s="36">
        <f>MIN(Inputs!$E$16,Inputs!$D$16*(B597/Inputs!$D$42)^Inputs!$D$44)</f>
        <v>0.43275589945781112</v>
      </c>
      <c r="G597" s="37">
        <f>Inputs!$D$26*(1+Inputs!$D$41*(B597-Inputs!$D$42))</f>
        <v>1.59</v>
      </c>
      <c r="H597" s="35">
        <f>Inputs!$D$6*Inputs!$D$14*G597*Inputs!$D$29</f>
        <v>1997.7237</v>
      </c>
      <c r="I597" s="36">
        <f>H597/(A597*Inputs!$D$32)</f>
        <v>0.7412703896103896</v>
      </c>
      <c r="J597" s="38">
        <f>IF(I597&gt;=1,999,I597/(Inputs!$D$32*(1-I597))*60)</f>
        <v>3.1254969449765397</v>
      </c>
      <c r="K597" s="37">
        <f>MIN(1,MAX(0,(J597-Inputs!$D$36)/(Inputs!$D$37-Inputs!$D$36)))</f>
        <v>0</v>
      </c>
      <c r="L597" s="35">
        <f>Inputs!$D$6*Inputs!$D$14*G597*(1-Inputs!$D$38*K597)</f>
        <v>13318.158000000001</v>
      </c>
      <c r="M597" s="39">
        <f>L597*Inputs!$D$11</f>
        <v>286340.39700000006</v>
      </c>
      <c r="N597" s="39">
        <f>M597*(1-Inputs!$D$17)</f>
        <v>100219.13895000001</v>
      </c>
      <c r="O597" s="35">
        <f>Inputs!$D$6*E597*Inputs!$D$27*Inputs!$D$30</f>
        <v>427.01851497310844</v>
      </c>
      <c r="P597" s="36">
        <f>O597/(C597*Inputs!$D$33)</f>
        <v>0.56186646706987953</v>
      </c>
      <c r="Q597" s="38">
        <f>IF(P597&gt;=1,999,P597/(Inputs!$D$33*(1-P597))*60)</f>
        <v>1.9236137781292366</v>
      </c>
      <c r="R597" s="37">
        <f>MIN(1,MAX(0,(Q597-Inputs!$D$36)/(Inputs!$D$37-Inputs!$D$36)))</f>
        <v>0</v>
      </c>
      <c r="S597" s="35">
        <f>Inputs!$D$6*E597*Inputs!$D$27*(1-Inputs!$D$38*R597)</f>
        <v>3558.4876247759039</v>
      </c>
      <c r="T597" s="39">
        <f>S597*Inputs!$D$12</f>
        <v>56935.801996414462</v>
      </c>
      <c r="U597" s="39">
        <f>T597*(1-Inputs!$D$18)</f>
        <v>25621.110898386505</v>
      </c>
      <c r="V597" s="35">
        <f>Inputs!$D$6*F597*Inputs!$D$28*Inputs!$D$31</f>
        <v>729.64721876904355</v>
      </c>
      <c r="W597" s="36">
        <f>V597/(B597*Inputs!$D$34)</f>
        <v>0.80181013051543248</v>
      </c>
      <c r="X597" s="38">
        <f>IF(W597&gt;=1,999,W597/(Inputs!$D$34*(1-W597))*60)</f>
        <v>6.9354284146153136</v>
      </c>
      <c r="Y597" s="37">
        <f>MIN(1,MAX(0,(X597-Inputs!$D$36)/(Inputs!$D$37-Inputs!$D$36)))</f>
        <v>0.12902856097435425</v>
      </c>
      <c r="Z597" s="35">
        <f>Inputs!$D$6*F597*Inputs!$D$28*(1-Inputs!$D$38*Y597)</f>
        <v>5286.7832305655711</v>
      </c>
      <c r="AA597" s="39">
        <f>Z597*Inputs!$D$13</f>
        <v>44937.657459807357</v>
      </c>
      <c r="AB597" s="39">
        <f>AA597*(1-Inputs!$D$19)</f>
        <v>26962.594475884413</v>
      </c>
      <c r="AC597" s="39">
        <f t="shared" si="36"/>
        <v>388213.8564562219</v>
      </c>
      <c r="AD597" s="39">
        <f t="shared" si="37"/>
        <v>152802.8443242709</v>
      </c>
      <c r="AE597" s="36">
        <f t="shared" si="38"/>
        <v>0.80181013051543248</v>
      </c>
      <c r="AF597" s="35">
        <f>IF(AND(AE597&lt;=Inputs!$D$35,C597&gt;=Inputs!$D$48*(A597+B597+C597),B597*Inputs!$D$22&lt;=Inputs!$D$50*Inputs!$D$8,B597*Inputs!$D$22&gt;=Inputs!$D$49*Inputs!$D$8,A597*Inputs!$D$20&lt;=Inputs!$D$47*Inputs!$D$8,C597&gt;=1),1,0)</f>
        <v>1</v>
      </c>
      <c r="AG597" s="39">
        <f t="shared" si="39"/>
        <v>152802.8443242709</v>
      </c>
    </row>
    <row r="598" spans="1:33" x14ac:dyDescent="0.25">
      <c r="A598" s="35">
        <v>49</v>
      </c>
      <c r="B598" s="35">
        <v>27</v>
      </c>
      <c r="C598" s="35">
        <f>Inputs!$D$8-A598-Inputs!$D$22*B598</f>
        <v>17</v>
      </c>
      <c r="D598" s="35">
        <f>A598*Inputs!$D$20+C598*Inputs!$D$21+B598*Inputs!$D$22</f>
        <v>120</v>
      </c>
      <c r="E598" s="36">
        <f>MIN(Inputs!$E$15,Inputs!$D$15*(C598/Inputs!$D$43)^Inputs!$D$44)</f>
        <v>0.28949164546121231</v>
      </c>
      <c r="F598" s="36">
        <f>MIN(Inputs!$E$16,Inputs!$D$16*(B598/Inputs!$D$42)^Inputs!$D$44)</f>
        <v>0.43768344678187454</v>
      </c>
      <c r="G598" s="37">
        <f>Inputs!$D$26*(1+Inputs!$D$41*(B598-Inputs!$D$42))</f>
        <v>1.605</v>
      </c>
      <c r="H598" s="35">
        <f>Inputs!$D$6*Inputs!$D$14*G598*Inputs!$D$29</f>
        <v>2016.57015</v>
      </c>
      <c r="I598" s="36">
        <f>H598/(A598*Inputs!$D$32)</f>
        <v>0.74826350649350648</v>
      </c>
      <c r="J598" s="38">
        <f>IF(I598&gt;=1,999,I598/(Inputs!$D$32*(1-I598))*60)</f>
        <v>3.2426266460576709</v>
      </c>
      <c r="K598" s="37">
        <f>MIN(1,MAX(0,(J598-Inputs!$D$36)/(Inputs!$D$37-Inputs!$D$36)))</f>
        <v>0</v>
      </c>
      <c r="L598" s="35">
        <f>Inputs!$D$6*Inputs!$D$14*G598*(1-Inputs!$D$38*K598)</f>
        <v>13443.801000000001</v>
      </c>
      <c r="M598" s="39">
        <f>L598*Inputs!$D$11</f>
        <v>289041.72150000004</v>
      </c>
      <c r="N598" s="39">
        <f>M598*(1-Inputs!$D$17)</f>
        <v>101164.60252500001</v>
      </c>
      <c r="O598" s="35">
        <f>Inputs!$D$6*E598*Inputs!$D$27*Inputs!$D$30</f>
        <v>413.00499294711136</v>
      </c>
      <c r="P598" s="36">
        <f>O598/(C598*Inputs!$D$33)</f>
        <v>0.60736028374575202</v>
      </c>
      <c r="Q598" s="38">
        <f>IF(P598&gt;=1,999,P598/(Inputs!$D$33*(1-P598))*60)</f>
        <v>2.3202961593133828</v>
      </c>
      <c r="R598" s="37">
        <f>MIN(1,MAX(0,(Q598-Inputs!$D$36)/(Inputs!$D$37-Inputs!$D$36)))</f>
        <v>0</v>
      </c>
      <c r="S598" s="35">
        <f>Inputs!$D$6*E598*Inputs!$D$27*(1-Inputs!$D$38*R598)</f>
        <v>3441.7082745592616</v>
      </c>
      <c r="T598" s="39">
        <f>S598*Inputs!$D$12</f>
        <v>55067.332392948185</v>
      </c>
      <c r="U598" s="39">
        <f>T598*(1-Inputs!$D$18)</f>
        <v>24780.299576826681</v>
      </c>
      <c r="V598" s="35">
        <f>Inputs!$D$6*F598*Inputs!$D$28*Inputs!$D$31</f>
        <v>737.95530007968603</v>
      </c>
      <c r="W598" s="36">
        <f>V598/(B598*Inputs!$D$34)</f>
        <v>0.78090507944940324</v>
      </c>
      <c r="X598" s="38">
        <f>IF(W598&gt;=1,999,W598/(Inputs!$D$34*(1-W598))*60)</f>
        <v>6.1101116290101798</v>
      </c>
      <c r="Y598" s="37">
        <f>MIN(1,MAX(0,(X598-Inputs!$D$36)/(Inputs!$D$37-Inputs!$D$36)))</f>
        <v>7.4007441934011986E-2</v>
      </c>
      <c r="Z598" s="35">
        <f>Inputs!$D$6*F598*Inputs!$D$28*(1-Inputs!$D$38*Y598)</f>
        <v>5487.5301328495489</v>
      </c>
      <c r="AA598" s="39">
        <f>Z598*Inputs!$D$13</f>
        <v>46644.006129221169</v>
      </c>
      <c r="AB598" s="39">
        <f>AA598*(1-Inputs!$D$19)</f>
        <v>27986.4036775327</v>
      </c>
      <c r="AC598" s="39">
        <f t="shared" si="36"/>
        <v>390753.06002216937</v>
      </c>
      <c r="AD598" s="39">
        <f t="shared" si="37"/>
        <v>153931.30577935939</v>
      </c>
      <c r="AE598" s="36">
        <f t="shared" si="38"/>
        <v>0.78090507944940324</v>
      </c>
      <c r="AF598" s="35">
        <f>IF(AND(AE598&lt;=Inputs!$D$35,C598&gt;=Inputs!$D$48*(A598+B598+C598),B598*Inputs!$D$22&lt;=Inputs!$D$50*Inputs!$D$8,B598*Inputs!$D$22&gt;=Inputs!$D$49*Inputs!$D$8,A598*Inputs!$D$20&lt;=Inputs!$D$47*Inputs!$D$8,C598&gt;=1),1,0)</f>
        <v>1</v>
      </c>
      <c r="AG598" s="39">
        <f t="shared" si="39"/>
        <v>153931.30577935939</v>
      </c>
    </row>
    <row r="599" spans="1:33" x14ac:dyDescent="0.25">
      <c r="A599" s="35">
        <v>49</v>
      </c>
      <c r="B599" s="35">
        <v>28</v>
      </c>
      <c r="C599" s="35">
        <f>Inputs!$D$8-A599-Inputs!$D$22*B599</f>
        <v>15</v>
      </c>
      <c r="D599" s="35">
        <f>A599*Inputs!$D$20+C599*Inputs!$D$21+B599*Inputs!$D$22</f>
        <v>120</v>
      </c>
      <c r="E599" s="36">
        <f>MIN(Inputs!$E$15,Inputs!$D$15*(C599/Inputs!$D$43)^Inputs!$D$44)</f>
        <v>0.27882309014433088</v>
      </c>
      <c r="F599" s="36">
        <f>MIN(Inputs!$E$16,Inputs!$D$16*(B599/Inputs!$D$42)^Inputs!$D$44)</f>
        <v>0.44248484624799689</v>
      </c>
      <c r="G599" s="37">
        <f>Inputs!$D$26*(1+Inputs!$D$41*(B599-Inputs!$D$42))</f>
        <v>1.62</v>
      </c>
      <c r="H599" s="35">
        <f>Inputs!$D$6*Inputs!$D$14*G599*Inputs!$D$29</f>
        <v>2035.4166</v>
      </c>
      <c r="I599" s="36">
        <f>H599/(A599*Inputs!$D$32)</f>
        <v>0.75525662337662336</v>
      </c>
      <c r="J599" s="38">
        <f>IF(I599&gt;=1,999,I599/(Inputs!$D$32*(1-I599))*60)</f>
        <v>3.3664499026616985</v>
      </c>
      <c r="K599" s="37">
        <f>MIN(1,MAX(0,(J599-Inputs!$D$36)/(Inputs!$D$37-Inputs!$D$36)))</f>
        <v>0</v>
      </c>
      <c r="L599" s="35">
        <f>Inputs!$D$6*Inputs!$D$14*G599*(1-Inputs!$D$38*K599)</f>
        <v>13569.444000000001</v>
      </c>
      <c r="M599" s="39">
        <f>L599*Inputs!$D$11</f>
        <v>291743.04600000003</v>
      </c>
      <c r="N599" s="39">
        <f>M599*(1-Inputs!$D$17)</f>
        <v>102110.06610000001</v>
      </c>
      <c r="O599" s="35">
        <f>Inputs!$D$6*E599*Inputs!$D$27*Inputs!$D$30</f>
        <v>397.78463449295054</v>
      </c>
      <c r="P599" s="36">
        <f>O599/(C599*Inputs!$D$33)</f>
        <v>0.66297439082158427</v>
      </c>
      <c r="Q599" s="38">
        <f>IF(P599&gt;=1,999,P599/(Inputs!$D$33*(1-P599))*60)</f>
        <v>2.9507003597044905</v>
      </c>
      <c r="R599" s="37">
        <f>MIN(1,MAX(0,(Q599-Inputs!$D$36)/(Inputs!$D$37-Inputs!$D$36)))</f>
        <v>0</v>
      </c>
      <c r="S599" s="35">
        <f>Inputs!$D$6*E599*Inputs!$D$27*(1-Inputs!$D$38*R599)</f>
        <v>3314.8719541079213</v>
      </c>
      <c r="T599" s="39">
        <f>S599*Inputs!$D$12</f>
        <v>53037.951265726741</v>
      </c>
      <c r="U599" s="39">
        <f>T599*(1-Inputs!$D$18)</f>
        <v>23867.07806957703</v>
      </c>
      <c r="V599" s="35">
        <f>Inputs!$D$6*F599*Inputs!$D$28*Inputs!$D$31</f>
        <v>746.05069004674272</v>
      </c>
      <c r="W599" s="36">
        <f>V599/(B599*Inputs!$D$34)</f>
        <v>0.76127621433341097</v>
      </c>
      <c r="X599" s="38">
        <f>IF(W599&gt;=1,999,W599/(Inputs!$D$34*(1-W599))*60)</f>
        <v>5.4667570523531852</v>
      </c>
      <c r="Y599" s="37">
        <f>MIN(1,MAX(0,(X599-Inputs!$D$36)/(Inputs!$D$37-Inputs!$D$36)))</f>
        <v>3.111713682354568E-2</v>
      </c>
      <c r="Z599" s="35">
        <f>Inputs!$D$6*F599*Inputs!$D$28*(1-Inputs!$D$38*Y599)</f>
        <v>5658.4919801305723</v>
      </c>
      <c r="AA599" s="39">
        <f>Z599*Inputs!$D$13</f>
        <v>48097.181831109861</v>
      </c>
      <c r="AB599" s="39">
        <f>AA599*(1-Inputs!$D$19)</f>
        <v>28858.309098665915</v>
      </c>
      <c r="AC599" s="39">
        <f t="shared" si="36"/>
        <v>392878.17909683665</v>
      </c>
      <c r="AD599" s="39">
        <f t="shared" si="37"/>
        <v>154835.45326824297</v>
      </c>
      <c r="AE599" s="36">
        <f t="shared" si="38"/>
        <v>0.76127621433341097</v>
      </c>
      <c r="AF599" s="35">
        <f>IF(AND(AE599&lt;=Inputs!$D$35,C599&gt;=Inputs!$D$48*(A599+B599+C599),B599*Inputs!$D$22&lt;=Inputs!$D$50*Inputs!$D$8,B599*Inputs!$D$22&gt;=Inputs!$D$49*Inputs!$D$8,A599*Inputs!$D$20&lt;=Inputs!$D$47*Inputs!$D$8,C599&gt;=1),1,0)</f>
        <v>0</v>
      </c>
      <c r="AG599" s="39">
        <f t="shared" si="39"/>
        <v>-1</v>
      </c>
    </row>
    <row r="600" spans="1:33" x14ac:dyDescent="0.25">
      <c r="A600" s="35">
        <v>49</v>
      </c>
      <c r="B600" s="35">
        <v>29</v>
      </c>
      <c r="C600" s="35">
        <f>Inputs!$D$8-A600-Inputs!$D$22*B600</f>
        <v>13</v>
      </c>
      <c r="D600" s="35">
        <f>A600*Inputs!$D$20+C600*Inputs!$D$21+B600*Inputs!$D$22</f>
        <v>120</v>
      </c>
      <c r="E600" s="36">
        <f>MIN(Inputs!$E$15,Inputs!$D$15*(C600/Inputs!$D$43)^Inputs!$D$44)</f>
        <v>0.26710644306172537</v>
      </c>
      <c r="F600" s="36">
        <f>MIN(Inputs!$E$16,Inputs!$D$16*(B600/Inputs!$D$42)^Inputs!$D$44)</f>
        <v>0.44716766511947192</v>
      </c>
      <c r="G600" s="37">
        <f>Inputs!$D$26*(1+Inputs!$D$41*(B600-Inputs!$D$42))</f>
        <v>1.6350000000000002</v>
      </c>
      <c r="H600" s="35">
        <f>Inputs!$D$6*Inputs!$D$14*G600*Inputs!$D$29</f>
        <v>2054.2630500000005</v>
      </c>
      <c r="I600" s="36">
        <f>H600/(A600*Inputs!$D$32)</f>
        <v>0.76224974025974046</v>
      </c>
      <c r="J600" s="38">
        <f>IF(I600&gt;=1,999,I600/(Inputs!$D$32*(1-I600))*60)</f>
        <v>3.4975573616655615</v>
      </c>
      <c r="K600" s="37">
        <f>MIN(1,MAX(0,(J600-Inputs!$D$36)/(Inputs!$D$37-Inputs!$D$36)))</f>
        <v>0</v>
      </c>
      <c r="L600" s="35">
        <f>Inputs!$D$6*Inputs!$D$14*G600*(1-Inputs!$D$38*K600)</f>
        <v>13695.087000000003</v>
      </c>
      <c r="M600" s="39">
        <f>L600*Inputs!$D$11</f>
        <v>294444.37050000008</v>
      </c>
      <c r="N600" s="39">
        <f>M600*(1-Inputs!$D$17)</f>
        <v>103055.52967500003</v>
      </c>
      <c r="O600" s="35">
        <f>Inputs!$D$6*E600*Inputs!$D$27*Inputs!$D$30</f>
        <v>381.06900963266889</v>
      </c>
      <c r="P600" s="36">
        <f>O600/(C600*Inputs!$D$33)</f>
        <v>0.73282501852436321</v>
      </c>
      <c r="Q600" s="38">
        <f>IF(P600&gt;=1,999,P600/(Inputs!$D$33*(1-P600))*60)</f>
        <v>4.1142981341865736</v>
      </c>
      <c r="R600" s="37">
        <f>MIN(1,MAX(0,(Q600-Inputs!$D$36)/(Inputs!$D$37-Inputs!$D$36)))</f>
        <v>0</v>
      </c>
      <c r="S600" s="35">
        <f>Inputs!$D$6*E600*Inputs!$D$27*(1-Inputs!$D$38*R600)</f>
        <v>3175.5750802722409</v>
      </c>
      <c r="T600" s="39">
        <f>S600*Inputs!$D$12</f>
        <v>50809.201284355855</v>
      </c>
      <c r="U600" s="39">
        <f>T600*(1-Inputs!$D$18)</f>
        <v>22864.140577960134</v>
      </c>
      <c r="V600" s="35">
        <f>Inputs!$D$6*F600*Inputs!$D$28*Inputs!$D$31</f>
        <v>753.9461474393554</v>
      </c>
      <c r="W600" s="36">
        <f>V600/(B600*Inputs!$D$34)</f>
        <v>0.74280408614714821</v>
      </c>
      <c r="X600" s="38">
        <f>IF(W600&gt;=1,999,W600/(Inputs!$D$34*(1-W600))*60)</f>
        <v>4.9510056918075414</v>
      </c>
      <c r="Y600" s="37">
        <f>MIN(1,MAX(0,(X600-Inputs!$D$36)/(Inputs!$D$37-Inputs!$D$36)))</f>
        <v>0</v>
      </c>
      <c r="Z600" s="35">
        <f>Inputs!$D$6*F600*Inputs!$D$28*(1-Inputs!$D$38*Y600)</f>
        <v>5799.5857495335031</v>
      </c>
      <c r="AA600" s="39">
        <f>Z600*Inputs!$D$13</f>
        <v>49296.478871034778</v>
      </c>
      <c r="AB600" s="39">
        <f>AA600*(1-Inputs!$D$19)</f>
        <v>29577.887322620867</v>
      </c>
      <c r="AC600" s="39">
        <f t="shared" si="36"/>
        <v>394550.05065539072</v>
      </c>
      <c r="AD600" s="39">
        <f t="shared" si="37"/>
        <v>155497.55757558101</v>
      </c>
      <c r="AE600" s="36">
        <f t="shared" si="38"/>
        <v>0.76224974025974046</v>
      </c>
      <c r="AF600" s="35">
        <f>IF(AND(AE600&lt;=Inputs!$D$35,C600&gt;=Inputs!$D$48*(A600+B600+C600),B600*Inputs!$D$22&lt;=Inputs!$D$50*Inputs!$D$8,B600*Inputs!$D$22&gt;=Inputs!$D$49*Inputs!$D$8,A600*Inputs!$D$20&lt;=Inputs!$D$47*Inputs!$D$8,C600&gt;=1),1,0)</f>
        <v>0</v>
      </c>
      <c r="AG600" s="39">
        <f t="shared" si="39"/>
        <v>-1</v>
      </c>
    </row>
    <row r="601" spans="1:33" x14ac:dyDescent="0.25">
      <c r="A601" s="35">
        <v>49</v>
      </c>
      <c r="B601" s="35">
        <v>30</v>
      </c>
      <c r="C601" s="35">
        <f>Inputs!$D$8-A601-Inputs!$D$22*B601</f>
        <v>11</v>
      </c>
      <c r="D601" s="35">
        <f>A601*Inputs!$D$20+C601*Inputs!$D$21+B601*Inputs!$D$22</f>
        <v>120</v>
      </c>
      <c r="E601" s="36">
        <f>MIN(Inputs!$E$15,Inputs!$D$15*(C601/Inputs!$D$43)^Inputs!$D$44)</f>
        <v>0.25404997933787238</v>
      </c>
      <c r="F601" s="36">
        <f>MIN(Inputs!$E$16,Inputs!$D$16*(B601/Inputs!$D$42)^Inputs!$D$44)</f>
        <v>0.45173877418274222</v>
      </c>
      <c r="G601" s="37">
        <f>Inputs!$D$26*(1+Inputs!$D$41*(B601-Inputs!$D$42))</f>
        <v>1.6500000000000001</v>
      </c>
      <c r="H601" s="35">
        <f>Inputs!$D$6*Inputs!$D$14*G601*Inputs!$D$29</f>
        <v>2073.1095000000005</v>
      </c>
      <c r="I601" s="36">
        <f>H601/(A601*Inputs!$D$32)</f>
        <v>0.76924285714285734</v>
      </c>
      <c r="J601" s="38">
        <f>IF(I601&gt;=1,999,I601/(Inputs!$D$32*(1-I601))*60)</f>
        <v>3.6366112683824605</v>
      </c>
      <c r="K601" s="37">
        <f>MIN(1,MAX(0,(J601-Inputs!$D$36)/(Inputs!$D$37-Inputs!$D$36)))</f>
        <v>0</v>
      </c>
      <c r="L601" s="35">
        <f>Inputs!$D$6*Inputs!$D$14*G601*(1-Inputs!$D$38*K601)</f>
        <v>13820.730000000003</v>
      </c>
      <c r="M601" s="39">
        <f>L601*Inputs!$D$11</f>
        <v>297145.69500000007</v>
      </c>
      <c r="N601" s="39">
        <f>M601*(1-Inputs!$D$17)</f>
        <v>104000.99325000001</v>
      </c>
      <c r="O601" s="35">
        <f>Inputs!$D$6*E601*Inputs!$D$27*Inputs!$D$30</f>
        <v>362.44192732225167</v>
      </c>
      <c r="P601" s="36">
        <f>O601/(C601*Inputs!$D$33)</f>
        <v>0.82373165300511741</v>
      </c>
      <c r="Q601" s="38">
        <f>IF(P601&gt;=1,999,P601/(Inputs!$D$33*(1-P601))*60)</f>
        <v>7.0097524630644434</v>
      </c>
      <c r="R601" s="37">
        <f>MIN(1,MAX(0,(Q601-Inputs!$D$36)/(Inputs!$D$37-Inputs!$D$36)))</f>
        <v>0.13398349753762956</v>
      </c>
      <c r="S601" s="35">
        <f>Inputs!$D$6*E601*Inputs!$D$27*(1-Inputs!$D$38*R601)</f>
        <v>2838.2447553136676</v>
      </c>
      <c r="T601" s="39">
        <f>S601*Inputs!$D$12</f>
        <v>45411.916085018682</v>
      </c>
      <c r="U601" s="39">
        <f>T601*(1-Inputs!$D$18)</f>
        <v>20435.362238258404</v>
      </c>
      <c r="V601" s="35">
        <f>Inputs!$D$6*F601*Inputs!$D$28*Inputs!$D$31</f>
        <v>761.65325673326424</v>
      </c>
      <c r="W601" s="36">
        <f>V601/(B601*Inputs!$D$34)</f>
        <v>0.72538405403168027</v>
      </c>
      <c r="X601" s="38">
        <f>IF(W601&gt;=1,999,W601/(Inputs!$D$34*(1-W601))*60)</f>
        <v>4.5281985239874629</v>
      </c>
      <c r="Y601" s="37">
        <f>MIN(1,MAX(0,(X601-Inputs!$D$36)/(Inputs!$D$37-Inputs!$D$36)))</f>
        <v>0</v>
      </c>
      <c r="Z601" s="35">
        <f>Inputs!$D$6*F601*Inputs!$D$28*(1-Inputs!$D$38*Y601)</f>
        <v>5858.8712056404938</v>
      </c>
      <c r="AA601" s="39">
        <f>Z601*Inputs!$D$13</f>
        <v>49800.405247944196</v>
      </c>
      <c r="AB601" s="39">
        <f>AA601*(1-Inputs!$D$19)</f>
        <v>29880.243148766516</v>
      </c>
      <c r="AC601" s="39">
        <f t="shared" si="36"/>
        <v>392358.0163329629</v>
      </c>
      <c r="AD601" s="39">
        <f t="shared" si="37"/>
        <v>154316.59863702493</v>
      </c>
      <c r="AE601" s="36">
        <f t="shared" si="38"/>
        <v>0.82373165300511741</v>
      </c>
      <c r="AF601" s="35">
        <f>IF(AND(AE601&lt;=Inputs!$D$35,C601&gt;=Inputs!$D$48*(A601+B601+C601),B601*Inputs!$D$22&lt;=Inputs!$D$50*Inputs!$D$8,B601*Inputs!$D$22&gt;=Inputs!$D$49*Inputs!$D$8,A601*Inputs!$D$20&lt;=Inputs!$D$47*Inputs!$D$8,C601&gt;=1),1,0)</f>
        <v>0</v>
      </c>
      <c r="AG601" s="39">
        <f t="shared" si="39"/>
        <v>-1</v>
      </c>
    </row>
    <row r="602" spans="1:33" x14ac:dyDescent="0.25">
      <c r="A602" s="35">
        <v>49</v>
      </c>
      <c r="B602" s="35">
        <v>31</v>
      </c>
      <c r="C602" s="35">
        <f>Inputs!$D$8-A602-Inputs!$D$22*B602</f>
        <v>9</v>
      </c>
      <c r="D602" s="35">
        <f>A602*Inputs!$D$20+C602*Inputs!$D$21+B602*Inputs!$D$22</f>
        <v>120</v>
      </c>
      <c r="E602" s="36">
        <f>MIN(Inputs!$E$15,Inputs!$D$15*(C602/Inputs!$D$43)^Inputs!$D$44)</f>
        <v>0.23920712491579582</v>
      </c>
      <c r="F602" s="36">
        <f>MIN(Inputs!$E$16,Inputs!$D$16*(B602/Inputs!$D$42)^Inputs!$D$44)</f>
        <v>0.45620443270573335</v>
      </c>
      <c r="G602" s="37">
        <f>Inputs!$D$26*(1+Inputs!$D$41*(B602-Inputs!$D$42))</f>
        <v>1.665</v>
      </c>
      <c r="H602" s="35">
        <f>Inputs!$D$6*Inputs!$D$14*G602*Inputs!$D$29</f>
        <v>2091.95595</v>
      </c>
      <c r="I602" s="36">
        <f>H602/(A602*Inputs!$D$32)</f>
        <v>0.776235974025974</v>
      </c>
      <c r="J602" s="38">
        <f>IF(I602&gt;=1,999,I602/(Inputs!$D$32*(1-I602))*60)</f>
        <v>3.7843566546031977</v>
      </c>
      <c r="K602" s="37">
        <f>MIN(1,MAX(0,(J602-Inputs!$D$36)/(Inputs!$D$37-Inputs!$D$36)))</f>
        <v>0</v>
      </c>
      <c r="L602" s="35">
        <f>Inputs!$D$6*Inputs!$D$14*G602*(1-Inputs!$D$38*K602)</f>
        <v>13946.373000000001</v>
      </c>
      <c r="M602" s="39">
        <f>L602*Inputs!$D$11</f>
        <v>299847.01950000005</v>
      </c>
      <c r="N602" s="39">
        <f>M602*(1-Inputs!$D$17)</f>
        <v>104946.45682500002</v>
      </c>
      <c r="O602" s="35">
        <f>Inputs!$D$6*E602*Inputs!$D$27*Inputs!$D$30</f>
        <v>341.26628000386961</v>
      </c>
      <c r="P602" s="36">
        <f>O602/(C602*Inputs!$D$33)</f>
        <v>0.94796188889963784</v>
      </c>
      <c r="Q602" s="38">
        <f>IF(P602&gt;=1,999,P602/(Inputs!$D$33*(1-P602))*60)</f>
        <v>27.325027816767943</v>
      </c>
      <c r="R602" s="37">
        <f>MIN(1,MAX(0,(Q602-Inputs!$D$36)/(Inputs!$D$37-Inputs!$D$36)))</f>
        <v>1</v>
      </c>
      <c r="S602" s="35">
        <f>Inputs!$D$6*E602*Inputs!$D$27*(1-Inputs!$D$38*R602)</f>
        <v>1564.1371166844026</v>
      </c>
      <c r="T602" s="39">
        <f>S602*Inputs!$D$12</f>
        <v>25026.193866950442</v>
      </c>
      <c r="U602" s="39">
        <f>T602*(1-Inputs!$D$18)</f>
        <v>11261.787240127698</v>
      </c>
      <c r="V602" s="35">
        <f>Inputs!$D$6*F602*Inputs!$D$28*Inputs!$D$31</f>
        <v>769.18257135463637</v>
      </c>
      <c r="W602" s="36">
        <f>V602/(B602*Inputs!$D$34)</f>
        <v>0.70892402889828232</v>
      </c>
      <c r="X602" s="38">
        <f>IF(W602&gt;=1,999,W602/(Inputs!$D$34*(1-W602))*60)</f>
        <v>4.1751929252501148</v>
      </c>
      <c r="Y602" s="37">
        <f>MIN(1,MAX(0,(X602-Inputs!$D$36)/(Inputs!$D$37-Inputs!$D$36)))</f>
        <v>0</v>
      </c>
      <c r="Z602" s="35">
        <f>Inputs!$D$6*F602*Inputs!$D$28*(1-Inputs!$D$38*Y602)</f>
        <v>5916.7890104202797</v>
      </c>
      <c r="AA602" s="39">
        <f>Z602*Inputs!$D$13</f>
        <v>50292.706588572379</v>
      </c>
      <c r="AB602" s="39">
        <f>AA602*(1-Inputs!$D$19)</f>
        <v>30175.623953143426</v>
      </c>
      <c r="AC602" s="39">
        <f t="shared" si="36"/>
        <v>375165.91995552287</v>
      </c>
      <c r="AD602" s="39">
        <f t="shared" si="37"/>
        <v>146383.86801827114</v>
      </c>
      <c r="AE602" s="36">
        <f t="shared" si="38"/>
        <v>0.94796188889963784</v>
      </c>
      <c r="AF602" s="35">
        <f>IF(AND(AE602&lt;=Inputs!$D$35,C602&gt;=Inputs!$D$48*(A602+B602+C602),B602*Inputs!$D$22&lt;=Inputs!$D$50*Inputs!$D$8,B602*Inputs!$D$22&gt;=Inputs!$D$49*Inputs!$D$8,A602*Inputs!$D$20&lt;=Inputs!$D$47*Inputs!$D$8,C602&gt;=1),1,0)</f>
        <v>0</v>
      </c>
      <c r="AG602" s="39">
        <f t="shared" si="39"/>
        <v>-1</v>
      </c>
    </row>
    <row r="603" spans="1:33" x14ac:dyDescent="0.25">
      <c r="A603" s="35">
        <v>49</v>
      </c>
      <c r="B603" s="35">
        <v>32</v>
      </c>
      <c r="C603" s="35">
        <f>Inputs!$D$8-A603-Inputs!$D$22*B603</f>
        <v>7</v>
      </c>
      <c r="D603" s="35">
        <f>A603*Inputs!$D$20+C603*Inputs!$D$21+B603*Inputs!$D$22</f>
        <v>120</v>
      </c>
      <c r="E603" s="36">
        <f>MIN(Inputs!$E$15,Inputs!$D$15*(C603/Inputs!$D$43)^Inputs!$D$44)</f>
        <v>0.2218353587738203</v>
      </c>
      <c r="F603" s="36">
        <f>MIN(Inputs!$E$16,Inputs!$D$16*(B603/Inputs!$D$42)^Inputs!$D$44)</f>
        <v>0.46057036065052986</v>
      </c>
      <c r="G603" s="37">
        <f>Inputs!$D$26*(1+Inputs!$D$41*(B603-Inputs!$D$42))</f>
        <v>1.6800000000000002</v>
      </c>
      <c r="H603" s="35">
        <f>Inputs!$D$6*Inputs!$D$14*G603*Inputs!$D$29</f>
        <v>2110.8024000000005</v>
      </c>
      <c r="I603" s="36">
        <f>H603/(A603*Inputs!$D$32)</f>
        <v>0.7832290909090911</v>
      </c>
      <c r="J603" s="38">
        <f>IF(I603&gt;=1,999,I603/(Inputs!$D$32*(1-I603))*60)</f>
        <v>3.9416346922218266</v>
      </c>
      <c r="K603" s="37">
        <f>MIN(1,MAX(0,(J603-Inputs!$D$36)/(Inputs!$D$37-Inputs!$D$36)))</f>
        <v>0</v>
      </c>
      <c r="L603" s="35">
        <f>Inputs!$D$6*Inputs!$D$14*G603*(1-Inputs!$D$38*K603)</f>
        <v>14072.016000000003</v>
      </c>
      <c r="M603" s="39">
        <f>L603*Inputs!$D$11</f>
        <v>302548.34400000004</v>
      </c>
      <c r="N603" s="39">
        <f>M603*(1-Inputs!$D$17)</f>
        <v>105891.9204</v>
      </c>
      <c r="O603" s="35">
        <f>Inputs!$D$6*E603*Inputs!$D$27*Inputs!$D$30</f>
        <v>316.48274560682341</v>
      </c>
      <c r="P603" s="36">
        <f>O603/(C603*Inputs!$D$33)</f>
        <v>1.1302955200243694</v>
      </c>
      <c r="Q603" s="38">
        <f>IF(P603&gt;=1,999,P603/(Inputs!$D$33*(1-P603))*60)</f>
        <v>999</v>
      </c>
      <c r="R603" s="37">
        <f>MIN(1,MAX(0,(Q603-Inputs!$D$36)/(Inputs!$D$37-Inputs!$D$36)))</f>
        <v>1</v>
      </c>
      <c r="S603" s="35">
        <f>Inputs!$D$6*E603*Inputs!$D$27*(1-Inputs!$D$38*R603)</f>
        <v>1450.5459173646075</v>
      </c>
      <c r="T603" s="39">
        <f>S603*Inputs!$D$12</f>
        <v>23208.73467783372</v>
      </c>
      <c r="U603" s="39">
        <f>T603*(1-Inputs!$D$18)</f>
        <v>10443.930605025173</v>
      </c>
      <c r="V603" s="35">
        <f>Inputs!$D$6*F603*Inputs!$D$28*Inputs!$D$31</f>
        <v>776.54373543410452</v>
      </c>
      <c r="W603" s="36">
        <f>V603/(B603*Inputs!$D$34)</f>
        <v>0.69334262092330756</v>
      </c>
      <c r="X603" s="38">
        <f>IF(W603&gt;=1,999,W603/(Inputs!$D$34*(1-W603))*60)</f>
        <v>3.8759457011369869</v>
      </c>
      <c r="Y603" s="37">
        <f>MIN(1,MAX(0,(X603-Inputs!$D$36)/(Inputs!$D$37-Inputs!$D$36)))</f>
        <v>0</v>
      </c>
      <c r="Z603" s="35">
        <f>Inputs!$D$6*F603*Inputs!$D$28*(1-Inputs!$D$38*Y603)</f>
        <v>5973.4133494931111</v>
      </c>
      <c r="AA603" s="39">
        <f>Z603*Inputs!$D$13</f>
        <v>50774.013470691447</v>
      </c>
      <c r="AB603" s="39">
        <f>AA603*(1-Inputs!$D$19)</f>
        <v>30464.408082414866</v>
      </c>
      <c r="AC603" s="39">
        <f t="shared" si="36"/>
        <v>376531.09214852523</v>
      </c>
      <c r="AD603" s="39">
        <f t="shared" si="37"/>
        <v>146800.25908744003</v>
      </c>
      <c r="AE603" s="36">
        <f t="shared" si="38"/>
        <v>1.1302955200243694</v>
      </c>
      <c r="AF603" s="35">
        <f>IF(AND(AE603&lt;=Inputs!$D$35,C603&gt;=Inputs!$D$48*(A603+B603+C603),B603*Inputs!$D$22&lt;=Inputs!$D$50*Inputs!$D$8,B603*Inputs!$D$22&gt;=Inputs!$D$49*Inputs!$D$8,A603*Inputs!$D$20&lt;=Inputs!$D$47*Inputs!$D$8,C603&gt;=1),1,0)</f>
        <v>0</v>
      </c>
      <c r="AG603" s="39">
        <f t="shared" si="39"/>
        <v>-1</v>
      </c>
    </row>
    <row r="604" spans="1:33" x14ac:dyDescent="0.25">
      <c r="A604" s="35">
        <v>49</v>
      </c>
      <c r="B604" s="35">
        <v>33</v>
      </c>
      <c r="C604" s="35">
        <f>Inputs!$D$8-A604-Inputs!$D$22*B604</f>
        <v>5</v>
      </c>
      <c r="D604" s="35">
        <f>A604*Inputs!$D$20+C604*Inputs!$D$21+B604*Inputs!$D$22</f>
        <v>120</v>
      </c>
      <c r="E604" s="36">
        <f>MIN(Inputs!$E$15,Inputs!$D$15*(C604/Inputs!$D$43)^Inputs!$D$44)</f>
        <v>0.20053600538400315</v>
      </c>
      <c r="F604" s="36">
        <f>MIN(Inputs!$E$16,Inputs!$D$16*(B604/Inputs!$D$42)^Inputs!$D$44)</f>
        <v>0.46484180038786721</v>
      </c>
      <c r="G604" s="37">
        <f>Inputs!$D$26*(1+Inputs!$D$41*(B604-Inputs!$D$42))</f>
        <v>1.6949999999999998</v>
      </c>
      <c r="H604" s="35">
        <f>Inputs!$D$6*Inputs!$D$14*G604*Inputs!$D$29</f>
        <v>2129.64885</v>
      </c>
      <c r="I604" s="36">
        <f>H604/(A604*Inputs!$D$32)</f>
        <v>0.79022220779220775</v>
      </c>
      <c r="J604" s="38">
        <f>IF(I604&gt;=1,999,I604/(Inputs!$D$32*(1-I604))*60)</f>
        <v>4.1093987177864415</v>
      </c>
      <c r="K604" s="37">
        <f>MIN(1,MAX(0,(J604-Inputs!$D$36)/(Inputs!$D$37-Inputs!$D$36)))</f>
        <v>0</v>
      </c>
      <c r="L604" s="35">
        <f>Inputs!$D$6*Inputs!$D$14*G604*(1-Inputs!$D$38*K604)</f>
        <v>14197.659</v>
      </c>
      <c r="M604" s="39">
        <f>L604*Inputs!$D$11</f>
        <v>305249.66849999997</v>
      </c>
      <c r="N604" s="39">
        <f>M604*(1-Inputs!$D$17)</f>
        <v>106837.38397499999</v>
      </c>
      <c r="O604" s="35">
        <f>Inputs!$D$6*E604*Inputs!$D$27*Inputs!$D$30</f>
        <v>286.09589529712042</v>
      </c>
      <c r="P604" s="36">
        <f>O604/(C604*Inputs!$D$33)</f>
        <v>1.4304794764856021</v>
      </c>
      <c r="Q604" s="38">
        <f>IF(P604&gt;=1,999,P604/(Inputs!$D$33*(1-P604))*60)</f>
        <v>999</v>
      </c>
      <c r="R604" s="37">
        <f>MIN(1,MAX(0,(Q604-Inputs!$D$36)/(Inputs!$D$37-Inputs!$D$36)))</f>
        <v>1</v>
      </c>
      <c r="S604" s="35">
        <f>Inputs!$D$6*E604*Inputs!$D$27*(1-Inputs!$D$38*R604)</f>
        <v>1311.2728534451353</v>
      </c>
      <c r="T604" s="39">
        <f>S604*Inputs!$D$12</f>
        <v>20980.365655122165</v>
      </c>
      <c r="U604" s="39">
        <f>T604*(1-Inputs!$D$18)</f>
        <v>9441.164544804973</v>
      </c>
      <c r="V604" s="35">
        <f>Inputs!$D$6*F604*Inputs!$D$28*Inputs!$D$31</f>
        <v>783.74558786036266</v>
      </c>
      <c r="W604" s="36">
        <f>V604/(B604*Inputs!$D$34)</f>
        <v>0.67856760853711051</v>
      </c>
      <c r="X604" s="38">
        <f>IF(W604&gt;=1,999,W604/(Inputs!$D$34*(1-W604))*60)</f>
        <v>3.6189842355277744</v>
      </c>
      <c r="Y604" s="37">
        <f>MIN(1,MAX(0,(X604-Inputs!$D$36)/(Inputs!$D$37-Inputs!$D$36)))</f>
        <v>0</v>
      </c>
      <c r="Z604" s="35">
        <f>Inputs!$D$6*F604*Inputs!$D$28*(1-Inputs!$D$38*Y604)</f>
        <v>6028.812214310482</v>
      </c>
      <c r="AA604" s="39">
        <f>Z604*Inputs!$D$13</f>
        <v>51244.903821639098</v>
      </c>
      <c r="AB604" s="39">
        <f>AA604*(1-Inputs!$D$19)</f>
        <v>30746.942292983458</v>
      </c>
      <c r="AC604" s="39">
        <f t="shared" si="36"/>
        <v>377474.9379767612</v>
      </c>
      <c r="AD604" s="39">
        <f t="shared" si="37"/>
        <v>147025.49081278843</v>
      </c>
      <c r="AE604" s="36">
        <f t="shared" si="38"/>
        <v>1.4304794764856021</v>
      </c>
      <c r="AF604" s="35">
        <f>IF(AND(AE604&lt;=Inputs!$D$35,C604&gt;=Inputs!$D$48*(A604+B604+C604),B604*Inputs!$D$22&lt;=Inputs!$D$50*Inputs!$D$8,B604*Inputs!$D$22&gt;=Inputs!$D$49*Inputs!$D$8,A604*Inputs!$D$20&lt;=Inputs!$D$47*Inputs!$D$8,C604&gt;=1),1,0)</f>
        <v>0</v>
      </c>
      <c r="AG604" s="39">
        <f t="shared" si="39"/>
        <v>-1</v>
      </c>
    </row>
    <row r="605" spans="1:33" x14ac:dyDescent="0.25">
      <c r="A605" s="35">
        <v>50</v>
      </c>
      <c r="B605" s="35">
        <v>10</v>
      </c>
      <c r="C605" s="35">
        <f>Inputs!$D$8-A605-Inputs!$D$22*B605</f>
        <v>50</v>
      </c>
      <c r="D605" s="35">
        <f>A605*Inputs!$D$20+C605*Inputs!$D$21+B605*Inputs!$D$22</f>
        <v>120</v>
      </c>
      <c r="E605" s="36">
        <f>MIN(Inputs!$E$15,Inputs!$D$15*(C605/Inputs!$D$43)^Inputs!$D$44)</f>
        <v>0.4</v>
      </c>
      <c r="F605" s="36">
        <f>MIN(Inputs!$E$16,Inputs!$D$16*(B605/Inputs!$D$42)^Inputs!$D$44)</f>
        <v>0.32490095854249423</v>
      </c>
      <c r="G605" s="37">
        <f>Inputs!$D$26*(1+Inputs!$D$41*(B605-Inputs!$D$42))</f>
        <v>1.35</v>
      </c>
      <c r="H605" s="35">
        <f>Inputs!$D$6*Inputs!$D$14*G605*Inputs!$D$29</f>
        <v>1696.1805000000004</v>
      </c>
      <c r="I605" s="36">
        <f>H605/(A605*Inputs!$D$32)</f>
        <v>0.61679290909090922</v>
      </c>
      <c r="J605" s="38">
        <f>IF(I605&gt;=1,999,I605/(Inputs!$D$32*(1-I605))*60)</f>
        <v>1.7558782384200788</v>
      </c>
      <c r="K605" s="37">
        <f>MIN(1,MAX(0,(J605-Inputs!$D$36)/(Inputs!$D$37-Inputs!$D$36)))</f>
        <v>0</v>
      </c>
      <c r="L605" s="35">
        <f>Inputs!$D$6*Inputs!$D$14*G605*(1-Inputs!$D$38*K605)</f>
        <v>11307.870000000003</v>
      </c>
      <c r="M605" s="39">
        <f>L605*Inputs!$D$11</f>
        <v>243119.20500000005</v>
      </c>
      <c r="N605" s="39">
        <f>M605*(1-Inputs!$D$17)</f>
        <v>85091.721750000012</v>
      </c>
      <c r="O605" s="35">
        <f>Inputs!$D$6*E605*Inputs!$D$27*Inputs!$D$30</f>
        <v>570.66240000000005</v>
      </c>
      <c r="P605" s="36">
        <f>O605/(C605*Inputs!$D$33)</f>
        <v>0.28533120000000001</v>
      </c>
      <c r="Q605" s="38">
        <f>IF(P605&gt;=1,999,P605/(Inputs!$D$33*(1-P605))*60)</f>
        <v>0.59887433171841276</v>
      </c>
      <c r="R605" s="37">
        <f>MIN(1,MAX(0,(Q605-Inputs!$D$36)/(Inputs!$D$37-Inputs!$D$36)))</f>
        <v>0</v>
      </c>
      <c r="S605" s="35">
        <f>Inputs!$D$6*E605*Inputs!$D$27*(1-Inputs!$D$38*R605)</f>
        <v>4755.5200000000004</v>
      </c>
      <c r="T605" s="39">
        <f>S605*Inputs!$D$12</f>
        <v>76088.320000000007</v>
      </c>
      <c r="U605" s="39">
        <f>T605*(1-Inputs!$D$18)</f>
        <v>34239.743999999999</v>
      </c>
      <c r="V605" s="35">
        <f>Inputs!$D$6*F605*Inputs!$D$28*Inputs!$D$31</f>
        <v>547.7986113486553</v>
      </c>
      <c r="W605" s="36">
        <f>V605/(B605*Inputs!$D$34)</f>
        <v>1.5651388895675866</v>
      </c>
      <c r="X605" s="38">
        <f>IF(W605&gt;=1,999,W605/(Inputs!$D$34*(1-W605))*60)</f>
        <v>999</v>
      </c>
      <c r="Y605" s="37">
        <f>MIN(1,MAX(0,(X605-Inputs!$D$36)/(Inputs!$D$37-Inputs!$D$36)))</f>
        <v>1</v>
      </c>
      <c r="Z605" s="35">
        <f>Inputs!$D$6*F605*Inputs!$D$28*(1-Inputs!$D$38*Y605)</f>
        <v>2317.6095095520031</v>
      </c>
      <c r="AA605" s="39">
        <f>Z605*Inputs!$D$13</f>
        <v>19699.680831192025</v>
      </c>
      <c r="AB605" s="39">
        <f>AA605*(1-Inputs!$D$19)</f>
        <v>11819.808498715214</v>
      </c>
      <c r="AC605" s="39">
        <f t="shared" si="36"/>
        <v>338907.20583119203</v>
      </c>
      <c r="AD605" s="39">
        <f t="shared" si="37"/>
        <v>131151.27424871523</v>
      </c>
      <c r="AE605" s="36">
        <f t="shared" si="38"/>
        <v>1.5651388895675866</v>
      </c>
      <c r="AF605" s="35">
        <f>IF(AND(AE605&lt;=Inputs!$D$35,C605&gt;=Inputs!$D$48*(A605+B605+C605),B605*Inputs!$D$22&lt;=Inputs!$D$50*Inputs!$D$8,B605*Inputs!$D$22&gt;=Inputs!$D$49*Inputs!$D$8,A605*Inputs!$D$20&lt;=Inputs!$D$47*Inputs!$D$8,C605&gt;=1),1,0)</f>
        <v>0</v>
      </c>
      <c r="AG605" s="39">
        <f t="shared" si="39"/>
        <v>-1</v>
      </c>
    </row>
    <row r="606" spans="1:33" x14ac:dyDescent="0.25">
      <c r="A606" s="35">
        <v>50</v>
      </c>
      <c r="B606" s="35">
        <v>11</v>
      </c>
      <c r="C606" s="35">
        <f>Inputs!$D$8-A606-Inputs!$D$22*B606</f>
        <v>48</v>
      </c>
      <c r="D606" s="35">
        <f>A606*Inputs!$D$20+C606*Inputs!$D$21+B606*Inputs!$D$22</f>
        <v>120</v>
      </c>
      <c r="E606" s="36">
        <f>MIN(Inputs!$E$15,Inputs!$D$15*(C606/Inputs!$D$43)^Inputs!$D$44)</f>
        <v>0.39525168457966786</v>
      </c>
      <c r="F606" s="36">
        <f>MIN(Inputs!$E$16,Inputs!$D$16*(B606/Inputs!$D$42)^Inputs!$D$44)</f>
        <v>0.33432495758166098</v>
      </c>
      <c r="G606" s="37">
        <f>Inputs!$D$26*(1+Inputs!$D$41*(B606-Inputs!$D$42))</f>
        <v>1.365</v>
      </c>
      <c r="H606" s="35">
        <f>Inputs!$D$6*Inputs!$D$14*G606*Inputs!$D$29</f>
        <v>1715.0269500000002</v>
      </c>
      <c r="I606" s="36">
        <f>H606/(A606*Inputs!$D$32)</f>
        <v>0.62364616363636372</v>
      </c>
      <c r="J606" s="38">
        <f>IF(I606&gt;=1,999,I606/(Inputs!$D$32*(1-I606))*60)</f>
        <v>1.8077171100340164</v>
      </c>
      <c r="K606" s="37">
        <f>MIN(1,MAX(0,(J606-Inputs!$D$36)/(Inputs!$D$37-Inputs!$D$36)))</f>
        <v>0</v>
      </c>
      <c r="L606" s="35">
        <f>Inputs!$D$6*Inputs!$D$14*G606*(1-Inputs!$D$38*K606)</f>
        <v>11433.513000000001</v>
      </c>
      <c r="M606" s="39">
        <f>L606*Inputs!$D$11</f>
        <v>245820.5295</v>
      </c>
      <c r="N606" s="39">
        <f>M606*(1-Inputs!$D$17)</f>
        <v>86037.185324999999</v>
      </c>
      <c r="O606" s="35">
        <f>Inputs!$D$6*E606*Inputs!$D$27*Inputs!$D$30</f>
        <v>563.88818731569074</v>
      </c>
      <c r="P606" s="36">
        <f>O606/(C606*Inputs!$D$33)</f>
        <v>0.29369176422692228</v>
      </c>
      <c r="Q606" s="38">
        <f>IF(P606&gt;=1,999,P606/(Inputs!$D$33*(1-P606))*60)</f>
        <v>0.62371868828373556</v>
      </c>
      <c r="R606" s="37">
        <f>MIN(1,MAX(0,(Q606-Inputs!$D$36)/(Inputs!$D$37-Inputs!$D$36)))</f>
        <v>0</v>
      </c>
      <c r="S606" s="35">
        <f>Inputs!$D$6*E606*Inputs!$D$27*(1-Inputs!$D$38*R606)</f>
        <v>4699.0682276307562</v>
      </c>
      <c r="T606" s="39">
        <f>S606*Inputs!$D$12</f>
        <v>75185.091642092098</v>
      </c>
      <c r="U606" s="39">
        <f>T606*(1-Inputs!$D$18)</f>
        <v>33833.291238941441</v>
      </c>
      <c r="V606" s="35">
        <f>Inputs!$D$6*F606*Inputs!$D$28*Inputs!$D$31</f>
        <v>563.68792608064427</v>
      </c>
      <c r="W606" s="36">
        <f>V606/(B606*Inputs!$D$34)</f>
        <v>1.4641244833263487</v>
      </c>
      <c r="X606" s="38">
        <f>IF(W606&gt;=1,999,W606/(Inputs!$D$34*(1-W606))*60)</f>
        <v>999</v>
      </c>
      <c r="Y606" s="37">
        <f>MIN(1,MAX(0,(X606-Inputs!$D$36)/(Inputs!$D$37-Inputs!$D$36)))</f>
        <v>1</v>
      </c>
      <c r="Z606" s="35">
        <f>Inputs!$D$6*F606*Inputs!$D$28*(1-Inputs!$D$38*Y606)</f>
        <v>2384.8335334181106</v>
      </c>
      <c r="AA606" s="39">
        <f>Z606*Inputs!$D$13</f>
        <v>20271.08503405394</v>
      </c>
      <c r="AB606" s="39">
        <f>AA606*(1-Inputs!$D$19)</f>
        <v>12162.651020432364</v>
      </c>
      <c r="AC606" s="39">
        <f t="shared" si="36"/>
        <v>341276.70617614605</v>
      </c>
      <c r="AD606" s="39">
        <f t="shared" si="37"/>
        <v>132033.12758437381</v>
      </c>
      <c r="AE606" s="36">
        <f t="shared" si="38"/>
        <v>1.4641244833263487</v>
      </c>
      <c r="AF606" s="35">
        <f>IF(AND(AE606&lt;=Inputs!$D$35,C606&gt;=Inputs!$D$48*(A606+B606+C606),B606*Inputs!$D$22&lt;=Inputs!$D$50*Inputs!$D$8,B606*Inputs!$D$22&gt;=Inputs!$D$49*Inputs!$D$8,A606*Inputs!$D$20&lt;=Inputs!$D$47*Inputs!$D$8,C606&gt;=1),1,0)</f>
        <v>0</v>
      </c>
      <c r="AG606" s="39">
        <f t="shared" si="39"/>
        <v>-1</v>
      </c>
    </row>
    <row r="607" spans="1:33" x14ac:dyDescent="0.25">
      <c r="A607" s="35">
        <v>50</v>
      </c>
      <c r="B607" s="35">
        <v>12</v>
      </c>
      <c r="C607" s="35">
        <f>Inputs!$D$8-A607-Inputs!$D$22*B607</f>
        <v>46</v>
      </c>
      <c r="D607" s="35">
        <f>A607*Inputs!$D$20+C607*Inputs!$D$21+B607*Inputs!$D$22</f>
        <v>120</v>
      </c>
      <c r="E607" s="36">
        <f>MIN(Inputs!$E$15,Inputs!$D$15*(C607/Inputs!$D$43)^Inputs!$D$44)</f>
        <v>0.39023723685630041</v>
      </c>
      <c r="F607" s="36">
        <f>MIN(Inputs!$E$16,Inputs!$D$16*(B607/Inputs!$D$42)^Inputs!$D$44)</f>
        <v>0.34316688017763797</v>
      </c>
      <c r="G607" s="37">
        <f>Inputs!$D$26*(1+Inputs!$D$41*(B607-Inputs!$D$42))</f>
        <v>1.3800000000000001</v>
      </c>
      <c r="H607" s="35">
        <f>Inputs!$D$6*Inputs!$D$14*G607*Inputs!$D$29</f>
        <v>1733.8734000000004</v>
      </c>
      <c r="I607" s="36">
        <f>H607/(A607*Inputs!$D$32)</f>
        <v>0.63049941818181832</v>
      </c>
      <c r="J607" s="38">
        <f>IF(I607&gt;=1,999,I607/(Inputs!$D$32*(1-I607))*60)</f>
        <v>1.8614789284577884</v>
      </c>
      <c r="K607" s="37">
        <f>MIN(1,MAX(0,(J607-Inputs!$D$36)/(Inputs!$D$37-Inputs!$D$36)))</f>
        <v>0</v>
      </c>
      <c r="L607" s="35">
        <f>Inputs!$D$6*Inputs!$D$14*G607*(1-Inputs!$D$38*K607)</f>
        <v>11559.156000000003</v>
      </c>
      <c r="M607" s="39">
        <f>L607*Inputs!$D$11</f>
        <v>248521.85400000005</v>
      </c>
      <c r="N607" s="39">
        <f>M607*(1-Inputs!$D$17)</f>
        <v>86982.648900000015</v>
      </c>
      <c r="O607" s="35">
        <f>Inputs!$D$6*E607*Inputs!$D$27*Inputs!$D$30</f>
        <v>556.73429538446214</v>
      </c>
      <c r="P607" s="36">
        <f>O607/(C607*Inputs!$D$33)</f>
        <v>0.30257298662199028</v>
      </c>
      <c r="Q607" s="38">
        <f>IF(P607&gt;=1,999,P607/(Inputs!$D$33*(1-P607))*60)</f>
        <v>0.65076269090109196</v>
      </c>
      <c r="R607" s="37">
        <f>MIN(1,MAX(0,(Q607-Inputs!$D$36)/(Inputs!$D$37-Inputs!$D$36)))</f>
        <v>0</v>
      </c>
      <c r="S607" s="35">
        <f>Inputs!$D$6*E607*Inputs!$D$27*(1-Inputs!$D$38*R607)</f>
        <v>4639.4524615371847</v>
      </c>
      <c r="T607" s="39">
        <f>S607*Inputs!$D$12</f>
        <v>74231.239384594955</v>
      </c>
      <c r="U607" s="39">
        <f>T607*(1-Inputs!$D$18)</f>
        <v>33404.05772306773</v>
      </c>
      <c r="V607" s="35">
        <f>Inputs!$D$6*F607*Inputs!$D$28*Inputs!$D$31</f>
        <v>578.5958319897461</v>
      </c>
      <c r="W607" s="36">
        <f>V607/(B607*Inputs!$D$34)</f>
        <v>1.3776091237851098</v>
      </c>
      <c r="X607" s="38">
        <f>IF(W607&gt;=1,999,W607/(Inputs!$D$34*(1-W607))*60)</f>
        <v>999</v>
      </c>
      <c r="Y607" s="37">
        <f>MIN(1,MAX(0,(X607-Inputs!$D$36)/(Inputs!$D$37-Inputs!$D$36)))</f>
        <v>1</v>
      </c>
      <c r="Z607" s="35">
        <f>Inputs!$D$6*F607*Inputs!$D$28*(1-Inputs!$D$38*Y607)</f>
        <v>2447.9054430335414</v>
      </c>
      <c r="AA607" s="39">
        <f>Z607*Inputs!$D$13</f>
        <v>20807.1962657851</v>
      </c>
      <c r="AB607" s="39">
        <f>AA607*(1-Inputs!$D$19)</f>
        <v>12484.31775947106</v>
      </c>
      <c r="AC607" s="39">
        <f t="shared" si="36"/>
        <v>343560.28965038009</v>
      </c>
      <c r="AD607" s="39">
        <f t="shared" si="37"/>
        <v>132871.0243825388</v>
      </c>
      <c r="AE607" s="36">
        <f t="shared" si="38"/>
        <v>1.3776091237851098</v>
      </c>
      <c r="AF607" s="35">
        <f>IF(AND(AE607&lt;=Inputs!$D$35,C607&gt;=Inputs!$D$48*(A607+B607+C607),B607*Inputs!$D$22&lt;=Inputs!$D$50*Inputs!$D$8,B607*Inputs!$D$22&gt;=Inputs!$D$49*Inputs!$D$8,A607*Inputs!$D$20&lt;=Inputs!$D$47*Inputs!$D$8,C607&gt;=1),1,0)</f>
        <v>0</v>
      </c>
      <c r="AG607" s="39">
        <f t="shared" si="39"/>
        <v>-1</v>
      </c>
    </row>
    <row r="608" spans="1:33" x14ac:dyDescent="0.25">
      <c r="A608" s="35">
        <v>50</v>
      </c>
      <c r="B608" s="35">
        <v>13</v>
      </c>
      <c r="C608" s="35">
        <f>Inputs!$D$8-A608-Inputs!$D$22*B608</f>
        <v>44</v>
      </c>
      <c r="D608" s="35">
        <f>A608*Inputs!$D$20+C608*Inputs!$D$21+B608*Inputs!$D$22</f>
        <v>120</v>
      </c>
      <c r="E608" s="36">
        <f>MIN(Inputs!$E$15,Inputs!$D$15*(C608/Inputs!$D$43)^Inputs!$D$44)</f>
        <v>0.38506776240403751</v>
      </c>
      <c r="F608" s="36">
        <f>MIN(Inputs!$E$16,Inputs!$D$16*(B608/Inputs!$D$42)^Inputs!$D$44)</f>
        <v>0.35150701637190523</v>
      </c>
      <c r="G608" s="37">
        <f>Inputs!$D$26*(1+Inputs!$D$41*(B608-Inputs!$D$42))</f>
        <v>1.395</v>
      </c>
      <c r="H608" s="35">
        <f>Inputs!$D$6*Inputs!$D$14*G608*Inputs!$D$29</f>
        <v>1752.7198500000002</v>
      </c>
      <c r="I608" s="36">
        <f>H608/(A608*Inputs!$D$32)</f>
        <v>0.63735267272727281</v>
      </c>
      <c r="J608" s="38">
        <f>IF(I608&gt;=1,999,I608/(Inputs!$D$32*(1-I608))*60)</f>
        <v>1.9172727123685545</v>
      </c>
      <c r="K608" s="37">
        <f>MIN(1,MAX(0,(J608-Inputs!$D$36)/(Inputs!$D$37-Inputs!$D$36)))</f>
        <v>0</v>
      </c>
      <c r="L608" s="35">
        <f>Inputs!$D$6*Inputs!$D$14*G608*(1-Inputs!$D$38*K608)</f>
        <v>11684.799000000001</v>
      </c>
      <c r="M608" s="39">
        <f>L608*Inputs!$D$11</f>
        <v>251223.17850000001</v>
      </c>
      <c r="N608" s="39">
        <f>M608*(1-Inputs!$D$17)</f>
        <v>87928.112475000002</v>
      </c>
      <c r="O608" s="35">
        <f>Inputs!$D$6*E608*Inputs!$D$27*Inputs!$D$30</f>
        <v>549.35923364029463</v>
      </c>
      <c r="P608" s="36">
        <f>O608/(C608*Inputs!$D$33)</f>
        <v>0.31213592820471286</v>
      </c>
      <c r="Q608" s="38">
        <f>IF(P608&gt;=1,999,P608/(Inputs!$D$33*(1-P608))*60)</f>
        <v>0.6806633919476025</v>
      </c>
      <c r="R608" s="37">
        <f>MIN(1,MAX(0,(Q608-Inputs!$D$36)/(Inputs!$D$37-Inputs!$D$36)))</f>
        <v>0</v>
      </c>
      <c r="S608" s="35">
        <f>Inputs!$D$6*E608*Inputs!$D$27*(1-Inputs!$D$38*R608)</f>
        <v>4577.9936136691222</v>
      </c>
      <c r="T608" s="39">
        <f>S608*Inputs!$D$12</f>
        <v>73247.897818705955</v>
      </c>
      <c r="U608" s="39">
        <f>T608*(1-Inputs!$D$18)</f>
        <v>32961.554018417679</v>
      </c>
      <c r="V608" s="35">
        <f>Inputs!$D$6*F608*Inputs!$D$28*Inputs!$D$31</f>
        <v>592.65770193981814</v>
      </c>
      <c r="W608" s="36">
        <f>V608/(B608*Inputs!$D$34)</f>
        <v>1.3025443998677322</v>
      </c>
      <c r="X608" s="38">
        <f>IF(W608&gt;=1,999,W608/(Inputs!$D$34*(1-W608))*60)</f>
        <v>999</v>
      </c>
      <c r="Y608" s="37">
        <f>MIN(1,MAX(0,(X608-Inputs!$D$36)/(Inputs!$D$37-Inputs!$D$36)))</f>
        <v>1</v>
      </c>
      <c r="Z608" s="35">
        <f>Inputs!$D$6*F608*Inputs!$D$28*(1-Inputs!$D$38*Y608)</f>
        <v>2507.3979697453847</v>
      </c>
      <c r="AA608" s="39">
        <f>Z608*Inputs!$D$13</f>
        <v>21312.882742835769</v>
      </c>
      <c r="AB608" s="39">
        <f>AA608*(1-Inputs!$D$19)</f>
        <v>12787.729645701462</v>
      </c>
      <c r="AC608" s="39">
        <f t="shared" si="36"/>
        <v>345783.95906154177</v>
      </c>
      <c r="AD608" s="39">
        <f t="shared" si="37"/>
        <v>133677.39613911914</v>
      </c>
      <c r="AE608" s="36">
        <f t="shared" si="38"/>
        <v>1.3025443998677322</v>
      </c>
      <c r="AF608" s="35">
        <f>IF(AND(AE608&lt;=Inputs!$D$35,C608&gt;=Inputs!$D$48*(A608+B608+C608),B608*Inputs!$D$22&lt;=Inputs!$D$50*Inputs!$D$8,B608*Inputs!$D$22&gt;=Inputs!$D$49*Inputs!$D$8,A608*Inputs!$D$20&lt;=Inputs!$D$47*Inputs!$D$8,C608&gt;=1),1,0)</f>
        <v>0</v>
      </c>
      <c r="AG608" s="39">
        <f t="shared" si="39"/>
        <v>-1</v>
      </c>
    </row>
    <row r="609" spans="1:33" x14ac:dyDescent="0.25">
      <c r="A609" s="35">
        <v>50</v>
      </c>
      <c r="B609" s="35">
        <v>14</v>
      </c>
      <c r="C609" s="35">
        <f>Inputs!$D$8-A609-Inputs!$D$22*B609</f>
        <v>42</v>
      </c>
      <c r="D609" s="35">
        <f>A609*Inputs!$D$20+C609*Inputs!$D$21+B609*Inputs!$D$22</f>
        <v>120</v>
      </c>
      <c r="E609" s="36">
        <f>MIN(Inputs!$E$15,Inputs!$D$15*(C609/Inputs!$D$43)^Inputs!$D$44)</f>
        <v>0.37973108090036384</v>
      </c>
      <c r="F609" s="36">
        <f>MIN(Inputs!$E$16,Inputs!$D$16*(B609/Inputs!$D$42)^Inputs!$D$44)</f>
        <v>0.35940937671625589</v>
      </c>
      <c r="G609" s="37">
        <f>Inputs!$D$26*(1+Inputs!$D$41*(B609-Inputs!$D$42))</f>
        <v>1.41</v>
      </c>
      <c r="H609" s="35">
        <f>Inputs!$D$6*Inputs!$D$14*G609*Inputs!$D$29</f>
        <v>1771.5663000000002</v>
      </c>
      <c r="I609" s="36">
        <f>H609/(A609*Inputs!$D$32)</f>
        <v>0.6442059272727273</v>
      </c>
      <c r="J609" s="38">
        <f>IF(I609&gt;=1,999,I609/(Inputs!$D$32*(1-I609))*60)</f>
        <v>1.9752158800521507</v>
      </c>
      <c r="K609" s="37">
        <f>MIN(1,MAX(0,(J609-Inputs!$D$36)/(Inputs!$D$37-Inputs!$D$36)))</f>
        <v>0</v>
      </c>
      <c r="L609" s="35">
        <f>Inputs!$D$6*Inputs!$D$14*G609*(1-Inputs!$D$38*K609)</f>
        <v>11810.442000000001</v>
      </c>
      <c r="M609" s="39">
        <f>L609*Inputs!$D$11</f>
        <v>253924.50300000003</v>
      </c>
      <c r="N609" s="39">
        <f>M609*(1-Inputs!$D$17)</f>
        <v>88873.576050000003</v>
      </c>
      <c r="O609" s="35">
        <f>Inputs!$D$6*E609*Inputs!$D$27*Inputs!$D$30</f>
        <v>541.74562495298949</v>
      </c>
      <c r="P609" s="36">
        <f>O609/(C609*Inputs!$D$33)</f>
        <v>0.32246763390058897</v>
      </c>
      <c r="Q609" s="38">
        <f>IF(P609&gt;=1,999,P609/(Inputs!$D$33*(1-P609))*60)</f>
        <v>0.71391637514762252</v>
      </c>
      <c r="R609" s="37">
        <f>MIN(1,MAX(0,(Q609-Inputs!$D$36)/(Inputs!$D$37-Inputs!$D$36)))</f>
        <v>0</v>
      </c>
      <c r="S609" s="35">
        <f>Inputs!$D$6*E609*Inputs!$D$27*(1-Inputs!$D$38*R609)</f>
        <v>4514.5468746082461</v>
      </c>
      <c r="T609" s="39">
        <f>S609*Inputs!$D$12</f>
        <v>72232.749993731937</v>
      </c>
      <c r="U609" s="39">
        <f>T609*(1-Inputs!$D$18)</f>
        <v>32504.737497179369</v>
      </c>
      <c r="V609" s="35">
        <f>Inputs!$D$6*F609*Inputs!$D$28*Inputs!$D$31</f>
        <v>605.98146079368973</v>
      </c>
      <c r="W609" s="36">
        <f>V609/(B609*Inputs!$D$34)</f>
        <v>1.2366968587626321</v>
      </c>
      <c r="X609" s="38">
        <f>IF(W609&gt;=1,999,W609/(Inputs!$D$34*(1-W609))*60)</f>
        <v>999</v>
      </c>
      <c r="Y609" s="37">
        <f>MIN(1,MAX(0,(X609-Inputs!$D$36)/(Inputs!$D$37-Inputs!$D$36)))</f>
        <v>1</v>
      </c>
      <c r="Z609" s="35">
        <f>Inputs!$D$6*F609*Inputs!$D$28*(1-Inputs!$D$38*Y609)</f>
        <v>2563.7677187425338</v>
      </c>
      <c r="AA609" s="39">
        <f>Z609*Inputs!$D$13</f>
        <v>21792.025609311539</v>
      </c>
      <c r="AB609" s="39">
        <f>AA609*(1-Inputs!$D$19)</f>
        <v>13075.215365586922</v>
      </c>
      <c r="AC609" s="39">
        <f t="shared" si="36"/>
        <v>347949.27860304352</v>
      </c>
      <c r="AD609" s="39">
        <f t="shared" si="37"/>
        <v>134453.52891276628</v>
      </c>
      <c r="AE609" s="36">
        <f t="shared" si="38"/>
        <v>1.2366968587626321</v>
      </c>
      <c r="AF609" s="35">
        <f>IF(AND(AE609&lt;=Inputs!$D$35,C609&gt;=Inputs!$D$48*(A609+B609+C609),B609*Inputs!$D$22&lt;=Inputs!$D$50*Inputs!$D$8,B609*Inputs!$D$22&gt;=Inputs!$D$49*Inputs!$D$8,A609*Inputs!$D$20&lt;=Inputs!$D$47*Inputs!$D$8,C609&gt;=1),1,0)</f>
        <v>0</v>
      </c>
      <c r="AG609" s="39">
        <f t="shared" si="39"/>
        <v>-1</v>
      </c>
    </row>
    <row r="610" spans="1:33" x14ac:dyDescent="0.25">
      <c r="A610" s="35">
        <v>50</v>
      </c>
      <c r="B610" s="35">
        <v>15</v>
      </c>
      <c r="C610" s="35">
        <f>Inputs!$D$8-A610-Inputs!$D$22*B610</f>
        <v>40</v>
      </c>
      <c r="D610" s="35">
        <f>A610*Inputs!$D$20+C610*Inputs!$D$21+B610*Inputs!$D$22</f>
        <v>120</v>
      </c>
      <c r="E610" s="36">
        <f>MIN(Inputs!$E$15,Inputs!$D$15*(C610/Inputs!$D$43)^Inputs!$D$44)</f>
        <v>0.37421341802855551</v>
      </c>
      <c r="F610" s="36">
        <f>MIN(Inputs!$E$16,Inputs!$D$16*(B610/Inputs!$D$42)^Inputs!$D$44)</f>
        <v>0.36692590185696072</v>
      </c>
      <c r="G610" s="37">
        <f>Inputs!$D$26*(1+Inputs!$D$41*(B610-Inputs!$D$42))</f>
        <v>1.4249999999999998</v>
      </c>
      <c r="H610" s="35">
        <f>Inputs!$D$6*Inputs!$D$14*G610*Inputs!$D$29</f>
        <v>1790.4127499999997</v>
      </c>
      <c r="I610" s="36">
        <f>H610/(A610*Inputs!$D$32)</f>
        <v>0.65105918181818168</v>
      </c>
      <c r="J610" s="38">
        <f>IF(I610&gt;=1,999,I610/(Inputs!$D$32*(1-I610))*60)</f>
        <v>2.0354350742515015</v>
      </c>
      <c r="K610" s="37">
        <f>MIN(1,MAX(0,(J610-Inputs!$D$36)/(Inputs!$D$37-Inputs!$D$36)))</f>
        <v>0</v>
      </c>
      <c r="L610" s="35">
        <f>Inputs!$D$6*Inputs!$D$14*G610*(1-Inputs!$D$38*K610)</f>
        <v>11936.084999999999</v>
      </c>
      <c r="M610" s="39">
        <f>L610*Inputs!$D$11</f>
        <v>256625.82749999998</v>
      </c>
      <c r="N610" s="39">
        <f>M610*(1-Inputs!$D$17)</f>
        <v>89819.03962499999</v>
      </c>
      <c r="O610" s="35">
        <f>Inputs!$D$6*E610*Inputs!$D$27*Inputs!$D$30</f>
        <v>533.8738181109469</v>
      </c>
      <c r="P610" s="36">
        <f>O610/(C610*Inputs!$D$33)</f>
        <v>0.33367113631934181</v>
      </c>
      <c r="Q610" s="38">
        <f>IF(P610&gt;=1,999,P610/(Inputs!$D$33*(1-P610))*60)</f>
        <v>0.75114066305685867</v>
      </c>
      <c r="R610" s="37">
        <f>MIN(1,MAX(0,(Q610-Inputs!$D$36)/(Inputs!$D$37-Inputs!$D$36)))</f>
        <v>0</v>
      </c>
      <c r="S610" s="35">
        <f>Inputs!$D$6*E610*Inputs!$D$27*(1-Inputs!$D$38*R610)</f>
        <v>4448.9484842578913</v>
      </c>
      <c r="T610" s="39">
        <f>S610*Inputs!$D$12</f>
        <v>71183.175748126261</v>
      </c>
      <c r="U610" s="39">
        <f>T610*(1-Inputs!$D$18)</f>
        <v>32032.429086656815</v>
      </c>
      <c r="V610" s="35">
        <f>Inputs!$D$6*F610*Inputs!$D$28*Inputs!$D$31</f>
        <v>618.65468297412497</v>
      </c>
      <c r="W610" s="36">
        <f>V610/(B610*Inputs!$D$34)</f>
        <v>1.1783898723316666</v>
      </c>
      <c r="X610" s="38">
        <f>IF(W610&gt;=1,999,W610/(Inputs!$D$34*(1-W610))*60)</f>
        <v>999</v>
      </c>
      <c r="Y610" s="37">
        <f>MIN(1,MAX(0,(X610-Inputs!$D$36)/(Inputs!$D$37-Inputs!$D$36)))</f>
        <v>1</v>
      </c>
      <c r="Z610" s="35">
        <f>Inputs!$D$6*F610*Inputs!$D$28*(1-Inputs!$D$38*Y610)</f>
        <v>2617.3851971982212</v>
      </c>
      <c r="AA610" s="39">
        <f>Z610*Inputs!$D$13</f>
        <v>22247.774176184881</v>
      </c>
      <c r="AB610" s="39">
        <f>AA610*(1-Inputs!$D$19)</f>
        <v>13348.664505710929</v>
      </c>
      <c r="AC610" s="39">
        <f t="shared" si="36"/>
        <v>350056.77742431115</v>
      </c>
      <c r="AD610" s="39">
        <f t="shared" si="37"/>
        <v>135200.13321736775</v>
      </c>
      <c r="AE610" s="36">
        <f t="shared" si="38"/>
        <v>1.1783898723316666</v>
      </c>
      <c r="AF610" s="35">
        <f>IF(AND(AE610&lt;=Inputs!$D$35,C610&gt;=Inputs!$D$48*(A610+B610+C610),B610*Inputs!$D$22&lt;=Inputs!$D$50*Inputs!$D$8,B610*Inputs!$D$22&gt;=Inputs!$D$49*Inputs!$D$8,A610*Inputs!$D$20&lt;=Inputs!$D$47*Inputs!$D$8,C610&gt;=1),1,0)</f>
        <v>0</v>
      </c>
      <c r="AG610" s="39">
        <f t="shared" si="39"/>
        <v>-1</v>
      </c>
    </row>
    <row r="611" spans="1:33" x14ac:dyDescent="0.25">
      <c r="A611" s="35">
        <v>50</v>
      </c>
      <c r="B611" s="35">
        <v>16</v>
      </c>
      <c r="C611" s="35">
        <f>Inputs!$D$8-A611-Inputs!$D$22*B611</f>
        <v>38</v>
      </c>
      <c r="D611" s="35">
        <f>A611*Inputs!$D$20+C611*Inputs!$D$21+B611*Inputs!$D$22</f>
        <v>120</v>
      </c>
      <c r="E611" s="36">
        <f>MIN(Inputs!$E$15,Inputs!$D$15*(C611/Inputs!$D$43)^Inputs!$D$44)</f>
        <v>0.36849910497273691</v>
      </c>
      <c r="F611" s="36">
        <f>MIN(Inputs!$E$16,Inputs!$D$16*(B611/Inputs!$D$42)^Inputs!$D$44)</f>
        <v>0.37409937912904856</v>
      </c>
      <c r="G611" s="37">
        <f>Inputs!$D$26*(1+Inputs!$D$41*(B611-Inputs!$D$42))</f>
        <v>1.44</v>
      </c>
      <c r="H611" s="35">
        <f>Inputs!$D$6*Inputs!$D$14*G611*Inputs!$D$29</f>
        <v>1809.2592000000002</v>
      </c>
      <c r="I611" s="36">
        <f>H611/(A611*Inputs!$D$32)</f>
        <v>0.65791243636363639</v>
      </c>
      <c r="J611" s="38">
        <f>IF(I611&gt;=1,999,I611/(Inputs!$D$32*(1-I611))*60)</f>
        <v>2.098067086163276</v>
      </c>
      <c r="K611" s="37">
        <f>MIN(1,MAX(0,(J611-Inputs!$D$36)/(Inputs!$D$37-Inputs!$D$36)))</f>
        <v>0</v>
      </c>
      <c r="L611" s="35">
        <f>Inputs!$D$6*Inputs!$D$14*G611*(1-Inputs!$D$38*K611)</f>
        <v>12061.728000000001</v>
      </c>
      <c r="M611" s="39">
        <f>L611*Inputs!$D$11</f>
        <v>259327.15200000003</v>
      </c>
      <c r="N611" s="39">
        <f>M611*(1-Inputs!$D$17)</f>
        <v>90764.503200000006</v>
      </c>
      <c r="O611" s="35">
        <f>Inputs!$D$6*E611*Inputs!$D$27*Inputs!$D$30</f>
        <v>525.72145910398501</v>
      </c>
      <c r="P611" s="36">
        <f>O611/(C611*Inputs!$D$33)</f>
        <v>0.34586938098946385</v>
      </c>
      <c r="Q611" s="38">
        <f>IF(P611&gt;=1,999,P611/(Inputs!$D$33*(1-P611))*60)</f>
        <v>0.79311999225622454</v>
      </c>
      <c r="R611" s="37">
        <f>MIN(1,MAX(0,(Q611-Inputs!$D$36)/(Inputs!$D$37-Inputs!$D$36)))</f>
        <v>0</v>
      </c>
      <c r="S611" s="35">
        <f>Inputs!$D$6*E611*Inputs!$D$27*(1-Inputs!$D$38*R611)</f>
        <v>4381.012159199875</v>
      </c>
      <c r="T611" s="39">
        <f>S611*Inputs!$D$12</f>
        <v>70096.194547198</v>
      </c>
      <c r="U611" s="39">
        <f>T611*(1-Inputs!$D$18)</f>
        <v>31543.287546239098</v>
      </c>
      <c r="V611" s="35">
        <f>Inputs!$D$6*F611*Inputs!$D$28*Inputs!$D$31</f>
        <v>630.74950998177405</v>
      </c>
      <c r="W611" s="36">
        <f>V611/(B611*Inputs!$D$34)</f>
        <v>1.1263384106817393</v>
      </c>
      <c r="X611" s="38">
        <f>IF(W611&gt;=1,999,W611/(Inputs!$D$34*(1-W611))*60)</f>
        <v>999</v>
      </c>
      <c r="Y611" s="37">
        <f>MIN(1,MAX(0,(X611-Inputs!$D$36)/(Inputs!$D$37-Inputs!$D$36)))</f>
        <v>1</v>
      </c>
      <c r="Z611" s="35">
        <f>Inputs!$D$6*F611*Inputs!$D$28*(1-Inputs!$D$38*Y611)</f>
        <v>2668.5556191536598</v>
      </c>
      <c r="AA611" s="39">
        <f>Z611*Inputs!$D$13</f>
        <v>22682.722762806108</v>
      </c>
      <c r="AB611" s="39">
        <f>AA611*(1-Inputs!$D$19)</f>
        <v>13609.633657683664</v>
      </c>
      <c r="AC611" s="39">
        <f t="shared" si="36"/>
        <v>352106.06931000412</v>
      </c>
      <c r="AD611" s="39">
        <f t="shared" si="37"/>
        <v>135917.42440392278</v>
      </c>
      <c r="AE611" s="36">
        <f t="shared" si="38"/>
        <v>1.1263384106817393</v>
      </c>
      <c r="AF611" s="35">
        <f>IF(AND(AE611&lt;=Inputs!$D$35,C611&gt;=Inputs!$D$48*(A611+B611+C611),B611*Inputs!$D$22&lt;=Inputs!$D$50*Inputs!$D$8,B611*Inputs!$D$22&gt;=Inputs!$D$49*Inputs!$D$8,A611*Inputs!$D$20&lt;=Inputs!$D$47*Inputs!$D$8,C611&gt;=1),1,0)</f>
        <v>0</v>
      </c>
      <c r="AG611" s="39">
        <f t="shared" si="39"/>
        <v>-1</v>
      </c>
    </row>
    <row r="612" spans="1:33" x14ac:dyDescent="0.25">
      <c r="A612" s="35">
        <v>50</v>
      </c>
      <c r="B612" s="35">
        <v>17</v>
      </c>
      <c r="C612" s="35">
        <f>Inputs!$D$8-A612-Inputs!$D$22*B612</f>
        <v>36</v>
      </c>
      <c r="D612" s="35">
        <f>A612*Inputs!$D$20+C612*Inputs!$D$21+B612*Inputs!$D$22</f>
        <v>120</v>
      </c>
      <c r="E612" s="36">
        <f>MIN(Inputs!$E$15,Inputs!$D$15*(C612/Inputs!$D$43)^Inputs!$D$44)</f>
        <v>0.36257020206219398</v>
      </c>
      <c r="F612" s="36">
        <f>MIN(Inputs!$E$16,Inputs!$D$16*(B612/Inputs!$D$42)^Inputs!$D$44)</f>
        <v>0.3809655184437048</v>
      </c>
      <c r="G612" s="37">
        <f>Inputs!$D$26*(1+Inputs!$D$41*(B612-Inputs!$D$42))</f>
        <v>1.4550000000000001</v>
      </c>
      <c r="H612" s="35">
        <f>Inputs!$D$6*Inputs!$D$14*G612*Inputs!$D$29</f>
        <v>1828.1056500000002</v>
      </c>
      <c r="I612" s="36">
        <f>H612/(A612*Inputs!$D$32)</f>
        <v>0.66476569090909099</v>
      </c>
      <c r="J612" s="38">
        <f>IF(I612&gt;=1,999,I612/(Inputs!$D$32*(1-I612))*60)</f>
        <v>2.1632598927710895</v>
      </c>
      <c r="K612" s="37">
        <f>MIN(1,MAX(0,(J612-Inputs!$D$36)/(Inputs!$D$37-Inputs!$D$36)))</f>
        <v>0</v>
      </c>
      <c r="L612" s="35">
        <f>Inputs!$D$6*Inputs!$D$14*G612*(1-Inputs!$D$38*K612)</f>
        <v>12187.371000000001</v>
      </c>
      <c r="M612" s="39">
        <f>L612*Inputs!$D$11</f>
        <v>262028.47650000002</v>
      </c>
      <c r="N612" s="39">
        <f>M612*(1-Inputs!$D$17)</f>
        <v>91709.966775000008</v>
      </c>
      <c r="O612" s="35">
        <f>Inputs!$D$6*E612*Inputs!$D$27*Inputs!$D$30</f>
        <v>517.26295419324151</v>
      </c>
      <c r="P612" s="36">
        <f>O612/(C612*Inputs!$D$33)</f>
        <v>0.35921038485641771</v>
      </c>
      <c r="Q612" s="38">
        <f>IF(P612&gt;=1,999,P612/(Inputs!$D$33*(1-P612))*60)</f>
        <v>0.84086190623406665</v>
      </c>
      <c r="R612" s="37">
        <f>MIN(1,MAX(0,(Q612-Inputs!$D$36)/(Inputs!$D$37-Inputs!$D$36)))</f>
        <v>0</v>
      </c>
      <c r="S612" s="35">
        <f>Inputs!$D$6*E612*Inputs!$D$27*(1-Inputs!$D$38*R612)</f>
        <v>4310.5246182770125</v>
      </c>
      <c r="T612" s="39">
        <f>S612*Inputs!$D$12</f>
        <v>68968.393892432199</v>
      </c>
      <c r="U612" s="39">
        <f>T612*(1-Inputs!$D$18)</f>
        <v>31035.777251594485</v>
      </c>
      <c r="V612" s="35">
        <f>Inputs!$D$6*F612*Inputs!$D$28*Inputs!$D$31</f>
        <v>642.32615044097156</v>
      </c>
      <c r="W612" s="36">
        <f>V612/(B612*Inputs!$D$34)</f>
        <v>1.0795397486402882</v>
      </c>
      <c r="X612" s="38">
        <f>IF(W612&gt;=1,999,W612/(Inputs!$D$34*(1-W612))*60)</f>
        <v>999</v>
      </c>
      <c r="Y612" s="37">
        <f>MIN(1,MAX(0,(X612-Inputs!$D$36)/(Inputs!$D$37-Inputs!$D$36)))</f>
        <v>1</v>
      </c>
      <c r="Z612" s="35">
        <f>Inputs!$D$6*F612*Inputs!$D$28*(1-Inputs!$D$38*Y612)</f>
        <v>2717.5337134041106</v>
      </c>
      <c r="AA612" s="39">
        <f>Z612*Inputs!$D$13</f>
        <v>23099.03656393494</v>
      </c>
      <c r="AB612" s="39">
        <f>AA612*(1-Inputs!$D$19)</f>
        <v>13859.421938360963</v>
      </c>
      <c r="AC612" s="39">
        <f t="shared" si="36"/>
        <v>354095.90695636714</v>
      </c>
      <c r="AD612" s="39">
        <f t="shared" si="37"/>
        <v>136605.16596495546</v>
      </c>
      <c r="AE612" s="36">
        <f t="shared" si="38"/>
        <v>1.0795397486402882</v>
      </c>
      <c r="AF612" s="35">
        <f>IF(AND(AE612&lt;=Inputs!$D$35,C612&gt;=Inputs!$D$48*(A612+B612+C612),B612*Inputs!$D$22&lt;=Inputs!$D$50*Inputs!$D$8,B612*Inputs!$D$22&gt;=Inputs!$D$49*Inputs!$D$8,A612*Inputs!$D$20&lt;=Inputs!$D$47*Inputs!$D$8,C612&gt;=1),1,0)</f>
        <v>0</v>
      </c>
      <c r="AG612" s="39">
        <f t="shared" si="39"/>
        <v>-1</v>
      </c>
    </row>
    <row r="613" spans="1:33" x14ac:dyDescent="0.25">
      <c r="A613" s="35">
        <v>50</v>
      </c>
      <c r="B613" s="35">
        <v>18</v>
      </c>
      <c r="C613" s="35">
        <f>Inputs!$D$8-A613-Inputs!$D$22*B613</f>
        <v>34</v>
      </c>
      <c r="D613" s="35">
        <f>A613*Inputs!$D$20+C613*Inputs!$D$21+B613*Inputs!$D$22</f>
        <v>120</v>
      </c>
      <c r="E613" s="36">
        <f>MIN(Inputs!$E$15,Inputs!$D$15*(C613/Inputs!$D$43)^Inputs!$D$44)</f>
        <v>0.35640602201959876</v>
      </c>
      <c r="F613" s="36">
        <f>MIN(Inputs!$E$16,Inputs!$D$16*(B613/Inputs!$D$42)^Inputs!$D$44)</f>
        <v>0.38755446447890535</v>
      </c>
      <c r="G613" s="37">
        <f>Inputs!$D$26*(1+Inputs!$D$41*(B613-Inputs!$D$42))</f>
        <v>1.47</v>
      </c>
      <c r="H613" s="35">
        <f>Inputs!$D$6*Inputs!$D$14*G613*Inputs!$D$29</f>
        <v>1846.9521</v>
      </c>
      <c r="I613" s="36">
        <f>H613/(A613*Inputs!$D$32)</f>
        <v>0.67161894545454548</v>
      </c>
      <c r="J613" s="38">
        <f>IF(I613&gt;=1,999,I613/(Inputs!$D$32*(1-I613))*60)</f>
        <v>2.2311738240724956</v>
      </c>
      <c r="K613" s="37">
        <f>MIN(1,MAX(0,(J613-Inputs!$D$36)/(Inputs!$D$37-Inputs!$D$36)))</f>
        <v>0</v>
      </c>
      <c r="L613" s="35">
        <f>Inputs!$D$6*Inputs!$D$14*G613*(1-Inputs!$D$38*K613)</f>
        <v>12313.014000000001</v>
      </c>
      <c r="M613" s="39">
        <f>L613*Inputs!$D$11</f>
        <v>264729.80100000004</v>
      </c>
      <c r="N613" s="39">
        <f>M613*(1-Inputs!$D$17)</f>
        <v>92655.43035000001</v>
      </c>
      <c r="O613" s="35">
        <f>Inputs!$D$6*E613*Inputs!$D$27*Inputs!$D$30</f>
        <v>508.46878975039266</v>
      </c>
      <c r="P613" s="36">
        <f>O613/(C613*Inputs!$D$33)</f>
        <v>0.37387411011058286</v>
      </c>
      <c r="Q613" s="38">
        <f>IF(P613&gt;=1,999,P613/(Inputs!$D$33*(1-P613))*60)</f>
        <v>0.89568435712652228</v>
      </c>
      <c r="R613" s="37">
        <f>MIN(1,MAX(0,(Q613-Inputs!$D$36)/(Inputs!$D$37-Inputs!$D$36)))</f>
        <v>0</v>
      </c>
      <c r="S613" s="35">
        <f>Inputs!$D$6*E613*Inputs!$D$27*(1-Inputs!$D$38*R613)</f>
        <v>4237.2399145866057</v>
      </c>
      <c r="T613" s="39">
        <f>S613*Inputs!$D$12</f>
        <v>67795.838633385691</v>
      </c>
      <c r="U613" s="39">
        <f>T613*(1-Inputs!$D$18)</f>
        <v>30508.127385023559</v>
      </c>
      <c r="V613" s="35">
        <f>Inputs!$D$6*F613*Inputs!$D$28*Inputs!$D$31</f>
        <v>653.43542972572936</v>
      </c>
      <c r="W613" s="36">
        <f>V613/(B613*Inputs!$D$34)</f>
        <v>1.037199094802745</v>
      </c>
      <c r="X613" s="38">
        <f>IF(W613&gt;=1,999,W613/(Inputs!$D$34*(1-W613))*60)</f>
        <v>999</v>
      </c>
      <c r="Y613" s="37">
        <f>MIN(1,MAX(0,(X613-Inputs!$D$36)/(Inputs!$D$37-Inputs!$D$36)))</f>
        <v>1</v>
      </c>
      <c r="Z613" s="35">
        <f>Inputs!$D$6*F613*Inputs!$D$28*(1-Inputs!$D$38*Y613)</f>
        <v>2764.534510378086</v>
      </c>
      <c r="AA613" s="39">
        <f>Z613*Inputs!$D$13</f>
        <v>23498.543338213731</v>
      </c>
      <c r="AB613" s="39">
        <f>AA613*(1-Inputs!$D$19)</f>
        <v>14099.126002928238</v>
      </c>
      <c r="AC613" s="39">
        <f t="shared" si="36"/>
        <v>356024.18297159945</v>
      </c>
      <c r="AD613" s="39">
        <f t="shared" si="37"/>
        <v>137262.6837379518</v>
      </c>
      <c r="AE613" s="36">
        <f t="shared" si="38"/>
        <v>1.037199094802745</v>
      </c>
      <c r="AF613" s="35">
        <f>IF(AND(AE613&lt;=Inputs!$D$35,C613&gt;=Inputs!$D$48*(A613+B613+C613),B613*Inputs!$D$22&lt;=Inputs!$D$50*Inputs!$D$8,B613*Inputs!$D$22&gt;=Inputs!$D$49*Inputs!$D$8,A613*Inputs!$D$20&lt;=Inputs!$D$47*Inputs!$D$8,C613&gt;=1),1,0)</f>
        <v>0</v>
      </c>
      <c r="AG613" s="39">
        <f t="shared" si="39"/>
        <v>-1</v>
      </c>
    </row>
    <row r="614" spans="1:33" x14ac:dyDescent="0.25">
      <c r="A614" s="35">
        <v>50</v>
      </c>
      <c r="B614" s="35">
        <v>19</v>
      </c>
      <c r="C614" s="35">
        <f>Inputs!$D$8-A614-Inputs!$D$22*B614</f>
        <v>32</v>
      </c>
      <c r="D614" s="35">
        <f>A614*Inputs!$D$20+C614*Inputs!$D$21+B614*Inputs!$D$22</f>
        <v>120</v>
      </c>
      <c r="E614" s="36">
        <f>MIN(Inputs!$E$15,Inputs!$D$15*(C614/Inputs!$D$43)^Inputs!$D$44)</f>
        <v>0.34998251836560429</v>
      </c>
      <c r="F614" s="36">
        <f>MIN(Inputs!$E$16,Inputs!$D$16*(B614/Inputs!$D$42)^Inputs!$D$44)</f>
        <v>0.39389192072703005</v>
      </c>
      <c r="G614" s="37">
        <f>Inputs!$D$26*(1+Inputs!$D$41*(B614-Inputs!$D$42))</f>
        <v>1.4849999999999999</v>
      </c>
      <c r="H614" s="35">
        <f>Inputs!$D$6*Inputs!$D$14*G614*Inputs!$D$29</f>
        <v>1865.7985499999998</v>
      </c>
      <c r="I614" s="36">
        <f>H614/(A614*Inputs!$D$32)</f>
        <v>0.67847219999999986</v>
      </c>
      <c r="J614" s="38">
        <f>IF(I614&gt;=1,999,I614/(Inputs!$D$32*(1-I614))*60)</f>
        <v>2.3019828795802115</v>
      </c>
      <c r="K614" s="37">
        <f>MIN(1,MAX(0,(J614-Inputs!$D$36)/(Inputs!$D$37-Inputs!$D$36)))</f>
        <v>0</v>
      </c>
      <c r="L614" s="35">
        <f>Inputs!$D$6*Inputs!$D$14*G614*(1-Inputs!$D$38*K614)</f>
        <v>12438.656999999999</v>
      </c>
      <c r="M614" s="39">
        <f>L614*Inputs!$D$11</f>
        <v>267431.12549999997</v>
      </c>
      <c r="N614" s="39">
        <f>M614*(1-Inputs!$D$17)</f>
        <v>93600.893924999982</v>
      </c>
      <c r="O614" s="35">
        <f>Inputs!$D$6*E614*Inputs!$D$27*Inputs!$D$30</f>
        <v>499.30465972139962</v>
      </c>
      <c r="P614" s="36">
        <f>O614/(C614*Inputs!$D$33)</f>
        <v>0.39008176540734346</v>
      </c>
      <c r="Q614" s="38">
        <f>IF(P614&gt;=1,999,P614/(Inputs!$D$33*(1-P614))*60)</f>
        <v>0.95934604824825165</v>
      </c>
      <c r="R614" s="37">
        <f>MIN(1,MAX(0,(Q614-Inputs!$D$36)/(Inputs!$D$37-Inputs!$D$36)))</f>
        <v>0</v>
      </c>
      <c r="S614" s="35">
        <f>Inputs!$D$6*E614*Inputs!$D$27*(1-Inputs!$D$38*R614)</f>
        <v>4160.8721643449971</v>
      </c>
      <c r="T614" s="39">
        <f>S614*Inputs!$D$12</f>
        <v>66573.954629519954</v>
      </c>
      <c r="U614" s="39">
        <f>T614*(1-Inputs!$D$18)</f>
        <v>29958.279583283977</v>
      </c>
      <c r="V614" s="35">
        <f>Inputs!$D$6*F614*Inputs!$D$28*Inputs!$D$31</f>
        <v>664.12068515796761</v>
      </c>
      <c r="W614" s="36">
        <f>V614/(B614*Inputs!$D$34)</f>
        <v>0.99867772204205651</v>
      </c>
      <c r="X614" s="38">
        <f>IF(W614&gt;=1,999,W614/(Inputs!$D$34*(1-W614))*60)</f>
        <v>1294.749671797274</v>
      </c>
      <c r="Y614" s="37">
        <f>MIN(1,MAX(0,(X614-Inputs!$D$36)/(Inputs!$D$37-Inputs!$D$36)))</f>
        <v>1</v>
      </c>
      <c r="Z614" s="35">
        <f>Inputs!$D$6*F614*Inputs!$D$28*(1-Inputs!$D$38*Y614)</f>
        <v>2809.7413602837091</v>
      </c>
      <c r="AA614" s="39">
        <f>Z614*Inputs!$D$13</f>
        <v>23882.801562411529</v>
      </c>
      <c r="AB614" s="39">
        <f>AA614*(1-Inputs!$D$19)</f>
        <v>14329.680937446918</v>
      </c>
      <c r="AC614" s="39">
        <f t="shared" si="36"/>
        <v>357887.88169193146</v>
      </c>
      <c r="AD614" s="39">
        <f t="shared" si="37"/>
        <v>137888.85444573089</v>
      </c>
      <c r="AE614" s="36">
        <f t="shared" si="38"/>
        <v>0.99867772204205651</v>
      </c>
      <c r="AF614" s="35">
        <f>IF(AND(AE614&lt;=Inputs!$D$35,C614&gt;=Inputs!$D$48*(A614+B614+C614),B614*Inputs!$D$22&lt;=Inputs!$D$50*Inputs!$D$8,B614*Inputs!$D$22&gt;=Inputs!$D$49*Inputs!$D$8,A614*Inputs!$D$20&lt;=Inputs!$D$47*Inputs!$D$8,C614&gt;=1),1,0)</f>
        <v>0</v>
      </c>
      <c r="AG614" s="39">
        <f t="shared" si="39"/>
        <v>-1</v>
      </c>
    </row>
    <row r="615" spans="1:33" x14ac:dyDescent="0.25">
      <c r="A615" s="35">
        <v>50</v>
      </c>
      <c r="B615" s="35">
        <v>20</v>
      </c>
      <c r="C615" s="35">
        <f>Inputs!$D$8-A615-Inputs!$D$22*B615</f>
        <v>30</v>
      </c>
      <c r="D615" s="35">
        <f>A615*Inputs!$D$20+C615*Inputs!$D$21+B615*Inputs!$D$22</f>
        <v>120</v>
      </c>
      <c r="E615" s="36">
        <f>MIN(Inputs!$E$15,Inputs!$D$15*(C615/Inputs!$D$43)^Inputs!$D$44)</f>
        <v>0.3432714897427589</v>
      </c>
      <c r="F615" s="36">
        <f>MIN(Inputs!$E$16,Inputs!$D$16*(B615/Inputs!$D$42)^Inputs!$D$44)</f>
        <v>0.4</v>
      </c>
      <c r="G615" s="37">
        <f>Inputs!$D$26*(1+Inputs!$D$41*(B615-Inputs!$D$42))</f>
        <v>1.5</v>
      </c>
      <c r="H615" s="35">
        <f>Inputs!$D$6*Inputs!$D$14*G615*Inputs!$D$29</f>
        <v>1884.645</v>
      </c>
      <c r="I615" s="36">
        <f>H615/(A615*Inputs!$D$32)</f>
        <v>0.68532545454545457</v>
      </c>
      <c r="J615" s="38">
        <f>IF(I615&gt;=1,999,I615/(Inputs!$D$32*(1-I615))*60)</f>
        <v>2.3758762168547749</v>
      </c>
      <c r="K615" s="37">
        <f>MIN(1,MAX(0,(J615-Inputs!$D$36)/(Inputs!$D$37-Inputs!$D$36)))</f>
        <v>0</v>
      </c>
      <c r="L615" s="35">
        <f>Inputs!$D$6*Inputs!$D$14*G615*(1-Inputs!$D$38*K615)</f>
        <v>12564.300000000001</v>
      </c>
      <c r="M615" s="39">
        <f>L615*Inputs!$D$11</f>
        <v>270132.45</v>
      </c>
      <c r="N615" s="39">
        <f>M615*(1-Inputs!$D$17)</f>
        <v>94546.357499999998</v>
      </c>
      <c r="O615" s="35">
        <f>Inputs!$D$6*E615*Inputs!$D$27*Inputs!$D$30</f>
        <v>489.73033047044544</v>
      </c>
      <c r="P615" s="36">
        <f>O615/(C615*Inputs!$D$33)</f>
        <v>0.40810860872537119</v>
      </c>
      <c r="Q615" s="38">
        <f>IF(P615&gt;=1,999,P615/(Inputs!$D$33*(1-P615))*60)</f>
        <v>1.0342487187890559</v>
      </c>
      <c r="R615" s="37">
        <f>MIN(1,MAX(0,(Q615-Inputs!$D$36)/(Inputs!$D$37-Inputs!$D$36)))</f>
        <v>0</v>
      </c>
      <c r="S615" s="35">
        <f>Inputs!$D$6*E615*Inputs!$D$27*(1-Inputs!$D$38*R615)</f>
        <v>4081.0860872537123</v>
      </c>
      <c r="T615" s="39">
        <f>S615*Inputs!$D$12</f>
        <v>65297.377396059397</v>
      </c>
      <c r="U615" s="39">
        <f>T615*(1-Inputs!$D$18)</f>
        <v>29383.819828226726</v>
      </c>
      <c r="V615" s="35">
        <f>Inputs!$D$6*F615*Inputs!$D$28*Inputs!$D$31</f>
        <v>674.41919999999993</v>
      </c>
      <c r="W615" s="36">
        <f>V615/(B615*Inputs!$D$34)</f>
        <v>0.96345599999999987</v>
      </c>
      <c r="X615" s="38">
        <f>IF(W615&gt;=1,999,W615/(Inputs!$D$34*(1-W615))*60)</f>
        <v>45.195896922691851</v>
      </c>
      <c r="Y615" s="37">
        <f>MIN(1,MAX(0,(X615-Inputs!$D$36)/(Inputs!$D$37-Inputs!$D$36)))</f>
        <v>1</v>
      </c>
      <c r="Z615" s="35">
        <f>Inputs!$D$6*F615*Inputs!$D$28*(1-Inputs!$D$38*Y615)</f>
        <v>2853.3119999999999</v>
      </c>
      <c r="AA615" s="39">
        <f>Z615*Inputs!$D$13</f>
        <v>24253.151999999998</v>
      </c>
      <c r="AB615" s="39">
        <f>AA615*(1-Inputs!$D$19)</f>
        <v>14551.891199999998</v>
      </c>
      <c r="AC615" s="39">
        <f t="shared" si="36"/>
        <v>359682.97939605941</v>
      </c>
      <c r="AD615" s="39">
        <f t="shared" si="37"/>
        <v>138482.06852822672</v>
      </c>
      <c r="AE615" s="36">
        <f t="shared" si="38"/>
        <v>0.96345599999999987</v>
      </c>
      <c r="AF615" s="35">
        <f>IF(AND(AE615&lt;=Inputs!$D$35,C615&gt;=Inputs!$D$48*(A615+B615+C615),B615*Inputs!$D$22&lt;=Inputs!$D$50*Inputs!$D$8,B615*Inputs!$D$22&gt;=Inputs!$D$49*Inputs!$D$8,A615*Inputs!$D$20&lt;=Inputs!$D$47*Inputs!$D$8,C615&gt;=1),1,0)</f>
        <v>0</v>
      </c>
      <c r="AG615" s="39">
        <f t="shared" si="39"/>
        <v>-1</v>
      </c>
    </row>
    <row r="616" spans="1:33" x14ac:dyDescent="0.25">
      <c r="A616" s="35">
        <v>50</v>
      </c>
      <c r="B616" s="35">
        <v>21</v>
      </c>
      <c r="C616" s="35">
        <f>Inputs!$D$8-A616-Inputs!$D$22*B616</f>
        <v>28</v>
      </c>
      <c r="D616" s="35">
        <f>A616*Inputs!$D$20+C616*Inputs!$D$21+B616*Inputs!$D$22</f>
        <v>120</v>
      </c>
      <c r="E616" s="36">
        <f>MIN(Inputs!$E$15,Inputs!$D$15*(C616/Inputs!$D$43)^Inputs!$D$44)</f>
        <v>0.33623952833125714</v>
      </c>
      <c r="F616" s="36">
        <f>MIN(Inputs!$E$16,Inputs!$D$16*(B616/Inputs!$D$42)^Inputs!$D$44)</f>
        <v>0.40589787816896217</v>
      </c>
      <c r="G616" s="37">
        <f>Inputs!$D$26*(1+Inputs!$D$41*(B616-Inputs!$D$42))</f>
        <v>1.5150000000000001</v>
      </c>
      <c r="H616" s="35">
        <f>Inputs!$D$6*Inputs!$D$14*G616*Inputs!$D$29</f>
        <v>1903.4914500000004</v>
      </c>
      <c r="I616" s="36">
        <f>H616/(A616*Inputs!$D$32)</f>
        <v>0.69217870909090928</v>
      </c>
      <c r="J616" s="38">
        <f>IF(I616&gt;=1,999,I616/(Inputs!$D$32*(1-I616))*60)</f>
        <v>2.4530598388790388</v>
      </c>
      <c r="K616" s="37">
        <f>MIN(1,MAX(0,(J616-Inputs!$D$36)/(Inputs!$D$37-Inputs!$D$36)))</f>
        <v>0</v>
      </c>
      <c r="L616" s="35">
        <f>Inputs!$D$6*Inputs!$D$14*G616*(1-Inputs!$D$38*K616)</f>
        <v>12689.943000000003</v>
      </c>
      <c r="M616" s="39">
        <f>L616*Inputs!$D$11</f>
        <v>272833.77450000006</v>
      </c>
      <c r="N616" s="39">
        <f>M616*(1-Inputs!$D$17)</f>
        <v>95491.821075000014</v>
      </c>
      <c r="O616" s="35">
        <f>Inputs!$D$6*E616*Inputs!$D$27*Inputs!$D$30</f>
        <v>479.69814053095797</v>
      </c>
      <c r="P616" s="36">
        <f>O616/(C616*Inputs!$D$33)</f>
        <v>0.42830191118835531</v>
      </c>
      <c r="Q616" s="38">
        <f>IF(P616&gt;=1,999,P616/(Inputs!$D$33*(1-P616))*60)</f>
        <v>1.1237624882006552</v>
      </c>
      <c r="R616" s="37">
        <f>MIN(1,MAX(0,(Q616-Inputs!$D$36)/(Inputs!$D$37-Inputs!$D$36)))</f>
        <v>0</v>
      </c>
      <c r="S616" s="35">
        <f>Inputs!$D$6*E616*Inputs!$D$27*(1-Inputs!$D$38*R616)</f>
        <v>3997.4845044246499</v>
      </c>
      <c r="T616" s="39">
        <f>S616*Inputs!$D$12</f>
        <v>63959.752070794399</v>
      </c>
      <c r="U616" s="39">
        <f>T616*(1-Inputs!$D$18)</f>
        <v>28781.888431857478</v>
      </c>
      <c r="V616" s="35">
        <f>Inputs!$D$6*F616*Inputs!$D$28*Inputs!$D$31</f>
        <v>684.36330569102222</v>
      </c>
      <c r="W616" s="36">
        <f>V616/(B616*Inputs!$D$34)</f>
        <v>0.93110653835513224</v>
      </c>
      <c r="X616" s="38">
        <f>IF(W616&gt;=1,999,W616/(Inputs!$D$34*(1-W616))*60)</f>
        <v>23.16885520150278</v>
      </c>
      <c r="Y616" s="37">
        <f>MIN(1,MAX(0,(X616-Inputs!$D$36)/(Inputs!$D$37-Inputs!$D$36)))</f>
        <v>1</v>
      </c>
      <c r="Z616" s="35">
        <f>Inputs!$D$6*F616*Inputs!$D$28*(1-Inputs!$D$38*Y616)</f>
        <v>2895.3832163850943</v>
      </c>
      <c r="AA616" s="39">
        <f>Z616*Inputs!$D$13</f>
        <v>24610.757339273303</v>
      </c>
      <c r="AB616" s="39">
        <f>AA616*(1-Inputs!$D$19)</f>
        <v>14766.454403563981</v>
      </c>
      <c r="AC616" s="39">
        <f t="shared" si="36"/>
        <v>361404.28391006775</v>
      </c>
      <c r="AD616" s="39">
        <f t="shared" si="37"/>
        <v>139040.16391042148</v>
      </c>
      <c r="AE616" s="36">
        <f t="shared" si="38"/>
        <v>0.93110653835513224</v>
      </c>
      <c r="AF616" s="35">
        <f>IF(AND(AE616&lt;=Inputs!$D$35,C616&gt;=Inputs!$D$48*(A616+B616+C616),B616*Inputs!$D$22&lt;=Inputs!$D$50*Inputs!$D$8,B616*Inputs!$D$22&gt;=Inputs!$D$49*Inputs!$D$8,A616*Inputs!$D$20&lt;=Inputs!$D$47*Inputs!$D$8,C616&gt;=1),1,0)</f>
        <v>0</v>
      </c>
      <c r="AG616" s="39">
        <f t="shared" si="39"/>
        <v>-1</v>
      </c>
    </row>
    <row r="617" spans="1:33" x14ac:dyDescent="0.25">
      <c r="A617" s="35">
        <v>50</v>
      </c>
      <c r="B617" s="35">
        <v>22</v>
      </c>
      <c r="C617" s="35">
        <f>Inputs!$D$8-A617-Inputs!$D$22*B617</f>
        <v>26</v>
      </c>
      <c r="D617" s="35">
        <f>A617*Inputs!$D$20+C617*Inputs!$D$21+B617*Inputs!$D$22</f>
        <v>120</v>
      </c>
      <c r="E617" s="36">
        <f>MIN(Inputs!$E$15,Inputs!$D$15*(C617/Inputs!$D$43)^Inputs!$D$44)</f>
        <v>0.32884660514387515</v>
      </c>
      <c r="F617" s="36">
        <f>MIN(Inputs!$E$16,Inputs!$D$16*(B617/Inputs!$D$42)^Inputs!$D$44)</f>
        <v>0.41160230376843804</v>
      </c>
      <c r="G617" s="37">
        <f>Inputs!$D$26*(1+Inputs!$D$41*(B617-Inputs!$D$42))</f>
        <v>1.53</v>
      </c>
      <c r="H617" s="35">
        <f>Inputs!$D$6*Inputs!$D$14*G617*Inputs!$D$29</f>
        <v>1922.3379</v>
      </c>
      <c r="I617" s="36">
        <f>H617/(A617*Inputs!$D$32)</f>
        <v>0.69903196363636366</v>
      </c>
      <c r="J617" s="38">
        <f>IF(I617&gt;=1,999,I617/(Inputs!$D$32*(1-I617))*60)</f>
        <v>2.5337585119689443</v>
      </c>
      <c r="K617" s="37">
        <f>MIN(1,MAX(0,(J617-Inputs!$D$36)/(Inputs!$D$37-Inputs!$D$36)))</f>
        <v>0</v>
      </c>
      <c r="L617" s="35">
        <f>Inputs!$D$6*Inputs!$D$14*G617*(1-Inputs!$D$38*K617)</f>
        <v>12815.586000000001</v>
      </c>
      <c r="M617" s="39">
        <f>L617*Inputs!$D$11</f>
        <v>275535.09900000005</v>
      </c>
      <c r="N617" s="39">
        <f>M617*(1-Inputs!$D$17)</f>
        <v>96437.284650000016</v>
      </c>
      <c r="O617" s="35">
        <f>Inputs!$D$6*E617*Inputs!$D$27*Inputs!$D$30</f>
        <v>469.15098230814039</v>
      </c>
      <c r="P617" s="36">
        <f>O617/(C617*Inputs!$D$33)</f>
        <v>0.45110671375782729</v>
      </c>
      <c r="Q617" s="38">
        <f>IF(P617&gt;=1,999,P617/(Inputs!$D$33*(1-P617))*60)</f>
        <v>1.2327716290160586</v>
      </c>
      <c r="R617" s="37">
        <f>MIN(1,MAX(0,(Q617-Inputs!$D$36)/(Inputs!$D$37-Inputs!$D$36)))</f>
        <v>0</v>
      </c>
      <c r="S617" s="35">
        <f>Inputs!$D$6*E617*Inputs!$D$27*(1-Inputs!$D$38*R617)</f>
        <v>3909.5915192345033</v>
      </c>
      <c r="T617" s="39">
        <f>S617*Inputs!$D$12</f>
        <v>62553.464307752052</v>
      </c>
      <c r="U617" s="39">
        <f>T617*(1-Inputs!$D$18)</f>
        <v>28149.058938488422</v>
      </c>
      <c r="V617" s="35">
        <f>Inputs!$D$6*F617*Inputs!$D$28*Inputs!$D$31</f>
        <v>693.98124106416742</v>
      </c>
      <c r="W617" s="36">
        <f>V617/(B617*Inputs!$D$34)</f>
        <v>0.90127433904437326</v>
      </c>
      <c r="X617" s="38">
        <f>IF(W617&gt;=1,999,W617/(Inputs!$D$34*(1-W617))*60)</f>
        <v>15.649849381818807</v>
      </c>
      <c r="Y617" s="37">
        <f>MIN(1,MAX(0,(X617-Inputs!$D$36)/(Inputs!$D$37-Inputs!$D$36)))</f>
        <v>0.70998995878792048</v>
      </c>
      <c r="Z617" s="35">
        <f>Inputs!$D$6*F617*Inputs!$D$28*(1-Inputs!$D$38*Y617)</f>
        <v>3632.749002537963</v>
      </c>
      <c r="AA617" s="39">
        <f>Z617*Inputs!$D$13</f>
        <v>30878.366521572687</v>
      </c>
      <c r="AB617" s="39">
        <f>AA617*(1-Inputs!$D$19)</f>
        <v>18527.019912943611</v>
      </c>
      <c r="AC617" s="39">
        <f t="shared" si="36"/>
        <v>368966.92982932477</v>
      </c>
      <c r="AD617" s="39">
        <f t="shared" si="37"/>
        <v>143113.36350143206</v>
      </c>
      <c r="AE617" s="36">
        <f t="shared" si="38"/>
        <v>0.90127433904437326</v>
      </c>
      <c r="AF617" s="35">
        <f>IF(AND(AE617&lt;=Inputs!$D$35,C617&gt;=Inputs!$D$48*(A617+B617+C617),B617*Inputs!$D$22&lt;=Inputs!$D$50*Inputs!$D$8,B617*Inputs!$D$22&gt;=Inputs!$D$49*Inputs!$D$8,A617*Inputs!$D$20&lt;=Inputs!$D$47*Inputs!$D$8,C617&gt;=1),1,0)</f>
        <v>0</v>
      </c>
      <c r="AG617" s="39">
        <f t="shared" si="39"/>
        <v>-1</v>
      </c>
    </row>
    <row r="618" spans="1:33" x14ac:dyDescent="0.25">
      <c r="A618" s="35">
        <v>50</v>
      </c>
      <c r="B618" s="35">
        <v>23</v>
      </c>
      <c r="C618" s="35">
        <f>Inputs!$D$8-A618-Inputs!$D$22*B618</f>
        <v>24</v>
      </c>
      <c r="D618" s="35">
        <f>A618*Inputs!$D$20+C618*Inputs!$D$21+B618*Inputs!$D$22</f>
        <v>120</v>
      </c>
      <c r="E618" s="36">
        <f>MIN(Inputs!$E$15,Inputs!$D$15*(C618/Inputs!$D$43)^Inputs!$D$44)</f>
        <v>0.32104412796367415</v>
      </c>
      <c r="F618" s="36">
        <f>MIN(Inputs!$E$16,Inputs!$D$16*(B618/Inputs!$D$42)^Inputs!$D$44)</f>
        <v>0.41712800028621322</v>
      </c>
      <c r="G618" s="37">
        <f>Inputs!$D$26*(1+Inputs!$D$41*(B618-Inputs!$D$42))</f>
        <v>1.5449999999999999</v>
      </c>
      <c r="H618" s="35">
        <f>Inputs!$D$6*Inputs!$D$14*G618*Inputs!$D$29</f>
        <v>1941.18435</v>
      </c>
      <c r="I618" s="36">
        <f>H618/(A618*Inputs!$D$32)</f>
        <v>0.70588521818181815</v>
      </c>
      <c r="J618" s="38">
        <f>IF(I618&gt;=1,999,I618/(Inputs!$D$32*(1-I618))*60)</f>
        <v>2.6182179518230817</v>
      </c>
      <c r="K618" s="37">
        <f>MIN(1,MAX(0,(J618-Inputs!$D$36)/(Inputs!$D$37-Inputs!$D$36)))</f>
        <v>0</v>
      </c>
      <c r="L618" s="35">
        <f>Inputs!$D$6*Inputs!$D$14*G618*(1-Inputs!$D$38*K618)</f>
        <v>12941.229000000001</v>
      </c>
      <c r="M618" s="39">
        <f>L618*Inputs!$D$11</f>
        <v>278236.42350000003</v>
      </c>
      <c r="N618" s="39">
        <f>M618*(1-Inputs!$D$17)</f>
        <v>97382.748225000003</v>
      </c>
      <c r="O618" s="35">
        <f>Inputs!$D$6*E618*Inputs!$D$27*Inputs!$D$30</f>
        <v>458.01953142414351</v>
      </c>
      <c r="P618" s="36">
        <f>O618/(C618*Inputs!$D$33)</f>
        <v>0.47710367856681618</v>
      </c>
      <c r="Q618" s="38">
        <f>IF(P618&gt;=1,999,P618/(Inputs!$D$33*(1-P618))*60)</f>
        <v>1.3686375071232384</v>
      </c>
      <c r="R618" s="37">
        <f>MIN(1,MAX(0,(Q618-Inputs!$D$36)/(Inputs!$D$37-Inputs!$D$36)))</f>
        <v>0</v>
      </c>
      <c r="S618" s="35">
        <f>Inputs!$D$6*E618*Inputs!$D$27*(1-Inputs!$D$38*R618)</f>
        <v>3816.8294285345296</v>
      </c>
      <c r="T618" s="39">
        <f>S618*Inputs!$D$12</f>
        <v>61069.270856552474</v>
      </c>
      <c r="U618" s="39">
        <f>T618*(1-Inputs!$D$18)</f>
        <v>27481.17188544861</v>
      </c>
      <c r="V618" s="35">
        <f>Inputs!$D$6*F618*Inputs!$D$28*Inputs!$D$31</f>
        <v>703.29783062656929</v>
      </c>
      <c r="W618" s="36">
        <f>V618/(B618*Inputs!$D$34)</f>
        <v>0.87366190139946498</v>
      </c>
      <c r="X618" s="38">
        <f>IF(W618&gt;=1,999,W618/(Inputs!$D$34*(1-W618))*60)</f>
        <v>11.854746377182334</v>
      </c>
      <c r="Y618" s="37">
        <f>MIN(1,MAX(0,(X618-Inputs!$D$36)/(Inputs!$D$37-Inputs!$D$36)))</f>
        <v>0.45698309181215557</v>
      </c>
      <c r="Z618" s="35">
        <f>Inputs!$D$6*F618*Inputs!$D$28*(1-Inputs!$D$38*Y618)</f>
        <v>4297.4614071503011</v>
      </c>
      <c r="AA618" s="39">
        <f>Z618*Inputs!$D$13</f>
        <v>36528.421960777559</v>
      </c>
      <c r="AB618" s="39">
        <f>AA618*(1-Inputs!$D$19)</f>
        <v>21917.053176466536</v>
      </c>
      <c r="AC618" s="39">
        <f t="shared" si="36"/>
        <v>375834.11631733004</v>
      </c>
      <c r="AD618" s="39">
        <f t="shared" si="37"/>
        <v>146780.97328691516</v>
      </c>
      <c r="AE618" s="36">
        <f t="shared" si="38"/>
        <v>0.87366190139946498</v>
      </c>
      <c r="AF618" s="35">
        <f>IF(AND(AE618&lt;=Inputs!$D$35,C618&gt;=Inputs!$D$48*(A618+B618+C618),B618*Inputs!$D$22&lt;=Inputs!$D$50*Inputs!$D$8,B618*Inputs!$D$22&gt;=Inputs!$D$49*Inputs!$D$8,A618*Inputs!$D$20&lt;=Inputs!$D$47*Inputs!$D$8,C618&gt;=1),1,0)</f>
        <v>0</v>
      </c>
      <c r="AG618" s="39">
        <f t="shared" si="39"/>
        <v>-1</v>
      </c>
    </row>
    <row r="619" spans="1:33" x14ac:dyDescent="0.25">
      <c r="A619" s="35">
        <v>50</v>
      </c>
      <c r="B619" s="35">
        <v>24</v>
      </c>
      <c r="C619" s="35">
        <f>Inputs!$D$8-A619-Inputs!$D$22*B619</f>
        <v>22</v>
      </c>
      <c r="D619" s="35">
        <f>A619*Inputs!$D$20+C619*Inputs!$D$21+B619*Inputs!$D$22</f>
        <v>120</v>
      </c>
      <c r="E619" s="36">
        <f>MIN(Inputs!$E$15,Inputs!$D$15*(C619/Inputs!$D$43)^Inputs!$D$44)</f>
        <v>0.31277221277221301</v>
      </c>
      <c r="F619" s="36">
        <f>MIN(Inputs!$E$16,Inputs!$D$16*(B619/Inputs!$D$42)^Inputs!$D$44)</f>
        <v>0.42248798737570326</v>
      </c>
      <c r="G619" s="37">
        <f>Inputs!$D$26*(1+Inputs!$D$41*(B619-Inputs!$D$42))</f>
        <v>1.56</v>
      </c>
      <c r="H619" s="35">
        <f>Inputs!$D$6*Inputs!$D$14*G619*Inputs!$D$29</f>
        <v>1960.0308</v>
      </c>
      <c r="I619" s="36">
        <f>H619/(A619*Inputs!$D$32)</f>
        <v>0.71273847272727275</v>
      </c>
      <c r="J619" s="38">
        <f>IF(I619&gt;=1,999,I619/(Inputs!$D$32*(1-I619))*60)</f>
        <v>2.7067073224903178</v>
      </c>
      <c r="K619" s="37">
        <f>MIN(1,MAX(0,(J619-Inputs!$D$36)/(Inputs!$D$37-Inputs!$D$36)))</f>
        <v>0</v>
      </c>
      <c r="L619" s="35">
        <f>Inputs!$D$6*Inputs!$D$14*G619*(1-Inputs!$D$38*K619)</f>
        <v>13066.872000000001</v>
      </c>
      <c r="M619" s="39">
        <f>L619*Inputs!$D$11</f>
        <v>280937.74800000002</v>
      </c>
      <c r="N619" s="39">
        <f>M619*(1-Inputs!$D$17)</f>
        <v>98328.211800000005</v>
      </c>
      <c r="O619" s="35">
        <f>Inputs!$D$6*E619*Inputs!$D$27*Inputs!$D$30</f>
        <v>446.21835398475434</v>
      </c>
      <c r="P619" s="36">
        <f>O619/(C619*Inputs!$D$33)</f>
        <v>0.50706631134631175</v>
      </c>
      <c r="Q619" s="38">
        <f>IF(P619&gt;=1,999,P619/(Inputs!$D$33*(1-P619))*60)</f>
        <v>1.543005650713049</v>
      </c>
      <c r="R619" s="37">
        <f>MIN(1,MAX(0,(Q619-Inputs!$D$36)/(Inputs!$D$37-Inputs!$D$36)))</f>
        <v>0</v>
      </c>
      <c r="S619" s="35">
        <f>Inputs!$D$6*E619*Inputs!$D$27*(1-Inputs!$D$38*R619)</f>
        <v>3718.4862832062863</v>
      </c>
      <c r="T619" s="39">
        <f>S619*Inputs!$D$12</f>
        <v>59495.780531300581</v>
      </c>
      <c r="U619" s="39">
        <f>T619*(1-Inputs!$D$18)</f>
        <v>26773.101239085259</v>
      </c>
      <c r="V619" s="35">
        <f>Inputs!$D$6*F619*Inputs!$D$28*Inputs!$D$31</f>
        <v>712.33502613882979</v>
      </c>
      <c r="W619" s="36">
        <f>V619/(B619*Inputs!$D$34)</f>
        <v>0.84801788826051161</v>
      </c>
      <c r="X619" s="38">
        <f>IF(W619&gt;=1,999,W619/(Inputs!$D$34*(1-W619))*60)</f>
        <v>9.5652372155190832</v>
      </c>
      <c r="Y619" s="37">
        <f>MIN(1,MAX(0,(X619-Inputs!$D$36)/(Inputs!$D$37-Inputs!$D$36)))</f>
        <v>0.30434914770127219</v>
      </c>
      <c r="Z619" s="35">
        <f>Inputs!$D$6*F619*Inputs!$D$28*(1-Inputs!$D$38*Y619)</f>
        <v>4729.0436538571339</v>
      </c>
      <c r="AA619" s="39">
        <f>Z619*Inputs!$D$13</f>
        <v>40196.87105778564</v>
      </c>
      <c r="AB619" s="39">
        <f>AA619*(1-Inputs!$D$19)</f>
        <v>24118.122634671385</v>
      </c>
      <c r="AC619" s="39">
        <f t="shared" si="36"/>
        <v>380630.39958908624</v>
      </c>
      <c r="AD619" s="39">
        <f t="shared" si="37"/>
        <v>149219.43567375664</v>
      </c>
      <c r="AE619" s="36">
        <f t="shared" si="38"/>
        <v>0.84801788826051161</v>
      </c>
      <c r="AF619" s="35">
        <f>IF(AND(AE619&lt;=Inputs!$D$35,C619&gt;=Inputs!$D$48*(A619+B619+C619),B619*Inputs!$D$22&lt;=Inputs!$D$50*Inputs!$D$8,B619*Inputs!$D$22&gt;=Inputs!$D$49*Inputs!$D$8,A619*Inputs!$D$20&lt;=Inputs!$D$47*Inputs!$D$8,C619&gt;=1),1,0)</f>
        <v>1</v>
      </c>
      <c r="AG619" s="39">
        <f t="shared" si="39"/>
        <v>149219.43567375664</v>
      </c>
    </row>
    <row r="620" spans="1:33" x14ac:dyDescent="0.25">
      <c r="A620" s="35">
        <v>50</v>
      </c>
      <c r="B620" s="35">
        <v>25</v>
      </c>
      <c r="C620" s="35">
        <f>Inputs!$D$8-A620-Inputs!$D$22*B620</f>
        <v>20</v>
      </c>
      <c r="D620" s="35">
        <f>A620*Inputs!$D$20+C620*Inputs!$D$21+B620*Inputs!$D$22</f>
        <v>120</v>
      </c>
      <c r="E620" s="36">
        <f>MIN(Inputs!$E$15,Inputs!$D$15*(C620/Inputs!$D$43)^Inputs!$D$44)</f>
        <v>0.30395574554235194</v>
      </c>
      <c r="F620" s="36">
        <f>MIN(Inputs!$E$16,Inputs!$D$16*(B620/Inputs!$D$42)^Inputs!$D$44)</f>
        <v>0.42769383999647526</v>
      </c>
      <c r="G620" s="37">
        <f>Inputs!$D$26*(1+Inputs!$D$41*(B620-Inputs!$D$42))</f>
        <v>1.5750000000000002</v>
      </c>
      <c r="H620" s="35">
        <f>Inputs!$D$6*Inputs!$D$14*G620*Inputs!$D$29</f>
        <v>1978.8772500000005</v>
      </c>
      <c r="I620" s="36">
        <f>H620/(A620*Inputs!$D$32)</f>
        <v>0.71959172727272747</v>
      </c>
      <c r="J620" s="38">
        <f>IF(I620&gt;=1,999,I620/(Inputs!$D$32*(1-I620))*60)</f>
        <v>2.7995221017901288</v>
      </c>
      <c r="K620" s="37">
        <f>MIN(1,MAX(0,(J620-Inputs!$D$36)/(Inputs!$D$37-Inputs!$D$36)))</f>
        <v>0</v>
      </c>
      <c r="L620" s="35">
        <f>Inputs!$D$6*Inputs!$D$14*G620*(1-Inputs!$D$38*K620)</f>
        <v>13192.515000000003</v>
      </c>
      <c r="M620" s="39">
        <f>L620*Inputs!$D$11</f>
        <v>283639.07250000007</v>
      </c>
      <c r="N620" s="39">
        <f>M620*(1-Inputs!$D$17)</f>
        <v>99273.675375000021</v>
      </c>
      <c r="O620" s="35">
        <f>Inputs!$D$6*E620*Inputs!$D$27*Inputs!$D$30</f>
        <v>433.64028811246965</v>
      </c>
      <c r="P620" s="36">
        <f>O620/(C620*Inputs!$D$33)</f>
        <v>0.54205036014058705</v>
      </c>
      <c r="Q620" s="38">
        <f>IF(P620&gt;=1,999,P620/(Inputs!$D$33*(1-P620))*60)</f>
        <v>1.7754693299038049</v>
      </c>
      <c r="R620" s="37">
        <f>MIN(1,MAX(0,(Q620-Inputs!$D$36)/(Inputs!$D$37-Inputs!$D$36)))</f>
        <v>0</v>
      </c>
      <c r="S620" s="35">
        <f>Inputs!$D$6*E620*Inputs!$D$27*(1-Inputs!$D$38*R620)</f>
        <v>3613.6690676039138</v>
      </c>
      <c r="T620" s="39">
        <f>S620*Inputs!$D$12</f>
        <v>57818.705081662622</v>
      </c>
      <c r="U620" s="39">
        <f>T620*(1-Inputs!$D$18)</f>
        <v>26018.417286748176</v>
      </c>
      <c r="V620" s="35">
        <f>Inputs!$D$6*F620*Inputs!$D$28*Inputs!$D$31</f>
        <v>721.1123435383771</v>
      </c>
      <c r="W620" s="36">
        <f>V620/(B620*Inputs!$D$34)</f>
        <v>0.82412839261528814</v>
      </c>
      <c r="X620" s="38">
        <f>IF(W620&gt;=1,999,W620/(Inputs!$D$34*(1-W620))*60)</f>
        <v>8.0330847668163621</v>
      </c>
      <c r="Y620" s="37">
        <f>MIN(1,MAX(0,(X620-Inputs!$D$36)/(Inputs!$D$37-Inputs!$D$36)))</f>
        <v>0.20220565112109082</v>
      </c>
      <c r="Z620" s="35">
        <f>Inputs!$D$6*F620*Inputs!$D$28*(1-Inputs!$D$38*Y620)</f>
        <v>5042.2807508299393</v>
      </c>
      <c r="AA620" s="39">
        <f>Z620*Inputs!$D$13</f>
        <v>42859.386382054487</v>
      </c>
      <c r="AB620" s="39">
        <f>AA620*(1-Inputs!$D$19)</f>
        <v>25715.631829232691</v>
      </c>
      <c r="AC620" s="39">
        <f t="shared" si="36"/>
        <v>384317.16396371718</v>
      </c>
      <c r="AD620" s="39">
        <f t="shared" si="37"/>
        <v>151007.72449098091</v>
      </c>
      <c r="AE620" s="36">
        <f t="shared" si="38"/>
        <v>0.82412839261528814</v>
      </c>
      <c r="AF620" s="35">
        <f>IF(AND(AE620&lt;=Inputs!$D$35,C620&gt;=Inputs!$D$48*(A620+B620+C620),B620*Inputs!$D$22&lt;=Inputs!$D$50*Inputs!$D$8,B620*Inputs!$D$22&gt;=Inputs!$D$49*Inputs!$D$8,A620*Inputs!$D$20&lt;=Inputs!$D$47*Inputs!$D$8,C620&gt;=1),1,0)</f>
        <v>1</v>
      </c>
      <c r="AG620" s="39">
        <f t="shared" si="39"/>
        <v>151007.72449098091</v>
      </c>
    </row>
    <row r="621" spans="1:33" x14ac:dyDescent="0.25">
      <c r="A621" s="35">
        <v>50</v>
      </c>
      <c r="B621" s="35">
        <v>26</v>
      </c>
      <c r="C621" s="35">
        <f>Inputs!$D$8-A621-Inputs!$D$22*B621</f>
        <v>18</v>
      </c>
      <c r="D621" s="35">
        <f>A621*Inputs!$D$20+C621*Inputs!$D$21+B621*Inputs!$D$22</f>
        <v>120</v>
      </c>
      <c r="E621" s="36">
        <f>MIN(Inputs!$E$15,Inputs!$D$15*(C621/Inputs!$D$43)^Inputs!$D$44)</f>
        <v>0.29449851547238159</v>
      </c>
      <c r="F621" s="36">
        <f>MIN(Inputs!$E$16,Inputs!$D$16*(B621/Inputs!$D$42)^Inputs!$D$44)</f>
        <v>0.43275589945781112</v>
      </c>
      <c r="G621" s="37">
        <f>Inputs!$D$26*(1+Inputs!$D$41*(B621-Inputs!$D$42))</f>
        <v>1.59</v>
      </c>
      <c r="H621" s="35">
        <f>Inputs!$D$6*Inputs!$D$14*G621*Inputs!$D$29</f>
        <v>1997.7237</v>
      </c>
      <c r="I621" s="36">
        <f>H621/(A621*Inputs!$D$32)</f>
        <v>0.72644498181818185</v>
      </c>
      <c r="J621" s="38">
        <f>IF(I621&gt;=1,999,I621/(Inputs!$D$32*(1-I621))*60)</f>
        <v>2.8969873774496762</v>
      </c>
      <c r="K621" s="37">
        <f>MIN(1,MAX(0,(J621-Inputs!$D$36)/(Inputs!$D$37-Inputs!$D$36)))</f>
        <v>0</v>
      </c>
      <c r="L621" s="35">
        <f>Inputs!$D$6*Inputs!$D$14*G621*(1-Inputs!$D$38*K621)</f>
        <v>13318.158000000001</v>
      </c>
      <c r="M621" s="39">
        <f>L621*Inputs!$D$11</f>
        <v>286340.39700000006</v>
      </c>
      <c r="N621" s="39">
        <f>M621*(1-Inputs!$D$17)</f>
        <v>100219.13895000001</v>
      </c>
      <c r="O621" s="35">
        <f>Inputs!$D$6*E621*Inputs!$D$27*Inputs!$D$30</f>
        <v>420.14807408976606</v>
      </c>
      <c r="P621" s="36">
        <f>O621/(C621*Inputs!$D$33)</f>
        <v>0.58353899179134172</v>
      </c>
      <c r="Q621" s="38">
        <f>IF(P621&gt;=1,999,P621/(Inputs!$D$33*(1-P621))*60)</f>
        <v>2.1017777665477375</v>
      </c>
      <c r="R621" s="37">
        <f>MIN(1,MAX(0,(Q621-Inputs!$D$36)/(Inputs!$D$37-Inputs!$D$36)))</f>
        <v>0</v>
      </c>
      <c r="S621" s="35">
        <f>Inputs!$D$6*E621*Inputs!$D$27*(1-Inputs!$D$38*R621)</f>
        <v>3501.2339507480506</v>
      </c>
      <c r="T621" s="39">
        <f>S621*Inputs!$D$12</f>
        <v>56019.743211968809</v>
      </c>
      <c r="U621" s="39">
        <f>T621*(1-Inputs!$D$18)</f>
        <v>25208.88444538596</v>
      </c>
      <c r="V621" s="35">
        <f>Inputs!$D$6*F621*Inputs!$D$28*Inputs!$D$31</f>
        <v>729.64721876904355</v>
      </c>
      <c r="W621" s="36">
        <f>V621/(B621*Inputs!$D$34)</f>
        <v>0.80181013051543248</v>
      </c>
      <c r="X621" s="38">
        <f>IF(W621&gt;=1,999,W621/(Inputs!$D$34*(1-W621))*60)</f>
        <v>6.9354284146153136</v>
      </c>
      <c r="Y621" s="37">
        <f>MIN(1,MAX(0,(X621-Inputs!$D$36)/(Inputs!$D$37-Inputs!$D$36)))</f>
        <v>0.12902856097435425</v>
      </c>
      <c r="Z621" s="35">
        <f>Inputs!$D$6*F621*Inputs!$D$28*(1-Inputs!$D$38*Y621)</f>
        <v>5286.7832305655711</v>
      </c>
      <c r="AA621" s="39">
        <f>Z621*Inputs!$D$13</f>
        <v>44937.657459807357</v>
      </c>
      <c r="AB621" s="39">
        <f>AA621*(1-Inputs!$D$19)</f>
        <v>26962.594475884413</v>
      </c>
      <c r="AC621" s="39">
        <f t="shared" si="36"/>
        <v>387297.79767177621</v>
      </c>
      <c r="AD621" s="39">
        <f t="shared" si="37"/>
        <v>152390.6178712704</v>
      </c>
      <c r="AE621" s="36">
        <f t="shared" si="38"/>
        <v>0.80181013051543248</v>
      </c>
      <c r="AF621" s="35">
        <f>IF(AND(AE621&lt;=Inputs!$D$35,C621&gt;=Inputs!$D$48*(A621+B621+C621),B621*Inputs!$D$22&lt;=Inputs!$D$50*Inputs!$D$8,B621*Inputs!$D$22&gt;=Inputs!$D$49*Inputs!$D$8,A621*Inputs!$D$20&lt;=Inputs!$D$47*Inputs!$D$8,C621&gt;=1),1,0)</f>
        <v>1</v>
      </c>
      <c r="AG621" s="39">
        <f t="shared" si="39"/>
        <v>152390.6178712704</v>
      </c>
    </row>
    <row r="622" spans="1:33" x14ac:dyDescent="0.25">
      <c r="A622" s="35">
        <v>50</v>
      </c>
      <c r="B622" s="35">
        <v>27</v>
      </c>
      <c r="C622" s="35">
        <f>Inputs!$D$8-A622-Inputs!$D$22*B622</f>
        <v>16</v>
      </c>
      <c r="D622" s="35">
        <f>A622*Inputs!$D$20+C622*Inputs!$D$21+B622*Inputs!$D$22</f>
        <v>120</v>
      </c>
      <c r="E622" s="36">
        <f>MIN(Inputs!$E$15,Inputs!$D$15*(C622/Inputs!$D$43)^Inputs!$D$44)</f>
        <v>0.2842741392252523</v>
      </c>
      <c r="F622" s="36">
        <f>MIN(Inputs!$E$16,Inputs!$D$16*(B622/Inputs!$D$42)^Inputs!$D$44)</f>
        <v>0.43768344678187454</v>
      </c>
      <c r="G622" s="37">
        <f>Inputs!$D$26*(1+Inputs!$D$41*(B622-Inputs!$D$42))</f>
        <v>1.605</v>
      </c>
      <c r="H622" s="35">
        <f>Inputs!$D$6*Inputs!$D$14*G622*Inputs!$D$29</f>
        <v>2016.57015</v>
      </c>
      <c r="I622" s="36">
        <f>H622/(A622*Inputs!$D$32)</f>
        <v>0.73329823636363634</v>
      </c>
      <c r="J622" s="38">
        <f>IF(I622&gt;=1,999,I622/(Inputs!$D$32*(1-I622))*60)</f>
        <v>2.9994616514325245</v>
      </c>
      <c r="K622" s="37">
        <f>MIN(1,MAX(0,(J622-Inputs!$D$36)/(Inputs!$D$37-Inputs!$D$36)))</f>
        <v>0</v>
      </c>
      <c r="L622" s="35">
        <f>Inputs!$D$6*Inputs!$D$14*G622*(1-Inputs!$D$38*K622)</f>
        <v>13443.801000000001</v>
      </c>
      <c r="M622" s="39">
        <f>L622*Inputs!$D$11</f>
        <v>289041.72150000004</v>
      </c>
      <c r="N622" s="39">
        <f>M622*(1-Inputs!$D$17)</f>
        <v>101164.60252500001</v>
      </c>
      <c r="O622" s="35">
        <f>Inputs!$D$6*E622*Inputs!$D$27*Inputs!$D$30</f>
        <v>405.56140637054153</v>
      </c>
      <c r="P622" s="36">
        <f>O622/(C622*Inputs!$D$33)</f>
        <v>0.63368969745397119</v>
      </c>
      <c r="Q622" s="38">
        <f>IF(P622&gt;=1,999,P622/(Inputs!$D$33*(1-P622))*60)</f>
        <v>2.5948889222451426</v>
      </c>
      <c r="R622" s="37">
        <f>MIN(1,MAX(0,(Q622-Inputs!$D$36)/(Inputs!$D$37-Inputs!$D$36)))</f>
        <v>0</v>
      </c>
      <c r="S622" s="35">
        <f>Inputs!$D$6*E622*Inputs!$D$27*(1-Inputs!$D$38*R622)</f>
        <v>3379.6783864211798</v>
      </c>
      <c r="T622" s="39">
        <f>S622*Inputs!$D$12</f>
        <v>54074.854182738876</v>
      </c>
      <c r="U622" s="39">
        <f>T622*(1-Inputs!$D$18)</f>
        <v>24333.684382232492</v>
      </c>
      <c r="V622" s="35">
        <f>Inputs!$D$6*F622*Inputs!$D$28*Inputs!$D$31</f>
        <v>737.95530007968603</v>
      </c>
      <c r="W622" s="36">
        <f>V622/(B622*Inputs!$D$34)</f>
        <v>0.78090507944940324</v>
      </c>
      <c r="X622" s="38">
        <f>IF(W622&gt;=1,999,W622/(Inputs!$D$34*(1-W622))*60)</f>
        <v>6.1101116290101798</v>
      </c>
      <c r="Y622" s="37">
        <f>MIN(1,MAX(0,(X622-Inputs!$D$36)/(Inputs!$D$37-Inputs!$D$36)))</f>
        <v>7.4007441934011986E-2</v>
      </c>
      <c r="Z622" s="35">
        <f>Inputs!$D$6*F622*Inputs!$D$28*(1-Inputs!$D$38*Y622)</f>
        <v>5487.5301328495489</v>
      </c>
      <c r="AA622" s="39">
        <f>Z622*Inputs!$D$13</f>
        <v>46644.006129221169</v>
      </c>
      <c r="AB622" s="39">
        <f>AA622*(1-Inputs!$D$19)</f>
        <v>27986.4036775327</v>
      </c>
      <c r="AC622" s="39">
        <f t="shared" si="36"/>
        <v>389760.58181196009</v>
      </c>
      <c r="AD622" s="39">
        <f t="shared" si="37"/>
        <v>153484.69058476519</v>
      </c>
      <c r="AE622" s="36">
        <f t="shared" si="38"/>
        <v>0.78090507944940324</v>
      </c>
      <c r="AF622" s="35">
        <f>IF(AND(AE622&lt;=Inputs!$D$35,C622&gt;=Inputs!$D$48*(A622+B622+C622),B622*Inputs!$D$22&lt;=Inputs!$D$50*Inputs!$D$8,B622*Inputs!$D$22&gt;=Inputs!$D$49*Inputs!$D$8,A622*Inputs!$D$20&lt;=Inputs!$D$47*Inputs!$D$8,C622&gt;=1),1,0)</f>
        <v>1</v>
      </c>
      <c r="AG622" s="39">
        <f t="shared" si="39"/>
        <v>153484.69058476519</v>
      </c>
    </row>
    <row r="623" spans="1:33" x14ac:dyDescent="0.25">
      <c r="A623" s="35">
        <v>50</v>
      </c>
      <c r="B623" s="35">
        <v>28</v>
      </c>
      <c r="C623" s="35">
        <f>Inputs!$D$8-A623-Inputs!$D$22*B623</f>
        <v>14</v>
      </c>
      <c r="D623" s="35">
        <f>A623*Inputs!$D$20+C623*Inputs!$D$21+B623*Inputs!$D$22</f>
        <v>120</v>
      </c>
      <c r="E623" s="36">
        <f>MIN(Inputs!$E$15,Inputs!$D$15*(C623/Inputs!$D$43)^Inputs!$D$44)</f>
        <v>0.27311136263675401</v>
      </c>
      <c r="F623" s="36">
        <f>MIN(Inputs!$E$16,Inputs!$D$16*(B623/Inputs!$D$42)^Inputs!$D$44)</f>
        <v>0.44248484624799689</v>
      </c>
      <c r="G623" s="37">
        <f>Inputs!$D$26*(1+Inputs!$D$41*(B623-Inputs!$D$42))</f>
        <v>1.62</v>
      </c>
      <c r="H623" s="35">
        <f>Inputs!$D$6*Inputs!$D$14*G623*Inputs!$D$29</f>
        <v>2035.4166</v>
      </c>
      <c r="I623" s="36">
        <f>H623/(A623*Inputs!$D$32)</f>
        <v>0.74015149090909094</v>
      </c>
      <c r="J623" s="38">
        <f>IF(I623&gt;=1,999,I623/(Inputs!$D$32*(1-I623))*60)</f>
        <v>3.1073412462803827</v>
      </c>
      <c r="K623" s="37">
        <f>MIN(1,MAX(0,(J623-Inputs!$D$36)/(Inputs!$D$37-Inputs!$D$36)))</f>
        <v>0</v>
      </c>
      <c r="L623" s="35">
        <f>Inputs!$D$6*Inputs!$D$14*G623*(1-Inputs!$D$38*K623)</f>
        <v>13569.444000000001</v>
      </c>
      <c r="M623" s="39">
        <f>L623*Inputs!$D$11</f>
        <v>291743.04600000003</v>
      </c>
      <c r="N623" s="39">
        <f>M623*(1-Inputs!$D$17)</f>
        <v>102110.06610000001</v>
      </c>
      <c r="O623" s="35">
        <f>Inputs!$D$6*E623*Inputs!$D$27*Inputs!$D$30</f>
        <v>389.63596417390096</v>
      </c>
      <c r="P623" s="36">
        <f>O623/(C623*Inputs!$D$33)</f>
        <v>0.69577850745339453</v>
      </c>
      <c r="Q623" s="38">
        <f>IF(P623&gt;=1,999,P623/(Inputs!$D$33*(1-P623))*60)</f>
        <v>3.4306181080227471</v>
      </c>
      <c r="R623" s="37">
        <f>MIN(1,MAX(0,(Q623-Inputs!$D$36)/(Inputs!$D$37-Inputs!$D$36)))</f>
        <v>0</v>
      </c>
      <c r="S623" s="35">
        <f>Inputs!$D$6*E623*Inputs!$D$27*(1-Inputs!$D$38*R623)</f>
        <v>3246.9663681158413</v>
      </c>
      <c r="T623" s="39">
        <f>S623*Inputs!$D$12</f>
        <v>51951.461889853461</v>
      </c>
      <c r="U623" s="39">
        <f>T623*(1-Inputs!$D$18)</f>
        <v>23378.157850434054</v>
      </c>
      <c r="V623" s="35">
        <f>Inputs!$D$6*F623*Inputs!$D$28*Inputs!$D$31</f>
        <v>746.05069004674272</v>
      </c>
      <c r="W623" s="36">
        <f>V623/(B623*Inputs!$D$34)</f>
        <v>0.76127621433341097</v>
      </c>
      <c r="X623" s="38">
        <f>IF(W623&gt;=1,999,W623/(Inputs!$D$34*(1-W623))*60)</f>
        <v>5.4667570523531852</v>
      </c>
      <c r="Y623" s="37">
        <f>MIN(1,MAX(0,(X623-Inputs!$D$36)/(Inputs!$D$37-Inputs!$D$36)))</f>
        <v>3.111713682354568E-2</v>
      </c>
      <c r="Z623" s="35">
        <f>Inputs!$D$6*F623*Inputs!$D$28*(1-Inputs!$D$38*Y623)</f>
        <v>5658.4919801305723</v>
      </c>
      <c r="AA623" s="39">
        <f>Z623*Inputs!$D$13</f>
        <v>48097.181831109861</v>
      </c>
      <c r="AB623" s="39">
        <f>AA623*(1-Inputs!$D$19)</f>
        <v>28858.309098665915</v>
      </c>
      <c r="AC623" s="39">
        <f t="shared" si="36"/>
        <v>391791.68972096336</v>
      </c>
      <c r="AD623" s="39">
        <f t="shared" si="37"/>
        <v>154346.53304909999</v>
      </c>
      <c r="AE623" s="36">
        <f t="shared" si="38"/>
        <v>0.76127621433341097</v>
      </c>
      <c r="AF623" s="35">
        <f>IF(AND(AE623&lt;=Inputs!$D$35,C623&gt;=Inputs!$D$48*(A623+B623+C623),B623*Inputs!$D$22&lt;=Inputs!$D$50*Inputs!$D$8,B623*Inputs!$D$22&gt;=Inputs!$D$49*Inputs!$D$8,A623*Inputs!$D$20&lt;=Inputs!$D$47*Inputs!$D$8,C623&gt;=1),1,0)</f>
        <v>0</v>
      </c>
      <c r="AG623" s="39">
        <f t="shared" si="39"/>
        <v>-1</v>
      </c>
    </row>
    <row r="624" spans="1:33" x14ac:dyDescent="0.25">
      <c r="A624" s="35">
        <v>50</v>
      </c>
      <c r="B624" s="35">
        <v>29</v>
      </c>
      <c r="C624" s="35">
        <f>Inputs!$D$8-A624-Inputs!$D$22*B624</f>
        <v>12</v>
      </c>
      <c r="D624" s="35">
        <f>A624*Inputs!$D$20+C624*Inputs!$D$21+B624*Inputs!$D$22</f>
        <v>120</v>
      </c>
      <c r="E624" s="36">
        <f>MIN(Inputs!$E$15,Inputs!$D$15*(C624/Inputs!$D$43)^Inputs!$D$44)</f>
        <v>0.26076886227459228</v>
      </c>
      <c r="F624" s="36">
        <f>MIN(Inputs!$E$16,Inputs!$D$16*(B624/Inputs!$D$42)^Inputs!$D$44)</f>
        <v>0.44716766511947192</v>
      </c>
      <c r="G624" s="37">
        <f>Inputs!$D$26*(1+Inputs!$D$41*(B624-Inputs!$D$42))</f>
        <v>1.6350000000000002</v>
      </c>
      <c r="H624" s="35">
        <f>Inputs!$D$6*Inputs!$D$14*G624*Inputs!$D$29</f>
        <v>2054.2630500000005</v>
      </c>
      <c r="I624" s="36">
        <f>H624/(A624*Inputs!$D$32)</f>
        <v>0.74700474545454565</v>
      </c>
      <c r="J624" s="38">
        <f>IF(I624&gt;=1,999,I624/(Inputs!$D$32*(1-I624))*60)</f>
        <v>3.2210654276212276</v>
      </c>
      <c r="K624" s="37">
        <f>MIN(1,MAX(0,(J624-Inputs!$D$36)/(Inputs!$D$37-Inputs!$D$36)))</f>
        <v>0</v>
      </c>
      <c r="L624" s="35">
        <f>Inputs!$D$6*Inputs!$D$14*G624*(1-Inputs!$D$38*K624)</f>
        <v>13695.087000000003</v>
      </c>
      <c r="M624" s="39">
        <f>L624*Inputs!$D$11</f>
        <v>294444.37050000008</v>
      </c>
      <c r="N624" s="39">
        <f>M624*(1-Inputs!$D$17)</f>
        <v>103055.52967500003</v>
      </c>
      <c r="O624" s="35">
        <f>Inputs!$D$6*E624*Inputs!$D$27*Inputs!$D$30</f>
        <v>372.02746197722075</v>
      </c>
      <c r="P624" s="36">
        <f>O624/(C624*Inputs!$D$33)</f>
        <v>0.77505721245254322</v>
      </c>
      <c r="Q624" s="38">
        <f>IF(P624&gt;=1,999,P624/(Inputs!$D$33*(1-P624))*60)</f>
        <v>5.1683622816025654</v>
      </c>
      <c r="R624" s="37">
        <f>MIN(1,MAX(0,(Q624-Inputs!$D$36)/(Inputs!$D$37-Inputs!$D$36)))</f>
        <v>1.1224152106837693E-2</v>
      </c>
      <c r="S624" s="35">
        <f>Inputs!$D$6*E624*Inputs!$D$27*(1-Inputs!$D$38*R624)</f>
        <v>3084.5700017308486</v>
      </c>
      <c r="T624" s="39">
        <f>S624*Inputs!$D$12</f>
        <v>49353.120027693578</v>
      </c>
      <c r="U624" s="39">
        <f>T624*(1-Inputs!$D$18)</f>
        <v>22208.904012462106</v>
      </c>
      <c r="V624" s="35">
        <f>Inputs!$D$6*F624*Inputs!$D$28*Inputs!$D$31</f>
        <v>753.9461474393554</v>
      </c>
      <c r="W624" s="36">
        <f>V624/(B624*Inputs!$D$34)</f>
        <v>0.74280408614714821</v>
      </c>
      <c r="X624" s="38">
        <f>IF(W624&gt;=1,999,W624/(Inputs!$D$34*(1-W624))*60)</f>
        <v>4.9510056918075414</v>
      </c>
      <c r="Y624" s="37">
        <f>MIN(1,MAX(0,(X624-Inputs!$D$36)/(Inputs!$D$37-Inputs!$D$36)))</f>
        <v>0</v>
      </c>
      <c r="Z624" s="35">
        <f>Inputs!$D$6*F624*Inputs!$D$28*(1-Inputs!$D$38*Y624)</f>
        <v>5799.5857495335031</v>
      </c>
      <c r="AA624" s="39">
        <f>Z624*Inputs!$D$13</f>
        <v>49296.478871034778</v>
      </c>
      <c r="AB624" s="39">
        <f>AA624*(1-Inputs!$D$19)</f>
        <v>29577.887322620867</v>
      </c>
      <c r="AC624" s="39">
        <f t="shared" si="36"/>
        <v>393093.96939872846</v>
      </c>
      <c r="AD624" s="39">
        <f t="shared" si="37"/>
        <v>154842.32101008302</v>
      </c>
      <c r="AE624" s="36">
        <f t="shared" si="38"/>
        <v>0.77505721245254322</v>
      </c>
      <c r="AF624" s="35">
        <f>IF(AND(AE624&lt;=Inputs!$D$35,C624&gt;=Inputs!$D$48*(A624+B624+C624),B624*Inputs!$D$22&lt;=Inputs!$D$50*Inputs!$D$8,B624*Inputs!$D$22&gt;=Inputs!$D$49*Inputs!$D$8,A624*Inputs!$D$20&lt;=Inputs!$D$47*Inputs!$D$8,C624&gt;=1),1,0)</f>
        <v>0</v>
      </c>
      <c r="AG624" s="39">
        <f t="shared" si="39"/>
        <v>-1</v>
      </c>
    </row>
    <row r="625" spans="1:33" x14ac:dyDescent="0.25">
      <c r="A625" s="35">
        <v>50</v>
      </c>
      <c r="B625" s="35">
        <v>30</v>
      </c>
      <c r="C625" s="35">
        <f>Inputs!$D$8-A625-Inputs!$D$22*B625</f>
        <v>10</v>
      </c>
      <c r="D625" s="35">
        <f>A625*Inputs!$D$20+C625*Inputs!$D$21+B625*Inputs!$D$22</f>
        <v>120</v>
      </c>
      <c r="E625" s="36">
        <f>MIN(Inputs!$E$15,Inputs!$D$15*(C625/Inputs!$D$43)^Inputs!$D$44)</f>
        <v>0.24688878270302153</v>
      </c>
      <c r="F625" s="36">
        <f>MIN(Inputs!$E$16,Inputs!$D$16*(B625/Inputs!$D$42)^Inputs!$D$44)</f>
        <v>0.45173877418274222</v>
      </c>
      <c r="G625" s="37">
        <f>Inputs!$D$26*(1+Inputs!$D$41*(B625-Inputs!$D$42))</f>
        <v>1.6500000000000001</v>
      </c>
      <c r="H625" s="35">
        <f>Inputs!$D$6*Inputs!$D$14*G625*Inputs!$D$29</f>
        <v>2073.1095000000005</v>
      </c>
      <c r="I625" s="36">
        <f>H625/(A625*Inputs!$D$32)</f>
        <v>0.75385800000000014</v>
      </c>
      <c r="J625" s="38">
        <f>IF(I625&gt;=1,999,I625/(Inputs!$D$32*(1-I625))*60)</f>
        <v>3.3411223824237473</v>
      </c>
      <c r="K625" s="37">
        <f>MIN(1,MAX(0,(J625-Inputs!$D$36)/(Inputs!$D$37-Inputs!$D$36)))</f>
        <v>0</v>
      </c>
      <c r="L625" s="35">
        <f>Inputs!$D$6*Inputs!$D$14*G625*(1-Inputs!$D$38*K625)</f>
        <v>13820.730000000003</v>
      </c>
      <c r="M625" s="39">
        <f>L625*Inputs!$D$11</f>
        <v>297145.69500000007</v>
      </c>
      <c r="N625" s="39">
        <f>M625*(1-Inputs!$D$17)</f>
        <v>104000.99325000001</v>
      </c>
      <c r="O625" s="35">
        <f>Inputs!$D$6*E625*Inputs!$D$27*Inputs!$D$30</f>
        <v>352.22536317596189</v>
      </c>
      <c r="P625" s="36">
        <f>O625/(C625*Inputs!$D$33)</f>
        <v>0.88056340793990473</v>
      </c>
      <c r="Q625" s="38">
        <f>IF(P625&gt;=1,999,P625/(Inputs!$D$33*(1-P625))*60)</f>
        <v>11.05896517245959</v>
      </c>
      <c r="R625" s="37">
        <f>MIN(1,MAX(0,(Q625-Inputs!$D$36)/(Inputs!$D$37-Inputs!$D$36)))</f>
        <v>0.40393101149730604</v>
      </c>
      <c r="S625" s="35">
        <f>Inputs!$D$6*E625*Inputs!$D$27*(1-Inputs!$D$38*R625)</f>
        <v>2401.6810577146616</v>
      </c>
      <c r="T625" s="39">
        <f>S625*Inputs!$D$12</f>
        <v>38426.896923434586</v>
      </c>
      <c r="U625" s="39">
        <f>T625*(1-Inputs!$D$18)</f>
        <v>17292.103615545562</v>
      </c>
      <c r="V625" s="35">
        <f>Inputs!$D$6*F625*Inputs!$D$28*Inputs!$D$31</f>
        <v>761.65325673326424</v>
      </c>
      <c r="W625" s="36">
        <f>V625/(B625*Inputs!$D$34)</f>
        <v>0.72538405403168027</v>
      </c>
      <c r="X625" s="38">
        <f>IF(W625&gt;=1,999,W625/(Inputs!$D$34*(1-W625))*60)</f>
        <v>4.5281985239874629</v>
      </c>
      <c r="Y625" s="37">
        <f>MIN(1,MAX(0,(X625-Inputs!$D$36)/(Inputs!$D$37-Inputs!$D$36)))</f>
        <v>0</v>
      </c>
      <c r="Z625" s="35">
        <f>Inputs!$D$6*F625*Inputs!$D$28*(1-Inputs!$D$38*Y625)</f>
        <v>5858.8712056404938</v>
      </c>
      <c r="AA625" s="39">
        <f>Z625*Inputs!$D$13</f>
        <v>49800.405247944196</v>
      </c>
      <c r="AB625" s="39">
        <f>AA625*(1-Inputs!$D$19)</f>
        <v>29880.243148766516</v>
      </c>
      <c r="AC625" s="39">
        <f t="shared" si="36"/>
        <v>385372.99717137881</v>
      </c>
      <c r="AD625" s="39">
        <f t="shared" si="37"/>
        <v>151173.3400143121</v>
      </c>
      <c r="AE625" s="36">
        <f t="shared" si="38"/>
        <v>0.88056340793990473</v>
      </c>
      <c r="AF625" s="35">
        <f>IF(AND(AE625&lt;=Inputs!$D$35,C625&gt;=Inputs!$D$48*(A625+B625+C625),B625*Inputs!$D$22&lt;=Inputs!$D$50*Inputs!$D$8,B625*Inputs!$D$22&gt;=Inputs!$D$49*Inputs!$D$8,A625*Inputs!$D$20&lt;=Inputs!$D$47*Inputs!$D$8,C625&gt;=1),1,0)</f>
        <v>0</v>
      </c>
      <c r="AG625" s="39">
        <f t="shared" si="39"/>
        <v>-1</v>
      </c>
    </row>
    <row r="626" spans="1:33" x14ac:dyDescent="0.25">
      <c r="A626" s="35">
        <v>50</v>
      </c>
      <c r="B626" s="35">
        <v>31</v>
      </c>
      <c r="C626" s="35">
        <f>Inputs!$D$8-A626-Inputs!$D$22*B626</f>
        <v>8</v>
      </c>
      <c r="D626" s="35">
        <f>A626*Inputs!$D$20+C626*Inputs!$D$21+B626*Inputs!$D$22</f>
        <v>120</v>
      </c>
      <c r="E626" s="36">
        <f>MIN(Inputs!$E$15,Inputs!$D$15*(C626/Inputs!$D$43)^Inputs!$D$44)</f>
        <v>0.23090235080781729</v>
      </c>
      <c r="F626" s="36">
        <f>MIN(Inputs!$E$16,Inputs!$D$16*(B626/Inputs!$D$42)^Inputs!$D$44)</f>
        <v>0.45620443270573335</v>
      </c>
      <c r="G626" s="37">
        <f>Inputs!$D$26*(1+Inputs!$D$41*(B626-Inputs!$D$42))</f>
        <v>1.665</v>
      </c>
      <c r="H626" s="35">
        <f>Inputs!$D$6*Inputs!$D$14*G626*Inputs!$D$29</f>
        <v>2091.95595</v>
      </c>
      <c r="I626" s="36">
        <f>H626/(A626*Inputs!$D$32)</f>
        <v>0.76071125454545452</v>
      </c>
      <c r="J626" s="38">
        <f>IF(I626&gt;=1,999,I626/(Inputs!$D$32*(1-I626))*60)</f>
        <v>3.4680562245587709</v>
      </c>
      <c r="K626" s="37">
        <f>MIN(1,MAX(0,(J626-Inputs!$D$36)/(Inputs!$D$37-Inputs!$D$36)))</f>
        <v>0</v>
      </c>
      <c r="L626" s="35">
        <f>Inputs!$D$6*Inputs!$D$14*G626*(1-Inputs!$D$38*K626)</f>
        <v>13946.373000000001</v>
      </c>
      <c r="M626" s="39">
        <f>L626*Inputs!$D$11</f>
        <v>299847.01950000005</v>
      </c>
      <c r="N626" s="39">
        <f>M626*(1-Inputs!$D$17)</f>
        <v>104946.45682500002</v>
      </c>
      <c r="O626" s="35">
        <f>Inputs!$D$6*E626*Inputs!$D$27*Inputs!$D$30</f>
        <v>329.41822419407742</v>
      </c>
      <c r="P626" s="36">
        <f>O626/(C626*Inputs!$D$33)</f>
        <v>1.029431950606492</v>
      </c>
      <c r="Q626" s="38">
        <f>IF(P626&gt;=1,999,P626/(Inputs!$D$33*(1-P626))*60)</f>
        <v>999</v>
      </c>
      <c r="R626" s="37">
        <f>MIN(1,MAX(0,(Q626-Inputs!$D$36)/(Inputs!$D$37-Inputs!$D$36)))</f>
        <v>1</v>
      </c>
      <c r="S626" s="35">
        <f>Inputs!$D$6*E626*Inputs!$D$27*(1-Inputs!$D$38*R626)</f>
        <v>1509.8335275561885</v>
      </c>
      <c r="T626" s="39">
        <f>S626*Inputs!$D$12</f>
        <v>24157.336440899016</v>
      </c>
      <c r="U626" s="39">
        <f>T626*(1-Inputs!$D$18)</f>
        <v>10870.801398404556</v>
      </c>
      <c r="V626" s="35">
        <f>Inputs!$D$6*F626*Inputs!$D$28*Inputs!$D$31</f>
        <v>769.18257135463637</v>
      </c>
      <c r="W626" s="36">
        <f>V626/(B626*Inputs!$D$34)</f>
        <v>0.70892402889828232</v>
      </c>
      <c r="X626" s="38">
        <f>IF(W626&gt;=1,999,W626/(Inputs!$D$34*(1-W626))*60)</f>
        <v>4.1751929252501148</v>
      </c>
      <c r="Y626" s="37">
        <f>MIN(1,MAX(0,(X626-Inputs!$D$36)/(Inputs!$D$37-Inputs!$D$36)))</f>
        <v>0</v>
      </c>
      <c r="Z626" s="35">
        <f>Inputs!$D$6*F626*Inputs!$D$28*(1-Inputs!$D$38*Y626)</f>
        <v>5916.7890104202797</v>
      </c>
      <c r="AA626" s="39">
        <f>Z626*Inputs!$D$13</f>
        <v>50292.706588572379</v>
      </c>
      <c r="AB626" s="39">
        <f>AA626*(1-Inputs!$D$19)</f>
        <v>30175.623953143426</v>
      </c>
      <c r="AC626" s="39">
        <f t="shared" si="36"/>
        <v>374297.06252947141</v>
      </c>
      <c r="AD626" s="39">
        <f t="shared" si="37"/>
        <v>145992.88217654801</v>
      </c>
      <c r="AE626" s="36">
        <f t="shared" si="38"/>
        <v>1.029431950606492</v>
      </c>
      <c r="AF626" s="35">
        <f>IF(AND(AE626&lt;=Inputs!$D$35,C626&gt;=Inputs!$D$48*(A626+B626+C626),B626*Inputs!$D$22&lt;=Inputs!$D$50*Inputs!$D$8,B626*Inputs!$D$22&gt;=Inputs!$D$49*Inputs!$D$8,A626*Inputs!$D$20&lt;=Inputs!$D$47*Inputs!$D$8,C626&gt;=1),1,0)</f>
        <v>0</v>
      </c>
      <c r="AG626" s="39">
        <f t="shared" si="39"/>
        <v>-1</v>
      </c>
    </row>
    <row r="627" spans="1:33" x14ac:dyDescent="0.25">
      <c r="A627" s="35">
        <v>50</v>
      </c>
      <c r="B627" s="35">
        <v>32</v>
      </c>
      <c r="C627" s="35">
        <f>Inputs!$D$8-A627-Inputs!$D$22*B627</f>
        <v>6</v>
      </c>
      <c r="D627" s="35">
        <f>A627*Inputs!$D$20+C627*Inputs!$D$21+B627*Inputs!$D$22</f>
        <v>120</v>
      </c>
      <c r="E627" s="36">
        <f>MIN(Inputs!$E$15,Inputs!$D$15*(C627/Inputs!$D$43)^Inputs!$D$44)</f>
        <v>0.21181013327762671</v>
      </c>
      <c r="F627" s="36">
        <f>MIN(Inputs!$E$16,Inputs!$D$16*(B627/Inputs!$D$42)^Inputs!$D$44)</f>
        <v>0.46057036065052986</v>
      </c>
      <c r="G627" s="37">
        <f>Inputs!$D$26*(1+Inputs!$D$41*(B627-Inputs!$D$42))</f>
        <v>1.6800000000000002</v>
      </c>
      <c r="H627" s="35">
        <f>Inputs!$D$6*Inputs!$D$14*G627*Inputs!$D$29</f>
        <v>2110.8024000000005</v>
      </c>
      <c r="I627" s="36">
        <f>H627/(A627*Inputs!$D$32)</f>
        <v>0.76756450909090923</v>
      </c>
      <c r="J627" s="38">
        <f>IF(I627&gt;=1,999,I627/(Inputs!$D$32*(1-I627))*60)</f>
        <v>3.6024752396954076</v>
      </c>
      <c r="K627" s="37">
        <f>MIN(1,MAX(0,(J627-Inputs!$D$36)/(Inputs!$D$37-Inputs!$D$36)))</f>
        <v>0</v>
      </c>
      <c r="L627" s="35">
        <f>Inputs!$D$6*Inputs!$D$14*G627*(1-Inputs!$D$38*K627)</f>
        <v>14072.016000000003</v>
      </c>
      <c r="M627" s="39">
        <f>L627*Inputs!$D$11</f>
        <v>302548.34400000004</v>
      </c>
      <c r="N627" s="39">
        <f>M627*(1-Inputs!$D$17)</f>
        <v>105891.9204</v>
      </c>
      <c r="O627" s="35">
        <f>Inputs!$D$6*E627*Inputs!$D$27*Inputs!$D$30</f>
        <v>302.18019750132584</v>
      </c>
      <c r="P627" s="36">
        <f>O627/(C627*Inputs!$D$33)</f>
        <v>1.2590841562555244</v>
      </c>
      <c r="Q627" s="38">
        <f>IF(P627&gt;=1,999,P627/(Inputs!$D$33*(1-P627))*60)</f>
        <v>999</v>
      </c>
      <c r="R627" s="37">
        <f>MIN(1,MAX(0,(Q627-Inputs!$D$36)/(Inputs!$D$37-Inputs!$D$36)))</f>
        <v>1</v>
      </c>
      <c r="S627" s="35">
        <f>Inputs!$D$6*E627*Inputs!$D$27*(1-Inputs!$D$38*R627)</f>
        <v>1384.9925718810769</v>
      </c>
      <c r="T627" s="39">
        <f>S627*Inputs!$D$12</f>
        <v>22159.88115009723</v>
      </c>
      <c r="U627" s="39">
        <f>T627*(1-Inputs!$D$18)</f>
        <v>9971.9465175437526</v>
      </c>
      <c r="V627" s="35">
        <f>Inputs!$D$6*F627*Inputs!$D$28*Inputs!$D$31</f>
        <v>776.54373543410452</v>
      </c>
      <c r="W627" s="36">
        <f>V627/(B627*Inputs!$D$34)</f>
        <v>0.69334262092330756</v>
      </c>
      <c r="X627" s="38">
        <f>IF(W627&gt;=1,999,W627/(Inputs!$D$34*(1-W627))*60)</f>
        <v>3.8759457011369869</v>
      </c>
      <c r="Y627" s="37">
        <f>MIN(1,MAX(0,(X627-Inputs!$D$36)/(Inputs!$D$37-Inputs!$D$36)))</f>
        <v>0</v>
      </c>
      <c r="Z627" s="35">
        <f>Inputs!$D$6*F627*Inputs!$D$28*(1-Inputs!$D$38*Y627)</f>
        <v>5973.4133494931111</v>
      </c>
      <c r="AA627" s="39">
        <f>Z627*Inputs!$D$13</f>
        <v>50774.013470691447</v>
      </c>
      <c r="AB627" s="39">
        <f>AA627*(1-Inputs!$D$19)</f>
        <v>30464.408082414866</v>
      </c>
      <c r="AC627" s="39">
        <f t="shared" si="36"/>
        <v>375482.23862078873</v>
      </c>
      <c r="AD627" s="39">
        <f t="shared" si="37"/>
        <v>146328.27499995861</v>
      </c>
      <c r="AE627" s="36">
        <f t="shared" si="38"/>
        <v>1.2590841562555244</v>
      </c>
      <c r="AF627" s="35">
        <f>IF(AND(AE627&lt;=Inputs!$D$35,C627&gt;=Inputs!$D$48*(A627+B627+C627),B627*Inputs!$D$22&lt;=Inputs!$D$50*Inputs!$D$8,B627*Inputs!$D$22&gt;=Inputs!$D$49*Inputs!$D$8,A627*Inputs!$D$20&lt;=Inputs!$D$47*Inputs!$D$8,C627&gt;=1),1,0)</f>
        <v>0</v>
      </c>
      <c r="AG627" s="39">
        <f t="shared" si="39"/>
        <v>-1</v>
      </c>
    </row>
    <row r="628" spans="1:33" x14ac:dyDescent="0.25">
      <c r="A628" s="35">
        <v>50</v>
      </c>
      <c r="B628" s="35">
        <v>33</v>
      </c>
      <c r="C628" s="35">
        <f>Inputs!$D$8-A628-Inputs!$D$22*B628</f>
        <v>4</v>
      </c>
      <c r="D628" s="35">
        <f>A628*Inputs!$D$20+C628*Inputs!$D$21+B628*Inputs!$D$22</f>
        <v>120</v>
      </c>
      <c r="E628" s="36">
        <f>MIN(Inputs!$E$15,Inputs!$D$15*(C628/Inputs!$D$43)^Inputs!$D$44)</f>
        <v>0.18755098776793777</v>
      </c>
      <c r="F628" s="36">
        <f>MIN(Inputs!$E$16,Inputs!$D$16*(B628/Inputs!$D$42)^Inputs!$D$44)</f>
        <v>0.46484180038786721</v>
      </c>
      <c r="G628" s="37">
        <f>Inputs!$D$26*(1+Inputs!$D$41*(B628-Inputs!$D$42))</f>
        <v>1.6949999999999998</v>
      </c>
      <c r="H628" s="35">
        <f>Inputs!$D$6*Inputs!$D$14*G628*Inputs!$D$29</f>
        <v>2129.64885</v>
      </c>
      <c r="I628" s="36">
        <f>H628/(A628*Inputs!$D$32)</f>
        <v>0.77441776363636361</v>
      </c>
      <c r="J628" s="38">
        <f>IF(I628&gt;=1,999,I628/(Inputs!$D$32*(1-I628))*60)</f>
        <v>3.7450616330913395</v>
      </c>
      <c r="K628" s="37">
        <f>MIN(1,MAX(0,(J628-Inputs!$D$36)/(Inputs!$D$37-Inputs!$D$36)))</f>
        <v>0</v>
      </c>
      <c r="L628" s="35">
        <f>Inputs!$D$6*Inputs!$D$14*G628*(1-Inputs!$D$38*K628)</f>
        <v>14197.659</v>
      </c>
      <c r="M628" s="39">
        <f>L628*Inputs!$D$11</f>
        <v>305249.66849999997</v>
      </c>
      <c r="N628" s="39">
        <f>M628*(1-Inputs!$D$17)</f>
        <v>106837.38397499999</v>
      </c>
      <c r="O628" s="35">
        <f>Inputs!$D$6*E628*Inputs!$D$27*Inputs!$D$30</f>
        <v>267.57074200505502</v>
      </c>
      <c r="P628" s="36">
        <f>O628/(C628*Inputs!$D$33)</f>
        <v>1.6723171375315939</v>
      </c>
      <c r="Q628" s="38">
        <f>IF(P628&gt;=1,999,P628/(Inputs!$D$33*(1-P628))*60)</f>
        <v>999</v>
      </c>
      <c r="R628" s="37">
        <f>MIN(1,MAX(0,(Q628-Inputs!$D$36)/(Inputs!$D$37-Inputs!$D$36)))</f>
        <v>1</v>
      </c>
      <c r="S628" s="35">
        <f>Inputs!$D$6*E628*Inputs!$D$27*(1-Inputs!$D$38*R628)</f>
        <v>1226.3659008565023</v>
      </c>
      <c r="T628" s="39">
        <f>S628*Inputs!$D$12</f>
        <v>19621.854413704037</v>
      </c>
      <c r="U628" s="39">
        <f>T628*(1-Inputs!$D$18)</f>
        <v>8829.8344861668156</v>
      </c>
      <c r="V628" s="35">
        <f>Inputs!$D$6*F628*Inputs!$D$28*Inputs!$D$31</f>
        <v>783.74558786036266</v>
      </c>
      <c r="W628" s="36">
        <f>V628/(B628*Inputs!$D$34)</f>
        <v>0.67856760853711051</v>
      </c>
      <c r="X628" s="38">
        <f>IF(W628&gt;=1,999,W628/(Inputs!$D$34*(1-W628))*60)</f>
        <v>3.6189842355277744</v>
      </c>
      <c r="Y628" s="37">
        <f>MIN(1,MAX(0,(X628-Inputs!$D$36)/(Inputs!$D$37-Inputs!$D$36)))</f>
        <v>0</v>
      </c>
      <c r="Z628" s="35">
        <f>Inputs!$D$6*F628*Inputs!$D$28*(1-Inputs!$D$38*Y628)</f>
        <v>6028.812214310482</v>
      </c>
      <c r="AA628" s="39">
        <f>Z628*Inputs!$D$13</f>
        <v>51244.903821639098</v>
      </c>
      <c r="AB628" s="39">
        <f>AA628*(1-Inputs!$D$19)</f>
        <v>30746.942292983458</v>
      </c>
      <c r="AC628" s="39">
        <f t="shared" si="36"/>
        <v>376116.42673534306</v>
      </c>
      <c r="AD628" s="39">
        <f t="shared" si="37"/>
        <v>146414.16075415027</v>
      </c>
      <c r="AE628" s="36">
        <f t="shared" si="38"/>
        <v>1.6723171375315939</v>
      </c>
      <c r="AF628" s="35">
        <f>IF(AND(AE628&lt;=Inputs!$D$35,C628&gt;=Inputs!$D$48*(A628+B628+C628),B628*Inputs!$D$22&lt;=Inputs!$D$50*Inputs!$D$8,B628*Inputs!$D$22&gt;=Inputs!$D$49*Inputs!$D$8,A628*Inputs!$D$20&lt;=Inputs!$D$47*Inputs!$D$8,C628&gt;=1),1,0)</f>
        <v>0</v>
      </c>
      <c r="AG628" s="39">
        <f t="shared" si="39"/>
        <v>-1</v>
      </c>
    </row>
    <row r="629" spans="1:33" x14ac:dyDescent="0.25">
      <c r="A629" s="35">
        <v>51</v>
      </c>
      <c r="B629" s="35">
        <v>10</v>
      </c>
      <c r="C629" s="35">
        <f>Inputs!$D$8-A629-Inputs!$D$22*B629</f>
        <v>49</v>
      </c>
      <c r="D629" s="35">
        <f>A629*Inputs!$D$20+C629*Inputs!$D$21+B629*Inputs!$D$22</f>
        <v>120</v>
      </c>
      <c r="E629" s="36">
        <f>MIN(Inputs!$E$15,Inputs!$D$15*(C629/Inputs!$D$43)^Inputs!$D$44)</f>
        <v>0.39770420454194916</v>
      </c>
      <c r="F629" s="36">
        <f>MIN(Inputs!$E$16,Inputs!$D$16*(B629/Inputs!$D$42)^Inputs!$D$44)</f>
        <v>0.32490095854249423</v>
      </c>
      <c r="G629" s="37">
        <f>Inputs!$D$26*(1+Inputs!$D$41*(B629-Inputs!$D$42))</f>
        <v>1.35</v>
      </c>
      <c r="H629" s="35">
        <f>Inputs!$D$6*Inputs!$D$14*G629*Inputs!$D$29</f>
        <v>1696.1805000000004</v>
      </c>
      <c r="I629" s="36">
        <f>H629/(A629*Inputs!$D$32)</f>
        <v>0.60469893048128354</v>
      </c>
      <c r="J629" s="38">
        <f>IF(I629&gt;=1,999,I629/(Inputs!$D$32*(1-I629))*60)</f>
        <v>1.6687826352916124</v>
      </c>
      <c r="K629" s="37">
        <f>MIN(1,MAX(0,(J629-Inputs!$D$36)/(Inputs!$D$37-Inputs!$D$36)))</f>
        <v>0</v>
      </c>
      <c r="L629" s="35">
        <f>Inputs!$D$6*Inputs!$D$14*G629*(1-Inputs!$D$38*K629)</f>
        <v>11307.870000000003</v>
      </c>
      <c r="M629" s="39">
        <f>L629*Inputs!$D$11</f>
        <v>243119.20500000005</v>
      </c>
      <c r="N629" s="39">
        <f>M629*(1-Inputs!$D$17)</f>
        <v>85091.721750000012</v>
      </c>
      <c r="O629" s="35">
        <f>Inputs!$D$6*E629*Inputs!$D$27*Inputs!$D$30</f>
        <v>567.38708963499903</v>
      </c>
      <c r="P629" s="36">
        <f>O629/(C629*Inputs!$D$33)</f>
        <v>0.2894832089974485</v>
      </c>
      <c r="Q629" s="38">
        <f>IF(P629&gt;=1,999,P629/(Inputs!$D$33*(1-P629))*60)</f>
        <v>0.61113941147467321</v>
      </c>
      <c r="R629" s="37">
        <f>MIN(1,MAX(0,(Q629-Inputs!$D$36)/(Inputs!$D$37-Inputs!$D$36)))</f>
        <v>0</v>
      </c>
      <c r="S629" s="35">
        <f>Inputs!$D$6*E629*Inputs!$D$27*(1-Inputs!$D$38*R629)</f>
        <v>4728.2257469583255</v>
      </c>
      <c r="T629" s="39">
        <f>S629*Inputs!$D$12</f>
        <v>75651.611951333209</v>
      </c>
      <c r="U629" s="39">
        <f>T629*(1-Inputs!$D$18)</f>
        <v>34043.225378099938</v>
      </c>
      <c r="V629" s="35">
        <f>Inputs!$D$6*F629*Inputs!$D$28*Inputs!$D$31</f>
        <v>547.7986113486553</v>
      </c>
      <c r="W629" s="36">
        <f>V629/(B629*Inputs!$D$34)</f>
        <v>1.5651388895675866</v>
      </c>
      <c r="X629" s="38">
        <f>IF(W629&gt;=1,999,W629/(Inputs!$D$34*(1-W629))*60)</f>
        <v>999</v>
      </c>
      <c r="Y629" s="37">
        <f>MIN(1,MAX(0,(X629-Inputs!$D$36)/(Inputs!$D$37-Inputs!$D$36)))</f>
        <v>1</v>
      </c>
      <c r="Z629" s="35">
        <f>Inputs!$D$6*F629*Inputs!$D$28*(1-Inputs!$D$38*Y629)</f>
        <v>2317.6095095520031</v>
      </c>
      <c r="AA629" s="39">
        <f>Z629*Inputs!$D$13</f>
        <v>19699.680831192025</v>
      </c>
      <c r="AB629" s="39">
        <f>AA629*(1-Inputs!$D$19)</f>
        <v>11819.808498715214</v>
      </c>
      <c r="AC629" s="39">
        <f t="shared" si="36"/>
        <v>338470.49778252526</v>
      </c>
      <c r="AD629" s="39">
        <f t="shared" si="37"/>
        <v>130954.75562681515</v>
      </c>
      <c r="AE629" s="36">
        <f t="shared" si="38"/>
        <v>1.5651388895675866</v>
      </c>
      <c r="AF629" s="35">
        <f>IF(AND(AE629&lt;=Inputs!$D$35,C629&gt;=Inputs!$D$48*(A629+B629+C629),B629*Inputs!$D$22&lt;=Inputs!$D$50*Inputs!$D$8,B629*Inputs!$D$22&gt;=Inputs!$D$49*Inputs!$D$8,A629*Inputs!$D$20&lt;=Inputs!$D$47*Inputs!$D$8,C629&gt;=1),1,0)</f>
        <v>0</v>
      </c>
      <c r="AG629" s="39">
        <f t="shared" si="39"/>
        <v>-1</v>
      </c>
    </row>
    <row r="630" spans="1:33" x14ac:dyDescent="0.25">
      <c r="A630" s="35">
        <v>51</v>
      </c>
      <c r="B630" s="35">
        <v>11</v>
      </c>
      <c r="C630" s="35">
        <f>Inputs!$D$8-A630-Inputs!$D$22*B630</f>
        <v>47</v>
      </c>
      <c r="D630" s="35">
        <f>A630*Inputs!$D$20+C630*Inputs!$D$21+B630*Inputs!$D$22</f>
        <v>120</v>
      </c>
      <c r="E630" s="36">
        <f>MIN(Inputs!$E$15,Inputs!$D$15*(C630/Inputs!$D$43)^Inputs!$D$44)</f>
        <v>0.39276313309091065</v>
      </c>
      <c r="F630" s="36">
        <f>MIN(Inputs!$E$16,Inputs!$D$16*(B630/Inputs!$D$42)^Inputs!$D$44)</f>
        <v>0.33432495758166098</v>
      </c>
      <c r="G630" s="37">
        <f>Inputs!$D$26*(1+Inputs!$D$41*(B630-Inputs!$D$42))</f>
        <v>1.365</v>
      </c>
      <c r="H630" s="35">
        <f>Inputs!$D$6*Inputs!$D$14*G630*Inputs!$D$29</f>
        <v>1715.0269500000002</v>
      </c>
      <c r="I630" s="36">
        <f>H630/(A630*Inputs!$D$32)</f>
        <v>0.6114178074866311</v>
      </c>
      <c r="J630" s="38">
        <f>IF(I630&gt;=1,999,I630/(Inputs!$D$32*(1-I630))*60)</f>
        <v>1.7164997711724079</v>
      </c>
      <c r="K630" s="37">
        <f>MIN(1,MAX(0,(J630-Inputs!$D$36)/(Inputs!$D$37-Inputs!$D$36)))</f>
        <v>0</v>
      </c>
      <c r="L630" s="35">
        <f>Inputs!$D$6*Inputs!$D$14*G630*(1-Inputs!$D$38*K630)</f>
        <v>11433.513000000001</v>
      </c>
      <c r="M630" s="39">
        <f>L630*Inputs!$D$11</f>
        <v>245820.5295</v>
      </c>
      <c r="N630" s="39">
        <f>M630*(1-Inputs!$D$17)</f>
        <v>86037.185324999999</v>
      </c>
      <c r="O630" s="35">
        <f>Inputs!$D$6*E630*Inputs!$D$27*Inputs!$D$30</f>
        <v>560.33788040294633</v>
      </c>
      <c r="P630" s="36">
        <f>O630/(C630*Inputs!$D$33)</f>
        <v>0.29805206404412038</v>
      </c>
      <c r="Q630" s="38">
        <f>IF(P630&gt;=1,999,P630/(Inputs!$D$33*(1-P630))*60)</f>
        <v>0.63691062138016075</v>
      </c>
      <c r="R630" s="37">
        <f>MIN(1,MAX(0,(Q630-Inputs!$D$36)/(Inputs!$D$37-Inputs!$D$36)))</f>
        <v>0</v>
      </c>
      <c r="S630" s="35">
        <f>Inputs!$D$6*E630*Inputs!$D$27*(1-Inputs!$D$38*R630)</f>
        <v>4669.4823366912196</v>
      </c>
      <c r="T630" s="39">
        <f>S630*Inputs!$D$12</f>
        <v>74711.717387059514</v>
      </c>
      <c r="U630" s="39">
        <f>T630*(1-Inputs!$D$18)</f>
        <v>33620.272824176776</v>
      </c>
      <c r="V630" s="35">
        <f>Inputs!$D$6*F630*Inputs!$D$28*Inputs!$D$31</f>
        <v>563.68792608064427</v>
      </c>
      <c r="W630" s="36">
        <f>V630/(B630*Inputs!$D$34)</f>
        <v>1.4641244833263487</v>
      </c>
      <c r="X630" s="38">
        <f>IF(W630&gt;=1,999,W630/(Inputs!$D$34*(1-W630))*60)</f>
        <v>999</v>
      </c>
      <c r="Y630" s="37">
        <f>MIN(1,MAX(0,(X630-Inputs!$D$36)/(Inputs!$D$37-Inputs!$D$36)))</f>
        <v>1</v>
      </c>
      <c r="Z630" s="35">
        <f>Inputs!$D$6*F630*Inputs!$D$28*(1-Inputs!$D$38*Y630)</f>
        <v>2384.8335334181106</v>
      </c>
      <c r="AA630" s="39">
        <f>Z630*Inputs!$D$13</f>
        <v>20271.08503405394</v>
      </c>
      <c r="AB630" s="39">
        <f>AA630*(1-Inputs!$D$19)</f>
        <v>12162.651020432364</v>
      </c>
      <c r="AC630" s="39">
        <f t="shared" si="36"/>
        <v>340803.33192111348</v>
      </c>
      <c r="AD630" s="39">
        <f t="shared" si="37"/>
        <v>131820.10916960915</v>
      </c>
      <c r="AE630" s="36">
        <f t="shared" si="38"/>
        <v>1.4641244833263487</v>
      </c>
      <c r="AF630" s="35">
        <f>IF(AND(AE630&lt;=Inputs!$D$35,C630&gt;=Inputs!$D$48*(A630+B630+C630),B630*Inputs!$D$22&lt;=Inputs!$D$50*Inputs!$D$8,B630*Inputs!$D$22&gt;=Inputs!$D$49*Inputs!$D$8,A630*Inputs!$D$20&lt;=Inputs!$D$47*Inputs!$D$8,C630&gt;=1),1,0)</f>
        <v>0</v>
      </c>
      <c r="AG630" s="39">
        <f t="shared" si="39"/>
        <v>-1</v>
      </c>
    </row>
    <row r="631" spans="1:33" x14ac:dyDescent="0.25">
      <c r="A631" s="35">
        <v>51</v>
      </c>
      <c r="B631" s="35">
        <v>12</v>
      </c>
      <c r="C631" s="35">
        <f>Inputs!$D$8-A631-Inputs!$D$22*B631</f>
        <v>45</v>
      </c>
      <c r="D631" s="35">
        <f>A631*Inputs!$D$20+C631*Inputs!$D$21+B631*Inputs!$D$22</f>
        <v>120</v>
      </c>
      <c r="E631" s="36">
        <f>MIN(Inputs!$E$15,Inputs!$D$15*(C631/Inputs!$D$43)^Inputs!$D$44)</f>
        <v>0.38767260497069417</v>
      </c>
      <c r="F631" s="36">
        <f>MIN(Inputs!$E$16,Inputs!$D$16*(B631/Inputs!$D$42)^Inputs!$D$44)</f>
        <v>0.34316688017763797</v>
      </c>
      <c r="G631" s="37">
        <f>Inputs!$D$26*(1+Inputs!$D$41*(B631-Inputs!$D$42))</f>
        <v>1.3800000000000001</v>
      </c>
      <c r="H631" s="35">
        <f>Inputs!$D$6*Inputs!$D$14*G631*Inputs!$D$29</f>
        <v>1733.8734000000004</v>
      </c>
      <c r="I631" s="36">
        <f>H631/(A631*Inputs!$D$32)</f>
        <v>0.61813668449197878</v>
      </c>
      <c r="J631" s="38">
        <f>IF(I631&gt;=1,999,I631/(Inputs!$D$32*(1-I631))*60)</f>
        <v>1.7658960710577589</v>
      </c>
      <c r="K631" s="37">
        <f>MIN(1,MAX(0,(J631-Inputs!$D$36)/(Inputs!$D$37-Inputs!$D$36)))</f>
        <v>0</v>
      </c>
      <c r="L631" s="35">
        <f>Inputs!$D$6*Inputs!$D$14*G631*(1-Inputs!$D$38*K631)</f>
        <v>11559.156000000003</v>
      </c>
      <c r="M631" s="39">
        <f>L631*Inputs!$D$11</f>
        <v>248521.85400000005</v>
      </c>
      <c r="N631" s="39">
        <f>M631*(1-Inputs!$D$17)</f>
        <v>86982.648900000015</v>
      </c>
      <c r="O631" s="35">
        <f>Inputs!$D$6*E631*Inputs!$D$27*Inputs!$D$30</f>
        <v>553.07544791707073</v>
      </c>
      <c r="P631" s="36">
        <f>O631/(C631*Inputs!$D$33)</f>
        <v>0.30726413773170597</v>
      </c>
      <c r="Q631" s="38">
        <f>IF(P631&gt;=1,999,P631/(Inputs!$D$33*(1-P631))*60)</f>
        <v>0.66532748151423926</v>
      </c>
      <c r="R631" s="37">
        <f>MIN(1,MAX(0,(Q631-Inputs!$D$36)/(Inputs!$D$37-Inputs!$D$36)))</f>
        <v>0</v>
      </c>
      <c r="S631" s="35">
        <f>Inputs!$D$6*E631*Inputs!$D$27*(1-Inputs!$D$38*R631)</f>
        <v>4608.9620659755892</v>
      </c>
      <c r="T631" s="39">
        <f>S631*Inputs!$D$12</f>
        <v>73743.393055609427</v>
      </c>
      <c r="U631" s="39">
        <f>T631*(1-Inputs!$D$18)</f>
        <v>33184.526875024239</v>
      </c>
      <c r="V631" s="35">
        <f>Inputs!$D$6*F631*Inputs!$D$28*Inputs!$D$31</f>
        <v>578.5958319897461</v>
      </c>
      <c r="W631" s="36">
        <f>V631/(B631*Inputs!$D$34)</f>
        <v>1.3776091237851098</v>
      </c>
      <c r="X631" s="38">
        <f>IF(W631&gt;=1,999,W631/(Inputs!$D$34*(1-W631))*60)</f>
        <v>999</v>
      </c>
      <c r="Y631" s="37">
        <f>MIN(1,MAX(0,(X631-Inputs!$D$36)/(Inputs!$D$37-Inputs!$D$36)))</f>
        <v>1</v>
      </c>
      <c r="Z631" s="35">
        <f>Inputs!$D$6*F631*Inputs!$D$28*(1-Inputs!$D$38*Y631)</f>
        <v>2447.9054430335414</v>
      </c>
      <c r="AA631" s="39">
        <f>Z631*Inputs!$D$13</f>
        <v>20807.1962657851</v>
      </c>
      <c r="AB631" s="39">
        <f>AA631*(1-Inputs!$D$19)</f>
        <v>12484.31775947106</v>
      </c>
      <c r="AC631" s="39">
        <f t="shared" si="36"/>
        <v>343072.44332139456</v>
      </c>
      <c r="AD631" s="39">
        <f t="shared" si="37"/>
        <v>132651.49353449533</v>
      </c>
      <c r="AE631" s="36">
        <f t="shared" si="38"/>
        <v>1.3776091237851098</v>
      </c>
      <c r="AF631" s="35">
        <f>IF(AND(AE631&lt;=Inputs!$D$35,C631&gt;=Inputs!$D$48*(A631+B631+C631),B631*Inputs!$D$22&lt;=Inputs!$D$50*Inputs!$D$8,B631*Inputs!$D$22&gt;=Inputs!$D$49*Inputs!$D$8,A631*Inputs!$D$20&lt;=Inputs!$D$47*Inputs!$D$8,C631&gt;=1),1,0)</f>
        <v>0</v>
      </c>
      <c r="AG631" s="39">
        <f t="shared" si="39"/>
        <v>-1</v>
      </c>
    </row>
    <row r="632" spans="1:33" x14ac:dyDescent="0.25">
      <c r="A632" s="35">
        <v>51</v>
      </c>
      <c r="B632" s="35">
        <v>13</v>
      </c>
      <c r="C632" s="35">
        <f>Inputs!$D$8-A632-Inputs!$D$22*B632</f>
        <v>43</v>
      </c>
      <c r="D632" s="35">
        <f>A632*Inputs!$D$20+C632*Inputs!$D$21+B632*Inputs!$D$22</f>
        <v>120</v>
      </c>
      <c r="E632" s="36">
        <f>MIN(Inputs!$E$15,Inputs!$D$15*(C632/Inputs!$D$43)^Inputs!$D$44)</f>
        <v>0.38242114286867052</v>
      </c>
      <c r="F632" s="36">
        <f>MIN(Inputs!$E$16,Inputs!$D$16*(B632/Inputs!$D$42)^Inputs!$D$44)</f>
        <v>0.35150701637190523</v>
      </c>
      <c r="G632" s="37">
        <f>Inputs!$D$26*(1+Inputs!$D$41*(B632-Inputs!$D$42))</f>
        <v>1.395</v>
      </c>
      <c r="H632" s="35">
        <f>Inputs!$D$6*Inputs!$D$14*G632*Inputs!$D$29</f>
        <v>1752.7198500000002</v>
      </c>
      <c r="I632" s="36">
        <f>H632/(A632*Inputs!$D$32)</f>
        <v>0.62485556149732624</v>
      </c>
      <c r="J632" s="38">
        <f>IF(I632&gt;=1,999,I632/(Inputs!$D$32*(1-I632))*60)</f>
        <v>1.8170617569682546</v>
      </c>
      <c r="K632" s="37">
        <f>MIN(1,MAX(0,(J632-Inputs!$D$36)/(Inputs!$D$37-Inputs!$D$36)))</f>
        <v>0</v>
      </c>
      <c r="L632" s="35">
        <f>Inputs!$D$6*Inputs!$D$14*G632*(1-Inputs!$D$38*K632)</f>
        <v>11684.799000000001</v>
      </c>
      <c r="M632" s="39">
        <f>L632*Inputs!$D$11</f>
        <v>251223.17850000001</v>
      </c>
      <c r="N632" s="39">
        <f>M632*(1-Inputs!$D$17)</f>
        <v>87928.112475000002</v>
      </c>
      <c r="O632" s="35">
        <f>Inputs!$D$6*E632*Inputs!$D$27*Inputs!$D$30</f>
        <v>545.58341800044604</v>
      </c>
      <c r="P632" s="36">
        <f>O632/(C632*Inputs!$D$33)</f>
        <v>0.31719966162816632</v>
      </c>
      <c r="Q632" s="38">
        <f>IF(P632&gt;=1,999,P632/(Inputs!$D$33*(1-P632))*60)</f>
        <v>0.69683546668534679</v>
      </c>
      <c r="R632" s="37">
        <f>MIN(1,MAX(0,(Q632-Inputs!$D$36)/(Inputs!$D$37-Inputs!$D$36)))</f>
        <v>0</v>
      </c>
      <c r="S632" s="35">
        <f>Inputs!$D$6*E632*Inputs!$D$27*(1-Inputs!$D$38*R632)</f>
        <v>4546.5284833370506</v>
      </c>
      <c r="T632" s="39">
        <f>S632*Inputs!$D$12</f>
        <v>72744.45573339281</v>
      </c>
      <c r="U632" s="39">
        <f>T632*(1-Inputs!$D$18)</f>
        <v>32735.00508002676</v>
      </c>
      <c r="V632" s="35">
        <f>Inputs!$D$6*F632*Inputs!$D$28*Inputs!$D$31</f>
        <v>592.65770193981814</v>
      </c>
      <c r="W632" s="36">
        <f>V632/(B632*Inputs!$D$34)</f>
        <v>1.3025443998677322</v>
      </c>
      <c r="X632" s="38">
        <f>IF(W632&gt;=1,999,W632/(Inputs!$D$34*(1-W632))*60)</f>
        <v>999</v>
      </c>
      <c r="Y632" s="37">
        <f>MIN(1,MAX(0,(X632-Inputs!$D$36)/(Inputs!$D$37-Inputs!$D$36)))</f>
        <v>1</v>
      </c>
      <c r="Z632" s="35">
        <f>Inputs!$D$6*F632*Inputs!$D$28*(1-Inputs!$D$38*Y632)</f>
        <v>2507.3979697453847</v>
      </c>
      <c r="AA632" s="39">
        <f>Z632*Inputs!$D$13</f>
        <v>21312.882742835769</v>
      </c>
      <c r="AB632" s="39">
        <f>AA632*(1-Inputs!$D$19)</f>
        <v>12787.729645701462</v>
      </c>
      <c r="AC632" s="39">
        <f t="shared" si="36"/>
        <v>345280.51697622862</v>
      </c>
      <c r="AD632" s="39">
        <f t="shared" si="37"/>
        <v>133450.84720072823</v>
      </c>
      <c r="AE632" s="36">
        <f t="shared" si="38"/>
        <v>1.3025443998677322</v>
      </c>
      <c r="AF632" s="35">
        <f>IF(AND(AE632&lt;=Inputs!$D$35,C632&gt;=Inputs!$D$48*(A632+B632+C632),B632*Inputs!$D$22&lt;=Inputs!$D$50*Inputs!$D$8,B632*Inputs!$D$22&gt;=Inputs!$D$49*Inputs!$D$8,A632*Inputs!$D$20&lt;=Inputs!$D$47*Inputs!$D$8,C632&gt;=1),1,0)</f>
        <v>0</v>
      </c>
      <c r="AG632" s="39">
        <f t="shared" si="39"/>
        <v>-1</v>
      </c>
    </row>
    <row r="633" spans="1:33" x14ac:dyDescent="0.25">
      <c r="A633" s="35">
        <v>51</v>
      </c>
      <c r="B633" s="35">
        <v>14</v>
      </c>
      <c r="C633" s="35">
        <f>Inputs!$D$8-A633-Inputs!$D$22*B633</f>
        <v>41</v>
      </c>
      <c r="D633" s="35">
        <f>A633*Inputs!$D$20+C633*Inputs!$D$21+B633*Inputs!$D$22</f>
        <v>120</v>
      </c>
      <c r="E633" s="36">
        <f>MIN(Inputs!$E$15,Inputs!$D$15*(C633/Inputs!$D$43)^Inputs!$D$44)</f>
        <v>0.37699580304543617</v>
      </c>
      <c r="F633" s="36">
        <f>MIN(Inputs!$E$16,Inputs!$D$16*(B633/Inputs!$D$42)^Inputs!$D$44)</f>
        <v>0.35940937671625589</v>
      </c>
      <c r="G633" s="37">
        <f>Inputs!$D$26*(1+Inputs!$D$41*(B633-Inputs!$D$42))</f>
        <v>1.41</v>
      </c>
      <c r="H633" s="35">
        <f>Inputs!$D$6*Inputs!$D$14*G633*Inputs!$D$29</f>
        <v>1771.5663000000002</v>
      </c>
      <c r="I633" s="36">
        <f>H633/(A633*Inputs!$D$32)</f>
        <v>0.63157443850267381</v>
      </c>
      <c r="J633" s="38">
        <f>IF(I633&gt;=1,999,I633/(Inputs!$D$32*(1-I633))*60)</f>
        <v>1.8700936323425315</v>
      </c>
      <c r="K633" s="37">
        <f>MIN(1,MAX(0,(J633-Inputs!$D$36)/(Inputs!$D$37-Inputs!$D$36)))</f>
        <v>0</v>
      </c>
      <c r="L633" s="35">
        <f>Inputs!$D$6*Inputs!$D$14*G633*(1-Inputs!$D$38*K633)</f>
        <v>11810.442000000001</v>
      </c>
      <c r="M633" s="39">
        <f>L633*Inputs!$D$11</f>
        <v>253924.50300000003</v>
      </c>
      <c r="N633" s="39">
        <f>M633*(1-Inputs!$D$17)</f>
        <v>88873.576050000003</v>
      </c>
      <c r="O633" s="35">
        <f>Inputs!$D$6*E633*Inputs!$D$27*Inputs!$D$30</f>
        <v>537.84332438958984</v>
      </c>
      <c r="P633" s="36">
        <f>O633/(C633*Inputs!$D$33)</f>
        <v>0.3279532465790182</v>
      </c>
      <c r="Q633" s="38">
        <f>IF(P633&gt;=1,999,P633/(Inputs!$D$33*(1-P633))*60)</f>
        <v>0.73198756985940516</v>
      </c>
      <c r="R633" s="37">
        <f>MIN(1,MAX(0,(Q633-Inputs!$D$36)/(Inputs!$D$37-Inputs!$D$36)))</f>
        <v>0</v>
      </c>
      <c r="S633" s="35">
        <f>Inputs!$D$6*E633*Inputs!$D$27*(1-Inputs!$D$38*R633)</f>
        <v>4482.027703246582</v>
      </c>
      <c r="T633" s="39">
        <f>S633*Inputs!$D$12</f>
        <v>71712.443251945311</v>
      </c>
      <c r="U633" s="39">
        <f>T633*(1-Inputs!$D$18)</f>
        <v>32270.599463375387</v>
      </c>
      <c r="V633" s="35">
        <f>Inputs!$D$6*F633*Inputs!$D$28*Inputs!$D$31</f>
        <v>605.98146079368973</v>
      </c>
      <c r="W633" s="36">
        <f>V633/(B633*Inputs!$D$34)</f>
        <v>1.2366968587626321</v>
      </c>
      <c r="X633" s="38">
        <f>IF(W633&gt;=1,999,W633/(Inputs!$D$34*(1-W633))*60)</f>
        <v>999</v>
      </c>
      <c r="Y633" s="37">
        <f>MIN(1,MAX(0,(X633-Inputs!$D$36)/(Inputs!$D$37-Inputs!$D$36)))</f>
        <v>1</v>
      </c>
      <c r="Z633" s="35">
        <f>Inputs!$D$6*F633*Inputs!$D$28*(1-Inputs!$D$38*Y633)</f>
        <v>2563.7677187425338</v>
      </c>
      <c r="AA633" s="39">
        <f>Z633*Inputs!$D$13</f>
        <v>21792.025609311539</v>
      </c>
      <c r="AB633" s="39">
        <f>AA633*(1-Inputs!$D$19)</f>
        <v>13075.215365586922</v>
      </c>
      <c r="AC633" s="39">
        <f t="shared" si="36"/>
        <v>347428.97186125687</v>
      </c>
      <c r="AD633" s="39">
        <f t="shared" si="37"/>
        <v>134219.39087896232</v>
      </c>
      <c r="AE633" s="36">
        <f t="shared" si="38"/>
        <v>1.2366968587626321</v>
      </c>
      <c r="AF633" s="35">
        <f>IF(AND(AE633&lt;=Inputs!$D$35,C633&gt;=Inputs!$D$48*(A633+B633+C633),B633*Inputs!$D$22&lt;=Inputs!$D$50*Inputs!$D$8,B633*Inputs!$D$22&gt;=Inputs!$D$49*Inputs!$D$8,A633*Inputs!$D$20&lt;=Inputs!$D$47*Inputs!$D$8,C633&gt;=1),1,0)</f>
        <v>0</v>
      </c>
      <c r="AG633" s="39">
        <f t="shared" si="39"/>
        <v>-1</v>
      </c>
    </row>
    <row r="634" spans="1:33" x14ac:dyDescent="0.25">
      <c r="A634" s="35">
        <v>51</v>
      </c>
      <c r="B634" s="35">
        <v>15</v>
      </c>
      <c r="C634" s="35">
        <f>Inputs!$D$8-A634-Inputs!$D$22*B634</f>
        <v>39</v>
      </c>
      <c r="D634" s="35">
        <f>A634*Inputs!$D$20+C634*Inputs!$D$21+B634*Inputs!$D$22</f>
        <v>120</v>
      </c>
      <c r="E634" s="36">
        <f>MIN(Inputs!$E$15,Inputs!$D$15*(C634/Inputs!$D$43)^Inputs!$D$44)</f>
        <v>0.37138190575462604</v>
      </c>
      <c r="F634" s="36">
        <f>MIN(Inputs!$E$16,Inputs!$D$16*(B634/Inputs!$D$42)^Inputs!$D$44)</f>
        <v>0.36692590185696072</v>
      </c>
      <c r="G634" s="37">
        <f>Inputs!$D$26*(1+Inputs!$D$41*(B634-Inputs!$D$42))</f>
        <v>1.4249999999999998</v>
      </c>
      <c r="H634" s="35">
        <f>Inputs!$D$6*Inputs!$D$14*G634*Inputs!$D$29</f>
        <v>1790.4127499999997</v>
      </c>
      <c r="I634" s="36">
        <f>H634/(A634*Inputs!$D$32)</f>
        <v>0.63829331550802126</v>
      </c>
      <c r="J634" s="38">
        <f>IF(I634&gt;=1,999,I634/(Inputs!$D$32*(1-I634))*60)</f>
        <v>1.9250956933024186</v>
      </c>
      <c r="K634" s="37">
        <f>MIN(1,MAX(0,(J634-Inputs!$D$36)/(Inputs!$D$37-Inputs!$D$36)))</f>
        <v>0</v>
      </c>
      <c r="L634" s="35">
        <f>Inputs!$D$6*Inputs!$D$14*G634*(1-Inputs!$D$38*K634)</f>
        <v>11936.084999999999</v>
      </c>
      <c r="M634" s="39">
        <f>L634*Inputs!$D$11</f>
        <v>256625.82749999998</v>
      </c>
      <c r="N634" s="39">
        <f>M634*(1-Inputs!$D$17)</f>
        <v>89819.03962499999</v>
      </c>
      <c r="O634" s="35">
        <f>Inputs!$D$6*E634*Inputs!$D$27*Inputs!$D$30</f>
        <v>529.8342241362717</v>
      </c>
      <c r="P634" s="36">
        <f>O634/(C634*Inputs!$D$33)</f>
        <v>0.33963732316427675</v>
      </c>
      <c r="Q634" s="38">
        <f>IF(P634&gt;=1,999,P634/(Inputs!$D$33*(1-P634))*60)</f>
        <v>0.77147907145144612</v>
      </c>
      <c r="R634" s="37">
        <f>MIN(1,MAX(0,(Q634-Inputs!$D$36)/(Inputs!$D$37-Inputs!$D$36)))</f>
        <v>0</v>
      </c>
      <c r="S634" s="35">
        <f>Inputs!$D$6*E634*Inputs!$D$27*(1-Inputs!$D$38*R634)</f>
        <v>4415.2852011355981</v>
      </c>
      <c r="T634" s="39">
        <f>S634*Inputs!$D$12</f>
        <v>70644.563218169569</v>
      </c>
      <c r="U634" s="39">
        <f>T634*(1-Inputs!$D$18)</f>
        <v>31790.053448176302</v>
      </c>
      <c r="V634" s="35">
        <f>Inputs!$D$6*F634*Inputs!$D$28*Inputs!$D$31</f>
        <v>618.65468297412497</v>
      </c>
      <c r="W634" s="36">
        <f>V634/(B634*Inputs!$D$34)</f>
        <v>1.1783898723316666</v>
      </c>
      <c r="X634" s="38">
        <f>IF(W634&gt;=1,999,W634/(Inputs!$D$34*(1-W634))*60)</f>
        <v>999</v>
      </c>
      <c r="Y634" s="37">
        <f>MIN(1,MAX(0,(X634-Inputs!$D$36)/(Inputs!$D$37-Inputs!$D$36)))</f>
        <v>1</v>
      </c>
      <c r="Z634" s="35">
        <f>Inputs!$D$6*F634*Inputs!$D$28*(1-Inputs!$D$38*Y634)</f>
        <v>2617.3851971982212</v>
      </c>
      <c r="AA634" s="39">
        <f>Z634*Inputs!$D$13</f>
        <v>22247.774176184881</v>
      </c>
      <c r="AB634" s="39">
        <f>AA634*(1-Inputs!$D$19)</f>
        <v>13348.664505710929</v>
      </c>
      <c r="AC634" s="39">
        <f t="shared" si="36"/>
        <v>349518.16489435447</v>
      </c>
      <c r="AD634" s="39">
        <f t="shared" si="37"/>
        <v>134957.75757888722</v>
      </c>
      <c r="AE634" s="36">
        <f t="shared" si="38"/>
        <v>1.1783898723316666</v>
      </c>
      <c r="AF634" s="35">
        <f>IF(AND(AE634&lt;=Inputs!$D$35,C634&gt;=Inputs!$D$48*(A634+B634+C634),B634*Inputs!$D$22&lt;=Inputs!$D$50*Inputs!$D$8,B634*Inputs!$D$22&gt;=Inputs!$D$49*Inputs!$D$8,A634*Inputs!$D$20&lt;=Inputs!$D$47*Inputs!$D$8,C634&gt;=1),1,0)</f>
        <v>0</v>
      </c>
      <c r="AG634" s="39">
        <f t="shared" si="39"/>
        <v>-1</v>
      </c>
    </row>
    <row r="635" spans="1:33" x14ac:dyDescent="0.25">
      <c r="A635" s="35">
        <v>51</v>
      </c>
      <c r="B635" s="35">
        <v>16</v>
      </c>
      <c r="C635" s="35">
        <f>Inputs!$D$8-A635-Inputs!$D$22*B635</f>
        <v>37</v>
      </c>
      <c r="D635" s="35">
        <f>A635*Inputs!$D$20+C635*Inputs!$D$21+B635*Inputs!$D$22</f>
        <v>120</v>
      </c>
      <c r="E635" s="36">
        <f>MIN(Inputs!$E$15,Inputs!$D$15*(C635/Inputs!$D$43)^Inputs!$D$44)</f>
        <v>0.36556269939951974</v>
      </c>
      <c r="F635" s="36">
        <f>MIN(Inputs!$E$16,Inputs!$D$16*(B635/Inputs!$D$42)^Inputs!$D$44)</f>
        <v>0.37409937912904856</v>
      </c>
      <c r="G635" s="37">
        <f>Inputs!$D$26*(1+Inputs!$D$41*(B635-Inputs!$D$42))</f>
        <v>1.44</v>
      </c>
      <c r="H635" s="35">
        <f>Inputs!$D$6*Inputs!$D$14*G635*Inputs!$D$29</f>
        <v>1809.2592000000002</v>
      </c>
      <c r="I635" s="36">
        <f>H635/(A635*Inputs!$D$32)</f>
        <v>0.64501219251336905</v>
      </c>
      <c r="J635" s="38">
        <f>IF(I635&gt;=1,999,I635/(Inputs!$D$32*(1-I635))*60)</f>
        <v>1.9821798093348288</v>
      </c>
      <c r="K635" s="37">
        <f>MIN(1,MAX(0,(J635-Inputs!$D$36)/(Inputs!$D$37-Inputs!$D$36)))</f>
        <v>0</v>
      </c>
      <c r="L635" s="35">
        <f>Inputs!$D$6*Inputs!$D$14*G635*(1-Inputs!$D$38*K635)</f>
        <v>12061.728000000001</v>
      </c>
      <c r="M635" s="39">
        <f>L635*Inputs!$D$11</f>
        <v>259327.15200000003</v>
      </c>
      <c r="N635" s="39">
        <f>M635*(1-Inputs!$D$17)</f>
        <v>90764.503200000006</v>
      </c>
      <c r="O635" s="35">
        <f>Inputs!$D$6*E635*Inputs!$D$27*Inputs!$D$30</f>
        <v>521.5322184745213</v>
      </c>
      <c r="P635" s="36">
        <f>O635/(C635*Inputs!$D$33)</f>
        <v>0.35238663410440629</v>
      </c>
      <c r="Q635" s="38">
        <f>IF(P635&gt;=1,999,P635/(Inputs!$D$33*(1-P635))*60)</f>
        <v>0.81619679116046151</v>
      </c>
      <c r="R635" s="37">
        <f>MIN(1,MAX(0,(Q635-Inputs!$D$36)/(Inputs!$D$37-Inputs!$D$36)))</f>
        <v>0</v>
      </c>
      <c r="S635" s="35">
        <f>Inputs!$D$6*E635*Inputs!$D$27*(1-Inputs!$D$38*R635)</f>
        <v>4346.101820621011</v>
      </c>
      <c r="T635" s="39">
        <f>S635*Inputs!$D$12</f>
        <v>69537.629129936176</v>
      </c>
      <c r="U635" s="39">
        <f>T635*(1-Inputs!$D$18)</f>
        <v>31291.933108471276</v>
      </c>
      <c r="V635" s="35">
        <f>Inputs!$D$6*F635*Inputs!$D$28*Inputs!$D$31</f>
        <v>630.74950998177405</v>
      </c>
      <c r="W635" s="36">
        <f>V635/(B635*Inputs!$D$34)</f>
        <v>1.1263384106817393</v>
      </c>
      <c r="X635" s="38">
        <f>IF(W635&gt;=1,999,W635/(Inputs!$D$34*(1-W635))*60)</f>
        <v>999</v>
      </c>
      <c r="Y635" s="37">
        <f>MIN(1,MAX(0,(X635-Inputs!$D$36)/(Inputs!$D$37-Inputs!$D$36)))</f>
        <v>1</v>
      </c>
      <c r="Z635" s="35">
        <f>Inputs!$D$6*F635*Inputs!$D$28*(1-Inputs!$D$38*Y635)</f>
        <v>2668.5556191536598</v>
      </c>
      <c r="AA635" s="39">
        <f>Z635*Inputs!$D$13</f>
        <v>22682.722762806108</v>
      </c>
      <c r="AB635" s="39">
        <f>AA635*(1-Inputs!$D$19)</f>
        <v>13609.633657683664</v>
      </c>
      <c r="AC635" s="39">
        <f t="shared" si="36"/>
        <v>351547.50389274233</v>
      </c>
      <c r="AD635" s="39">
        <f t="shared" si="37"/>
        <v>135666.06996615496</v>
      </c>
      <c r="AE635" s="36">
        <f t="shared" si="38"/>
        <v>1.1263384106817393</v>
      </c>
      <c r="AF635" s="35">
        <f>IF(AND(AE635&lt;=Inputs!$D$35,C635&gt;=Inputs!$D$48*(A635+B635+C635),B635*Inputs!$D$22&lt;=Inputs!$D$50*Inputs!$D$8,B635*Inputs!$D$22&gt;=Inputs!$D$49*Inputs!$D$8,A635*Inputs!$D$20&lt;=Inputs!$D$47*Inputs!$D$8,C635&gt;=1),1,0)</f>
        <v>0</v>
      </c>
      <c r="AG635" s="39">
        <f t="shared" si="39"/>
        <v>-1</v>
      </c>
    </row>
    <row r="636" spans="1:33" x14ac:dyDescent="0.25">
      <c r="A636" s="35">
        <v>51</v>
      </c>
      <c r="B636" s="35">
        <v>17</v>
      </c>
      <c r="C636" s="35">
        <f>Inputs!$D$8-A636-Inputs!$D$22*B636</f>
        <v>35</v>
      </c>
      <c r="D636" s="35">
        <f>A636*Inputs!$D$20+C636*Inputs!$D$21+B636*Inputs!$D$22</f>
        <v>120</v>
      </c>
      <c r="E636" s="36">
        <f>MIN(Inputs!$E$15,Inputs!$D$15*(C636/Inputs!$D$43)^Inputs!$D$44)</f>
        <v>0.3595189375764975</v>
      </c>
      <c r="F636" s="36">
        <f>MIN(Inputs!$E$16,Inputs!$D$16*(B636/Inputs!$D$42)^Inputs!$D$44)</f>
        <v>0.3809655184437048</v>
      </c>
      <c r="G636" s="37">
        <f>Inputs!$D$26*(1+Inputs!$D$41*(B636-Inputs!$D$42))</f>
        <v>1.4550000000000001</v>
      </c>
      <c r="H636" s="35">
        <f>Inputs!$D$6*Inputs!$D$14*G636*Inputs!$D$29</f>
        <v>1828.1056500000002</v>
      </c>
      <c r="I636" s="36">
        <f>H636/(A636*Inputs!$D$32)</f>
        <v>0.65173106951871662</v>
      </c>
      <c r="J636" s="38">
        <f>IF(I636&gt;=1,999,I636/(Inputs!$D$32*(1-I636))*60)</f>
        <v>2.0414664827647671</v>
      </c>
      <c r="K636" s="37">
        <f>MIN(1,MAX(0,(J636-Inputs!$D$36)/(Inputs!$D$37-Inputs!$D$36)))</f>
        <v>0</v>
      </c>
      <c r="L636" s="35">
        <f>Inputs!$D$6*Inputs!$D$14*G636*(1-Inputs!$D$38*K636)</f>
        <v>12187.371000000001</v>
      </c>
      <c r="M636" s="39">
        <f>L636*Inputs!$D$11</f>
        <v>262028.47650000002</v>
      </c>
      <c r="N636" s="39">
        <f>M636*(1-Inputs!$D$17)</f>
        <v>91709.966775000008</v>
      </c>
      <c r="O636" s="35">
        <f>Inputs!$D$6*E636*Inputs!$D$27*Inputs!$D$30</f>
        <v>512.90984940713565</v>
      </c>
      <c r="P636" s="36">
        <f>O636/(C636*Inputs!$D$33)</f>
        <v>0.36636417814795402</v>
      </c>
      <c r="Q636" s="38">
        <f>IF(P636&gt;=1,999,P636/(Inputs!$D$33*(1-P636))*60)</f>
        <v>0.86729040289368331</v>
      </c>
      <c r="R636" s="37">
        <f>MIN(1,MAX(0,(Q636-Inputs!$D$36)/(Inputs!$D$37-Inputs!$D$36)))</f>
        <v>0</v>
      </c>
      <c r="S636" s="35">
        <f>Inputs!$D$6*E636*Inputs!$D$27*(1-Inputs!$D$38*R636)</f>
        <v>4274.2487450594635</v>
      </c>
      <c r="T636" s="39">
        <f>S636*Inputs!$D$12</f>
        <v>68387.979920951417</v>
      </c>
      <c r="U636" s="39">
        <f>T636*(1-Inputs!$D$18)</f>
        <v>30774.590964428135</v>
      </c>
      <c r="V636" s="35">
        <f>Inputs!$D$6*F636*Inputs!$D$28*Inputs!$D$31</f>
        <v>642.32615044097156</v>
      </c>
      <c r="W636" s="36">
        <f>V636/(B636*Inputs!$D$34)</f>
        <v>1.0795397486402882</v>
      </c>
      <c r="X636" s="38">
        <f>IF(W636&gt;=1,999,W636/(Inputs!$D$34*(1-W636))*60)</f>
        <v>999</v>
      </c>
      <c r="Y636" s="37">
        <f>MIN(1,MAX(0,(X636-Inputs!$D$36)/(Inputs!$D$37-Inputs!$D$36)))</f>
        <v>1</v>
      </c>
      <c r="Z636" s="35">
        <f>Inputs!$D$6*F636*Inputs!$D$28*(1-Inputs!$D$38*Y636)</f>
        <v>2717.5337134041106</v>
      </c>
      <c r="AA636" s="39">
        <f>Z636*Inputs!$D$13</f>
        <v>23099.03656393494</v>
      </c>
      <c r="AB636" s="39">
        <f>AA636*(1-Inputs!$D$19)</f>
        <v>13859.421938360963</v>
      </c>
      <c r="AC636" s="39">
        <f t="shared" si="36"/>
        <v>353515.49298488634</v>
      </c>
      <c r="AD636" s="39">
        <f t="shared" si="37"/>
        <v>136343.97967778912</v>
      </c>
      <c r="AE636" s="36">
        <f t="shared" si="38"/>
        <v>1.0795397486402882</v>
      </c>
      <c r="AF636" s="35">
        <f>IF(AND(AE636&lt;=Inputs!$D$35,C636&gt;=Inputs!$D$48*(A636+B636+C636),B636*Inputs!$D$22&lt;=Inputs!$D$50*Inputs!$D$8,B636*Inputs!$D$22&gt;=Inputs!$D$49*Inputs!$D$8,A636*Inputs!$D$20&lt;=Inputs!$D$47*Inputs!$D$8,C636&gt;=1),1,0)</f>
        <v>0</v>
      </c>
      <c r="AG636" s="39">
        <f t="shared" si="39"/>
        <v>-1</v>
      </c>
    </row>
    <row r="637" spans="1:33" x14ac:dyDescent="0.25">
      <c r="A637" s="35">
        <v>51</v>
      </c>
      <c r="B637" s="35">
        <v>18</v>
      </c>
      <c r="C637" s="35">
        <f>Inputs!$D$8-A637-Inputs!$D$22*B637</f>
        <v>33</v>
      </c>
      <c r="D637" s="35">
        <f>A637*Inputs!$D$20+C637*Inputs!$D$21+B637*Inputs!$D$22</f>
        <v>120</v>
      </c>
      <c r="E637" s="36">
        <f>MIN(Inputs!$E$15,Inputs!$D$15*(C637/Inputs!$D$43)^Inputs!$D$44)</f>
        <v>0.35322833999035824</v>
      </c>
      <c r="F637" s="36">
        <f>MIN(Inputs!$E$16,Inputs!$D$16*(B637/Inputs!$D$42)^Inputs!$D$44)</f>
        <v>0.38755446447890535</v>
      </c>
      <c r="G637" s="37">
        <f>Inputs!$D$26*(1+Inputs!$D$41*(B637-Inputs!$D$42))</f>
        <v>1.47</v>
      </c>
      <c r="H637" s="35">
        <f>Inputs!$D$6*Inputs!$D$14*G637*Inputs!$D$29</f>
        <v>1846.9521</v>
      </c>
      <c r="I637" s="36">
        <f>H637/(A637*Inputs!$D$32)</f>
        <v>0.65844994652406419</v>
      </c>
      <c r="J637" s="38">
        <f>IF(I637&gt;=1,999,I637/(Inputs!$D$32*(1-I637))*60)</f>
        <v>2.1030856978692154</v>
      </c>
      <c r="K637" s="37">
        <f>MIN(1,MAX(0,(J637-Inputs!$D$36)/(Inputs!$D$37-Inputs!$D$36)))</f>
        <v>0</v>
      </c>
      <c r="L637" s="35">
        <f>Inputs!$D$6*Inputs!$D$14*G637*(1-Inputs!$D$38*K637)</f>
        <v>12313.014000000001</v>
      </c>
      <c r="M637" s="39">
        <f>L637*Inputs!$D$11</f>
        <v>264729.80100000004</v>
      </c>
      <c r="N637" s="39">
        <f>M637*(1-Inputs!$D$17)</f>
        <v>92655.43035000001</v>
      </c>
      <c r="O637" s="35">
        <f>Inputs!$D$6*E637*Inputs!$D$27*Inputs!$D$30</f>
        <v>503.93533061728459</v>
      </c>
      <c r="P637" s="36">
        <f>O637/(C637*Inputs!$D$33)</f>
        <v>0.38176918986157926</v>
      </c>
      <c r="Q637" s="38">
        <f>IF(P637&gt;=1,999,P637/(Inputs!$D$33*(1-P637))*60)</f>
        <v>0.92627830156855617</v>
      </c>
      <c r="R637" s="37">
        <f>MIN(1,MAX(0,(Q637-Inputs!$D$36)/(Inputs!$D$37-Inputs!$D$36)))</f>
        <v>0</v>
      </c>
      <c r="S637" s="35">
        <f>Inputs!$D$6*E637*Inputs!$D$27*(1-Inputs!$D$38*R637)</f>
        <v>4199.461088477372</v>
      </c>
      <c r="T637" s="39">
        <f>S637*Inputs!$D$12</f>
        <v>67191.377415637951</v>
      </c>
      <c r="U637" s="39">
        <f>T637*(1-Inputs!$D$18)</f>
        <v>30236.119837037077</v>
      </c>
      <c r="V637" s="35">
        <f>Inputs!$D$6*F637*Inputs!$D$28*Inputs!$D$31</f>
        <v>653.43542972572936</v>
      </c>
      <c r="W637" s="36">
        <f>V637/(B637*Inputs!$D$34)</f>
        <v>1.037199094802745</v>
      </c>
      <c r="X637" s="38">
        <f>IF(W637&gt;=1,999,W637/(Inputs!$D$34*(1-W637))*60)</f>
        <v>999</v>
      </c>
      <c r="Y637" s="37">
        <f>MIN(1,MAX(0,(X637-Inputs!$D$36)/(Inputs!$D$37-Inputs!$D$36)))</f>
        <v>1</v>
      </c>
      <c r="Z637" s="35">
        <f>Inputs!$D$6*F637*Inputs!$D$28*(1-Inputs!$D$38*Y637)</f>
        <v>2764.534510378086</v>
      </c>
      <c r="AA637" s="39">
        <f>Z637*Inputs!$D$13</f>
        <v>23498.543338213731</v>
      </c>
      <c r="AB637" s="39">
        <f>AA637*(1-Inputs!$D$19)</f>
        <v>14099.126002928238</v>
      </c>
      <c r="AC637" s="39">
        <f t="shared" si="36"/>
        <v>355419.72175385174</v>
      </c>
      <c r="AD637" s="39">
        <f t="shared" si="37"/>
        <v>136990.67618996534</v>
      </c>
      <c r="AE637" s="36">
        <f t="shared" si="38"/>
        <v>1.037199094802745</v>
      </c>
      <c r="AF637" s="35">
        <f>IF(AND(AE637&lt;=Inputs!$D$35,C637&gt;=Inputs!$D$48*(A637+B637+C637),B637*Inputs!$D$22&lt;=Inputs!$D$50*Inputs!$D$8,B637*Inputs!$D$22&gt;=Inputs!$D$49*Inputs!$D$8,A637*Inputs!$D$20&lt;=Inputs!$D$47*Inputs!$D$8,C637&gt;=1),1,0)</f>
        <v>0</v>
      </c>
      <c r="AG637" s="39">
        <f t="shared" si="39"/>
        <v>-1</v>
      </c>
    </row>
    <row r="638" spans="1:33" x14ac:dyDescent="0.25">
      <c r="A638" s="35">
        <v>51</v>
      </c>
      <c r="B638" s="35">
        <v>19</v>
      </c>
      <c r="C638" s="35">
        <f>Inputs!$D$8-A638-Inputs!$D$22*B638</f>
        <v>31</v>
      </c>
      <c r="D638" s="35">
        <f>A638*Inputs!$D$20+C638*Inputs!$D$21+B638*Inputs!$D$22</f>
        <v>120</v>
      </c>
      <c r="E638" s="36">
        <f>MIN(Inputs!$E$15,Inputs!$D$15*(C638/Inputs!$D$43)^Inputs!$D$44)</f>
        <v>0.34666489615699225</v>
      </c>
      <c r="F638" s="36">
        <f>MIN(Inputs!$E$16,Inputs!$D$16*(B638/Inputs!$D$42)^Inputs!$D$44)</f>
        <v>0.39389192072703005</v>
      </c>
      <c r="G638" s="37">
        <f>Inputs!$D$26*(1+Inputs!$D$41*(B638-Inputs!$D$42))</f>
        <v>1.4849999999999999</v>
      </c>
      <c r="H638" s="35">
        <f>Inputs!$D$6*Inputs!$D$14*G638*Inputs!$D$29</f>
        <v>1865.7985499999998</v>
      </c>
      <c r="I638" s="36">
        <f>H638/(A638*Inputs!$D$32)</f>
        <v>0.66516882352941165</v>
      </c>
      <c r="J638" s="38">
        <f>IF(I638&gt;=1,999,I638/(Inputs!$D$32*(1-I638))*60)</f>
        <v>2.1671778722232586</v>
      </c>
      <c r="K638" s="37">
        <f>MIN(1,MAX(0,(J638-Inputs!$D$36)/(Inputs!$D$37-Inputs!$D$36)))</f>
        <v>0</v>
      </c>
      <c r="L638" s="35">
        <f>Inputs!$D$6*Inputs!$D$14*G638*(1-Inputs!$D$38*K638)</f>
        <v>12438.656999999999</v>
      </c>
      <c r="M638" s="39">
        <f>L638*Inputs!$D$11</f>
        <v>267431.12549999997</v>
      </c>
      <c r="N638" s="39">
        <f>M638*(1-Inputs!$D$17)</f>
        <v>93600.893924999982</v>
      </c>
      <c r="O638" s="35">
        <f>Inputs!$D$6*E638*Inputs!$D$27*Inputs!$D$30</f>
        <v>494.57155409174993</v>
      </c>
      <c r="P638" s="36">
        <f>O638/(C638*Inputs!$D$33)</f>
        <v>0.39884802749334675</v>
      </c>
      <c r="Q638" s="38">
        <f>IF(P638&gt;=1,999,P638/(Inputs!$D$33*(1-P638))*60)</f>
        <v>0.9952093124561755</v>
      </c>
      <c r="R638" s="37">
        <f>MIN(1,MAX(0,(Q638-Inputs!$D$36)/(Inputs!$D$37-Inputs!$D$36)))</f>
        <v>0</v>
      </c>
      <c r="S638" s="35">
        <f>Inputs!$D$6*E638*Inputs!$D$27*(1-Inputs!$D$38*R638)</f>
        <v>4121.4296174312494</v>
      </c>
      <c r="T638" s="39">
        <f>S638*Inputs!$D$12</f>
        <v>65942.873878899991</v>
      </c>
      <c r="U638" s="39">
        <f>T638*(1-Inputs!$D$18)</f>
        <v>29674.293245504992</v>
      </c>
      <c r="V638" s="35">
        <f>Inputs!$D$6*F638*Inputs!$D$28*Inputs!$D$31</f>
        <v>664.12068515796761</v>
      </c>
      <c r="W638" s="36">
        <f>V638/(B638*Inputs!$D$34)</f>
        <v>0.99867772204205651</v>
      </c>
      <c r="X638" s="38">
        <f>IF(W638&gt;=1,999,W638/(Inputs!$D$34*(1-W638))*60)</f>
        <v>1294.749671797274</v>
      </c>
      <c r="Y638" s="37">
        <f>MIN(1,MAX(0,(X638-Inputs!$D$36)/(Inputs!$D$37-Inputs!$D$36)))</f>
        <v>1</v>
      </c>
      <c r="Z638" s="35">
        <f>Inputs!$D$6*F638*Inputs!$D$28*(1-Inputs!$D$38*Y638)</f>
        <v>2809.7413602837091</v>
      </c>
      <c r="AA638" s="39">
        <f>Z638*Inputs!$D$13</f>
        <v>23882.801562411529</v>
      </c>
      <c r="AB638" s="39">
        <f>AA638*(1-Inputs!$D$19)</f>
        <v>14329.680937446918</v>
      </c>
      <c r="AC638" s="39">
        <f t="shared" si="36"/>
        <v>357256.80094131146</v>
      </c>
      <c r="AD638" s="39">
        <f t="shared" si="37"/>
        <v>137604.86810795189</v>
      </c>
      <c r="AE638" s="36">
        <f t="shared" si="38"/>
        <v>0.99867772204205651</v>
      </c>
      <c r="AF638" s="35">
        <f>IF(AND(AE638&lt;=Inputs!$D$35,C638&gt;=Inputs!$D$48*(A638+B638+C638),B638*Inputs!$D$22&lt;=Inputs!$D$50*Inputs!$D$8,B638*Inputs!$D$22&gt;=Inputs!$D$49*Inputs!$D$8,A638*Inputs!$D$20&lt;=Inputs!$D$47*Inputs!$D$8,C638&gt;=1),1,0)</f>
        <v>0</v>
      </c>
      <c r="AG638" s="39">
        <f t="shared" si="39"/>
        <v>-1</v>
      </c>
    </row>
    <row r="639" spans="1:33" x14ac:dyDescent="0.25">
      <c r="A639" s="35">
        <v>51</v>
      </c>
      <c r="B639" s="35">
        <v>20</v>
      </c>
      <c r="C639" s="35">
        <f>Inputs!$D$8-A639-Inputs!$D$22*B639</f>
        <v>29</v>
      </c>
      <c r="D639" s="35">
        <f>A639*Inputs!$D$20+C639*Inputs!$D$21+B639*Inputs!$D$22</f>
        <v>120</v>
      </c>
      <c r="E639" s="36">
        <f>MIN(Inputs!$E$15,Inputs!$D$15*(C639/Inputs!$D$43)^Inputs!$D$44)</f>
        <v>0.33979795258455459</v>
      </c>
      <c r="F639" s="36">
        <f>MIN(Inputs!$E$16,Inputs!$D$16*(B639/Inputs!$D$42)^Inputs!$D$44)</f>
        <v>0.4</v>
      </c>
      <c r="G639" s="37">
        <f>Inputs!$D$26*(1+Inputs!$D$41*(B639-Inputs!$D$42))</f>
        <v>1.5</v>
      </c>
      <c r="H639" s="35">
        <f>Inputs!$D$6*Inputs!$D$14*G639*Inputs!$D$29</f>
        <v>1884.645</v>
      </c>
      <c r="I639" s="36">
        <f>H639/(A639*Inputs!$D$32)</f>
        <v>0.67188770053475932</v>
      </c>
      <c r="J639" s="38">
        <f>IF(I639&gt;=1,999,I639/(Inputs!$D$32*(1-I639))*60)</f>
        <v>2.2338949249326223</v>
      </c>
      <c r="K639" s="37">
        <f>MIN(1,MAX(0,(J639-Inputs!$D$36)/(Inputs!$D$37-Inputs!$D$36)))</f>
        <v>0</v>
      </c>
      <c r="L639" s="35">
        <f>Inputs!$D$6*Inputs!$D$14*G639*(1-Inputs!$D$38*K639)</f>
        <v>12564.300000000001</v>
      </c>
      <c r="M639" s="39">
        <f>L639*Inputs!$D$11</f>
        <v>270132.45</v>
      </c>
      <c r="N639" s="39">
        <f>M639*(1-Inputs!$D$17)</f>
        <v>94546.357499999998</v>
      </c>
      <c r="O639" s="35">
        <f>Inputs!$D$6*E639*Inputs!$D$27*Inputs!$D$30</f>
        <v>484.77478784247035</v>
      </c>
      <c r="P639" s="36">
        <f>O639/(C639*Inputs!$D$33)</f>
        <v>0.41790929986419856</v>
      </c>
      <c r="Q639" s="38">
        <f>IF(P639&gt;=1,999,P639/(Inputs!$D$33*(1-P639))*60)</f>
        <v>1.0769179951681944</v>
      </c>
      <c r="R639" s="37">
        <f>MIN(1,MAX(0,(Q639-Inputs!$D$36)/(Inputs!$D$37-Inputs!$D$36)))</f>
        <v>0</v>
      </c>
      <c r="S639" s="35">
        <f>Inputs!$D$6*E639*Inputs!$D$27*(1-Inputs!$D$38*R639)</f>
        <v>4039.7898986872528</v>
      </c>
      <c r="T639" s="39">
        <f>S639*Inputs!$D$12</f>
        <v>64636.638378996046</v>
      </c>
      <c r="U639" s="39">
        <f>T639*(1-Inputs!$D$18)</f>
        <v>29086.487270548219</v>
      </c>
      <c r="V639" s="35">
        <f>Inputs!$D$6*F639*Inputs!$D$28*Inputs!$D$31</f>
        <v>674.41919999999993</v>
      </c>
      <c r="W639" s="36">
        <f>V639/(B639*Inputs!$D$34)</f>
        <v>0.96345599999999987</v>
      </c>
      <c r="X639" s="38">
        <f>IF(W639&gt;=1,999,W639/(Inputs!$D$34*(1-W639))*60)</f>
        <v>45.195896922691851</v>
      </c>
      <c r="Y639" s="37">
        <f>MIN(1,MAX(0,(X639-Inputs!$D$36)/(Inputs!$D$37-Inputs!$D$36)))</f>
        <v>1</v>
      </c>
      <c r="Z639" s="35">
        <f>Inputs!$D$6*F639*Inputs!$D$28*(1-Inputs!$D$38*Y639)</f>
        <v>2853.3119999999999</v>
      </c>
      <c r="AA639" s="39">
        <f>Z639*Inputs!$D$13</f>
        <v>24253.151999999998</v>
      </c>
      <c r="AB639" s="39">
        <f>AA639*(1-Inputs!$D$19)</f>
        <v>14551.891199999998</v>
      </c>
      <c r="AC639" s="39">
        <f t="shared" si="36"/>
        <v>359022.24037899607</v>
      </c>
      <c r="AD639" s="39">
        <f t="shared" si="37"/>
        <v>138184.73597054824</v>
      </c>
      <c r="AE639" s="36">
        <f t="shared" si="38"/>
        <v>0.96345599999999987</v>
      </c>
      <c r="AF639" s="35">
        <f>IF(AND(AE639&lt;=Inputs!$D$35,C639&gt;=Inputs!$D$48*(A639+B639+C639),B639*Inputs!$D$22&lt;=Inputs!$D$50*Inputs!$D$8,B639*Inputs!$D$22&gt;=Inputs!$D$49*Inputs!$D$8,A639*Inputs!$D$20&lt;=Inputs!$D$47*Inputs!$D$8,C639&gt;=1),1,0)</f>
        <v>0</v>
      </c>
      <c r="AG639" s="39">
        <f t="shared" si="39"/>
        <v>-1</v>
      </c>
    </row>
    <row r="640" spans="1:33" x14ac:dyDescent="0.25">
      <c r="A640" s="35">
        <v>51</v>
      </c>
      <c r="B640" s="35">
        <v>21</v>
      </c>
      <c r="C640" s="35">
        <f>Inputs!$D$8-A640-Inputs!$D$22*B640</f>
        <v>27</v>
      </c>
      <c r="D640" s="35">
        <f>A640*Inputs!$D$20+C640*Inputs!$D$21+B640*Inputs!$D$22</f>
        <v>120</v>
      </c>
      <c r="E640" s="36">
        <f>MIN(Inputs!$E$15,Inputs!$D$15*(C640/Inputs!$D$43)^Inputs!$D$44)</f>
        <v>0.33259099594532748</v>
      </c>
      <c r="F640" s="36">
        <f>MIN(Inputs!$E$16,Inputs!$D$16*(B640/Inputs!$D$42)^Inputs!$D$44)</f>
        <v>0.40589787816896217</v>
      </c>
      <c r="G640" s="37">
        <f>Inputs!$D$26*(1+Inputs!$D$41*(B640-Inputs!$D$42))</f>
        <v>1.5150000000000001</v>
      </c>
      <c r="H640" s="35">
        <f>Inputs!$D$6*Inputs!$D$14*G640*Inputs!$D$29</f>
        <v>1903.4914500000004</v>
      </c>
      <c r="I640" s="36">
        <f>H640/(A640*Inputs!$D$32)</f>
        <v>0.67860657754010711</v>
      </c>
      <c r="J640" s="38">
        <f>IF(I640&gt;=1,999,I640/(Inputs!$D$32*(1-I640))*60)</f>
        <v>2.3034014788575536</v>
      </c>
      <c r="K640" s="37">
        <f>MIN(1,MAX(0,(J640-Inputs!$D$36)/(Inputs!$D$37-Inputs!$D$36)))</f>
        <v>0</v>
      </c>
      <c r="L640" s="35">
        <f>Inputs!$D$6*Inputs!$D$14*G640*(1-Inputs!$D$38*K640)</f>
        <v>12689.943000000003</v>
      </c>
      <c r="M640" s="39">
        <f>L640*Inputs!$D$11</f>
        <v>272833.77450000006</v>
      </c>
      <c r="N640" s="39">
        <f>M640*(1-Inputs!$D$17)</f>
        <v>95491.821075000014</v>
      </c>
      <c r="O640" s="35">
        <f>Inputs!$D$6*E640*Inputs!$D$27*Inputs!$D$30</f>
        <v>474.49293991137716</v>
      </c>
      <c r="P640" s="36">
        <f>O640/(C640*Inputs!$D$33)</f>
        <v>0.43934531473275662</v>
      </c>
      <c r="Q640" s="38">
        <f>IF(P640&gt;=1,999,P640/(Inputs!$D$33*(1-P640))*60)</f>
        <v>1.1754436187133714</v>
      </c>
      <c r="R640" s="37">
        <f>MIN(1,MAX(0,(Q640-Inputs!$D$36)/(Inputs!$D$37-Inputs!$D$36)))</f>
        <v>0</v>
      </c>
      <c r="S640" s="35">
        <f>Inputs!$D$6*E640*Inputs!$D$27*(1-Inputs!$D$38*R640)</f>
        <v>3954.1078325948097</v>
      </c>
      <c r="T640" s="39">
        <f>S640*Inputs!$D$12</f>
        <v>63265.725321516955</v>
      </c>
      <c r="U640" s="39">
        <f>T640*(1-Inputs!$D$18)</f>
        <v>28469.576394682626</v>
      </c>
      <c r="V640" s="35">
        <f>Inputs!$D$6*F640*Inputs!$D$28*Inputs!$D$31</f>
        <v>684.36330569102222</v>
      </c>
      <c r="W640" s="36">
        <f>V640/(B640*Inputs!$D$34)</f>
        <v>0.93110653835513224</v>
      </c>
      <c r="X640" s="38">
        <f>IF(W640&gt;=1,999,W640/(Inputs!$D$34*(1-W640))*60)</f>
        <v>23.16885520150278</v>
      </c>
      <c r="Y640" s="37">
        <f>MIN(1,MAX(0,(X640-Inputs!$D$36)/(Inputs!$D$37-Inputs!$D$36)))</f>
        <v>1</v>
      </c>
      <c r="Z640" s="35">
        <f>Inputs!$D$6*F640*Inputs!$D$28*(1-Inputs!$D$38*Y640)</f>
        <v>2895.3832163850943</v>
      </c>
      <c r="AA640" s="39">
        <f>Z640*Inputs!$D$13</f>
        <v>24610.757339273303</v>
      </c>
      <c r="AB640" s="39">
        <f>AA640*(1-Inputs!$D$19)</f>
        <v>14766.454403563981</v>
      </c>
      <c r="AC640" s="39">
        <f t="shared" si="36"/>
        <v>360710.25716079032</v>
      </c>
      <c r="AD640" s="39">
        <f t="shared" si="37"/>
        <v>138727.85187324663</v>
      </c>
      <c r="AE640" s="36">
        <f t="shared" si="38"/>
        <v>0.93110653835513224</v>
      </c>
      <c r="AF640" s="35">
        <f>IF(AND(AE640&lt;=Inputs!$D$35,C640&gt;=Inputs!$D$48*(A640+B640+C640),B640*Inputs!$D$22&lt;=Inputs!$D$50*Inputs!$D$8,B640*Inputs!$D$22&gt;=Inputs!$D$49*Inputs!$D$8,A640*Inputs!$D$20&lt;=Inputs!$D$47*Inputs!$D$8,C640&gt;=1),1,0)</f>
        <v>0</v>
      </c>
      <c r="AG640" s="39">
        <f t="shared" si="39"/>
        <v>-1</v>
      </c>
    </row>
    <row r="641" spans="1:33" x14ac:dyDescent="0.25">
      <c r="A641" s="35">
        <v>51</v>
      </c>
      <c r="B641" s="35">
        <v>22</v>
      </c>
      <c r="C641" s="35">
        <f>Inputs!$D$8-A641-Inputs!$D$22*B641</f>
        <v>25</v>
      </c>
      <c r="D641" s="35">
        <f>A641*Inputs!$D$20+C641*Inputs!$D$21+B641*Inputs!$D$22</f>
        <v>120</v>
      </c>
      <c r="E641" s="36">
        <f>MIN(Inputs!$E$15,Inputs!$D$15*(C641/Inputs!$D$43)^Inputs!$D$44)</f>
        <v>0.32500000000000001</v>
      </c>
      <c r="F641" s="36">
        <f>MIN(Inputs!$E$16,Inputs!$D$16*(B641/Inputs!$D$42)^Inputs!$D$44)</f>
        <v>0.41160230376843804</v>
      </c>
      <c r="G641" s="37">
        <f>Inputs!$D$26*(1+Inputs!$D$41*(B641-Inputs!$D$42))</f>
        <v>1.53</v>
      </c>
      <c r="H641" s="35">
        <f>Inputs!$D$6*Inputs!$D$14*G641*Inputs!$D$29</f>
        <v>1922.3379</v>
      </c>
      <c r="I641" s="36">
        <f>H641/(A641*Inputs!$D$32)</f>
        <v>0.68532545454545457</v>
      </c>
      <c r="J641" s="38">
        <f>IF(I641&gt;=1,999,I641/(Inputs!$D$32*(1-I641))*60)</f>
        <v>2.3758762168547749</v>
      </c>
      <c r="K641" s="37">
        <f>MIN(1,MAX(0,(J641-Inputs!$D$36)/(Inputs!$D$37-Inputs!$D$36)))</f>
        <v>0</v>
      </c>
      <c r="L641" s="35">
        <f>Inputs!$D$6*Inputs!$D$14*G641*(1-Inputs!$D$38*K641)</f>
        <v>12815.586000000001</v>
      </c>
      <c r="M641" s="39">
        <f>L641*Inputs!$D$11</f>
        <v>275535.09900000005</v>
      </c>
      <c r="N641" s="39">
        <f>M641*(1-Inputs!$D$17)</f>
        <v>96437.284650000016</v>
      </c>
      <c r="O641" s="35">
        <f>Inputs!$D$6*E641*Inputs!$D$27*Inputs!$D$30</f>
        <v>463.66320000000002</v>
      </c>
      <c r="P641" s="36">
        <f>O641/(C641*Inputs!$D$33)</f>
        <v>0.4636632</v>
      </c>
      <c r="Q641" s="38">
        <f>IF(P641&gt;=1,999,P641/(Inputs!$D$33*(1-P641))*60)</f>
        <v>1.296750101801704</v>
      </c>
      <c r="R641" s="37">
        <f>MIN(1,MAX(0,(Q641-Inputs!$D$36)/(Inputs!$D$37-Inputs!$D$36)))</f>
        <v>0</v>
      </c>
      <c r="S641" s="35">
        <f>Inputs!$D$6*E641*Inputs!$D$27*(1-Inputs!$D$38*R641)</f>
        <v>3863.86</v>
      </c>
      <c r="T641" s="39">
        <f>S641*Inputs!$D$12</f>
        <v>61821.760000000002</v>
      </c>
      <c r="U641" s="39">
        <f>T641*(1-Inputs!$D$18)</f>
        <v>27819.791999999998</v>
      </c>
      <c r="V641" s="35">
        <f>Inputs!$D$6*F641*Inputs!$D$28*Inputs!$D$31</f>
        <v>693.98124106416742</v>
      </c>
      <c r="W641" s="36">
        <f>V641/(B641*Inputs!$D$34)</f>
        <v>0.90127433904437326</v>
      </c>
      <c r="X641" s="38">
        <f>IF(W641&gt;=1,999,W641/(Inputs!$D$34*(1-W641))*60)</f>
        <v>15.649849381818807</v>
      </c>
      <c r="Y641" s="37">
        <f>MIN(1,MAX(0,(X641-Inputs!$D$36)/(Inputs!$D$37-Inputs!$D$36)))</f>
        <v>0.70998995878792048</v>
      </c>
      <c r="Z641" s="35">
        <f>Inputs!$D$6*F641*Inputs!$D$28*(1-Inputs!$D$38*Y641)</f>
        <v>3632.749002537963</v>
      </c>
      <c r="AA641" s="39">
        <f>Z641*Inputs!$D$13</f>
        <v>30878.366521572687</v>
      </c>
      <c r="AB641" s="39">
        <f>AA641*(1-Inputs!$D$19)</f>
        <v>18527.019912943611</v>
      </c>
      <c r="AC641" s="39">
        <f t="shared" si="36"/>
        <v>368235.22552157275</v>
      </c>
      <c r="AD641" s="39">
        <f t="shared" si="37"/>
        <v>142784.09656294363</v>
      </c>
      <c r="AE641" s="36">
        <f t="shared" si="38"/>
        <v>0.90127433904437326</v>
      </c>
      <c r="AF641" s="35">
        <f>IF(AND(AE641&lt;=Inputs!$D$35,C641&gt;=Inputs!$D$48*(A641+B641+C641),B641*Inputs!$D$22&lt;=Inputs!$D$50*Inputs!$D$8,B641*Inputs!$D$22&gt;=Inputs!$D$49*Inputs!$D$8,A641*Inputs!$D$20&lt;=Inputs!$D$47*Inputs!$D$8,C641&gt;=1),1,0)</f>
        <v>0</v>
      </c>
      <c r="AG641" s="39">
        <f t="shared" si="39"/>
        <v>-1</v>
      </c>
    </row>
    <row r="642" spans="1:33" x14ac:dyDescent="0.25">
      <c r="A642" s="35">
        <v>51</v>
      </c>
      <c r="B642" s="35">
        <v>23</v>
      </c>
      <c r="C642" s="35">
        <f>Inputs!$D$8-A642-Inputs!$D$22*B642</f>
        <v>23</v>
      </c>
      <c r="D642" s="35">
        <f>A642*Inputs!$D$20+C642*Inputs!$D$21+B642*Inputs!$D$22</f>
        <v>120</v>
      </c>
      <c r="E642" s="36">
        <f>MIN(Inputs!$E$15,Inputs!$D$15*(C642/Inputs!$D$43)^Inputs!$D$44)</f>
        <v>0.31697113078396583</v>
      </c>
      <c r="F642" s="36">
        <f>MIN(Inputs!$E$16,Inputs!$D$16*(B642/Inputs!$D$42)^Inputs!$D$44)</f>
        <v>0.41712800028621322</v>
      </c>
      <c r="G642" s="37">
        <f>Inputs!$D$26*(1+Inputs!$D$41*(B642-Inputs!$D$42))</f>
        <v>1.5449999999999999</v>
      </c>
      <c r="H642" s="35">
        <f>Inputs!$D$6*Inputs!$D$14*G642*Inputs!$D$29</f>
        <v>1941.18435</v>
      </c>
      <c r="I642" s="36">
        <f>H642/(A642*Inputs!$D$32)</f>
        <v>0.69204433155080214</v>
      </c>
      <c r="J642" s="38">
        <f>IF(I642&gt;=1,999,I642/(Inputs!$D$32*(1-I642))*60)</f>
        <v>2.4515134155597371</v>
      </c>
      <c r="K642" s="37">
        <f>MIN(1,MAX(0,(J642-Inputs!$D$36)/(Inputs!$D$37-Inputs!$D$36)))</f>
        <v>0</v>
      </c>
      <c r="L642" s="35">
        <f>Inputs!$D$6*Inputs!$D$14*G642*(1-Inputs!$D$38*K642)</f>
        <v>12941.229000000001</v>
      </c>
      <c r="M642" s="39">
        <f>L642*Inputs!$D$11</f>
        <v>278236.42350000003</v>
      </c>
      <c r="N642" s="39">
        <f>M642*(1-Inputs!$D$17)</f>
        <v>97382.748225000003</v>
      </c>
      <c r="O642" s="35">
        <f>Inputs!$D$6*E642*Inputs!$D$27*Inputs!$D$30</f>
        <v>452.20876555972956</v>
      </c>
      <c r="P642" s="36">
        <f>O642/(C642*Inputs!$D$33)</f>
        <v>0.49153126691274951</v>
      </c>
      <c r="Q642" s="38">
        <f>IF(P642&gt;=1,999,P642/(Inputs!$D$33*(1-P642))*60)</f>
        <v>1.4500339005950402</v>
      </c>
      <c r="R642" s="37">
        <f>MIN(1,MAX(0,(Q642-Inputs!$D$36)/(Inputs!$D$37-Inputs!$D$36)))</f>
        <v>0</v>
      </c>
      <c r="S642" s="35">
        <f>Inputs!$D$6*E642*Inputs!$D$27*(1-Inputs!$D$38*R642)</f>
        <v>3768.4063796644132</v>
      </c>
      <c r="T642" s="39">
        <f>S642*Inputs!$D$12</f>
        <v>60294.502074630611</v>
      </c>
      <c r="U642" s="39">
        <f>T642*(1-Inputs!$D$18)</f>
        <v>27132.525933583773</v>
      </c>
      <c r="V642" s="35">
        <f>Inputs!$D$6*F642*Inputs!$D$28*Inputs!$D$31</f>
        <v>703.29783062656929</v>
      </c>
      <c r="W642" s="36">
        <f>V642/(B642*Inputs!$D$34)</f>
        <v>0.87366190139946498</v>
      </c>
      <c r="X642" s="38">
        <f>IF(W642&gt;=1,999,W642/(Inputs!$D$34*(1-W642))*60)</f>
        <v>11.854746377182334</v>
      </c>
      <c r="Y642" s="37">
        <f>MIN(1,MAX(0,(X642-Inputs!$D$36)/(Inputs!$D$37-Inputs!$D$36)))</f>
        <v>0.45698309181215557</v>
      </c>
      <c r="Z642" s="35">
        <f>Inputs!$D$6*F642*Inputs!$D$28*(1-Inputs!$D$38*Y642)</f>
        <v>4297.4614071503011</v>
      </c>
      <c r="AA642" s="39">
        <f>Z642*Inputs!$D$13</f>
        <v>36528.421960777559</v>
      </c>
      <c r="AB642" s="39">
        <f>AA642*(1-Inputs!$D$19)</f>
        <v>21917.053176466536</v>
      </c>
      <c r="AC642" s="39">
        <f t="shared" si="36"/>
        <v>375059.34753540816</v>
      </c>
      <c r="AD642" s="39">
        <f t="shared" si="37"/>
        <v>146432.32733505033</v>
      </c>
      <c r="AE642" s="36">
        <f t="shared" si="38"/>
        <v>0.87366190139946498</v>
      </c>
      <c r="AF642" s="35">
        <f>IF(AND(AE642&lt;=Inputs!$D$35,C642&gt;=Inputs!$D$48*(A642+B642+C642),B642*Inputs!$D$22&lt;=Inputs!$D$50*Inputs!$D$8,B642*Inputs!$D$22&gt;=Inputs!$D$49*Inputs!$D$8,A642*Inputs!$D$20&lt;=Inputs!$D$47*Inputs!$D$8,C642&gt;=1),1,0)</f>
        <v>0</v>
      </c>
      <c r="AG642" s="39">
        <f t="shared" si="39"/>
        <v>-1</v>
      </c>
    </row>
    <row r="643" spans="1:33" x14ac:dyDescent="0.25">
      <c r="A643" s="35">
        <v>51</v>
      </c>
      <c r="B643" s="35">
        <v>24</v>
      </c>
      <c r="C643" s="35">
        <f>Inputs!$D$8-A643-Inputs!$D$22*B643</f>
        <v>21</v>
      </c>
      <c r="D643" s="35">
        <f>A643*Inputs!$D$20+C643*Inputs!$D$21+B643*Inputs!$D$22</f>
        <v>120</v>
      </c>
      <c r="E643" s="36">
        <f>MIN(Inputs!$E$15,Inputs!$D$15*(C643/Inputs!$D$43)^Inputs!$D$44)</f>
        <v>0.30843748043226404</v>
      </c>
      <c r="F643" s="36">
        <f>MIN(Inputs!$E$16,Inputs!$D$16*(B643/Inputs!$D$42)^Inputs!$D$44)</f>
        <v>0.42248798737570326</v>
      </c>
      <c r="G643" s="37">
        <f>Inputs!$D$26*(1+Inputs!$D$41*(B643-Inputs!$D$42))</f>
        <v>1.56</v>
      </c>
      <c r="H643" s="35">
        <f>Inputs!$D$6*Inputs!$D$14*G643*Inputs!$D$29</f>
        <v>1960.0308</v>
      </c>
      <c r="I643" s="36">
        <f>H643/(A643*Inputs!$D$32)</f>
        <v>0.69876320855614971</v>
      </c>
      <c r="J643" s="38">
        <f>IF(I643&gt;=1,999,I643/(Inputs!$D$32*(1-I643))*60)</f>
        <v>2.5305246844285185</v>
      </c>
      <c r="K643" s="37">
        <f>MIN(1,MAX(0,(J643-Inputs!$D$36)/(Inputs!$D$37-Inputs!$D$36)))</f>
        <v>0</v>
      </c>
      <c r="L643" s="35">
        <f>Inputs!$D$6*Inputs!$D$14*G643*(1-Inputs!$D$38*K643)</f>
        <v>13066.872000000001</v>
      </c>
      <c r="M643" s="39">
        <f>L643*Inputs!$D$11</f>
        <v>280937.74800000002</v>
      </c>
      <c r="N643" s="39">
        <f>M643*(1-Inputs!$D$17)</f>
        <v>98328.211800000005</v>
      </c>
      <c r="O643" s="35">
        <f>Inputs!$D$6*E643*Inputs!$D$27*Inputs!$D$30</f>
        <v>440.03418208357215</v>
      </c>
      <c r="P643" s="36">
        <f>O643/(C643*Inputs!$D$33)</f>
        <v>0.52385021676615728</v>
      </c>
      <c r="Q643" s="38">
        <f>IF(P643&gt;=1,999,P643/(Inputs!$D$33*(1-P643))*60)</f>
        <v>1.6502692069132636</v>
      </c>
      <c r="R643" s="37">
        <f>MIN(1,MAX(0,(Q643-Inputs!$D$36)/(Inputs!$D$37-Inputs!$D$36)))</f>
        <v>0</v>
      </c>
      <c r="S643" s="35">
        <f>Inputs!$D$6*E643*Inputs!$D$27*(1-Inputs!$D$38*R643)</f>
        <v>3666.9515173631012</v>
      </c>
      <c r="T643" s="39">
        <f>S643*Inputs!$D$12</f>
        <v>58671.224277809619</v>
      </c>
      <c r="U643" s="39">
        <f>T643*(1-Inputs!$D$18)</f>
        <v>26402.050925014326</v>
      </c>
      <c r="V643" s="35">
        <f>Inputs!$D$6*F643*Inputs!$D$28*Inputs!$D$31</f>
        <v>712.33502613882979</v>
      </c>
      <c r="W643" s="36">
        <f>V643/(B643*Inputs!$D$34)</f>
        <v>0.84801788826051161</v>
      </c>
      <c r="X643" s="38">
        <f>IF(W643&gt;=1,999,W643/(Inputs!$D$34*(1-W643))*60)</f>
        <v>9.5652372155190832</v>
      </c>
      <c r="Y643" s="37">
        <f>MIN(1,MAX(0,(X643-Inputs!$D$36)/(Inputs!$D$37-Inputs!$D$36)))</f>
        <v>0.30434914770127219</v>
      </c>
      <c r="Z643" s="35">
        <f>Inputs!$D$6*F643*Inputs!$D$28*(1-Inputs!$D$38*Y643)</f>
        <v>4729.0436538571339</v>
      </c>
      <c r="AA643" s="39">
        <f>Z643*Inputs!$D$13</f>
        <v>40196.87105778564</v>
      </c>
      <c r="AB643" s="39">
        <f>AA643*(1-Inputs!$D$19)</f>
        <v>24118.122634671385</v>
      </c>
      <c r="AC643" s="39">
        <f t="shared" si="36"/>
        <v>379805.84333559527</v>
      </c>
      <c r="AD643" s="39">
        <f t="shared" si="37"/>
        <v>148848.38535968572</v>
      </c>
      <c r="AE643" s="36">
        <f t="shared" si="38"/>
        <v>0.84801788826051161</v>
      </c>
      <c r="AF643" s="35">
        <f>IF(AND(AE643&lt;=Inputs!$D$35,C643&gt;=Inputs!$D$48*(A643+B643+C643),B643*Inputs!$D$22&lt;=Inputs!$D$50*Inputs!$D$8,B643*Inputs!$D$22&gt;=Inputs!$D$49*Inputs!$D$8,A643*Inputs!$D$20&lt;=Inputs!$D$47*Inputs!$D$8,C643&gt;=1),1,0)</f>
        <v>1</v>
      </c>
      <c r="AG643" s="39">
        <f t="shared" si="39"/>
        <v>148848.38535968572</v>
      </c>
    </row>
    <row r="644" spans="1:33" x14ac:dyDescent="0.25">
      <c r="A644" s="35">
        <v>51</v>
      </c>
      <c r="B644" s="35">
        <v>25</v>
      </c>
      <c r="C644" s="35">
        <f>Inputs!$D$8-A644-Inputs!$D$22*B644</f>
        <v>19</v>
      </c>
      <c r="D644" s="35">
        <f>A644*Inputs!$D$20+C644*Inputs!$D$21+B644*Inputs!$D$22</f>
        <v>120</v>
      </c>
      <c r="E644" s="36">
        <f>MIN(Inputs!$E$15,Inputs!$D$15*(C644/Inputs!$D$43)^Inputs!$D$44)</f>
        <v>0.29931428106923352</v>
      </c>
      <c r="F644" s="36">
        <f>MIN(Inputs!$E$16,Inputs!$D$16*(B644/Inputs!$D$42)^Inputs!$D$44)</f>
        <v>0.42769383999647526</v>
      </c>
      <c r="G644" s="37">
        <f>Inputs!$D$26*(1+Inputs!$D$41*(B644-Inputs!$D$42))</f>
        <v>1.5750000000000002</v>
      </c>
      <c r="H644" s="35">
        <f>Inputs!$D$6*Inputs!$D$14*G644*Inputs!$D$29</f>
        <v>1978.8772500000005</v>
      </c>
      <c r="I644" s="36">
        <f>H644/(A644*Inputs!$D$32)</f>
        <v>0.7054820855614975</v>
      </c>
      <c r="J644" s="38">
        <f>IF(I644&gt;=1,999,I644/(Inputs!$D$32*(1-I644))*60)</f>
        <v>2.613140942817739</v>
      </c>
      <c r="K644" s="37">
        <f>MIN(1,MAX(0,(J644-Inputs!$D$36)/(Inputs!$D$37-Inputs!$D$36)))</f>
        <v>0</v>
      </c>
      <c r="L644" s="35">
        <f>Inputs!$D$6*Inputs!$D$14*G644*(1-Inputs!$D$38*K644)</f>
        <v>13192.515000000003</v>
      </c>
      <c r="M644" s="39">
        <f>L644*Inputs!$D$11</f>
        <v>283639.07250000007</v>
      </c>
      <c r="N644" s="39">
        <f>M644*(1-Inputs!$D$17)</f>
        <v>99273.675375000021</v>
      </c>
      <c r="O644" s="35">
        <f>Inputs!$D$6*E644*Inputs!$D$27*Inputs!$D$30</f>
        <v>427.01851497310844</v>
      </c>
      <c r="P644" s="36">
        <f>O644/(C644*Inputs!$D$33)</f>
        <v>0.56186646706987953</v>
      </c>
      <c r="Q644" s="38">
        <f>IF(P644&gt;=1,999,P644/(Inputs!$D$33*(1-P644))*60)</f>
        <v>1.9236137781292366</v>
      </c>
      <c r="R644" s="37">
        <f>MIN(1,MAX(0,(Q644-Inputs!$D$36)/(Inputs!$D$37-Inputs!$D$36)))</f>
        <v>0</v>
      </c>
      <c r="S644" s="35">
        <f>Inputs!$D$6*E644*Inputs!$D$27*(1-Inputs!$D$38*R644)</f>
        <v>3558.4876247759039</v>
      </c>
      <c r="T644" s="39">
        <f>S644*Inputs!$D$12</f>
        <v>56935.801996414462</v>
      </c>
      <c r="U644" s="39">
        <f>T644*(1-Inputs!$D$18)</f>
        <v>25621.110898386505</v>
      </c>
      <c r="V644" s="35">
        <f>Inputs!$D$6*F644*Inputs!$D$28*Inputs!$D$31</f>
        <v>721.1123435383771</v>
      </c>
      <c r="W644" s="36">
        <f>V644/(B644*Inputs!$D$34)</f>
        <v>0.82412839261528814</v>
      </c>
      <c r="X644" s="38">
        <f>IF(W644&gt;=1,999,W644/(Inputs!$D$34*(1-W644))*60)</f>
        <v>8.0330847668163621</v>
      </c>
      <c r="Y644" s="37">
        <f>MIN(1,MAX(0,(X644-Inputs!$D$36)/(Inputs!$D$37-Inputs!$D$36)))</f>
        <v>0.20220565112109082</v>
      </c>
      <c r="Z644" s="35">
        <f>Inputs!$D$6*F644*Inputs!$D$28*(1-Inputs!$D$38*Y644)</f>
        <v>5042.2807508299393</v>
      </c>
      <c r="AA644" s="39">
        <f>Z644*Inputs!$D$13</f>
        <v>42859.386382054487</v>
      </c>
      <c r="AB644" s="39">
        <f>AA644*(1-Inputs!$D$19)</f>
        <v>25715.631829232691</v>
      </c>
      <c r="AC644" s="39">
        <f t="shared" si="36"/>
        <v>383434.26087846904</v>
      </c>
      <c r="AD644" s="39">
        <f t="shared" si="37"/>
        <v>150610.41810261924</v>
      </c>
      <c r="AE644" s="36">
        <f t="shared" si="38"/>
        <v>0.82412839261528814</v>
      </c>
      <c r="AF644" s="35">
        <f>IF(AND(AE644&lt;=Inputs!$D$35,C644&gt;=Inputs!$D$48*(A644+B644+C644),B644*Inputs!$D$22&lt;=Inputs!$D$50*Inputs!$D$8,B644*Inputs!$D$22&gt;=Inputs!$D$49*Inputs!$D$8,A644*Inputs!$D$20&lt;=Inputs!$D$47*Inputs!$D$8,C644&gt;=1),1,0)</f>
        <v>1</v>
      </c>
      <c r="AG644" s="39">
        <f t="shared" si="39"/>
        <v>150610.41810261924</v>
      </c>
    </row>
    <row r="645" spans="1:33" x14ac:dyDescent="0.25">
      <c r="A645" s="35">
        <v>51</v>
      </c>
      <c r="B645" s="35">
        <v>26</v>
      </c>
      <c r="C645" s="35">
        <f>Inputs!$D$8-A645-Inputs!$D$22*B645</f>
        <v>17</v>
      </c>
      <c r="D645" s="35">
        <f>A645*Inputs!$D$20+C645*Inputs!$D$21+B645*Inputs!$D$22</f>
        <v>120</v>
      </c>
      <c r="E645" s="36">
        <f>MIN(Inputs!$E$15,Inputs!$D$15*(C645/Inputs!$D$43)^Inputs!$D$44)</f>
        <v>0.28949164546121231</v>
      </c>
      <c r="F645" s="36">
        <f>MIN(Inputs!$E$16,Inputs!$D$16*(B645/Inputs!$D$42)^Inputs!$D$44)</f>
        <v>0.43275589945781112</v>
      </c>
      <c r="G645" s="37">
        <f>Inputs!$D$26*(1+Inputs!$D$41*(B645-Inputs!$D$42))</f>
        <v>1.59</v>
      </c>
      <c r="H645" s="35">
        <f>Inputs!$D$6*Inputs!$D$14*G645*Inputs!$D$29</f>
        <v>1997.7237</v>
      </c>
      <c r="I645" s="36">
        <f>H645/(A645*Inputs!$D$32)</f>
        <v>0.71220096256684495</v>
      </c>
      <c r="J645" s="38">
        <f>IF(I645&gt;=1,999,I645/(Inputs!$D$32*(1-I645))*60)</f>
        <v>2.6996146740026257</v>
      </c>
      <c r="K645" s="37">
        <f>MIN(1,MAX(0,(J645-Inputs!$D$36)/(Inputs!$D$37-Inputs!$D$36)))</f>
        <v>0</v>
      </c>
      <c r="L645" s="35">
        <f>Inputs!$D$6*Inputs!$D$14*G645*(1-Inputs!$D$38*K645)</f>
        <v>13318.158000000001</v>
      </c>
      <c r="M645" s="39">
        <f>L645*Inputs!$D$11</f>
        <v>286340.39700000006</v>
      </c>
      <c r="N645" s="39">
        <f>M645*(1-Inputs!$D$17)</f>
        <v>100219.13895000001</v>
      </c>
      <c r="O645" s="35">
        <f>Inputs!$D$6*E645*Inputs!$D$27*Inputs!$D$30</f>
        <v>413.00499294711136</v>
      </c>
      <c r="P645" s="36">
        <f>O645/(C645*Inputs!$D$33)</f>
        <v>0.60736028374575202</v>
      </c>
      <c r="Q645" s="38">
        <f>IF(P645&gt;=1,999,P645/(Inputs!$D$33*(1-P645))*60)</f>
        <v>2.3202961593133828</v>
      </c>
      <c r="R645" s="37">
        <f>MIN(1,MAX(0,(Q645-Inputs!$D$36)/(Inputs!$D$37-Inputs!$D$36)))</f>
        <v>0</v>
      </c>
      <c r="S645" s="35">
        <f>Inputs!$D$6*E645*Inputs!$D$27*(1-Inputs!$D$38*R645)</f>
        <v>3441.7082745592616</v>
      </c>
      <c r="T645" s="39">
        <f>S645*Inputs!$D$12</f>
        <v>55067.332392948185</v>
      </c>
      <c r="U645" s="39">
        <f>T645*(1-Inputs!$D$18)</f>
        <v>24780.299576826681</v>
      </c>
      <c r="V645" s="35">
        <f>Inputs!$D$6*F645*Inputs!$D$28*Inputs!$D$31</f>
        <v>729.64721876904355</v>
      </c>
      <c r="W645" s="36">
        <f>V645/(B645*Inputs!$D$34)</f>
        <v>0.80181013051543248</v>
      </c>
      <c r="X645" s="38">
        <f>IF(W645&gt;=1,999,W645/(Inputs!$D$34*(1-W645))*60)</f>
        <v>6.9354284146153136</v>
      </c>
      <c r="Y645" s="37">
        <f>MIN(1,MAX(0,(X645-Inputs!$D$36)/(Inputs!$D$37-Inputs!$D$36)))</f>
        <v>0.12902856097435425</v>
      </c>
      <c r="Z645" s="35">
        <f>Inputs!$D$6*F645*Inputs!$D$28*(1-Inputs!$D$38*Y645)</f>
        <v>5286.7832305655711</v>
      </c>
      <c r="AA645" s="39">
        <f>Z645*Inputs!$D$13</f>
        <v>44937.657459807357</v>
      </c>
      <c r="AB645" s="39">
        <f>AA645*(1-Inputs!$D$19)</f>
        <v>26962.594475884413</v>
      </c>
      <c r="AC645" s="39">
        <f t="shared" ref="AC645:AC708" si="40">M645+T645+AA645</f>
        <v>386345.38685275556</v>
      </c>
      <c r="AD645" s="39">
        <f t="shared" ref="AD645:AD708" si="41">N645+U645+AB645</f>
        <v>151962.0330027111</v>
      </c>
      <c r="AE645" s="36">
        <f t="shared" ref="AE645:AE708" si="42">MAX(I645,P645,W645)</f>
        <v>0.80181013051543248</v>
      </c>
      <c r="AF645" s="35">
        <f>IF(AND(AE645&lt;=Inputs!$D$35,C645&gt;=Inputs!$D$48*(A645+B645+C645),B645*Inputs!$D$22&lt;=Inputs!$D$50*Inputs!$D$8,B645*Inputs!$D$22&gt;=Inputs!$D$49*Inputs!$D$8,A645*Inputs!$D$20&lt;=Inputs!$D$47*Inputs!$D$8,C645&gt;=1),1,0)</f>
        <v>1</v>
      </c>
      <c r="AG645" s="39">
        <f t="shared" ref="AG645:AG708" si="43">IF(AF645=1,AD645,-1)</f>
        <v>151962.0330027111</v>
      </c>
    </row>
    <row r="646" spans="1:33" x14ac:dyDescent="0.25">
      <c r="A646" s="35">
        <v>51</v>
      </c>
      <c r="B646" s="35">
        <v>27</v>
      </c>
      <c r="C646" s="35">
        <f>Inputs!$D$8-A646-Inputs!$D$22*B646</f>
        <v>15</v>
      </c>
      <c r="D646" s="35">
        <f>A646*Inputs!$D$20+C646*Inputs!$D$21+B646*Inputs!$D$22</f>
        <v>120</v>
      </c>
      <c r="E646" s="36">
        <f>MIN(Inputs!$E$15,Inputs!$D$15*(C646/Inputs!$D$43)^Inputs!$D$44)</f>
        <v>0.27882309014433088</v>
      </c>
      <c r="F646" s="36">
        <f>MIN(Inputs!$E$16,Inputs!$D$16*(B646/Inputs!$D$42)^Inputs!$D$44)</f>
        <v>0.43768344678187454</v>
      </c>
      <c r="G646" s="37">
        <f>Inputs!$D$26*(1+Inputs!$D$41*(B646-Inputs!$D$42))</f>
        <v>1.605</v>
      </c>
      <c r="H646" s="35">
        <f>Inputs!$D$6*Inputs!$D$14*G646*Inputs!$D$29</f>
        <v>2016.57015</v>
      </c>
      <c r="I646" s="36">
        <f>H646/(A646*Inputs!$D$32)</f>
        <v>0.71891983957219252</v>
      </c>
      <c r="J646" s="38">
        <f>IF(I646&gt;=1,999,I646/(Inputs!$D$32*(1-I646))*60)</f>
        <v>2.7902225024723624</v>
      </c>
      <c r="K646" s="37">
        <f>MIN(1,MAX(0,(J646-Inputs!$D$36)/(Inputs!$D$37-Inputs!$D$36)))</f>
        <v>0</v>
      </c>
      <c r="L646" s="35">
        <f>Inputs!$D$6*Inputs!$D$14*G646*(1-Inputs!$D$38*K646)</f>
        <v>13443.801000000001</v>
      </c>
      <c r="M646" s="39">
        <f>L646*Inputs!$D$11</f>
        <v>289041.72150000004</v>
      </c>
      <c r="N646" s="39">
        <f>M646*(1-Inputs!$D$17)</f>
        <v>101164.60252500001</v>
      </c>
      <c r="O646" s="35">
        <f>Inputs!$D$6*E646*Inputs!$D$27*Inputs!$D$30</f>
        <v>397.78463449295054</v>
      </c>
      <c r="P646" s="36">
        <f>O646/(C646*Inputs!$D$33)</f>
        <v>0.66297439082158427</v>
      </c>
      <c r="Q646" s="38">
        <f>IF(P646&gt;=1,999,P646/(Inputs!$D$33*(1-P646))*60)</f>
        <v>2.9507003597044905</v>
      </c>
      <c r="R646" s="37">
        <f>MIN(1,MAX(0,(Q646-Inputs!$D$36)/(Inputs!$D$37-Inputs!$D$36)))</f>
        <v>0</v>
      </c>
      <c r="S646" s="35">
        <f>Inputs!$D$6*E646*Inputs!$D$27*(1-Inputs!$D$38*R646)</f>
        <v>3314.8719541079213</v>
      </c>
      <c r="T646" s="39">
        <f>S646*Inputs!$D$12</f>
        <v>53037.951265726741</v>
      </c>
      <c r="U646" s="39">
        <f>T646*(1-Inputs!$D$18)</f>
        <v>23867.07806957703</v>
      </c>
      <c r="V646" s="35">
        <f>Inputs!$D$6*F646*Inputs!$D$28*Inputs!$D$31</f>
        <v>737.95530007968603</v>
      </c>
      <c r="W646" s="36">
        <f>V646/(B646*Inputs!$D$34)</f>
        <v>0.78090507944940324</v>
      </c>
      <c r="X646" s="38">
        <f>IF(W646&gt;=1,999,W646/(Inputs!$D$34*(1-W646))*60)</f>
        <v>6.1101116290101798</v>
      </c>
      <c r="Y646" s="37">
        <f>MIN(1,MAX(0,(X646-Inputs!$D$36)/(Inputs!$D$37-Inputs!$D$36)))</f>
        <v>7.4007441934011986E-2</v>
      </c>
      <c r="Z646" s="35">
        <f>Inputs!$D$6*F646*Inputs!$D$28*(1-Inputs!$D$38*Y646)</f>
        <v>5487.5301328495489</v>
      </c>
      <c r="AA646" s="39">
        <f>Z646*Inputs!$D$13</f>
        <v>46644.006129221169</v>
      </c>
      <c r="AB646" s="39">
        <f>AA646*(1-Inputs!$D$19)</f>
        <v>27986.4036775327</v>
      </c>
      <c r="AC646" s="39">
        <f t="shared" si="40"/>
        <v>388723.67889494798</v>
      </c>
      <c r="AD646" s="39">
        <f t="shared" si="41"/>
        <v>153018.08427210976</v>
      </c>
      <c r="AE646" s="36">
        <f t="shared" si="42"/>
        <v>0.78090507944940324</v>
      </c>
      <c r="AF646" s="35">
        <f>IF(AND(AE646&lt;=Inputs!$D$35,C646&gt;=Inputs!$D$48*(A646+B646+C646),B646*Inputs!$D$22&lt;=Inputs!$D$50*Inputs!$D$8,B646*Inputs!$D$22&gt;=Inputs!$D$49*Inputs!$D$8,A646*Inputs!$D$20&lt;=Inputs!$D$47*Inputs!$D$8,C646&gt;=1),1,0)</f>
        <v>1</v>
      </c>
      <c r="AG646" s="39">
        <f t="shared" si="43"/>
        <v>153018.08427210976</v>
      </c>
    </row>
    <row r="647" spans="1:33" x14ac:dyDescent="0.25">
      <c r="A647" s="35">
        <v>51</v>
      </c>
      <c r="B647" s="35">
        <v>28</v>
      </c>
      <c r="C647" s="35">
        <f>Inputs!$D$8-A647-Inputs!$D$22*B647</f>
        <v>13</v>
      </c>
      <c r="D647" s="35">
        <f>A647*Inputs!$D$20+C647*Inputs!$D$21+B647*Inputs!$D$22</f>
        <v>120</v>
      </c>
      <c r="E647" s="36">
        <f>MIN(Inputs!$E$15,Inputs!$D$15*(C647/Inputs!$D$43)^Inputs!$D$44)</f>
        <v>0.26710644306172537</v>
      </c>
      <c r="F647" s="36">
        <f>MIN(Inputs!$E$16,Inputs!$D$16*(B647/Inputs!$D$42)^Inputs!$D$44)</f>
        <v>0.44248484624799689</v>
      </c>
      <c r="G647" s="37">
        <f>Inputs!$D$26*(1+Inputs!$D$41*(B647-Inputs!$D$42))</f>
        <v>1.62</v>
      </c>
      <c r="H647" s="35">
        <f>Inputs!$D$6*Inputs!$D$14*G647*Inputs!$D$29</f>
        <v>2035.4166</v>
      </c>
      <c r="I647" s="36">
        <f>H647/(A647*Inputs!$D$32)</f>
        <v>0.72563871657754009</v>
      </c>
      <c r="J647" s="38">
        <f>IF(I647&gt;=1,999,I647/(Inputs!$D$32*(1-I647))*60)</f>
        <v>2.8852681499201678</v>
      </c>
      <c r="K647" s="37">
        <f>MIN(1,MAX(0,(J647-Inputs!$D$36)/(Inputs!$D$37-Inputs!$D$36)))</f>
        <v>0</v>
      </c>
      <c r="L647" s="35">
        <f>Inputs!$D$6*Inputs!$D$14*G647*(1-Inputs!$D$38*K647)</f>
        <v>13569.444000000001</v>
      </c>
      <c r="M647" s="39">
        <f>L647*Inputs!$D$11</f>
        <v>291743.04600000003</v>
      </c>
      <c r="N647" s="39">
        <f>M647*(1-Inputs!$D$17)</f>
        <v>102110.06610000001</v>
      </c>
      <c r="O647" s="35">
        <f>Inputs!$D$6*E647*Inputs!$D$27*Inputs!$D$30</f>
        <v>381.06900963266889</v>
      </c>
      <c r="P647" s="36">
        <f>O647/(C647*Inputs!$D$33)</f>
        <v>0.73282501852436321</v>
      </c>
      <c r="Q647" s="38">
        <f>IF(P647&gt;=1,999,P647/(Inputs!$D$33*(1-P647))*60)</f>
        <v>4.1142981341865736</v>
      </c>
      <c r="R647" s="37">
        <f>MIN(1,MAX(0,(Q647-Inputs!$D$36)/(Inputs!$D$37-Inputs!$D$36)))</f>
        <v>0</v>
      </c>
      <c r="S647" s="35">
        <f>Inputs!$D$6*E647*Inputs!$D$27*(1-Inputs!$D$38*R647)</f>
        <v>3175.5750802722409</v>
      </c>
      <c r="T647" s="39">
        <f>S647*Inputs!$D$12</f>
        <v>50809.201284355855</v>
      </c>
      <c r="U647" s="39">
        <f>T647*(1-Inputs!$D$18)</f>
        <v>22864.140577960134</v>
      </c>
      <c r="V647" s="35">
        <f>Inputs!$D$6*F647*Inputs!$D$28*Inputs!$D$31</f>
        <v>746.05069004674272</v>
      </c>
      <c r="W647" s="36">
        <f>V647/(B647*Inputs!$D$34)</f>
        <v>0.76127621433341097</v>
      </c>
      <c r="X647" s="38">
        <f>IF(W647&gt;=1,999,W647/(Inputs!$D$34*(1-W647))*60)</f>
        <v>5.4667570523531852</v>
      </c>
      <c r="Y647" s="37">
        <f>MIN(1,MAX(0,(X647-Inputs!$D$36)/(Inputs!$D$37-Inputs!$D$36)))</f>
        <v>3.111713682354568E-2</v>
      </c>
      <c r="Z647" s="35">
        <f>Inputs!$D$6*F647*Inputs!$D$28*(1-Inputs!$D$38*Y647)</f>
        <v>5658.4919801305723</v>
      </c>
      <c r="AA647" s="39">
        <f>Z647*Inputs!$D$13</f>
        <v>48097.181831109861</v>
      </c>
      <c r="AB647" s="39">
        <f>AA647*(1-Inputs!$D$19)</f>
        <v>28858.309098665915</v>
      </c>
      <c r="AC647" s="39">
        <f t="shared" si="40"/>
        <v>390649.42911546573</v>
      </c>
      <c r="AD647" s="39">
        <f t="shared" si="41"/>
        <v>153832.51577662607</v>
      </c>
      <c r="AE647" s="36">
        <f t="shared" si="42"/>
        <v>0.76127621433341097</v>
      </c>
      <c r="AF647" s="35">
        <f>IF(AND(AE647&lt;=Inputs!$D$35,C647&gt;=Inputs!$D$48*(A647+B647+C647),B647*Inputs!$D$22&lt;=Inputs!$D$50*Inputs!$D$8,B647*Inputs!$D$22&gt;=Inputs!$D$49*Inputs!$D$8,A647*Inputs!$D$20&lt;=Inputs!$D$47*Inputs!$D$8,C647&gt;=1),1,0)</f>
        <v>0</v>
      </c>
      <c r="AG647" s="39">
        <f t="shared" si="43"/>
        <v>-1</v>
      </c>
    </row>
    <row r="648" spans="1:33" x14ac:dyDescent="0.25">
      <c r="A648" s="35">
        <v>51</v>
      </c>
      <c r="B648" s="35">
        <v>29</v>
      </c>
      <c r="C648" s="35">
        <f>Inputs!$D$8-A648-Inputs!$D$22*B648</f>
        <v>11</v>
      </c>
      <c r="D648" s="35">
        <f>A648*Inputs!$D$20+C648*Inputs!$D$21+B648*Inputs!$D$22</f>
        <v>120</v>
      </c>
      <c r="E648" s="36">
        <f>MIN(Inputs!$E$15,Inputs!$D$15*(C648/Inputs!$D$43)^Inputs!$D$44)</f>
        <v>0.25404997933787238</v>
      </c>
      <c r="F648" s="36">
        <f>MIN(Inputs!$E$16,Inputs!$D$16*(B648/Inputs!$D$42)^Inputs!$D$44)</f>
        <v>0.44716766511947192</v>
      </c>
      <c r="G648" s="37">
        <f>Inputs!$D$26*(1+Inputs!$D$41*(B648-Inputs!$D$42))</f>
        <v>1.6350000000000002</v>
      </c>
      <c r="H648" s="35">
        <f>Inputs!$D$6*Inputs!$D$14*G648*Inputs!$D$29</f>
        <v>2054.2630500000005</v>
      </c>
      <c r="I648" s="36">
        <f>H648/(A648*Inputs!$D$32)</f>
        <v>0.73235759358288788</v>
      </c>
      <c r="J648" s="38">
        <f>IF(I648&gt;=1,999,I648/(Inputs!$D$32*(1-I648))*60)</f>
        <v>2.9850858364752639</v>
      </c>
      <c r="K648" s="37">
        <f>MIN(1,MAX(0,(J648-Inputs!$D$36)/(Inputs!$D$37-Inputs!$D$36)))</f>
        <v>0</v>
      </c>
      <c r="L648" s="35">
        <f>Inputs!$D$6*Inputs!$D$14*G648*(1-Inputs!$D$38*K648)</f>
        <v>13695.087000000003</v>
      </c>
      <c r="M648" s="39">
        <f>L648*Inputs!$D$11</f>
        <v>294444.37050000008</v>
      </c>
      <c r="N648" s="39">
        <f>M648*(1-Inputs!$D$17)</f>
        <v>103055.52967500003</v>
      </c>
      <c r="O648" s="35">
        <f>Inputs!$D$6*E648*Inputs!$D$27*Inputs!$D$30</f>
        <v>362.44192732225167</v>
      </c>
      <c r="P648" s="36">
        <f>O648/(C648*Inputs!$D$33)</f>
        <v>0.82373165300511741</v>
      </c>
      <c r="Q648" s="38">
        <f>IF(P648&gt;=1,999,P648/(Inputs!$D$33*(1-P648))*60)</f>
        <v>7.0097524630644434</v>
      </c>
      <c r="R648" s="37">
        <f>MIN(1,MAX(0,(Q648-Inputs!$D$36)/(Inputs!$D$37-Inputs!$D$36)))</f>
        <v>0.13398349753762956</v>
      </c>
      <c r="S648" s="35">
        <f>Inputs!$D$6*E648*Inputs!$D$27*(1-Inputs!$D$38*R648)</f>
        <v>2838.2447553136676</v>
      </c>
      <c r="T648" s="39">
        <f>S648*Inputs!$D$12</f>
        <v>45411.916085018682</v>
      </c>
      <c r="U648" s="39">
        <f>T648*(1-Inputs!$D$18)</f>
        <v>20435.362238258404</v>
      </c>
      <c r="V648" s="35">
        <f>Inputs!$D$6*F648*Inputs!$D$28*Inputs!$D$31</f>
        <v>753.9461474393554</v>
      </c>
      <c r="W648" s="36">
        <f>V648/(B648*Inputs!$D$34)</f>
        <v>0.74280408614714821</v>
      </c>
      <c r="X648" s="38">
        <f>IF(W648&gt;=1,999,W648/(Inputs!$D$34*(1-W648))*60)</f>
        <v>4.9510056918075414</v>
      </c>
      <c r="Y648" s="37">
        <f>MIN(1,MAX(0,(X648-Inputs!$D$36)/(Inputs!$D$37-Inputs!$D$36)))</f>
        <v>0</v>
      </c>
      <c r="Z648" s="35">
        <f>Inputs!$D$6*F648*Inputs!$D$28*(1-Inputs!$D$38*Y648)</f>
        <v>5799.5857495335031</v>
      </c>
      <c r="AA648" s="39">
        <f>Z648*Inputs!$D$13</f>
        <v>49296.478871034778</v>
      </c>
      <c r="AB648" s="39">
        <f>AA648*(1-Inputs!$D$19)</f>
        <v>29577.887322620867</v>
      </c>
      <c r="AC648" s="39">
        <f t="shared" si="40"/>
        <v>389152.76545605354</v>
      </c>
      <c r="AD648" s="39">
        <f t="shared" si="41"/>
        <v>153068.77923587931</v>
      </c>
      <c r="AE648" s="36">
        <f t="shared" si="42"/>
        <v>0.82373165300511741</v>
      </c>
      <c r="AF648" s="35">
        <f>IF(AND(AE648&lt;=Inputs!$D$35,C648&gt;=Inputs!$D$48*(A648+B648+C648),B648*Inputs!$D$22&lt;=Inputs!$D$50*Inputs!$D$8,B648*Inputs!$D$22&gt;=Inputs!$D$49*Inputs!$D$8,A648*Inputs!$D$20&lt;=Inputs!$D$47*Inputs!$D$8,C648&gt;=1),1,0)</f>
        <v>0</v>
      </c>
      <c r="AG648" s="39">
        <f t="shared" si="43"/>
        <v>-1</v>
      </c>
    </row>
    <row r="649" spans="1:33" x14ac:dyDescent="0.25">
      <c r="A649" s="35">
        <v>51</v>
      </c>
      <c r="B649" s="35">
        <v>30</v>
      </c>
      <c r="C649" s="35">
        <f>Inputs!$D$8-A649-Inputs!$D$22*B649</f>
        <v>9</v>
      </c>
      <c r="D649" s="35">
        <f>A649*Inputs!$D$20+C649*Inputs!$D$21+B649*Inputs!$D$22</f>
        <v>120</v>
      </c>
      <c r="E649" s="36">
        <f>MIN(Inputs!$E$15,Inputs!$D$15*(C649/Inputs!$D$43)^Inputs!$D$44)</f>
        <v>0.23920712491579582</v>
      </c>
      <c r="F649" s="36">
        <f>MIN(Inputs!$E$16,Inputs!$D$16*(B649/Inputs!$D$42)^Inputs!$D$44)</f>
        <v>0.45173877418274222</v>
      </c>
      <c r="G649" s="37">
        <f>Inputs!$D$26*(1+Inputs!$D$41*(B649-Inputs!$D$42))</f>
        <v>1.6500000000000001</v>
      </c>
      <c r="H649" s="35">
        <f>Inputs!$D$6*Inputs!$D$14*G649*Inputs!$D$29</f>
        <v>2073.1095000000005</v>
      </c>
      <c r="I649" s="36">
        <f>H649/(A649*Inputs!$D$32)</f>
        <v>0.73907647058823545</v>
      </c>
      <c r="J649" s="38">
        <f>IF(I649&gt;=1,999,I649/(Inputs!$D$32*(1-I649))*60)</f>
        <v>3.0900442074326717</v>
      </c>
      <c r="K649" s="37">
        <f>MIN(1,MAX(0,(J649-Inputs!$D$36)/(Inputs!$D$37-Inputs!$D$36)))</f>
        <v>0</v>
      </c>
      <c r="L649" s="35">
        <f>Inputs!$D$6*Inputs!$D$14*G649*(1-Inputs!$D$38*K649)</f>
        <v>13820.730000000003</v>
      </c>
      <c r="M649" s="39">
        <f>L649*Inputs!$D$11</f>
        <v>297145.69500000007</v>
      </c>
      <c r="N649" s="39">
        <f>M649*(1-Inputs!$D$17)</f>
        <v>104000.99325000001</v>
      </c>
      <c r="O649" s="35">
        <f>Inputs!$D$6*E649*Inputs!$D$27*Inputs!$D$30</f>
        <v>341.26628000386961</v>
      </c>
      <c r="P649" s="36">
        <f>O649/(C649*Inputs!$D$33)</f>
        <v>0.94796188889963784</v>
      </c>
      <c r="Q649" s="38">
        <f>IF(P649&gt;=1,999,P649/(Inputs!$D$33*(1-P649))*60)</f>
        <v>27.325027816767943</v>
      </c>
      <c r="R649" s="37">
        <f>MIN(1,MAX(0,(Q649-Inputs!$D$36)/(Inputs!$D$37-Inputs!$D$36)))</f>
        <v>1</v>
      </c>
      <c r="S649" s="35">
        <f>Inputs!$D$6*E649*Inputs!$D$27*(1-Inputs!$D$38*R649)</f>
        <v>1564.1371166844026</v>
      </c>
      <c r="T649" s="39">
        <f>S649*Inputs!$D$12</f>
        <v>25026.193866950442</v>
      </c>
      <c r="U649" s="39">
        <f>T649*(1-Inputs!$D$18)</f>
        <v>11261.787240127698</v>
      </c>
      <c r="V649" s="35">
        <f>Inputs!$D$6*F649*Inputs!$D$28*Inputs!$D$31</f>
        <v>761.65325673326424</v>
      </c>
      <c r="W649" s="36">
        <f>V649/(B649*Inputs!$D$34)</f>
        <v>0.72538405403168027</v>
      </c>
      <c r="X649" s="38">
        <f>IF(W649&gt;=1,999,W649/(Inputs!$D$34*(1-W649))*60)</f>
        <v>4.5281985239874629</v>
      </c>
      <c r="Y649" s="37">
        <f>MIN(1,MAX(0,(X649-Inputs!$D$36)/(Inputs!$D$37-Inputs!$D$36)))</f>
        <v>0</v>
      </c>
      <c r="Z649" s="35">
        <f>Inputs!$D$6*F649*Inputs!$D$28*(1-Inputs!$D$38*Y649)</f>
        <v>5858.8712056404938</v>
      </c>
      <c r="AA649" s="39">
        <f>Z649*Inputs!$D$13</f>
        <v>49800.405247944196</v>
      </c>
      <c r="AB649" s="39">
        <f>AA649*(1-Inputs!$D$19)</f>
        <v>29880.243148766516</v>
      </c>
      <c r="AC649" s="39">
        <f t="shared" si="40"/>
        <v>371972.2941148947</v>
      </c>
      <c r="AD649" s="39">
        <f t="shared" si="41"/>
        <v>145143.02363889423</v>
      </c>
      <c r="AE649" s="36">
        <f t="shared" si="42"/>
        <v>0.94796188889963784</v>
      </c>
      <c r="AF649" s="35">
        <f>IF(AND(AE649&lt;=Inputs!$D$35,C649&gt;=Inputs!$D$48*(A649+B649+C649),B649*Inputs!$D$22&lt;=Inputs!$D$50*Inputs!$D$8,B649*Inputs!$D$22&gt;=Inputs!$D$49*Inputs!$D$8,A649*Inputs!$D$20&lt;=Inputs!$D$47*Inputs!$D$8,C649&gt;=1),1,0)</f>
        <v>0</v>
      </c>
      <c r="AG649" s="39">
        <f t="shared" si="43"/>
        <v>-1</v>
      </c>
    </row>
    <row r="650" spans="1:33" x14ac:dyDescent="0.25">
      <c r="A650" s="35">
        <v>51</v>
      </c>
      <c r="B650" s="35">
        <v>31</v>
      </c>
      <c r="C650" s="35">
        <f>Inputs!$D$8-A650-Inputs!$D$22*B650</f>
        <v>7</v>
      </c>
      <c r="D650" s="35">
        <f>A650*Inputs!$D$20+C650*Inputs!$D$21+B650*Inputs!$D$22</f>
        <v>120</v>
      </c>
      <c r="E650" s="36">
        <f>MIN(Inputs!$E$15,Inputs!$D$15*(C650/Inputs!$D$43)^Inputs!$D$44)</f>
        <v>0.2218353587738203</v>
      </c>
      <c r="F650" s="36">
        <f>MIN(Inputs!$E$16,Inputs!$D$16*(B650/Inputs!$D$42)^Inputs!$D$44)</f>
        <v>0.45620443270573335</v>
      </c>
      <c r="G650" s="37">
        <f>Inputs!$D$26*(1+Inputs!$D$41*(B650-Inputs!$D$42))</f>
        <v>1.665</v>
      </c>
      <c r="H650" s="35">
        <f>Inputs!$D$6*Inputs!$D$14*G650*Inputs!$D$29</f>
        <v>2091.95595</v>
      </c>
      <c r="I650" s="36">
        <f>H650/(A650*Inputs!$D$32)</f>
        <v>0.7457953475935829</v>
      </c>
      <c r="J650" s="38">
        <f>IF(I650&gt;=1,999,I650/(Inputs!$D$32*(1-I650))*60)</f>
        <v>3.2005508827068452</v>
      </c>
      <c r="K650" s="37">
        <f>MIN(1,MAX(0,(J650-Inputs!$D$36)/(Inputs!$D$37-Inputs!$D$36)))</f>
        <v>0</v>
      </c>
      <c r="L650" s="35">
        <f>Inputs!$D$6*Inputs!$D$14*G650*(1-Inputs!$D$38*K650)</f>
        <v>13946.373000000001</v>
      </c>
      <c r="M650" s="39">
        <f>L650*Inputs!$D$11</f>
        <v>299847.01950000005</v>
      </c>
      <c r="N650" s="39">
        <f>M650*(1-Inputs!$D$17)</f>
        <v>104946.45682500002</v>
      </c>
      <c r="O650" s="35">
        <f>Inputs!$D$6*E650*Inputs!$D$27*Inputs!$D$30</f>
        <v>316.48274560682341</v>
      </c>
      <c r="P650" s="36">
        <f>O650/(C650*Inputs!$D$33)</f>
        <v>1.1302955200243694</v>
      </c>
      <c r="Q650" s="38">
        <f>IF(P650&gt;=1,999,P650/(Inputs!$D$33*(1-P650))*60)</f>
        <v>999</v>
      </c>
      <c r="R650" s="37">
        <f>MIN(1,MAX(0,(Q650-Inputs!$D$36)/(Inputs!$D$37-Inputs!$D$36)))</f>
        <v>1</v>
      </c>
      <c r="S650" s="35">
        <f>Inputs!$D$6*E650*Inputs!$D$27*(1-Inputs!$D$38*R650)</f>
        <v>1450.5459173646075</v>
      </c>
      <c r="T650" s="39">
        <f>S650*Inputs!$D$12</f>
        <v>23208.73467783372</v>
      </c>
      <c r="U650" s="39">
        <f>T650*(1-Inputs!$D$18)</f>
        <v>10443.930605025173</v>
      </c>
      <c r="V650" s="35">
        <f>Inputs!$D$6*F650*Inputs!$D$28*Inputs!$D$31</f>
        <v>769.18257135463637</v>
      </c>
      <c r="W650" s="36">
        <f>V650/(B650*Inputs!$D$34)</f>
        <v>0.70892402889828232</v>
      </c>
      <c r="X650" s="38">
        <f>IF(W650&gt;=1,999,W650/(Inputs!$D$34*(1-W650))*60)</f>
        <v>4.1751929252501148</v>
      </c>
      <c r="Y650" s="37">
        <f>MIN(1,MAX(0,(X650-Inputs!$D$36)/(Inputs!$D$37-Inputs!$D$36)))</f>
        <v>0</v>
      </c>
      <c r="Z650" s="35">
        <f>Inputs!$D$6*F650*Inputs!$D$28*(1-Inputs!$D$38*Y650)</f>
        <v>5916.7890104202797</v>
      </c>
      <c r="AA650" s="39">
        <f>Z650*Inputs!$D$13</f>
        <v>50292.706588572379</v>
      </c>
      <c r="AB650" s="39">
        <f>AA650*(1-Inputs!$D$19)</f>
        <v>30175.623953143426</v>
      </c>
      <c r="AC650" s="39">
        <f t="shared" si="40"/>
        <v>373348.46076640615</v>
      </c>
      <c r="AD650" s="39">
        <f t="shared" si="41"/>
        <v>145566.01138316863</v>
      </c>
      <c r="AE650" s="36">
        <f t="shared" si="42"/>
        <v>1.1302955200243694</v>
      </c>
      <c r="AF650" s="35">
        <f>IF(AND(AE650&lt;=Inputs!$D$35,C650&gt;=Inputs!$D$48*(A650+B650+C650),B650*Inputs!$D$22&lt;=Inputs!$D$50*Inputs!$D$8,B650*Inputs!$D$22&gt;=Inputs!$D$49*Inputs!$D$8,A650*Inputs!$D$20&lt;=Inputs!$D$47*Inputs!$D$8,C650&gt;=1),1,0)</f>
        <v>0</v>
      </c>
      <c r="AG650" s="39">
        <f t="shared" si="43"/>
        <v>-1</v>
      </c>
    </row>
    <row r="651" spans="1:33" x14ac:dyDescent="0.25">
      <c r="A651" s="35">
        <v>51</v>
      </c>
      <c r="B651" s="35">
        <v>32</v>
      </c>
      <c r="C651" s="35">
        <f>Inputs!$D$8-A651-Inputs!$D$22*B651</f>
        <v>5</v>
      </c>
      <c r="D651" s="35">
        <f>A651*Inputs!$D$20+C651*Inputs!$D$21+B651*Inputs!$D$22</f>
        <v>120</v>
      </c>
      <c r="E651" s="36">
        <f>MIN(Inputs!$E$15,Inputs!$D$15*(C651/Inputs!$D$43)^Inputs!$D$44)</f>
        <v>0.20053600538400315</v>
      </c>
      <c r="F651" s="36">
        <f>MIN(Inputs!$E$16,Inputs!$D$16*(B651/Inputs!$D$42)^Inputs!$D$44)</f>
        <v>0.46057036065052986</v>
      </c>
      <c r="G651" s="37">
        <f>Inputs!$D$26*(1+Inputs!$D$41*(B651-Inputs!$D$42))</f>
        <v>1.6800000000000002</v>
      </c>
      <c r="H651" s="35">
        <f>Inputs!$D$6*Inputs!$D$14*G651*Inputs!$D$29</f>
        <v>2110.8024000000005</v>
      </c>
      <c r="I651" s="36">
        <f>H651/(A651*Inputs!$D$32)</f>
        <v>0.75251422459893069</v>
      </c>
      <c r="J651" s="38">
        <f>IF(I651&gt;=1,999,I651/(Inputs!$D$32*(1-I651))*60)</f>
        <v>3.3170577473513734</v>
      </c>
      <c r="K651" s="37">
        <f>MIN(1,MAX(0,(J651-Inputs!$D$36)/(Inputs!$D$37-Inputs!$D$36)))</f>
        <v>0</v>
      </c>
      <c r="L651" s="35">
        <f>Inputs!$D$6*Inputs!$D$14*G651*(1-Inputs!$D$38*K651)</f>
        <v>14072.016000000003</v>
      </c>
      <c r="M651" s="39">
        <f>L651*Inputs!$D$11</f>
        <v>302548.34400000004</v>
      </c>
      <c r="N651" s="39">
        <f>M651*(1-Inputs!$D$17)</f>
        <v>105891.9204</v>
      </c>
      <c r="O651" s="35">
        <f>Inputs!$D$6*E651*Inputs!$D$27*Inputs!$D$30</f>
        <v>286.09589529712042</v>
      </c>
      <c r="P651" s="36">
        <f>O651/(C651*Inputs!$D$33)</f>
        <v>1.4304794764856021</v>
      </c>
      <c r="Q651" s="38">
        <f>IF(P651&gt;=1,999,P651/(Inputs!$D$33*(1-P651))*60)</f>
        <v>999</v>
      </c>
      <c r="R651" s="37">
        <f>MIN(1,MAX(0,(Q651-Inputs!$D$36)/(Inputs!$D$37-Inputs!$D$36)))</f>
        <v>1</v>
      </c>
      <c r="S651" s="35">
        <f>Inputs!$D$6*E651*Inputs!$D$27*(1-Inputs!$D$38*R651)</f>
        <v>1311.2728534451353</v>
      </c>
      <c r="T651" s="39">
        <f>S651*Inputs!$D$12</f>
        <v>20980.365655122165</v>
      </c>
      <c r="U651" s="39">
        <f>T651*(1-Inputs!$D$18)</f>
        <v>9441.164544804973</v>
      </c>
      <c r="V651" s="35">
        <f>Inputs!$D$6*F651*Inputs!$D$28*Inputs!$D$31</f>
        <v>776.54373543410452</v>
      </c>
      <c r="W651" s="36">
        <f>V651/(B651*Inputs!$D$34)</f>
        <v>0.69334262092330756</v>
      </c>
      <c r="X651" s="38">
        <f>IF(W651&gt;=1,999,W651/(Inputs!$D$34*(1-W651))*60)</f>
        <v>3.8759457011369869</v>
      </c>
      <c r="Y651" s="37">
        <f>MIN(1,MAX(0,(X651-Inputs!$D$36)/(Inputs!$D$37-Inputs!$D$36)))</f>
        <v>0</v>
      </c>
      <c r="Z651" s="35">
        <f>Inputs!$D$6*F651*Inputs!$D$28*(1-Inputs!$D$38*Y651)</f>
        <v>5973.4133494931111</v>
      </c>
      <c r="AA651" s="39">
        <f>Z651*Inputs!$D$13</f>
        <v>50774.013470691447</v>
      </c>
      <c r="AB651" s="39">
        <f>AA651*(1-Inputs!$D$19)</f>
        <v>30464.408082414866</v>
      </c>
      <c r="AC651" s="39">
        <f t="shared" si="40"/>
        <v>374302.72312581365</v>
      </c>
      <c r="AD651" s="39">
        <f t="shared" si="41"/>
        <v>145797.49302721984</v>
      </c>
      <c r="AE651" s="36">
        <f t="shared" si="42"/>
        <v>1.4304794764856021</v>
      </c>
      <c r="AF651" s="35">
        <f>IF(AND(AE651&lt;=Inputs!$D$35,C651&gt;=Inputs!$D$48*(A651+B651+C651),B651*Inputs!$D$22&lt;=Inputs!$D$50*Inputs!$D$8,B651*Inputs!$D$22&gt;=Inputs!$D$49*Inputs!$D$8,A651*Inputs!$D$20&lt;=Inputs!$D$47*Inputs!$D$8,C651&gt;=1),1,0)</f>
        <v>0</v>
      </c>
      <c r="AG651" s="39">
        <f t="shared" si="43"/>
        <v>-1</v>
      </c>
    </row>
    <row r="652" spans="1:33" x14ac:dyDescent="0.25">
      <c r="A652" s="35">
        <v>51</v>
      </c>
      <c r="B652" s="35">
        <v>33</v>
      </c>
      <c r="C652" s="35">
        <f>Inputs!$D$8-A652-Inputs!$D$22*B652</f>
        <v>3</v>
      </c>
      <c r="D652" s="35">
        <f>A652*Inputs!$D$20+C652*Inputs!$D$21+B652*Inputs!$D$22</f>
        <v>120</v>
      </c>
      <c r="E652" s="36">
        <f>MIN(Inputs!$E$15,Inputs!$D$15*(C652/Inputs!$D$43)^Inputs!$D$44)</f>
        <v>0.17204328832728594</v>
      </c>
      <c r="F652" s="36">
        <f>MIN(Inputs!$E$16,Inputs!$D$16*(B652/Inputs!$D$42)^Inputs!$D$44)</f>
        <v>0.46484180038786721</v>
      </c>
      <c r="G652" s="37">
        <f>Inputs!$D$26*(1+Inputs!$D$41*(B652-Inputs!$D$42))</f>
        <v>1.6949999999999998</v>
      </c>
      <c r="H652" s="35">
        <f>Inputs!$D$6*Inputs!$D$14*G652*Inputs!$D$29</f>
        <v>2129.64885</v>
      </c>
      <c r="I652" s="36">
        <f>H652/(A652*Inputs!$D$32)</f>
        <v>0.75923310160427804</v>
      </c>
      <c r="J652" s="38">
        <f>IF(I652&gt;=1,999,I652/(Inputs!$D$32*(1-I652))*60)</f>
        <v>3.4400671279068531</v>
      </c>
      <c r="K652" s="37">
        <f>MIN(1,MAX(0,(J652-Inputs!$D$36)/(Inputs!$D$37-Inputs!$D$36)))</f>
        <v>0</v>
      </c>
      <c r="L652" s="35">
        <f>Inputs!$D$6*Inputs!$D$14*G652*(1-Inputs!$D$38*K652)</f>
        <v>14197.659</v>
      </c>
      <c r="M652" s="39">
        <f>L652*Inputs!$D$11</f>
        <v>305249.66849999997</v>
      </c>
      <c r="N652" s="39">
        <f>M652*(1-Inputs!$D$17)</f>
        <v>106837.38397499999</v>
      </c>
      <c r="O652" s="35">
        <f>Inputs!$D$6*E652*Inputs!$D$27*Inputs!$D$30</f>
        <v>245.44658955185244</v>
      </c>
      <c r="P652" s="36">
        <f>O652/(C652*Inputs!$D$33)</f>
        <v>2.0453882462654369</v>
      </c>
      <c r="Q652" s="38">
        <f>IF(P652&gt;=1,999,P652/(Inputs!$D$33*(1-P652))*60)</f>
        <v>999</v>
      </c>
      <c r="R652" s="37">
        <f>MIN(1,MAX(0,(Q652-Inputs!$D$36)/(Inputs!$D$37-Inputs!$D$36)))</f>
        <v>1</v>
      </c>
      <c r="S652" s="35">
        <f>Inputs!$D$6*E652*Inputs!$D$27*(1-Inputs!$D$38*R652)</f>
        <v>1124.9635354459906</v>
      </c>
      <c r="T652" s="39">
        <f>S652*Inputs!$D$12</f>
        <v>17999.41656713585</v>
      </c>
      <c r="U652" s="39">
        <f>T652*(1-Inputs!$D$18)</f>
        <v>8099.7374552111314</v>
      </c>
      <c r="V652" s="35">
        <f>Inputs!$D$6*F652*Inputs!$D$28*Inputs!$D$31</f>
        <v>783.74558786036266</v>
      </c>
      <c r="W652" s="36">
        <f>V652/(B652*Inputs!$D$34)</f>
        <v>0.67856760853711051</v>
      </c>
      <c r="X652" s="38">
        <f>IF(W652&gt;=1,999,W652/(Inputs!$D$34*(1-W652))*60)</f>
        <v>3.6189842355277744</v>
      </c>
      <c r="Y652" s="37">
        <f>MIN(1,MAX(0,(X652-Inputs!$D$36)/(Inputs!$D$37-Inputs!$D$36)))</f>
        <v>0</v>
      </c>
      <c r="Z652" s="35">
        <f>Inputs!$D$6*F652*Inputs!$D$28*(1-Inputs!$D$38*Y652)</f>
        <v>6028.812214310482</v>
      </c>
      <c r="AA652" s="39">
        <f>Z652*Inputs!$D$13</f>
        <v>51244.903821639098</v>
      </c>
      <c r="AB652" s="39">
        <f>AA652*(1-Inputs!$D$19)</f>
        <v>30746.942292983458</v>
      </c>
      <c r="AC652" s="39">
        <f t="shared" si="40"/>
        <v>374493.98888877488</v>
      </c>
      <c r="AD652" s="39">
        <f t="shared" si="41"/>
        <v>145684.06372319459</v>
      </c>
      <c r="AE652" s="36">
        <f t="shared" si="42"/>
        <v>2.0453882462654369</v>
      </c>
      <c r="AF652" s="35">
        <f>IF(AND(AE652&lt;=Inputs!$D$35,C652&gt;=Inputs!$D$48*(A652+B652+C652),B652*Inputs!$D$22&lt;=Inputs!$D$50*Inputs!$D$8,B652*Inputs!$D$22&gt;=Inputs!$D$49*Inputs!$D$8,A652*Inputs!$D$20&lt;=Inputs!$D$47*Inputs!$D$8,C652&gt;=1),1,0)</f>
        <v>0</v>
      </c>
      <c r="AG652" s="39">
        <f t="shared" si="43"/>
        <v>-1</v>
      </c>
    </row>
    <row r="653" spans="1:33" x14ac:dyDescent="0.25">
      <c r="A653" s="35">
        <v>52</v>
      </c>
      <c r="B653" s="35">
        <v>10</v>
      </c>
      <c r="C653" s="35">
        <f>Inputs!$D$8-A653-Inputs!$D$22*B653</f>
        <v>48</v>
      </c>
      <c r="D653" s="35">
        <f>A653*Inputs!$D$20+C653*Inputs!$D$21+B653*Inputs!$D$22</f>
        <v>120</v>
      </c>
      <c r="E653" s="36">
        <f>MIN(Inputs!$E$15,Inputs!$D$15*(C653/Inputs!$D$43)^Inputs!$D$44)</f>
        <v>0.39525168457966786</v>
      </c>
      <c r="F653" s="36">
        <f>MIN(Inputs!$E$16,Inputs!$D$16*(B653/Inputs!$D$42)^Inputs!$D$44)</f>
        <v>0.32490095854249423</v>
      </c>
      <c r="G653" s="37">
        <f>Inputs!$D$26*(1+Inputs!$D$41*(B653-Inputs!$D$42))</f>
        <v>1.35</v>
      </c>
      <c r="H653" s="35">
        <f>Inputs!$D$6*Inputs!$D$14*G653*Inputs!$D$29</f>
        <v>1696.1805000000004</v>
      </c>
      <c r="I653" s="36">
        <f>H653/(A653*Inputs!$D$32)</f>
        <v>0.59307010489510503</v>
      </c>
      <c r="J653" s="38">
        <f>IF(I653&gt;=1,999,I653/(Inputs!$D$32*(1-I653))*60)</f>
        <v>1.5899189928272626</v>
      </c>
      <c r="K653" s="37">
        <f>MIN(1,MAX(0,(J653-Inputs!$D$36)/(Inputs!$D$37-Inputs!$D$36)))</f>
        <v>0</v>
      </c>
      <c r="L653" s="35">
        <f>Inputs!$D$6*Inputs!$D$14*G653*(1-Inputs!$D$38*K653)</f>
        <v>11307.870000000003</v>
      </c>
      <c r="M653" s="39">
        <f>L653*Inputs!$D$11</f>
        <v>243119.20500000005</v>
      </c>
      <c r="N653" s="39">
        <f>M653*(1-Inputs!$D$17)</f>
        <v>85091.721750000012</v>
      </c>
      <c r="O653" s="35">
        <f>Inputs!$D$6*E653*Inputs!$D$27*Inputs!$D$30</f>
        <v>563.88818731569074</v>
      </c>
      <c r="P653" s="36">
        <f>O653/(C653*Inputs!$D$33)</f>
        <v>0.29369176422692228</v>
      </c>
      <c r="Q653" s="38">
        <f>IF(P653&gt;=1,999,P653/(Inputs!$D$33*(1-P653))*60)</f>
        <v>0.62371868828373556</v>
      </c>
      <c r="R653" s="37">
        <f>MIN(1,MAX(0,(Q653-Inputs!$D$36)/(Inputs!$D$37-Inputs!$D$36)))</f>
        <v>0</v>
      </c>
      <c r="S653" s="35">
        <f>Inputs!$D$6*E653*Inputs!$D$27*(1-Inputs!$D$38*R653)</f>
        <v>4699.0682276307562</v>
      </c>
      <c r="T653" s="39">
        <f>S653*Inputs!$D$12</f>
        <v>75185.091642092098</v>
      </c>
      <c r="U653" s="39">
        <f>T653*(1-Inputs!$D$18)</f>
        <v>33833.291238941441</v>
      </c>
      <c r="V653" s="35">
        <f>Inputs!$D$6*F653*Inputs!$D$28*Inputs!$D$31</f>
        <v>547.7986113486553</v>
      </c>
      <c r="W653" s="36">
        <f>V653/(B653*Inputs!$D$34)</f>
        <v>1.5651388895675866</v>
      </c>
      <c r="X653" s="38">
        <f>IF(W653&gt;=1,999,W653/(Inputs!$D$34*(1-W653))*60)</f>
        <v>999</v>
      </c>
      <c r="Y653" s="37">
        <f>MIN(1,MAX(0,(X653-Inputs!$D$36)/(Inputs!$D$37-Inputs!$D$36)))</f>
        <v>1</v>
      </c>
      <c r="Z653" s="35">
        <f>Inputs!$D$6*F653*Inputs!$D$28*(1-Inputs!$D$38*Y653)</f>
        <v>2317.6095095520031</v>
      </c>
      <c r="AA653" s="39">
        <f>Z653*Inputs!$D$13</f>
        <v>19699.680831192025</v>
      </c>
      <c r="AB653" s="39">
        <f>AA653*(1-Inputs!$D$19)</f>
        <v>11819.808498715214</v>
      </c>
      <c r="AC653" s="39">
        <f t="shared" si="40"/>
        <v>338003.97747328418</v>
      </c>
      <c r="AD653" s="39">
        <f t="shared" si="41"/>
        <v>130744.82148765666</v>
      </c>
      <c r="AE653" s="36">
        <f t="shared" si="42"/>
        <v>1.5651388895675866</v>
      </c>
      <c r="AF653" s="35">
        <f>IF(AND(AE653&lt;=Inputs!$D$35,C653&gt;=Inputs!$D$48*(A653+B653+C653),B653*Inputs!$D$22&lt;=Inputs!$D$50*Inputs!$D$8,B653*Inputs!$D$22&gt;=Inputs!$D$49*Inputs!$D$8,A653*Inputs!$D$20&lt;=Inputs!$D$47*Inputs!$D$8,C653&gt;=1),1,0)</f>
        <v>0</v>
      </c>
      <c r="AG653" s="39">
        <f t="shared" si="43"/>
        <v>-1</v>
      </c>
    </row>
    <row r="654" spans="1:33" x14ac:dyDescent="0.25">
      <c r="A654" s="35">
        <v>52</v>
      </c>
      <c r="B654" s="35">
        <v>11</v>
      </c>
      <c r="C654" s="35">
        <f>Inputs!$D$8-A654-Inputs!$D$22*B654</f>
        <v>46</v>
      </c>
      <c r="D654" s="35">
        <f>A654*Inputs!$D$20+C654*Inputs!$D$21+B654*Inputs!$D$22</f>
        <v>120</v>
      </c>
      <c r="E654" s="36">
        <f>MIN(Inputs!$E$15,Inputs!$D$15*(C654/Inputs!$D$43)^Inputs!$D$44)</f>
        <v>0.39023723685630041</v>
      </c>
      <c r="F654" s="36">
        <f>MIN(Inputs!$E$16,Inputs!$D$16*(B654/Inputs!$D$42)^Inputs!$D$44)</f>
        <v>0.33432495758166098</v>
      </c>
      <c r="G654" s="37">
        <f>Inputs!$D$26*(1+Inputs!$D$41*(B654-Inputs!$D$42))</f>
        <v>1.365</v>
      </c>
      <c r="H654" s="35">
        <f>Inputs!$D$6*Inputs!$D$14*G654*Inputs!$D$29</f>
        <v>1715.0269500000002</v>
      </c>
      <c r="I654" s="36">
        <f>H654/(A654*Inputs!$D$32)</f>
        <v>0.59965977272727278</v>
      </c>
      <c r="J654" s="38">
        <f>IF(I654&gt;=1,999,I654/(Inputs!$D$32*(1-I654))*60)</f>
        <v>1.6340458763715804</v>
      </c>
      <c r="K654" s="37">
        <f>MIN(1,MAX(0,(J654-Inputs!$D$36)/(Inputs!$D$37-Inputs!$D$36)))</f>
        <v>0</v>
      </c>
      <c r="L654" s="35">
        <f>Inputs!$D$6*Inputs!$D$14*G654*(1-Inputs!$D$38*K654)</f>
        <v>11433.513000000001</v>
      </c>
      <c r="M654" s="39">
        <f>L654*Inputs!$D$11</f>
        <v>245820.5295</v>
      </c>
      <c r="N654" s="39">
        <f>M654*(1-Inputs!$D$17)</f>
        <v>86037.185324999999</v>
      </c>
      <c r="O654" s="35">
        <f>Inputs!$D$6*E654*Inputs!$D$27*Inputs!$D$30</f>
        <v>556.73429538446214</v>
      </c>
      <c r="P654" s="36">
        <f>O654/(C654*Inputs!$D$33)</f>
        <v>0.30257298662199028</v>
      </c>
      <c r="Q654" s="38">
        <f>IF(P654&gt;=1,999,P654/(Inputs!$D$33*(1-P654))*60)</f>
        <v>0.65076269090109196</v>
      </c>
      <c r="R654" s="37">
        <f>MIN(1,MAX(0,(Q654-Inputs!$D$36)/(Inputs!$D$37-Inputs!$D$36)))</f>
        <v>0</v>
      </c>
      <c r="S654" s="35">
        <f>Inputs!$D$6*E654*Inputs!$D$27*(1-Inputs!$D$38*R654)</f>
        <v>4639.4524615371847</v>
      </c>
      <c r="T654" s="39">
        <f>S654*Inputs!$D$12</f>
        <v>74231.239384594955</v>
      </c>
      <c r="U654" s="39">
        <f>T654*(1-Inputs!$D$18)</f>
        <v>33404.05772306773</v>
      </c>
      <c r="V654" s="35">
        <f>Inputs!$D$6*F654*Inputs!$D$28*Inputs!$D$31</f>
        <v>563.68792608064427</v>
      </c>
      <c r="W654" s="36">
        <f>V654/(B654*Inputs!$D$34)</f>
        <v>1.4641244833263487</v>
      </c>
      <c r="X654" s="38">
        <f>IF(W654&gt;=1,999,W654/(Inputs!$D$34*(1-W654))*60)</f>
        <v>999</v>
      </c>
      <c r="Y654" s="37">
        <f>MIN(1,MAX(0,(X654-Inputs!$D$36)/(Inputs!$D$37-Inputs!$D$36)))</f>
        <v>1</v>
      </c>
      <c r="Z654" s="35">
        <f>Inputs!$D$6*F654*Inputs!$D$28*(1-Inputs!$D$38*Y654)</f>
        <v>2384.8335334181106</v>
      </c>
      <c r="AA654" s="39">
        <f>Z654*Inputs!$D$13</f>
        <v>20271.08503405394</v>
      </c>
      <c r="AB654" s="39">
        <f>AA654*(1-Inputs!$D$19)</f>
        <v>12162.651020432364</v>
      </c>
      <c r="AC654" s="39">
        <f t="shared" si="40"/>
        <v>340322.85391864891</v>
      </c>
      <c r="AD654" s="39">
        <f t="shared" si="41"/>
        <v>131603.89406850009</v>
      </c>
      <c r="AE654" s="36">
        <f t="shared" si="42"/>
        <v>1.4641244833263487</v>
      </c>
      <c r="AF654" s="35">
        <f>IF(AND(AE654&lt;=Inputs!$D$35,C654&gt;=Inputs!$D$48*(A654+B654+C654),B654*Inputs!$D$22&lt;=Inputs!$D$50*Inputs!$D$8,B654*Inputs!$D$22&gt;=Inputs!$D$49*Inputs!$D$8,A654*Inputs!$D$20&lt;=Inputs!$D$47*Inputs!$D$8,C654&gt;=1),1,0)</f>
        <v>0</v>
      </c>
      <c r="AG654" s="39">
        <f t="shared" si="43"/>
        <v>-1</v>
      </c>
    </row>
    <row r="655" spans="1:33" x14ac:dyDescent="0.25">
      <c r="A655" s="35">
        <v>52</v>
      </c>
      <c r="B655" s="35">
        <v>12</v>
      </c>
      <c r="C655" s="35">
        <f>Inputs!$D$8-A655-Inputs!$D$22*B655</f>
        <v>44</v>
      </c>
      <c r="D655" s="35">
        <f>A655*Inputs!$D$20+C655*Inputs!$D$21+B655*Inputs!$D$22</f>
        <v>120</v>
      </c>
      <c r="E655" s="36">
        <f>MIN(Inputs!$E$15,Inputs!$D$15*(C655/Inputs!$D$43)^Inputs!$D$44)</f>
        <v>0.38506776240403751</v>
      </c>
      <c r="F655" s="36">
        <f>MIN(Inputs!$E$16,Inputs!$D$16*(B655/Inputs!$D$42)^Inputs!$D$44)</f>
        <v>0.34316688017763797</v>
      </c>
      <c r="G655" s="37">
        <f>Inputs!$D$26*(1+Inputs!$D$41*(B655-Inputs!$D$42))</f>
        <v>1.3800000000000001</v>
      </c>
      <c r="H655" s="35">
        <f>Inputs!$D$6*Inputs!$D$14*G655*Inputs!$D$29</f>
        <v>1733.8734000000004</v>
      </c>
      <c r="I655" s="36">
        <f>H655/(A655*Inputs!$D$32)</f>
        <v>0.60624944055944074</v>
      </c>
      <c r="J655" s="38">
        <f>IF(I655&gt;=1,999,I655/(Inputs!$D$32*(1-I655))*60)</f>
        <v>1.679649743239753</v>
      </c>
      <c r="K655" s="37">
        <f>MIN(1,MAX(0,(J655-Inputs!$D$36)/(Inputs!$D$37-Inputs!$D$36)))</f>
        <v>0</v>
      </c>
      <c r="L655" s="35">
        <f>Inputs!$D$6*Inputs!$D$14*G655*(1-Inputs!$D$38*K655)</f>
        <v>11559.156000000003</v>
      </c>
      <c r="M655" s="39">
        <f>L655*Inputs!$D$11</f>
        <v>248521.85400000005</v>
      </c>
      <c r="N655" s="39">
        <f>M655*(1-Inputs!$D$17)</f>
        <v>86982.648900000015</v>
      </c>
      <c r="O655" s="35">
        <f>Inputs!$D$6*E655*Inputs!$D$27*Inputs!$D$30</f>
        <v>549.35923364029463</v>
      </c>
      <c r="P655" s="36">
        <f>O655/(C655*Inputs!$D$33)</f>
        <v>0.31213592820471286</v>
      </c>
      <c r="Q655" s="38">
        <f>IF(P655&gt;=1,999,P655/(Inputs!$D$33*(1-P655))*60)</f>
        <v>0.6806633919476025</v>
      </c>
      <c r="R655" s="37">
        <f>MIN(1,MAX(0,(Q655-Inputs!$D$36)/(Inputs!$D$37-Inputs!$D$36)))</f>
        <v>0</v>
      </c>
      <c r="S655" s="35">
        <f>Inputs!$D$6*E655*Inputs!$D$27*(1-Inputs!$D$38*R655)</f>
        <v>4577.9936136691222</v>
      </c>
      <c r="T655" s="39">
        <f>S655*Inputs!$D$12</f>
        <v>73247.897818705955</v>
      </c>
      <c r="U655" s="39">
        <f>T655*(1-Inputs!$D$18)</f>
        <v>32961.554018417679</v>
      </c>
      <c r="V655" s="35">
        <f>Inputs!$D$6*F655*Inputs!$D$28*Inputs!$D$31</f>
        <v>578.5958319897461</v>
      </c>
      <c r="W655" s="36">
        <f>V655/(B655*Inputs!$D$34)</f>
        <v>1.3776091237851098</v>
      </c>
      <c r="X655" s="38">
        <f>IF(W655&gt;=1,999,W655/(Inputs!$D$34*(1-W655))*60)</f>
        <v>999</v>
      </c>
      <c r="Y655" s="37">
        <f>MIN(1,MAX(0,(X655-Inputs!$D$36)/(Inputs!$D$37-Inputs!$D$36)))</f>
        <v>1</v>
      </c>
      <c r="Z655" s="35">
        <f>Inputs!$D$6*F655*Inputs!$D$28*(1-Inputs!$D$38*Y655)</f>
        <v>2447.9054430335414</v>
      </c>
      <c r="AA655" s="39">
        <f>Z655*Inputs!$D$13</f>
        <v>20807.1962657851</v>
      </c>
      <c r="AB655" s="39">
        <f>AA655*(1-Inputs!$D$19)</f>
        <v>12484.31775947106</v>
      </c>
      <c r="AC655" s="39">
        <f t="shared" si="40"/>
        <v>342576.94808449107</v>
      </c>
      <c r="AD655" s="39">
        <f t="shared" si="41"/>
        <v>132428.52067788877</v>
      </c>
      <c r="AE655" s="36">
        <f t="shared" si="42"/>
        <v>1.3776091237851098</v>
      </c>
      <c r="AF655" s="35">
        <f>IF(AND(AE655&lt;=Inputs!$D$35,C655&gt;=Inputs!$D$48*(A655+B655+C655),B655*Inputs!$D$22&lt;=Inputs!$D$50*Inputs!$D$8,B655*Inputs!$D$22&gt;=Inputs!$D$49*Inputs!$D$8,A655*Inputs!$D$20&lt;=Inputs!$D$47*Inputs!$D$8,C655&gt;=1),1,0)</f>
        <v>0</v>
      </c>
      <c r="AG655" s="39">
        <f t="shared" si="43"/>
        <v>-1</v>
      </c>
    </row>
    <row r="656" spans="1:33" x14ac:dyDescent="0.25">
      <c r="A656" s="35">
        <v>52</v>
      </c>
      <c r="B656" s="35">
        <v>13</v>
      </c>
      <c r="C656" s="35">
        <f>Inputs!$D$8-A656-Inputs!$D$22*B656</f>
        <v>42</v>
      </c>
      <c r="D656" s="35">
        <f>A656*Inputs!$D$20+C656*Inputs!$D$21+B656*Inputs!$D$22</f>
        <v>120</v>
      </c>
      <c r="E656" s="36">
        <f>MIN(Inputs!$E$15,Inputs!$D$15*(C656/Inputs!$D$43)^Inputs!$D$44)</f>
        <v>0.37973108090036384</v>
      </c>
      <c r="F656" s="36">
        <f>MIN(Inputs!$E$16,Inputs!$D$16*(B656/Inputs!$D$42)^Inputs!$D$44)</f>
        <v>0.35150701637190523</v>
      </c>
      <c r="G656" s="37">
        <f>Inputs!$D$26*(1+Inputs!$D$41*(B656-Inputs!$D$42))</f>
        <v>1.395</v>
      </c>
      <c r="H656" s="35">
        <f>Inputs!$D$6*Inputs!$D$14*G656*Inputs!$D$29</f>
        <v>1752.7198500000002</v>
      </c>
      <c r="I656" s="36">
        <f>H656/(A656*Inputs!$D$32)</f>
        <v>0.61283910839160849</v>
      </c>
      <c r="J656" s="38">
        <f>IF(I656&gt;=1,999,I656/(Inputs!$D$32*(1-I656))*60)</f>
        <v>1.7268060103685763</v>
      </c>
      <c r="K656" s="37">
        <f>MIN(1,MAX(0,(J656-Inputs!$D$36)/(Inputs!$D$37-Inputs!$D$36)))</f>
        <v>0</v>
      </c>
      <c r="L656" s="35">
        <f>Inputs!$D$6*Inputs!$D$14*G656*(1-Inputs!$D$38*K656)</f>
        <v>11684.799000000001</v>
      </c>
      <c r="M656" s="39">
        <f>L656*Inputs!$D$11</f>
        <v>251223.17850000001</v>
      </c>
      <c r="N656" s="39">
        <f>M656*(1-Inputs!$D$17)</f>
        <v>87928.112475000002</v>
      </c>
      <c r="O656" s="35">
        <f>Inputs!$D$6*E656*Inputs!$D$27*Inputs!$D$30</f>
        <v>541.74562495298949</v>
      </c>
      <c r="P656" s="36">
        <f>O656/(C656*Inputs!$D$33)</f>
        <v>0.32246763390058897</v>
      </c>
      <c r="Q656" s="38">
        <f>IF(P656&gt;=1,999,P656/(Inputs!$D$33*(1-P656))*60)</f>
        <v>0.71391637514762252</v>
      </c>
      <c r="R656" s="37">
        <f>MIN(1,MAX(0,(Q656-Inputs!$D$36)/(Inputs!$D$37-Inputs!$D$36)))</f>
        <v>0</v>
      </c>
      <c r="S656" s="35">
        <f>Inputs!$D$6*E656*Inputs!$D$27*(1-Inputs!$D$38*R656)</f>
        <v>4514.5468746082461</v>
      </c>
      <c r="T656" s="39">
        <f>S656*Inputs!$D$12</f>
        <v>72232.749993731937</v>
      </c>
      <c r="U656" s="39">
        <f>T656*(1-Inputs!$D$18)</f>
        <v>32504.737497179369</v>
      </c>
      <c r="V656" s="35">
        <f>Inputs!$D$6*F656*Inputs!$D$28*Inputs!$D$31</f>
        <v>592.65770193981814</v>
      </c>
      <c r="W656" s="36">
        <f>V656/(B656*Inputs!$D$34)</f>
        <v>1.3025443998677322</v>
      </c>
      <c r="X656" s="38">
        <f>IF(W656&gt;=1,999,W656/(Inputs!$D$34*(1-W656))*60)</f>
        <v>999</v>
      </c>
      <c r="Y656" s="37">
        <f>MIN(1,MAX(0,(X656-Inputs!$D$36)/(Inputs!$D$37-Inputs!$D$36)))</f>
        <v>1</v>
      </c>
      <c r="Z656" s="35">
        <f>Inputs!$D$6*F656*Inputs!$D$28*(1-Inputs!$D$38*Y656)</f>
        <v>2507.3979697453847</v>
      </c>
      <c r="AA656" s="39">
        <f>Z656*Inputs!$D$13</f>
        <v>21312.882742835769</v>
      </c>
      <c r="AB656" s="39">
        <f>AA656*(1-Inputs!$D$19)</f>
        <v>12787.729645701462</v>
      </c>
      <c r="AC656" s="39">
        <f t="shared" si="40"/>
        <v>344768.81123656774</v>
      </c>
      <c r="AD656" s="39">
        <f t="shared" si="41"/>
        <v>133220.57961788084</v>
      </c>
      <c r="AE656" s="36">
        <f t="shared" si="42"/>
        <v>1.3025443998677322</v>
      </c>
      <c r="AF656" s="35">
        <f>IF(AND(AE656&lt;=Inputs!$D$35,C656&gt;=Inputs!$D$48*(A656+B656+C656),B656*Inputs!$D$22&lt;=Inputs!$D$50*Inputs!$D$8,B656*Inputs!$D$22&gt;=Inputs!$D$49*Inputs!$D$8,A656*Inputs!$D$20&lt;=Inputs!$D$47*Inputs!$D$8,C656&gt;=1),1,0)</f>
        <v>0</v>
      </c>
      <c r="AG656" s="39">
        <f t="shared" si="43"/>
        <v>-1</v>
      </c>
    </row>
    <row r="657" spans="1:33" x14ac:dyDescent="0.25">
      <c r="A657" s="35">
        <v>52</v>
      </c>
      <c r="B657" s="35">
        <v>14</v>
      </c>
      <c r="C657" s="35">
        <f>Inputs!$D$8-A657-Inputs!$D$22*B657</f>
        <v>40</v>
      </c>
      <c r="D657" s="35">
        <f>A657*Inputs!$D$20+C657*Inputs!$D$21+B657*Inputs!$D$22</f>
        <v>120</v>
      </c>
      <c r="E657" s="36">
        <f>MIN(Inputs!$E$15,Inputs!$D$15*(C657/Inputs!$D$43)^Inputs!$D$44)</f>
        <v>0.37421341802855551</v>
      </c>
      <c r="F657" s="36">
        <f>MIN(Inputs!$E$16,Inputs!$D$16*(B657/Inputs!$D$42)^Inputs!$D$44)</f>
        <v>0.35940937671625589</v>
      </c>
      <c r="G657" s="37">
        <f>Inputs!$D$26*(1+Inputs!$D$41*(B657-Inputs!$D$42))</f>
        <v>1.41</v>
      </c>
      <c r="H657" s="35">
        <f>Inputs!$D$6*Inputs!$D$14*G657*Inputs!$D$29</f>
        <v>1771.5663000000002</v>
      </c>
      <c r="I657" s="36">
        <f>H657/(A657*Inputs!$D$32)</f>
        <v>0.61942877622377623</v>
      </c>
      <c r="J657" s="38">
        <f>IF(I657&gt;=1,999,I657/(Inputs!$D$32*(1-I657))*60)</f>
        <v>1.7755953181330033</v>
      </c>
      <c r="K657" s="37">
        <f>MIN(1,MAX(0,(J657-Inputs!$D$36)/(Inputs!$D$37-Inputs!$D$36)))</f>
        <v>0</v>
      </c>
      <c r="L657" s="35">
        <f>Inputs!$D$6*Inputs!$D$14*G657*(1-Inputs!$D$38*K657)</f>
        <v>11810.442000000001</v>
      </c>
      <c r="M657" s="39">
        <f>L657*Inputs!$D$11</f>
        <v>253924.50300000003</v>
      </c>
      <c r="N657" s="39">
        <f>M657*(1-Inputs!$D$17)</f>
        <v>88873.576050000003</v>
      </c>
      <c r="O657" s="35">
        <f>Inputs!$D$6*E657*Inputs!$D$27*Inputs!$D$30</f>
        <v>533.8738181109469</v>
      </c>
      <c r="P657" s="36">
        <f>O657/(C657*Inputs!$D$33)</f>
        <v>0.33367113631934181</v>
      </c>
      <c r="Q657" s="38">
        <f>IF(P657&gt;=1,999,P657/(Inputs!$D$33*(1-P657))*60)</f>
        <v>0.75114066305685867</v>
      </c>
      <c r="R657" s="37">
        <f>MIN(1,MAX(0,(Q657-Inputs!$D$36)/(Inputs!$D$37-Inputs!$D$36)))</f>
        <v>0</v>
      </c>
      <c r="S657" s="35">
        <f>Inputs!$D$6*E657*Inputs!$D$27*(1-Inputs!$D$38*R657)</f>
        <v>4448.9484842578913</v>
      </c>
      <c r="T657" s="39">
        <f>S657*Inputs!$D$12</f>
        <v>71183.175748126261</v>
      </c>
      <c r="U657" s="39">
        <f>T657*(1-Inputs!$D$18)</f>
        <v>32032.429086656815</v>
      </c>
      <c r="V657" s="35">
        <f>Inputs!$D$6*F657*Inputs!$D$28*Inputs!$D$31</f>
        <v>605.98146079368973</v>
      </c>
      <c r="W657" s="36">
        <f>V657/(B657*Inputs!$D$34)</f>
        <v>1.2366968587626321</v>
      </c>
      <c r="X657" s="38">
        <f>IF(W657&gt;=1,999,W657/(Inputs!$D$34*(1-W657))*60)</f>
        <v>999</v>
      </c>
      <c r="Y657" s="37">
        <f>MIN(1,MAX(0,(X657-Inputs!$D$36)/(Inputs!$D$37-Inputs!$D$36)))</f>
        <v>1</v>
      </c>
      <c r="Z657" s="35">
        <f>Inputs!$D$6*F657*Inputs!$D$28*(1-Inputs!$D$38*Y657)</f>
        <v>2563.7677187425338</v>
      </c>
      <c r="AA657" s="39">
        <f>Z657*Inputs!$D$13</f>
        <v>21792.025609311539</v>
      </c>
      <c r="AB657" s="39">
        <f>AA657*(1-Inputs!$D$19)</f>
        <v>13075.215365586922</v>
      </c>
      <c r="AC657" s="39">
        <f t="shared" si="40"/>
        <v>346899.70435743779</v>
      </c>
      <c r="AD657" s="39">
        <f t="shared" si="41"/>
        <v>133981.22050224376</v>
      </c>
      <c r="AE657" s="36">
        <f t="shared" si="42"/>
        <v>1.2366968587626321</v>
      </c>
      <c r="AF657" s="35">
        <f>IF(AND(AE657&lt;=Inputs!$D$35,C657&gt;=Inputs!$D$48*(A657+B657+C657),B657*Inputs!$D$22&lt;=Inputs!$D$50*Inputs!$D$8,B657*Inputs!$D$22&gt;=Inputs!$D$49*Inputs!$D$8,A657*Inputs!$D$20&lt;=Inputs!$D$47*Inputs!$D$8,C657&gt;=1),1,0)</f>
        <v>0</v>
      </c>
      <c r="AG657" s="39">
        <f t="shared" si="43"/>
        <v>-1</v>
      </c>
    </row>
    <row r="658" spans="1:33" x14ac:dyDescent="0.25">
      <c r="A658" s="35">
        <v>52</v>
      </c>
      <c r="B658" s="35">
        <v>15</v>
      </c>
      <c r="C658" s="35">
        <f>Inputs!$D$8-A658-Inputs!$D$22*B658</f>
        <v>38</v>
      </c>
      <c r="D658" s="35">
        <f>A658*Inputs!$D$20+C658*Inputs!$D$21+B658*Inputs!$D$22</f>
        <v>120</v>
      </c>
      <c r="E658" s="36">
        <f>MIN(Inputs!$E$15,Inputs!$D$15*(C658/Inputs!$D$43)^Inputs!$D$44)</f>
        <v>0.36849910497273691</v>
      </c>
      <c r="F658" s="36">
        <f>MIN(Inputs!$E$16,Inputs!$D$16*(B658/Inputs!$D$42)^Inputs!$D$44)</f>
        <v>0.36692590185696072</v>
      </c>
      <c r="G658" s="37">
        <f>Inputs!$D$26*(1+Inputs!$D$41*(B658-Inputs!$D$42))</f>
        <v>1.4249999999999998</v>
      </c>
      <c r="H658" s="35">
        <f>Inputs!$D$6*Inputs!$D$14*G658*Inputs!$D$29</f>
        <v>1790.4127499999997</v>
      </c>
      <c r="I658" s="36">
        <f>H658/(A658*Inputs!$D$32)</f>
        <v>0.62601844405594398</v>
      </c>
      <c r="J658" s="38">
        <f>IF(I658&gt;=1,999,I658/(Inputs!$D$32*(1-I658))*60)</f>
        <v>1.8261039905389158</v>
      </c>
      <c r="K658" s="37">
        <f>MIN(1,MAX(0,(J658-Inputs!$D$36)/(Inputs!$D$37-Inputs!$D$36)))</f>
        <v>0</v>
      </c>
      <c r="L658" s="35">
        <f>Inputs!$D$6*Inputs!$D$14*G658*(1-Inputs!$D$38*K658)</f>
        <v>11936.084999999999</v>
      </c>
      <c r="M658" s="39">
        <f>L658*Inputs!$D$11</f>
        <v>256625.82749999998</v>
      </c>
      <c r="N658" s="39">
        <f>M658*(1-Inputs!$D$17)</f>
        <v>89819.03962499999</v>
      </c>
      <c r="O658" s="35">
        <f>Inputs!$D$6*E658*Inputs!$D$27*Inputs!$D$30</f>
        <v>525.72145910398501</v>
      </c>
      <c r="P658" s="36">
        <f>O658/(C658*Inputs!$D$33)</f>
        <v>0.34586938098946385</v>
      </c>
      <c r="Q658" s="38">
        <f>IF(P658&gt;=1,999,P658/(Inputs!$D$33*(1-P658))*60)</f>
        <v>0.79311999225622454</v>
      </c>
      <c r="R658" s="37">
        <f>MIN(1,MAX(0,(Q658-Inputs!$D$36)/(Inputs!$D$37-Inputs!$D$36)))</f>
        <v>0</v>
      </c>
      <c r="S658" s="35">
        <f>Inputs!$D$6*E658*Inputs!$D$27*(1-Inputs!$D$38*R658)</f>
        <v>4381.012159199875</v>
      </c>
      <c r="T658" s="39">
        <f>S658*Inputs!$D$12</f>
        <v>70096.194547198</v>
      </c>
      <c r="U658" s="39">
        <f>T658*(1-Inputs!$D$18)</f>
        <v>31543.287546239098</v>
      </c>
      <c r="V658" s="35">
        <f>Inputs!$D$6*F658*Inputs!$D$28*Inputs!$D$31</f>
        <v>618.65468297412497</v>
      </c>
      <c r="W658" s="36">
        <f>V658/(B658*Inputs!$D$34)</f>
        <v>1.1783898723316666</v>
      </c>
      <c r="X658" s="38">
        <f>IF(W658&gt;=1,999,W658/(Inputs!$D$34*(1-W658))*60)</f>
        <v>999</v>
      </c>
      <c r="Y658" s="37">
        <f>MIN(1,MAX(0,(X658-Inputs!$D$36)/(Inputs!$D$37-Inputs!$D$36)))</f>
        <v>1</v>
      </c>
      <c r="Z658" s="35">
        <f>Inputs!$D$6*F658*Inputs!$D$28*(1-Inputs!$D$38*Y658)</f>
        <v>2617.3851971982212</v>
      </c>
      <c r="AA658" s="39">
        <f>Z658*Inputs!$D$13</f>
        <v>22247.774176184881</v>
      </c>
      <c r="AB658" s="39">
        <f>AA658*(1-Inputs!$D$19)</f>
        <v>13348.664505710929</v>
      </c>
      <c r="AC658" s="39">
        <f t="shared" si="40"/>
        <v>348969.79622338287</v>
      </c>
      <c r="AD658" s="39">
        <f t="shared" si="41"/>
        <v>134710.99167695001</v>
      </c>
      <c r="AE658" s="36">
        <f t="shared" si="42"/>
        <v>1.1783898723316666</v>
      </c>
      <c r="AF658" s="35">
        <f>IF(AND(AE658&lt;=Inputs!$D$35,C658&gt;=Inputs!$D$48*(A658+B658+C658),B658*Inputs!$D$22&lt;=Inputs!$D$50*Inputs!$D$8,B658*Inputs!$D$22&gt;=Inputs!$D$49*Inputs!$D$8,A658*Inputs!$D$20&lt;=Inputs!$D$47*Inputs!$D$8,C658&gt;=1),1,0)</f>
        <v>0</v>
      </c>
      <c r="AG658" s="39">
        <f t="shared" si="43"/>
        <v>-1</v>
      </c>
    </row>
    <row r="659" spans="1:33" x14ac:dyDescent="0.25">
      <c r="A659" s="35">
        <v>52</v>
      </c>
      <c r="B659" s="35">
        <v>16</v>
      </c>
      <c r="C659" s="35">
        <f>Inputs!$D$8-A659-Inputs!$D$22*B659</f>
        <v>36</v>
      </c>
      <c r="D659" s="35">
        <f>A659*Inputs!$D$20+C659*Inputs!$D$21+B659*Inputs!$D$22</f>
        <v>120</v>
      </c>
      <c r="E659" s="36">
        <f>MIN(Inputs!$E$15,Inputs!$D$15*(C659/Inputs!$D$43)^Inputs!$D$44)</f>
        <v>0.36257020206219398</v>
      </c>
      <c r="F659" s="36">
        <f>MIN(Inputs!$E$16,Inputs!$D$16*(B659/Inputs!$D$42)^Inputs!$D$44)</f>
        <v>0.37409937912904856</v>
      </c>
      <c r="G659" s="37">
        <f>Inputs!$D$26*(1+Inputs!$D$41*(B659-Inputs!$D$42))</f>
        <v>1.44</v>
      </c>
      <c r="H659" s="35">
        <f>Inputs!$D$6*Inputs!$D$14*G659*Inputs!$D$29</f>
        <v>1809.2592000000002</v>
      </c>
      <c r="I659" s="36">
        <f>H659/(A659*Inputs!$D$32)</f>
        <v>0.63260811188811195</v>
      </c>
      <c r="J659" s="38">
        <f>IF(I659&gt;=1,999,I659/(Inputs!$D$32*(1-I659))*60)</f>
        <v>1.8784245449409691</v>
      </c>
      <c r="K659" s="37">
        <f>MIN(1,MAX(0,(J659-Inputs!$D$36)/(Inputs!$D$37-Inputs!$D$36)))</f>
        <v>0</v>
      </c>
      <c r="L659" s="35">
        <f>Inputs!$D$6*Inputs!$D$14*G659*(1-Inputs!$D$38*K659)</f>
        <v>12061.728000000001</v>
      </c>
      <c r="M659" s="39">
        <f>L659*Inputs!$D$11</f>
        <v>259327.15200000003</v>
      </c>
      <c r="N659" s="39">
        <f>M659*(1-Inputs!$D$17)</f>
        <v>90764.503200000006</v>
      </c>
      <c r="O659" s="35">
        <f>Inputs!$D$6*E659*Inputs!$D$27*Inputs!$D$30</f>
        <v>517.26295419324151</v>
      </c>
      <c r="P659" s="36">
        <f>O659/(C659*Inputs!$D$33)</f>
        <v>0.35921038485641771</v>
      </c>
      <c r="Q659" s="38">
        <f>IF(P659&gt;=1,999,P659/(Inputs!$D$33*(1-P659))*60)</f>
        <v>0.84086190623406665</v>
      </c>
      <c r="R659" s="37">
        <f>MIN(1,MAX(0,(Q659-Inputs!$D$36)/(Inputs!$D$37-Inputs!$D$36)))</f>
        <v>0</v>
      </c>
      <c r="S659" s="35">
        <f>Inputs!$D$6*E659*Inputs!$D$27*(1-Inputs!$D$38*R659)</f>
        <v>4310.5246182770125</v>
      </c>
      <c r="T659" s="39">
        <f>S659*Inputs!$D$12</f>
        <v>68968.393892432199</v>
      </c>
      <c r="U659" s="39">
        <f>T659*(1-Inputs!$D$18)</f>
        <v>31035.777251594485</v>
      </c>
      <c r="V659" s="35">
        <f>Inputs!$D$6*F659*Inputs!$D$28*Inputs!$D$31</f>
        <v>630.74950998177405</v>
      </c>
      <c r="W659" s="36">
        <f>V659/(B659*Inputs!$D$34)</f>
        <v>1.1263384106817393</v>
      </c>
      <c r="X659" s="38">
        <f>IF(W659&gt;=1,999,W659/(Inputs!$D$34*(1-W659))*60)</f>
        <v>999</v>
      </c>
      <c r="Y659" s="37">
        <f>MIN(1,MAX(0,(X659-Inputs!$D$36)/(Inputs!$D$37-Inputs!$D$36)))</f>
        <v>1</v>
      </c>
      <c r="Z659" s="35">
        <f>Inputs!$D$6*F659*Inputs!$D$28*(1-Inputs!$D$38*Y659)</f>
        <v>2668.5556191536598</v>
      </c>
      <c r="AA659" s="39">
        <f>Z659*Inputs!$D$13</f>
        <v>22682.722762806108</v>
      </c>
      <c r="AB659" s="39">
        <f>AA659*(1-Inputs!$D$19)</f>
        <v>13609.633657683664</v>
      </c>
      <c r="AC659" s="39">
        <f t="shared" si="40"/>
        <v>350978.26865523832</v>
      </c>
      <c r="AD659" s="39">
        <f t="shared" si="41"/>
        <v>135409.91410927815</v>
      </c>
      <c r="AE659" s="36">
        <f t="shared" si="42"/>
        <v>1.1263384106817393</v>
      </c>
      <c r="AF659" s="35">
        <f>IF(AND(AE659&lt;=Inputs!$D$35,C659&gt;=Inputs!$D$48*(A659+B659+C659),B659*Inputs!$D$22&lt;=Inputs!$D$50*Inputs!$D$8,B659*Inputs!$D$22&gt;=Inputs!$D$49*Inputs!$D$8,A659*Inputs!$D$20&lt;=Inputs!$D$47*Inputs!$D$8,C659&gt;=1),1,0)</f>
        <v>0</v>
      </c>
      <c r="AG659" s="39">
        <f t="shared" si="43"/>
        <v>-1</v>
      </c>
    </row>
    <row r="660" spans="1:33" x14ac:dyDescent="0.25">
      <c r="A660" s="35">
        <v>52</v>
      </c>
      <c r="B660" s="35">
        <v>17</v>
      </c>
      <c r="C660" s="35">
        <f>Inputs!$D$8-A660-Inputs!$D$22*B660</f>
        <v>34</v>
      </c>
      <c r="D660" s="35">
        <f>A660*Inputs!$D$20+C660*Inputs!$D$21+B660*Inputs!$D$22</f>
        <v>120</v>
      </c>
      <c r="E660" s="36">
        <f>MIN(Inputs!$E$15,Inputs!$D$15*(C660/Inputs!$D$43)^Inputs!$D$44)</f>
        <v>0.35640602201959876</v>
      </c>
      <c r="F660" s="36">
        <f>MIN(Inputs!$E$16,Inputs!$D$16*(B660/Inputs!$D$42)^Inputs!$D$44)</f>
        <v>0.3809655184437048</v>
      </c>
      <c r="G660" s="37">
        <f>Inputs!$D$26*(1+Inputs!$D$41*(B660-Inputs!$D$42))</f>
        <v>1.4550000000000001</v>
      </c>
      <c r="H660" s="35">
        <f>Inputs!$D$6*Inputs!$D$14*G660*Inputs!$D$29</f>
        <v>1828.1056500000002</v>
      </c>
      <c r="I660" s="36">
        <f>H660/(A660*Inputs!$D$32)</f>
        <v>0.6391977797202798</v>
      </c>
      <c r="J660" s="38">
        <f>IF(I660&gt;=1,999,I660/(Inputs!$D$32*(1-I660))*60)</f>
        <v>1.932656257617142</v>
      </c>
      <c r="K660" s="37">
        <f>MIN(1,MAX(0,(J660-Inputs!$D$36)/(Inputs!$D$37-Inputs!$D$36)))</f>
        <v>0</v>
      </c>
      <c r="L660" s="35">
        <f>Inputs!$D$6*Inputs!$D$14*G660*(1-Inputs!$D$38*K660)</f>
        <v>12187.371000000001</v>
      </c>
      <c r="M660" s="39">
        <f>L660*Inputs!$D$11</f>
        <v>262028.47650000002</v>
      </c>
      <c r="N660" s="39">
        <f>M660*(1-Inputs!$D$17)</f>
        <v>91709.966775000008</v>
      </c>
      <c r="O660" s="35">
        <f>Inputs!$D$6*E660*Inputs!$D$27*Inputs!$D$30</f>
        <v>508.46878975039266</v>
      </c>
      <c r="P660" s="36">
        <f>O660/(C660*Inputs!$D$33)</f>
        <v>0.37387411011058286</v>
      </c>
      <c r="Q660" s="38">
        <f>IF(P660&gt;=1,999,P660/(Inputs!$D$33*(1-P660))*60)</f>
        <v>0.89568435712652228</v>
      </c>
      <c r="R660" s="37">
        <f>MIN(1,MAX(0,(Q660-Inputs!$D$36)/(Inputs!$D$37-Inputs!$D$36)))</f>
        <v>0</v>
      </c>
      <c r="S660" s="35">
        <f>Inputs!$D$6*E660*Inputs!$D$27*(1-Inputs!$D$38*R660)</f>
        <v>4237.2399145866057</v>
      </c>
      <c r="T660" s="39">
        <f>S660*Inputs!$D$12</f>
        <v>67795.838633385691</v>
      </c>
      <c r="U660" s="39">
        <f>T660*(1-Inputs!$D$18)</f>
        <v>30508.127385023559</v>
      </c>
      <c r="V660" s="35">
        <f>Inputs!$D$6*F660*Inputs!$D$28*Inputs!$D$31</f>
        <v>642.32615044097156</v>
      </c>
      <c r="W660" s="36">
        <f>V660/(B660*Inputs!$D$34)</f>
        <v>1.0795397486402882</v>
      </c>
      <c r="X660" s="38">
        <f>IF(W660&gt;=1,999,W660/(Inputs!$D$34*(1-W660))*60)</f>
        <v>999</v>
      </c>
      <c r="Y660" s="37">
        <f>MIN(1,MAX(0,(X660-Inputs!$D$36)/(Inputs!$D$37-Inputs!$D$36)))</f>
        <v>1</v>
      </c>
      <c r="Z660" s="35">
        <f>Inputs!$D$6*F660*Inputs!$D$28*(1-Inputs!$D$38*Y660)</f>
        <v>2717.5337134041106</v>
      </c>
      <c r="AA660" s="39">
        <f>Z660*Inputs!$D$13</f>
        <v>23099.03656393494</v>
      </c>
      <c r="AB660" s="39">
        <f>AA660*(1-Inputs!$D$19)</f>
        <v>13859.421938360963</v>
      </c>
      <c r="AC660" s="39">
        <f t="shared" si="40"/>
        <v>352923.35169732064</v>
      </c>
      <c r="AD660" s="39">
        <f t="shared" si="41"/>
        <v>136077.51609838454</v>
      </c>
      <c r="AE660" s="36">
        <f t="shared" si="42"/>
        <v>1.0795397486402882</v>
      </c>
      <c r="AF660" s="35">
        <f>IF(AND(AE660&lt;=Inputs!$D$35,C660&gt;=Inputs!$D$48*(A660+B660+C660),B660*Inputs!$D$22&lt;=Inputs!$D$50*Inputs!$D$8,B660*Inputs!$D$22&gt;=Inputs!$D$49*Inputs!$D$8,A660*Inputs!$D$20&lt;=Inputs!$D$47*Inputs!$D$8,C660&gt;=1),1,0)</f>
        <v>0</v>
      </c>
      <c r="AG660" s="39">
        <f t="shared" si="43"/>
        <v>-1</v>
      </c>
    </row>
    <row r="661" spans="1:33" x14ac:dyDescent="0.25">
      <c r="A661" s="35">
        <v>52</v>
      </c>
      <c r="B661" s="35">
        <v>18</v>
      </c>
      <c r="C661" s="35">
        <f>Inputs!$D$8-A661-Inputs!$D$22*B661</f>
        <v>32</v>
      </c>
      <c r="D661" s="35">
        <f>A661*Inputs!$D$20+C661*Inputs!$D$21+B661*Inputs!$D$22</f>
        <v>120</v>
      </c>
      <c r="E661" s="36">
        <f>MIN(Inputs!$E$15,Inputs!$D$15*(C661/Inputs!$D$43)^Inputs!$D$44)</f>
        <v>0.34998251836560429</v>
      </c>
      <c r="F661" s="36">
        <f>MIN(Inputs!$E$16,Inputs!$D$16*(B661/Inputs!$D$42)^Inputs!$D$44)</f>
        <v>0.38755446447890535</v>
      </c>
      <c r="G661" s="37">
        <f>Inputs!$D$26*(1+Inputs!$D$41*(B661-Inputs!$D$42))</f>
        <v>1.47</v>
      </c>
      <c r="H661" s="35">
        <f>Inputs!$D$6*Inputs!$D$14*G661*Inputs!$D$29</f>
        <v>1846.9521</v>
      </c>
      <c r="I661" s="36">
        <f>H661/(A661*Inputs!$D$32)</f>
        <v>0.64578744755244755</v>
      </c>
      <c r="J661" s="38">
        <f>IF(I661&gt;=1,999,I661/(Inputs!$D$32*(1-I661))*60)</f>
        <v>1.9889057924740148</v>
      </c>
      <c r="K661" s="37">
        <f>MIN(1,MAX(0,(J661-Inputs!$D$36)/(Inputs!$D$37-Inputs!$D$36)))</f>
        <v>0</v>
      </c>
      <c r="L661" s="35">
        <f>Inputs!$D$6*Inputs!$D$14*G661*(1-Inputs!$D$38*K661)</f>
        <v>12313.014000000001</v>
      </c>
      <c r="M661" s="39">
        <f>L661*Inputs!$D$11</f>
        <v>264729.80100000004</v>
      </c>
      <c r="N661" s="39">
        <f>M661*(1-Inputs!$D$17)</f>
        <v>92655.43035000001</v>
      </c>
      <c r="O661" s="35">
        <f>Inputs!$D$6*E661*Inputs!$D$27*Inputs!$D$30</f>
        <v>499.30465972139962</v>
      </c>
      <c r="P661" s="36">
        <f>O661/(C661*Inputs!$D$33)</f>
        <v>0.39008176540734346</v>
      </c>
      <c r="Q661" s="38">
        <f>IF(P661&gt;=1,999,P661/(Inputs!$D$33*(1-P661))*60)</f>
        <v>0.95934604824825165</v>
      </c>
      <c r="R661" s="37">
        <f>MIN(1,MAX(0,(Q661-Inputs!$D$36)/(Inputs!$D$37-Inputs!$D$36)))</f>
        <v>0</v>
      </c>
      <c r="S661" s="35">
        <f>Inputs!$D$6*E661*Inputs!$D$27*(1-Inputs!$D$38*R661)</f>
        <v>4160.8721643449971</v>
      </c>
      <c r="T661" s="39">
        <f>S661*Inputs!$D$12</f>
        <v>66573.954629519954</v>
      </c>
      <c r="U661" s="39">
        <f>T661*(1-Inputs!$D$18)</f>
        <v>29958.279583283977</v>
      </c>
      <c r="V661" s="35">
        <f>Inputs!$D$6*F661*Inputs!$D$28*Inputs!$D$31</f>
        <v>653.43542972572936</v>
      </c>
      <c r="W661" s="36">
        <f>V661/(B661*Inputs!$D$34)</f>
        <v>1.037199094802745</v>
      </c>
      <c r="X661" s="38">
        <f>IF(W661&gt;=1,999,W661/(Inputs!$D$34*(1-W661))*60)</f>
        <v>999</v>
      </c>
      <c r="Y661" s="37">
        <f>MIN(1,MAX(0,(X661-Inputs!$D$36)/(Inputs!$D$37-Inputs!$D$36)))</f>
        <v>1</v>
      </c>
      <c r="Z661" s="35">
        <f>Inputs!$D$6*F661*Inputs!$D$28*(1-Inputs!$D$38*Y661)</f>
        <v>2764.534510378086</v>
      </c>
      <c r="AA661" s="39">
        <f>Z661*Inputs!$D$13</f>
        <v>23498.543338213731</v>
      </c>
      <c r="AB661" s="39">
        <f>AA661*(1-Inputs!$D$19)</f>
        <v>14099.126002928238</v>
      </c>
      <c r="AC661" s="39">
        <f t="shared" si="40"/>
        <v>354802.29896773375</v>
      </c>
      <c r="AD661" s="39">
        <f t="shared" si="41"/>
        <v>136712.83593621221</v>
      </c>
      <c r="AE661" s="36">
        <f t="shared" si="42"/>
        <v>1.037199094802745</v>
      </c>
      <c r="AF661" s="35">
        <f>IF(AND(AE661&lt;=Inputs!$D$35,C661&gt;=Inputs!$D$48*(A661+B661+C661),B661*Inputs!$D$22&lt;=Inputs!$D$50*Inputs!$D$8,B661*Inputs!$D$22&gt;=Inputs!$D$49*Inputs!$D$8,A661*Inputs!$D$20&lt;=Inputs!$D$47*Inputs!$D$8,C661&gt;=1),1,0)</f>
        <v>0</v>
      </c>
      <c r="AG661" s="39">
        <f t="shared" si="43"/>
        <v>-1</v>
      </c>
    </row>
    <row r="662" spans="1:33" x14ac:dyDescent="0.25">
      <c r="A662" s="35">
        <v>52</v>
      </c>
      <c r="B662" s="35">
        <v>19</v>
      </c>
      <c r="C662" s="35">
        <f>Inputs!$D$8-A662-Inputs!$D$22*B662</f>
        <v>30</v>
      </c>
      <c r="D662" s="35">
        <f>A662*Inputs!$D$20+C662*Inputs!$D$21+B662*Inputs!$D$22</f>
        <v>120</v>
      </c>
      <c r="E662" s="36">
        <f>MIN(Inputs!$E$15,Inputs!$D$15*(C662/Inputs!$D$43)^Inputs!$D$44)</f>
        <v>0.3432714897427589</v>
      </c>
      <c r="F662" s="36">
        <f>MIN(Inputs!$E$16,Inputs!$D$16*(B662/Inputs!$D$42)^Inputs!$D$44)</f>
        <v>0.39389192072703005</v>
      </c>
      <c r="G662" s="37">
        <f>Inputs!$D$26*(1+Inputs!$D$41*(B662-Inputs!$D$42))</f>
        <v>1.4849999999999999</v>
      </c>
      <c r="H662" s="35">
        <f>Inputs!$D$6*Inputs!$D$14*G662*Inputs!$D$29</f>
        <v>1865.7985499999998</v>
      </c>
      <c r="I662" s="36">
        <f>H662/(A662*Inputs!$D$32)</f>
        <v>0.65237711538461529</v>
      </c>
      <c r="J662" s="38">
        <f>IF(I662&gt;=1,999,I662/(Inputs!$D$32*(1-I662))*60)</f>
        <v>2.0472879012598497</v>
      </c>
      <c r="K662" s="37">
        <f>MIN(1,MAX(0,(J662-Inputs!$D$36)/(Inputs!$D$37-Inputs!$D$36)))</f>
        <v>0</v>
      </c>
      <c r="L662" s="35">
        <f>Inputs!$D$6*Inputs!$D$14*G662*(1-Inputs!$D$38*K662)</f>
        <v>12438.656999999999</v>
      </c>
      <c r="M662" s="39">
        <f>L662*Inputs!$D$11</f>
        <v>267431.12549999997</v>
      </c>
      <c r="N662" s="39">
        <f>M662*(1-Inputs!$D$17)</f>
        <v>93600.893924999982</v>
      </c>
      <c r="O662" s="35">
        <f>Inputs!$D$6*E662*Inputs!$D$27*Inputs!$D$30</f>
        <v>489.73033047044544</v>
      </c>
      <c r="P662" s="36">
        <f>O662/(C662*Inputs!$D$33)</f>
        <v>0.40810860872537119</v>
      </c>
      <c r="Q662" s="38">
        <f>IF(P662&gt;=1,999,P662/(Inputs!$D$33*(1-P662))*60)</f>
        <v>1.0342487187890559</v>
      </c>
      <c r="R662" s="37">
        <f>MIN(1,MAX(0,(Q662-Inputs!$D$36)/(Inputs!$D$37-Inputs!$D$36)))</f>
        <v>0</v>
      </c>
      <c r="S662" s="35">
        <f>Inputs!$D$6*E662*Inputs!$D$27*(1-Inputs!$D$38*R662)</f>
        <v>4081.0860872537123</v>
      </c>
      <c r="T662" s="39">
        <f>S662*Inputs!$D$12</f>
        <v>65297.377396059397</v>
      </c>
      <c r="U662" s="39">
        <f>T662*(1-Inputs!$D$18)</f>
        <v>29383.819828226726</v>
      </c>
      <c r="V662" s="35">
        <f>Inputs!$D$6*F662*Inputs!$D$28*Inputs!$D$31</f>
        <v>664.12068515796761</v>
      </c>
      <c r="W662" s="36">
        <f>V662/(B662*Inputs!$D$34)</f>
        <v>0.99867772204205651</v>
      </c>
      <c r="X662" s="38">
        <f>IF(W662&gt;=1,999,W662/(Inputs!$D$34*(1-W662))*60)</f>
        <v>1294.749671797274</v>
      </c>
      <c r="Y662" s="37">
        <f>MIN(1,MAX(0,(X662-Inputs!$D$36)/(Inputs!$D$37-Inputs!$D$36)))</f>
        <v>1</v>
      </c>
      <c r="Z662" s="35">
        <f>Inputs!$D$6*F662*Inputs!$D$28*(1-Inputs!$D$38*Y662)</f>
        <v>2809.7413602837091</v>
      </c>
      <c r="AA662" s="39">
        <f>Z662*Inputs!$D$13</f>
        <v>23882.801562411529</v>
      </c>
      <c r="AB662" s="39">
        <f>AA662*(1-Inputs!$D$19)</f>
        <v>14329.680937446918</v>
      </c>
      <c r="AC662" s="39">
        <f t="shared" si="40"/>
        <v>356611.3044584709</v>
      </c>
      <c r="AD662" s="39">
        <f t="shared" si="41"/>
        <v>137314.39469067362</v>
      </c>
      <c r="AE662" s="36">
        <f t="shared" si="42"/>
        <v>0.99867772204205651</v>
      </c>
      <c r="AF662" s="35">
        <f>IF(AND(AE662&lt;=Inputs!$D$35,C662&gt;=Inputs!$D$48*(A662+B662+C662),B662*Inputs!$D$22&lt;=Inputs!$D$50*Inputs!$D$8,B662*Inputs!$D$22&gt;=Inputs!$D$49*Inputs!$D$8,A662*Inputs!$D$20&lt;=Inputs!$D$47*Inputs!$D$8,C662&gt;=1),1,0)</f>
        <v>0</v>
      </c>
      <c r="AG662" s="39">
        <f t="shared" si="43"/>
        <v>-1</v>
      </c>
    </row>
    <row r="663" spans="1:33" x14ac:dyDescent="0.25">
      <c r="A663" s="35">
        <v>52</v>
      </c>
      <c r="B663" s="35">
        <v>20</v>
      </c>
      <c r="C663" s="35">
        <f>Inputs!$D$8-A663-Inputs!$D$22*B663</f>
        <v>28</v>
      </c>
      <c r="D663" s="35">
        <f>A663*Inputs!$D$20+C663*Inputs!$D$21+B663*Inputs!$D$22</f>
        <v>120</v>
      </c>
      <c r="E663" s="36">
        <f>MIN(Inputs!$E$15,Inputs!$D$15*(C663/Inputs!$D$43)^Inputs!$D$44)</f>
        <v>0.33623952833125714</v>
      </c>
      <c r="F663" s="36">
        <f>MIN(Inputs!$E$16,Inputs!$D$16*(B663/Inputs!$D$42)^Inputs!$D$44)</f>
        <v>0.4</v>
      </c>
      <c r="G663" s="37">
        <f>Inputs!$D$26*(1+Inputs!$D$41*(B663-Inputs!$D$42))</f>
        <v>1.5</v>
      </c>
      <c r="H663" s="35">
        <f>Inputs!$D$6*Inputs!$D$14*G663*Inputs!$D$29</f>
        <v>1884.645</v>
      </c>
      <c r="I663" s="36">
        <f>H663/(A663*Inputs!$D$32)</f>
        <v>0.65896678321678326</v>
      </c>
      <c r="J663" s="38">
        <f>IF(I663&gt;=1,999,I663/(Inputs!$D$32*(1-I663))*60)</f>
        <v>2.1079262049575425</v>
      </c>
      <c r="K663" s="37">
        <f>MIN(1,MAX(0,(J663-Inputs!$D$36)/(Inputs!$D$37-Inputs!$D$36)))</f>
        <v>0</v>
      </c>
      <c r="L663" s="35">
        <f>Inputs!$D$6*Inputs!$D$14*G663*(1-Inputs!$D$38*K663)</f>
        <v>12564.300000000001</v>
      </c>
      <c r="M663" s="39">
        <f>L663*Inputs!$D$11</f>
        <v>270132.45</v>
      </c>
      <c r="N663" s="39">
        <f>M663*(1-Inputs!$D$17)</f>
        <v>94546.357499999998</v>
      </c>
      <c r="O663" s="35">
        <f>Inputs!$D$6*E663*Inputs!$D$27*Inputs!$D$30</f>
        <v>479.69814053095797</v>
      </c>
      <c r="P663" s="36">
        <f>O663/(C663*Inputs!$D$33)</f>
        <v>0.42830191118835531</v>
      </c>
      <c r="Q663" s="38">
        <f>IF(P663&gt;=1,999,P663/(Inputs!$D$33*(1-P663))*60)</f>
        <v>1.1237624882006552</v>
      </c>
      <c r="R663" s="37">
        <f>MIN(1,MAX(0,(Q663-Inputs!$D$36)/(Inputs!$D$37-Inputs!$D$36)))</f>
        <v>0</v>
      </c>
      <c r="S663" s="35">
        <f>Inputs!$D$6*E663*Inputs!$D$27*(1-Inputs!$D$38*R663)</f>
        <v>3997.4845044246499</v>
      </c>
      <c r="T663" s="39">
        <f>S663*Inputs!$D$12</f>
        <v>63959.752070794399</v>
      </c>
      <c r="U663" s="39">
        <f>T663*(1-Inputs!$D$18)</f>
        <v>28781.888431857478</v>
      </c>
      <c r="V663" s="35">
        <f>Inputs!$D$6*F663*Inputs!$D$28*Inputs!$D$31</f>
        <v>674.41919999999993</v>
      </c>
      <c r="W663" s="36">
        <f>V663/(B663*Inputs!$D$34)</f>
        <v>0.96345599999999987</v>
      </c>
      <c r="X663" s="38">
        <f>IF(W663&gt;=1,999,W663/(Inputs!$D$34*(1-W663))*60)</f>
        <v>45.195896922691851</v>
      </c>
      <c r="Y663" s="37">
        <f>MIN(1,MAX(0,(X663-Inputs!$D$36)/(Inputs!$D$37-Inputs!$D$36)))</f>
        <v>1</v>
      </c>
      <c r="Z663" s="35">
        <f>Inputs!$D$6*F663*Inputs!$D$28*(1-Inputs!$D$38*Y663)</f>
        <v>2853.3119999999999</v>
      </c>
      <c r="AA663" s="39">
        <f>Z663*Inputs!$D$13</f>
        <v>24253.151999999998</v>
      </c>
      <c r="AB663" s="39">
        <f>AA663*(1-Inputs!$D$19)</f>
        <v>14551.891199999998</v>
      </c>
      <c r="AC663" s="39">
        <f t="shared" si="40"/>
        <v>358345.35407079442</v>
      </c>
      <c r="AD663" s="39">
        <f t="shared" si="41"/>
        <v>137880.13713185745</v>
      </c>
      <c r="AE663" s="36">
        <f t="shared" si="42"/>
        <v>0.96345599999999987</v>
      </c>
      <c r="AF663" s="35">
        <f>IF(AND(AE663&lt;=Inputs!$D$35,C663&gt;=Inputs!$D$48*(A663+B663+C663),B663*Inputs!$D$22&lt;=Inputs!$D$50*Inputs!$D$8,B663*Inputs!$D$22&gt;=Inputs!$D$49*Inputs!$D$8,A663*Inputs!$D$20&lt;=Inputs!$D$47*Inputs!$D$8,C663&gt;=1),1,0)</f>
        <v>0</v>
      </c>
      <c r="AG663" s="39">
        <f t="shared" si="43"/>
        <v>-1</v>
      </c>
    </row>
    <row r="664" spans="1:33" x14ac:dyDescent="0.25">
      <c r="A664" s="35">
        <v>52</v>
      </c>
      <c r="B664" s="35">
        <v>21</v>
      </c>
      <c r="C664" s="35">
        <f>Inputs!$D$8-A664-Inputs!$D$22*B664</f>
        <v>26</v>
      </c>
      <c r="D664" s="35">
        <f>A664*Inputs!$D$20+C664*Inputs!$D$21+B664*Inputs!$D$22</f>
        <v>120</v>
      </c>
      <c r="E664" s="36">
        <f>MIN(Inputs!$E$15,Inputs!$D$15*(C664/Inputs!$D$43)^Inputs!$D$44)</f>
        <v>0.32884660514387515</v>
      </c>
      <c r="F664" s="36">
        <f>MIN(Inputs!$E$16,Inputs!$D$16*(B664/Inputs!$D$42)^Inputs!$D$44)</f>
        <v>0.40589787816896217</v>
      </c>
      <c r="G664" s="37">
        <f>Inputs!$D$26*(1+Inputs!$D$41*(B664-Inputs!$D$42))</f>
        <v>1.5150000000000001</v>
      </c>
      <c r="H664" s="35">
        <f>Inputs!$D$6*Inputs!$D$14*G664*Inputs!$D$29</f>
        <v>1903.4914500000004</v>
      </c>
      <c r="I664" s="36">
        <f>H664/(A664*Inputs!$D$32)</f>
        <v>0.66555645104895123</v>
      </c>
      <c r="J664" s="38">
        <f>IF(I664&gt;=1,999,I664/(Inputs!$D$32*(1-I664))*60)</f>
        <v>2.1709540675540522</v>
      </c>
      <c r="K664" s="37">
        <f>MIN(1,MAX(0,(J664-Inputs!$D$36)/(Inputs!$D$37-Inputs!$D$36)))</f>
        <v>0</v>
      </c>
      <c r="L664" s="35">
        <f>Inputs!$D$6*Inputs!$D$14*G664*(1-Inputs!$D$38*K664)</f>
        <v>12689.943000000003</v>
      </c>
      <c r="M664" s="39">
        <f>L664*Inputs!$D$11</f>
        <v>272833.77450000006</v>
      </c>
      <c r="N664" s="39">
        <f>M664*(1-Inputs!$D$17)</f>
        <v>95491.821075000014</v>
      </c>
      <c r="O664" s="35">
        <f>Inputs!$D$6*E664*Inputs!$D$27*Inputs!$D$30</f>
        <v>469.15098230814039</v>
      </c>
      <c r="P664" s="36">
        <f>O664/(C664*Inputs!$D$33)</f>
        <v>0.45110671375782729</v>
      </c>
      <c r="Q664" s="38">
        <f>IF(P664&gt;=1,999,P664/(Inputs!$D$33*(1-P664))*60)</f>
        <v>1.2327716290160586</v>
      </c>
      <c r="R664" s="37">
        <f>MIN(1,MAX(0,(Q664-Inputs!$D$36)/(Inputs!$D$37-Inputs!$D$36)))</f>
        <v>0</v>
      </c>
      <c r="S664" s="35">
        <f>Inputs!$D$6*E664*Inputs!$D$27*(1-Inputs!$D$38*R664)</f>
        <v>3909.5915192345033</v>
      </c>
      <c r="T664" s="39">
        <f>S664*Inputs!$D$12</f>
        <v>62553.464307752052</v>
      </c>
      <c r="U664" s="39">
        <f>T664*(1-Inputs!$D$18)</f>
        <v>28149.058938488422</v>
      </c>
      <c r="V664" s="35">
        <f>Inputs!$D$6*F664*Inputs!$D$28*Inputs!$D$31</f>
        <v>684.36330569102222</v>
      </c>
      <c r="W664" s="36">
        <f>V664/(B664*Inputs!$D$34)</f>
        <v>0.93110653835513224</v>
      </c>
      <c r="X664" s="38">
        <f>IF(W664&gt;=1,999,W664/(Inputs!$D$34*(1-W664))*60)</f>
        <v>23.16885520150278</v>
      </c>
      <c r="Y664" s="37">
        <f>MIN(1,MAX(0,(X664-Inputs!$D$36)/(Inputs!$D$37-Inputs!$D$36)))</f>
        <v>1</v>
      </c>
      <c r="Z664" s="35">
        <f>Inputs!$D$6*F664*Inputs!$D$28*(1-Inputs!$D$38*Y664)</f>
        <v>2895.3832163850943</v>
      </c>
      <c r="AA664" s="39">
        <f>Z664*Inputs!$D$13</f>
        <v>24610.757339273303</v>
      </c>
      <c r="AB664" s="39">
        <f>AA664*(1-Inputs!$D$19)</f>
        <v>14766.454403563981</v>
      </c>
      <c r="AC664" s="39">
        <f t="shared" si="40"/>
        <v>359997.99614702538</v>
      </c>
      <c r="AD664" s="39">
        <f t="shared" si="41"/>
        <v>138407.33441705242</v>
      </c>
      <c r="AE664" s="36">
        <f t="shared" si="42"/>
        <v>0.93110653835513224</v>
      </c>
      <c r="AF664" s="35">
        <f>IF(AND(AE664&lt;=Inputs!$D$35,C664&gt;=Inputs!$D$48*(A664+B664+C664),B664*Inputs!$D$22&lt;=Inputs!$D$50*Inputs!$D$8,B664*Inputs!$D$22&gt;=Inputs!$D$49*Inputs!$D$8,A664*Inputs!$D$20&lt;=Inputs!$D$47*Inputs!$D$8,C664&gt;=1),1,0)</f>
        <v>0</v>
      </c>
      <c r="AG664" s="39">
        <f t="shared" si="43"/>
        <v>-1</v>
      </c>
    </row>
    <row r="665" spans="1:33" x14ac:dyDescent="0.25">
      <c r="A665" s="35">
        <v>52</v>
      </c>
      <c r="B665" s="35">
        <v>22</v>
      </c>
      <c r="C665" s="35">
        <f>Inputs!$D$8-A665-Inputs!$D$22*B665</f>
        <v>24</v>
      </c>
      <c r="D665" s="35">
        <f>A665*Inputs!$D$20+C665*Inputs!$D$21+B665*Inputs!$D$22</f>
        <v>120</v>
      </c>
      <c r="E665" s="36">
        <f>MIN(Inputs!$E$15,Inputs!$D$15*(C665/Inputs!$D$43)^Inputs!$D$44)</f>
        <v>0.32104412796367415</v>
      </c>
      <c r="F665" s="36">
        <f>MIN(Inputs!$E$16,Inputs!$D$16*(B665/Inputs!$D$42)^Inputs!$D$44)</f>
        <v>0.41160230376843804</v>
      </c>
      <c r="G665" s="37">
        <f>Inputs!$D$26*(1+Inputs!$D$41*(B665-Inputs!$D$42))</f>
        <v>1.53</v>
      </c>
      <c r="H665" s="35">
        <f>Inputs!$D$6*Inputs!$D$14*G665*Inputs!$D$29</f>
        <v>1922.3379</v>
      </c>
      <c r="I665" s="36">
        <f>H665/(A665*Inputs!$D$32)</f>
        <v>0.67214611888111886</v>
      </c>
      <c r="J665" s="38">
        <f>IF(I665&gt;=1,999,I665/(Inputs!$D$32*(1-I665))*60)</f>
        <v>2.2365155751833101</v>
      </c>
      <c r="K665" s="37">
        <f>MIN(1,MAX(0,(J665-Inputs!$D$36)/(Inputs!$D$37-Inputs!$D$36)))</f>
        <v>0</v>
      </c>
      <c r="L665" s="35">
        <f>Inputs!$D$6*Inputs!$D$14*G665*(1-Inputs!$D$38*K665)</f>
        <v>12815.586000000001</v>
      </c>
      <c r="M665" s="39">
        <f>L665*Inputs!$D$11</f>
        <v>275535.09900000005</v>
      </c>
      <c r="N665" s="39">
        <f>M665*(1-Inputs!$D$17)</f>
        <v>96437.284650000016</v>
      </c>
      <c r="O665" s="35">
        <f>Inputs!$D$6*E665*Inputs!$D$27*Inputs!$D$30</f>
        <v>458.01953142414351</v>
      </c>
      <c r="P665" s="36">
        <f>O665/(C665*Inputs!$D$33)</f>
        <v>0.47710367856681618</v>
      </c>
      <c r="Q665" s="38">
        <f>IF(P665&gt;=1,999,P665/(Inputs!$D$33*(1-P665))*60)</f>
        <v>1.3686375071232384</v>
      </c>
      <c r="R665" s="37">
        <f>MIN(1,MAX(0,(Q665-Inputs!$D$36)/(Inputs!$D$37-Inputs!$D$36)))</f>
        <v>0</v>
      </c>
      <c r="S665" s="35">
        <f>Inputs!$D$6*E665*Inputs!$D$27*(1-Inputs!$D$38*R665)</f>
        <v>3816.8294285345296</v>
      </c>
      <c r="T665" s="39">
        <f>S665*Inputs!$D$12</f>
        <v>61069.270856552474</v>
      </c>
      <c r="U665" s="39">
        <f>T665*(1-Inputs!$D$18)</f>
        <v>27481.17188544861</v>
      </c>
      <c r="V665" s="35">
        <f>Inputs!$D$6*F665*Inputs!$D$28*Inputs!$D$31</f>
        <v>693.98124106416742</v>
      </c>
      <c r="W665" s="36">
        <f>V665/(B665*Inputs!$D$34)</f>
        <v>0.90127433904437326</v>
      </c>
      <c r="X665" s="38">
        <f>IF(W665&gt;=1,999,W665/(Inputs!$D$34*(1-W665))*60)</f>
        <v>15.649849381818807</v>
      </c>
      <c r="Y665" s="37">
        <f>MIN(1,MAX(0,(X665-Inputs!$D$36)/(Inputs!$D$37-Inputs!$D$36)))</f>
        <v>0.70998995878792048</v>
      </c>
      <c r="Z665" s="35">
        <f>Inputs!$D$6*F665*Inputs!$D$28*(1-Inputs!$D$38*Y665)</f>
        <v>3632.749002537963</v>
      </c>
      <c r="AA665" s="39">
        <f>Z665*Inputs!$D$13</f>
        <v>30878.366521572687</v>
      </c>
      <c r="AB665" s="39">
        <f>AA665*(1-Inputs!$D$19)</f>
        <v>18527.019912943611</v>
      </c>
      <c r="AC665" s="39">
        <f t="shared" si="40"/>
        <v>367482.73637812521</v>
      </c>
      <c r="AD665" s="39">
        <f t="shared" si="41"/>
        <v>142445.47644839223</v>
      </c>
      <c r="AE665" s="36">
        <f t="shared" si="42"/>
        <v>0.90127433904437326</v>
      </c>
      <c r="AF665" s="35">
        <f>IF(AND(AE665&lt;=Inputs!$D$35,C665&gt;=Inputs!$D$48*(A665+B665+C665),B665*Inputs!$D$22&lt;=Inputs!$D$50*Inputs!$D$8,B665*Inputs!$D$22&gt;=Inputs!$D$49*Inputs!$D$8,A665*Inputs!$D$20&lt;=Inputs!$D$47*Inputs!$D$8,C665&gt;=1),1,0)</f>
        <v>0</v>
      </c>
      <c r="AG665" s="39">
        <f t="shared" si="43"/>
        <v>-1</v>
      </c>
    </row>
    <row r="666" spans="1:33" x14ac:dyDescent="0.25">
      <c r="A666" s="35">
        <v>52</v>
      </c>
      <c r="B666" s="35">
        <v>23</v>
      </c>
      <c r="C666" s="35">
        <f>Inputs!$D$8-A666-Inputs!$D$22*B666</f>
        <v>22</v>
      </c>
      <c r="D666" s="35">
        <f>A666*Inputs!$D$20+C666*Inputs!$D$21+B666*Inputs!$D$22</f>
        <v>120</v>
      </c>
      <c r="E666" s="36">
        <f>MIN(Inputs!$E$15,Inputs!$D$15*(C666/Inputs!$D$43)^Inputs!$D$44)</f>
        <v>0.31277221277221301</v>
      </c>
      <c r="F666" s="36">
        <f>MIN(Inputs!$E$16,Inputs!$D$16*(B666/Inputs!$D$42)^Inputs!$D$44)</f>
        <v>0.41712800028621322</v>
      </c>
      <c r="G666" s="37">
        <f>Inputs!$D$26*(1+Inputs!$D$41*(B666-Inputs!$D$42))</f>
        <v>1.5449999999999999</v>
      </c>
      <c r="H666" s="35">
        <f>Inputs!$D$6*Inputs!$D$14*G666*Inputs!$D$29</f>
        <v>1941.18435</v>
      </c>
      <c r="I666" s="36">
        <f>H666/(A666*Inputs!$D$32)</f>
        <v>0.67873578671328672</v>
      </c>
      <c r="J666" s="38">
        <f>IF(I666&gt;=1,999,I666/(Inputs!$D$32*(1-I666))*60)</f>
        <v>2.3047666357723169</v>
      </c>
      <c r="K666" s="37">
        <f>MIN(1,MAX(0,(J666-Inputs!$D$36)/(Inputs!$D$37-Inputs!$D$36)))</f>
        <v>0</v>
      </c>
      <c r="L666" s="35">
        <f>Inputs!$D$6*Inputs!$D$14*G666*(1-Inputs!$D$38*K666)</f>
        <v>12941.229000000001</v>
      </c>
      <c r="M666" s="39">
        <f>L666*Inputs!$D$11</f>
        <v>278236.42350000003</v>
      </c>
      <c r="N666" s="39">
        <f>M666*(1-Inputs!$D$17)</f>
        <v>97382.748225000003</v>
      </c>
      <c r="O666" s="35">
        <f>Inputs!$D$6*E666*Inputs!$D$27*Inputs!$D$30</f>
        <v>446.21835398475434</v>
      </c>
      <c r="P666" s="36">
        <f>O666/(C666*Inputs!$D$33)</f>
        <v>0.50706631134631175</v>
      </c>
      <c r="Q666" s="38">
        <f>IF(P666&gt;=1,999,P666/(Inputs!$D$33*(1-P666))*60)</f>
        <v>1.543005650713049</v>
      </c>
      <c r="R666" s="37">
        <f>MIN(1,MAX(0,(Q666-Inputs!$D$36)/(Inputs!$D$37-Inputs!$D$36)))</f>
        <v>0</v>
      </c>
      <c r="S666" s="35">
        <f>Inputs!$D$6*E666*Inputs!$D$27*(1-Inputs!$D$38*R666)</f>
        <v>3718.4862832062863</v>
      </c>
      <c r="T666" s="39">
        <f>S666*Inputs!$D$12</f>
        <v>59495.780531300581</v>
      </c>
      <c r="U666" s="39">
        <f>T666*(1-Inputs!$D$18)</f>
        <v>26773.101239085259</v>
      </c>
      <c r="V666" s="35">
        <f>Inputs!$D$6*F666*Inputs!$D$28*Inputs!$D$31</f>
        <v>703.29783062656929</v>
      </c>
      <c r="W666" s="36">
        <f>V666/(B666*Inputs!$D$34)</f>
        <v>0.87366190139946498</v>
      </c>
      <c r="X666" s="38">
        <f>IF(W666&gt;=1,999,W666/(Inputs!$D$34*(1-W666))*60)</f>
        <v>11.854746377182334</v>
      </c>
      <c r="Y666" s="37">
        <f>MIN(1,MAX(0,(X666-Inputs!$D$36)/(Inputs!$D$37-Inputs!$D$36)))</f>
        <v>0.45698309181215557</v>
      </c>
      <c r="Z666" s="35">
        <f>Inputs!$D$6*F666*Inputs!$D$28*(1-Inputs!$D$38*Y666)</f>
        <v>4297.4614071503011</v>
      </c>
      <c r="AA666" s="39">
        <f>Z666*Inputs!$D$13</f>
        <v>36528.421960777559</v>
      </c>
      <c r="AB666" s="39">
        <f>AA666*(1-Inputs!$D$19)</f>
        <v>21917.053176466536</v>
      </c>
      <c r="AC666" s="39">
        <f t="shared" si="40"/>
        <v>374260.62599207816</v>
      </c>
      <c r="AD666" s="39">
        <f t="shared" si="41"/>
        <v>146072.90264055179</v>
      </c>
      <c r="AE666" s="36">
        <f t="shared" si="42"/>
        <v>0.87366190139946498</v>
      </c>
      <c r="AF666" s="35">
        <f>IF(AND(AE666&lt;=Inputs!$D$35,C666&gt;=Inputs!$D$48*(A666+B666+C666),B666*Inputs!$D$22&lt;=Inputs!$D$50*Inputs!$D$8,B666*Inputs!$D$22&gt;=Inputs!$D$49*Inputs!$D$8,A666*Inputs!$D$20&lt;=Inputs!$D$47*Inputs!$D$8,C666&gt;=1),1,0)</f>
        <v>0</v>
      </c>
      <c r="AG666" s="39">
        <f t="shared" si="43"/>
        <v>-1</v>
      </c>
    </row>
    <row r="667" spans="1:33" x14ac:dyDescent="0.25">
      <c r="A667" s="35">
        <v>52</v>
      </c>
      <c r="B667" s="35">
        <v>24</v>
      </c>
      <c r="C667" s="35">
        <f>Inputs!$D$8-A667-Inputs!$D$22*B667</f>
        <v>20</v>
      </c>
      <c r="D667" s="35">
        <f>A667*Inputs!$D$20+C667*Inputs!$D$21+B667*Inputs!$D$22</f>
        <v>120</v>
      </c>
      <c r="E667" s="36">
        <f>MIN(Inputs!$E$15,Inputs!$D$15*(C667/Inputs!$D$43)^Inputs!$D$44)</f>
        <v>0.30395574554235194</v>
      </c>
      <c r="F667" s="36">
        <f>MIN(Inputs!$E$16,Inputs!$D$16*(B667/Inputs!$D$42)^Inputs!$D$44)</f>
        <v>0.42248798737570326</v>
      </c>
      <c r="G667" s="37">
        <f>Inputs!$D$26*(1+Inputs!$D$41*(B667-Inputs!$D$42))</f>
        <v>1.56</v>
      </c>
      <c r="H667" s="35">
        <f>Inputs!$D$6*Inputs!$D$14*G667*Inputs!$D$29</f>
        <v>1960.0308</v>
      </c>
      <c r="I667" s="36">
        <f>H667/(A667*Inputs!$D$32)</f>
        <v>0.68532545454545457</v>
      </c>
      <c r="J667" s="38">
        <f>IF(I667&gt;=1,999,I667/(Inputs!$D$32*(1-I667))*60)</f>
        <v>2.3758762168547749</v>
      </c>
      <c r="K667" s="37">
        <f>MIN(1,MAX(0,(J667-Inputs!$D$36)/(Inputs!$D$37-Inputs!$D$36)))</f>
        <v>0</v>
      </c>
      <c r="L667" s="35">
        <f>Inputs!$D$6*Inputs!$D$14*G667*(1-Inputs!$D$38*K667)</f>
        <v>13066.872000000001</v>
      </c>
      <c r="M667" s="39">
        <f>L667*Inputs!$D$11</f>
        <v>280937.74800000002</v>
      </c>
      <c r="N667" s="39">
        <f>M667*(1-Inputs!$D$17)</f>
        <v>98328.211800000005</v>
      </c>
      <c r="O667" s="35">
        <f>Inputs!$D$6*E667*Inputs!$D$27*Inputs!$D$30</f>
        <v>433.64028811246965</v>
      </c>
      <c r="P667" s="36">
        <f>O667/(C667*Inputs!$D$33)</f>
        <v>0.54205036014058705</v>
      </c>
      <c r="Q667" s="38">
        <f>IF(P667&gt;=1,999,P667/(Inputs!$D$33*(1-P667))*60)</f>
        <v>1.7754693299038049</v>
      </c>
      <c r="R667" s="37">
        <f>MIN(1,MAX(0,(Q667-Inputs!$D$36)/(Inputs!$D$37-Inputs!$D$36)))</f>
        <v>0</v>
      </c>
      <c r="S667" s="35">
        <f>Inputs!$D$6*E667*Inputs!$D$27*(1-Inputs!$D$38*R667)</f>
        <v>3613.6690676039138</v>
      </c>
      <c r="T667" s="39">
        <f>S667*Inputs!$D$12</f>
        <v>57818.705081662622</v>
      </c>
      <c r="U667" s="39">
        <f>T667*(1-Inputs!$D$18)</f>
        <v>26018.417286748176</v>
      </c>
      <c r="V667" s="35">
        <f>Inputs!$D$6*F667*Inputs!$D$28*Inputs!$D$31</f>
        <v>712.33502613882979</v>
      </c>
      <c r="W667" s="36">
        <f>V667/(B667*Inputs!$D$34)</f>
        <v>0.84801788826051161</v>
      </c>
      <c r="X667" s="38">
        <f>IF(W667&gt;=1,999,W667/(Inputs!$D$34*(1-W667))*60)</f>
        <v>9.5652372155190832</v>
      </c>
      <c r="Y667" s="37">
        <f>MIN(1,MAX(0,(X667-Inputs!$D$36)/(Inputs!$D$37-Inputs!$D$36)))</f>
        <v>0.30434914770127219</v>
      </c>
      <c r="Z667" s="35">
        <f>Inputs!$D$6*F667*Inputs!$D$28*(1-Inputs!$D$38*Y667)</f>
        <v>4729.0436538571339</v>
      </c>
      <c r="AA667" s="39">
        <f>Z667*Inputs!$D$13</f>
        <v>40196.87105778564</v>
      </c>
      <c r="AB667" s="39">
        <f>AA667*(1-Inputs!$D$19)</f>
        <v>24118.122634671385</v>
      </c>
      <c r="AC667" s="39">
        <f t="shared" si="40"/>
        <v>378953.32413944829</v>
      </c>
      <c r="AD667" s="39">
        <f t="shared" si="41"/>
        <v>148464.75172141957</v>
      </c>
      <c r="AE667" s="36">
        <f t="shared" si="42"/>
        <v>0.84801788826051161</v>
      </c>
      <c r="AF667" s="35">
        <f>IF(AND(AE667&lt;=Inputs!$D$35,C667&gt;=Inputs!$D$48*(A667+B667+C667),B667*Inputs!$D$22&lt;=Inputs!$D$50*Inputs!$D$8,B667*Inputs!$D$22&gt;=Inputs!$D$49*Inputs!$D$8,A667*Inputs!$D$20&lt;=Inputs!$D$47*Inputs!$D$8,C667&gt;=1),1,0)</f>
        <v>1</v>
      </c>
      <c r="AG667" s="39">
        <f t="shared" si="43"/>
        <v>148464.75172141957</v>
      </c>
    </row>
    <row r="668" spans="1:33" x14ac:dyDescent="0.25">
      <c r="A668" s="35">
        <v>52</v>
      </c>
      <c r="B668" s="35">
        <v>25</v>
      </c>
      <c r="C668" s="35">
        <f>Inputs!$D$8-A668-Inputs!$D$22*B668</f>
        <v>18</v>
      </c>
      <c r="D668" s="35">
        <f>A668*Inputs!$D$20+C668*Inputs!$D$21+B668*Inputs!$D$22</f>
        <v>120</v>
      </c>
      <c r="E668" s="36">
        <f>MIN(Inputs!$E$15,Inputs!$D$15*(C668/Inputs!$D$43)^Inputs!$D$44)</f>
        <v>0.29449851547238159</v>
      </c>
      <c r="F668" s="36">
        <f>MIN(Inputs!$E$16,Inputs!$D$16*(B668/Inputs!$D$42)^Inputs!$D$44)</f>
        <v>0.42769383999647526</v>
      </c>
      <c r="G668" s="37">
        <f>Inputs!$D$26*(1+Inputs!$D$41*(B668-Inputs!$D$42))</f>
        <v>1.5750000000000002</v>
      </c>
      <c r="H668" s="35">
        <f>Inputs!$D$6*Inputs!$D$14*G668*Inputs!$D$29</f>
        <v>1978.8772500000005</v>
      </c>
      <c r="I668" s="36">
        <f>H668/(A668*Inputs!$D$32)</f>
        <v>0.69191512237762254</v>
      </c>
      <c r="J668" s="38">
        <f>IF(I668&gt;=1,999,I668/(Inputs!$D$32*(1-I668))*60)</f>
        <v>2.4500277422393002</v>
      </c>
      <c r="K668" s="37">
        <f>MIN(1,MAX(0,(J668-Inputs!$D$36)/(Inputs!$D$37-Inputs!$D$36)))</f>
        <v>0</v>
      </c>
      <c r="L668" s="35">
        <f>Inputs!$D$6*Inputs!$D$14*G668*(1-Inputs!$D$38*K668)</f>
        <v>13192.515000000003</v>
      </c>
      <c r="M668" s="39">
        <f>L668*Inputs!$D$11</f>
        <v>283639.07250000007</v>
      </c>
      <c r="N668" s="39">
        <f>M668*(1-Inputs!$D$17)</f>
        <v>99273.675375000021</v>
      </c>
      <c r="O668" s="35">
        <f>Inputs!$D$6*E668*Inputs!$D$27*Inputs!$D$30</f>
        <v>420.14807408976606</v>
      </c>
      <c r="P668" s="36">
        <f>O668/(C668*Inputs!$D$33)</f>
        <v>0.58353899179134172</v>
      </c>
      <c r="Q668" s="38">
        <f>IF(P668&gt;=1,999,P668/(Inputs!$D$33*(1-P668))*60)</f>
        <v>2.1017777665477375</v>
      </c>
      <c r="R668" s="37">
        <f>MIN(1,MAX(0,(Q668-Inputs!$D$36)/(Inputs!$D$37-Inputs!$D$36)))</f>
        <v>0</v>
      </c>
      <c r="S668" s="35">
        <f>Inputs!$D$6*E668*Inputs!$D$27*(1-Inputs!$D$38*R668)</f>
        <v>3501.2339507480506</v>
      </c>
      <c r="T668" s="39">
        <f>S668*Inputs!$D$12</f>
        <v>56019.743211968809</v>
      </c>
      <c r="U668" s="39">
        <f>T668*(1-Inputs!$D$18)</f>
        <v>25208.88444538596</v>
      </c>
      <c r="V668" s="35">
        <f>Inputs!$D$6*F668*Inputs!$D$28*Inputs!$D$31</f>
        <v>721.1123435383771</v>
      </c>
      <c r="W668" s="36">
        <f>V668/(B668*Inputs!$D$34)</f>
        <v>0.82412839261528814</v>
      </c>
      <c r="X668" s="38">
        <f>IF(W668&gt;=1,999,W668/(Inputs!$D$34*(1-W668))*60)</f>
        <v>8.0330847668163621</v>
      </c>
      <c r="Y668" s="37">
        <f>MIN(1,MAX(0,(X668-Inputs!$D$36)/(Inputs!$D$37-Inputs!$D$36)))</f>
        <v>0.20220565112109082</v>
      </c>
      <c r="Z668" s="35">
        <f>Inputs!$D$6*F668*Inputs!$D$28*(1-Inputs!$D$38*Y668)</f>
        <v>5042.2807508299393</v>
      </c>
      <c r="AA668" s="39">
        <f>Z668*Inputs!$D$13</f>
        <v>42859.386382054487</v>
      </c>
      <c r="AB668" s="39">
        <f>AA668*(1-Inputs!$D$19)</f>
        <v>25715.631829232691</v>
      </c>
      <c r="AC668" s="39">
        <f t="shared" si="40"/>
        <v>382518.20209402335</v>
      </c>
      <c r="AD668" s="39">
        <f t="shared" si="41"/>
        <v>150198.19164961868</v>
      </c>
      <c r="AE668" s="36">
        <f t="shared" si="42"/>
        <v>0.82412839261528814</v>
      </c>
      <c r="AF668" s="35">
        <f>IF(AND(AE668&lt;=Inputs!$D$35,C668&gt;=Inputs!$D$48*(A668+B668+C668),B668*Inputs!$D$22&lt;=Inputs!$D$50*Inputs!$D$8,B668*Inputs!$D$22&gt;=Inputs!$D$49*Inputs!$D$8,A668*Inputs!$D$20&lt;=Inputs!$D$47*Inputs!$D$8,C668&gt;=1),1,0)</f>
        <v>1</v>
      </c>
      <c r="AG668" s="39">
        <f t="shared" si="43"/>
        <v>150198.19164961868</v>
      </c>
    </row>
    <row r="669" spans="1:33" x14ac:dyDescent="0.25">
      <c r="A669" s="35">
        <v>52</v>
      </c>
      <c r="B669" s="35">
        <v>26</v>
      </c>
      <c r="C669" s="35">
        <f>Inputs!$D$8-A669-Inputs!$D$22*B669</f>
        <v>16</v>
      </c>
      <c r="D669" s="35">
        <f>A669*Inputs!$D$20+C669*Inputs!$D$21+B669*Inputs!$D$22</f>
        <v>120</v>
      </c>
      <c r="E669" s="36">
        <f>MIN(Inputs!$E$15,Inputs!$D$15*(C669/Inputs!$D$43)^Inputs!$D$44)</f>
        <v>0.2842741392252523</v>
      </c>
      <c r="F669" s="36">
        <f>MIN(Inputs!$E$16,Inputs!$D$16*(B669/Inputs!$D$42)^Inputs!$D$44)</f>
        <v>0.43275589945781112</v>
      </c>
      <c r="G669" s="37">
        <f>Inputs!$D$26*(1+Inputs!$D$41*(B669-Inputs!$D$42))</f>
        <v>1.59</v>
      </c>
      <c r="H669" s="35">
        <f>Inputs!$D$6*Inputs!$D$14*G669*Inputs!$D$29</f>
        <v>1997.7237</v>
      </c>
      <c r="I669" s="36">
        <f>H669/(A669*Inputs!$D$32)</f>
        <v>0.69850479020979017</v>
      </c>
      <c r="J669" s="38">
        <f>IF(I669&gt;=1,999,I669/(Inputs!$D$32*(1-I669))*60)</f>
        <v>2.5274206718363299</v>
      </c>
      <c r="K669" s="37">
        <f>MIN(1,MAX(0,(J669-Inputs!$D$36)/(Inputs!$D$37-Inputs!$D$36)))</f>
        <v>0</v>
      </c>
      <c r="L669" s="35">
        <f>Inputs!$D$6*Inputs!$D$14*G669*(1-Inputs!$D$38*K669)</f>
        <v>13318.158000000001</v>
      </c>
      <c r="M669" s="39">
        <f>L669*Inputs!$D$11</f>
        <v>286340.39700000006</v>
      </c>
      <c r="N669" s="39">
        <f>M669*(1-Inputs!$D$17)</f>
        <v>100219.13895000001</v>
      </c>
      <c r="O669" s="35">
        <f>Inputs!$D$6*E669*Inputs!$D$27*Inputs!$D$30</f>
        <v>405.56140637054153</v>
      </c>
      <c r="P669" s="36">
        <f>O669/(C669*Inputs!$D$33)</f>
        <v>0.63368969745397119</v>
      </c>
      <c r="Q669" s="38">
        <f>IF(P669&gt;=1,999,P669/(Inputs!$D$33*(1-P669))*60)</f>
        <v>2.5948889222451426</v>
      </c>
      <c r="R669" s="37">
        <f>MIN(1,MAX(0,(Q669-Inputs!$D$36)/(Inputs!$D$37-Inputs!$D$36)))</f>
        <v>0</v>
      </c>
      <c r="S669" s="35">
        <f>Inputs!$D$6*E669*Inputs!$D$27*(1-Inputs!$D$38*R669)</f>
        <v>3379.6783864211798</v>
      </c>
      <c r="T669" s="39">
        <f>S669*Inputs!$D$12</f>
        <v>54074.854182738876</v>
      </c>
      <c r="U669" s="39">
        <f>T669*(1-Inputs!$D$18)</f>
        <v>24333.684382232492</v>
      </c>
      <c r="V669" s="35">
        <f>Inputs!$D$6*F669*Inputs!$D$28*Inputs!$D$31</f>
        <v>729.64721876904355</v>
      </c>
      <c r="W669" s="36">
        <f>V669/(B669*Inputs!$D$34)</f>
        <v>0.80181013051543248</v>
      </c>
      <c r="X669" s="38">
        <f>IF(W669&gt;=1,999,W669/(Inputs!$D$34*(1-W669))*60)</f>
        <v>6.9354284146153136</v>
      </c>
      <c r="Y669" s="37">
        <f>MIN(1,MAX(0,(X669-Inputs!$D$36)/(Inputs!$D$37-Inputs!$D$36)))</f>
        <v>0.12902856097435425</v>
      </c>
      <c r="Z669" s="35">
        <f>Inputs!$D$6*F669*Inputs!$D$28*(1-Inputs!$D$38*Y669)</f>
        <v>5286.7832305655711</v>
      </c>
      <c r="AA669" s="39">
        <f>Z669*Inputs!$D$13</f>
        <v>44937.657459807357</v>
      </c>
      <c r="AB669" s="39">
        <f>AA669*(1-Inputs!$D$19)</f>
        <v>26962.594475884413</v>
      </c>
      <c r="AC669" s="39">
        <f t="shared" si="40"/>
        <v>385352.90864254627</v>
      </c>
      <c r="AD669" s="39">
        <f t="shared" si="41"/>
        <v>151515.41780811691</v>
      </c>
      <c r="AE669" s="36">
        <f t="shared" si="42"/>
        <v>0.80181013051543248</v>
      </c>
      <c r="AF669" s="35">
        <f>IF(AND(AE669&lt;=Inputs!$D$35,C669&gt;=Inputs!$D$48*(A669+B669+C669),B669*Inputs!$D$22&lt;=Inputs!$D$50*Inputs!$D$8,B669*Inputs!$D$22&gt;=Inputs!$D$49*Inputs!$D$8,A669*Inputs!$D$20&lt;=Inputs!$D$47*Inputs!$D$8,C669&gt;=1),1,0)</f>
        <v>1</v>
      </c>
      <c r="AG669" s="39">
        <f t="shared" si="43"/>
        <v>151515.41780811691</v>
      </c>
    </row>
    <row r="670" spans="1:33" x14ac:dyDescent="0.25">
      <c r="A670" s="35">
        <v>52</v>
      </c>
      <c r="B670" s="35">
        <v>27</v>
      </c>
      <c r="C670" s="35">
        <f>Inputs!$D$8-A670-Inputs!$D$22*B670</f>
        <v>14</v>
      </c>
      <c r="D670" s="35">
        <f>A670*Inputs!$D$20+C670*Inputs!$D$21+B670*Inputs!$D$22</f>
        <v>120</v>
      </c>
      <c r="E670" s="36">
        <f>MIN(Inputs!$E$15,Inputs!$D$15*(C670/Inputs!$D$43)^Inputs!$D$44)</f>
        <v>0.27311136263675401</v>
      </c>
      <c r="F670" s="36">
        <f>MIN(Inputs!$E$16,Inputs!$D$16*(B670/Inputs!$D$42)^Inputs!$D$44)</f>
        <v>0.43768344678187454</v>
      </c>
      <c r="G670" s="37">
        <f>Inputs!$D$26*(1+Inputs!$D$41*(B670-Inputs!$D$42))</f>
        <v>1.605</v>
      </c>
      <c r="H670" s="35">
        <f>Inputs!$D$6*Inputs!$D$14*G670*Inputs!$D$29</f>
        <v>2016.57015</v>
      </c>
      <c r="I670" s="36">
        <f>H670/(A670*Inputs!$D$32)</f>
        <v>0.70509445804195803</v>
      </c>
      <c r="J670" s="38">
        <f>IF(I670&gt;=1,999,I670/(Inputs!$D$32*(1-I670))*60)</f>
        <v>2.6082722932925706</v>
      </c>
      <c r="K670" s="37">
        <f>MIN(1,MAX(0,(J670-Inputs!$D$36)/(Inputs!$D$37-Inputs!$D$36)))</f>
        <v>0</v>
      </c>
      <c r="L670" s="35">
        <f>Inputs!$D$6*Inputs!$D$14*G670*(1-Inputs!$D$38*K670)</f>
        <v>13443.801000000001</v>
      </c>
      <c r="M670" s="39">
        <f>L670*Inputs!$D$11</f>
        <v>289041.72150000004</v>
      </c>
      <c r="N670" s="39">
        <f>M670*(1-Inputs!$D$17)</f>
        <v>101164.60252500001</v>
      </c>
      <c r="O670" s="35">
        <f>Inputs!$D$6*E670*Inputs!$D$27*Inputs!$D$30</f>
        <v>389.63596417390096</v>
      </c>
      <c r="P670" s="36">
        <f>O670/(C670*Inputs!$D$33)</f>
        <v>0.69577850745339453</v>
      </c>
      <c r="Q670" s="38">
        <f>IF(P670&gt;=1,999,P670/(Inputs!$D$33*(1-P670))*60)</f>
        <v>3.4306181080227471</v>
      </c>
      <c r="R670" s="37">
        <f>MIN(1,MAX(0,(Q670-Inputs!$D$36)/(Inputs!$D$37-Inputs!$D$36)))</f>
        <v>0</v>
      </c>
      <c r="S670" s="35">
        <f>Inputs!$D$6*E670*Inputs!$D$27*(1-Inputs!$D$38*R670)</f>
        <v>3246.9663681158413</v>
      </c>
      <c r="T670" s="39">
        <f>S670*Inputs!$D$12</f>
        <v>51951.461889853461</v>
      </c>
      <c r="U670" s="39">
        <f>T670*(1-Inputs!$D$18)</f>
        <v>23378.157850434054</v>
      </c>
      <c r="V670" s="35">
        <f>Inputs!$D$6*F670*Inputs!$D$28*Inputs!$D$31</f>
        <v>737.95530007968603</v>
      </c>
      <c r="W670" s="36">
        <f>V670/(B670*Inputs!$D$34)</f>
        <v>0.78090507944940324</v>
      </c>
      <c r="X670" s="38">
        <f>IF(W670&gt;=1,999,W670/(Inputs!$D$34*(1-W670))*60)</f>
        <v>6.1101116290101798</v>
      </c>
      <c r="Y670" s="37">
        <f>MIN(1,MAX(0,(X670-Inputs!$D$36)/(Inputs!$D$37-Inputs!$D$36)))</f>
        <v>7.4007441934011986E-2</v>
      </c>
      <c r="Z670" s="35">
        <f>Inputs!$D$6*F670*Inputs!$D$28*(1-Inputs!$D$38*Y670)</f>
        <v>5487.5301328495489</v>
      </c>
      <c r="AA670" s="39">
        <f>Z670*Inputs!$D$13</f>
        <v>46644.006129221169</v>
      </c>
      <c r="AB670" s="39">
        <f>AA670*(1-Inputs!$D$19)</f>
        <v>27986.4036775327</v>
      </c>
      <c r="AC670" s="39">
        <f t="shared" si="40"/>
        <v>387637.18951907469</v>
      </c>
      <c r="AD670" s="39">
        <f t="shared" si="41"/>
        <v>152529.16405296678</v>
      </c>
      <c r="AE670" s="36">
        <f t="shared" si="42"/>
        <v>0.78090507944940324</v>
      </c>
      <c r="AF670" s="35">
        <f>IF(AND(AE670&lt;=Inputs!$D$35,C670&gt;=Inputs!$D$48*(A670+B670+C670),B670*Inputs!$D$22&lt;=Inputs!$D$50*Inputs!$D$8,B670*Inputs!$D$22&gt;=Inputs!$D$49*Inputs!$D$8,A670*Inputs!$D$20&lt;=Inputs!$D$47*Inputs!$D$8,C670&gt;=1),1,0)</f>
        <v>1</v>
      </c>
      <c r="AG670" s="39">
        <f t="shared" si="43"/>
        <v>152529.16405296678</v>
      </c>
    </row>
    <row r="671" spans="1:33" x14ac:dyDescent="0.25">
      <c r="A671" s="35">
        <v>52</v>
      </c>
      <c r="B671" s="35">
        <v>28</v>
      </c>
      <c r="C671" s="35">
        <f>Inputs!$D$8-A671-Inputs!$D$22*B671</f>
        <v>12</v>
      </c>
      <c r="D671" s="35">
        <f>A671*Inputs!$D$20+C671*Inputs!$D$21+B671*Inputs!$D$22</f>
        <v>120</v>
      </c>
      <c r="E671" s="36">
        <f>MIN(Inputs!$E$15,Inputs!$D$15*(C671/Inputs!$D$43)^Inputs!$D$44)</f>
        <v>0.26076886227459228</v>
      </c>
      <c r="F671" s="36">
        <f>MIN(Inputs!$E$16,Inputs!$D$16*(B671/Inputs!$D$42)^Inputs!$D$44)</f>
        <v>0.44248484624799689</v>
      </c>
      <c r="G671" s="37">
        <f>Inputs!$D$26*(1+Inputs!$D$41*(B671-Inputs!$D$42))</f>
        <v>1.62</v>
      </c>
      <c r="H671" s="35">
        <f>Inputs!$D$6*Inputs!$D$14*G671*Inputs!$D$29</f>
        <v>2035.4166</v>
      </c>
      <c r="I671" s="36">
        <f>H671/(A671*Inputs!$D$32)</f>
        <v>0.71168412587412588</v>
      </c>
      <c r="J671" s="38">
        <f>IF(I671&gt;=1,999,I671/(Inputs!$D$32*(1-I671))*60)</f>
        <v>2.6928197593200065</v>
      </c>
      <c r="K671" s="37">
        <f>MIN(1,MAX(0,(J671-Inputs!$D$36)/(Inputs!$D$37-Inputs!$D$36)))</f>
        <v>0</v>
      </c>
      <c r="L671" s="35">
        <f>Inputs!$D$6*Inputs!$D$14*G671*(1-Inputs!$D$38*K671)</f>
        <v>13569.444000000001</v>
      </c>
      <c r="M671" s="39">
        <f>L671*Inputs!$D$11</f>
        <v>291743.04600000003</v>
      </c>
      <c r="N671" s="39">
        <f>M671*(1-Inputs!$D$17)</f>
        <v>102110.06610000001</v>
      </c>
      <c r="O671" s="35">
        <f>Inputs!$D$6*E671*Inputs!$D$27*Inputs!$D$30</f>
        <v>372.02746197722075</v>
      </c>
      <c r="P671" s="36">
        <f>O671/(C671*Inputs!$D$33)</f>
        <v>0.77505721245254322</v>
      </c>
      <c r="Q671" s="38">
        <f>IF(P671&gt;=1,999,P671/(Inputs!$D$33*(1-P671))*60)</f>
        <v>5.1683622816025654</v>
      </c>
      <c r="R671" s="37">
        <f>MIN(1,MAX(0,(Q671-Inputs!$D$36)/(Inputs!$D$37-Inputs!$D$36)))</f>
        <v>1.1224152106837693E-2</v>
      </c>
      <c r="S671" s="35">
        <f>Inputs!$D$6*E671*Inputs!$D$27*(1-Inputs!$D$38*R671)</f>
        <v>3084.5700017308486</v>
      </c>
      <c r="T671" s="39">
        <f>S671*Inputs!$D$12</f>
        <v>49353.120027693578</v>
      </c>
      <c r="U671" s="39">
        <f>T671*(1-Inputs!$D$18)</f>
        <v>22208.904012462106</v>
      </c>
      <c r="V671" s="35">
        <f>Inputs!$D$6*F671*Inputs!$D$28*Inputs!$D$31</f>
        <v>746.05069004674272</v>
      </c>
      <c r="W671" s="36">
        <f>V671/(B671*Inputs!$D$34)</f>
        <v>0.76127621433341097</v>
      </c>
      <c r="X671" s="38">
        <f>IF(W671&gt;=1,999,W671/(Inputs!$D$34*(1-W671))*60)</f>
        <v>5.4667570523531852</v>
      </c>
      <c r="Y671" s="37">
        <f>MIN(1,MAX(0,(X671-Inputs!$D$36)/(Inputs!$D$37-Inputs!$D$36)))</f>
        <v>3.111713682354568E-2</v>
      </c>
      <c r="Z671" s="35">
        <f>Inputs!$D$6*F671*Inputs!$D$28*(1-Inputs!$D$38*Y671)</f>
        <v>5658.4919801305723</v>
      </c>
      <c r="AA671" s="39">
        <f>Z671*Inputs!$D$13</f>
        <v>48097.181831109861</v>
      </c>
      <c r="AB671" s="39">
        <f>AA671*(1-Inputs!$D$19)</f>
        <v>28858.309098665915</v>
      </c>
      <c r="AC671" s="39">
        <f t="shared" si="40"/>
        <v>389193.34785880346</v>
      </c>
      <c r="AD671" s="39">
        <f t="shared" si="41"/>
        <v>153177.27921112804</v>
      </c>
      <c r="AE671" s="36">
        <f t="shared" si="42"/>
        <v>0.77505721245254322</v>
      </c>
      <c r="AF671" s="35">
        <f>IF(AND(AE671&lt;=Inputs!$D$35,C671&gt;=Inputs!$D$48*(A671+B671+C671),B671*Inputs!$D$22&lt;=Inputs!$D$50*Inputs!$D$8,B671*Inputs!$D$22&gt;=Inputs!$D$49*Inputs!$D$8,A671*Inputs!$D$20&lt;=Inputs!$D$47*Inputs!$D$8,C671&gt;=1),1,0)</f>
        <v>0</v>
      </c>
      <c r="AG671" s="39">
        <f t="shared" si="43"/>
        <v>-1</v>
      </c>
    </row>
    <row r="672" spans="1:33" x14ac:dyDescent="0.25">
      <c r="A672" s="35">
        <v>52</v>
      </c>
      <c r="B672" s="35">
        <v>29</v>
      </c>
      <c r="C672" s="35">
        <f>Inputs!$D$8-A672-Inputs!$D$22*B672</f>
        <v>10</v>
      </c>
      <c r="D672" s="35">
        <f>A672*Inputs!$D$20+C672*Inputs!$D$21+B672*Inputs!$D$22</f>
        <v>120</v>
      </c>
      <c r="E672" s="36">
        <f>MIN(Inputs!$E$15,Inputs!$D$15*(C672/Inputs!$D$43)^Inputs!$D$44)</f>
        <v>0.24688878270302153</v>
      </c>
      <c r="F672" s="36">
        <f>MIN(Inputs!$E$16,Inputs!$D$16*(B672/Inputs!$D$42)^Inputs!$D$44)</f>
        <v>0.44716766511947192</v>
      </c>
      <c r="G672" s="37">
        <f>Inputs!$D$26*(1+Inputs!$D$41*(B672-Inputs!$D$42))</f>
        <v>1.6350000000000002</v>
      </c>
      <c r="H672" s="35">
        <f>Inputs!$D$6*Inputs!$D$14*G672*Inputs!$D$29</f>
        <v>2054.2630500000005</v>
      </c>
      <c r="I672" s="36">
        <f>H672/(A672*Inputs!$D$32)</f>
        <v>0.71827379370629385</v>
      </c>
      <c r="J672" s="38">
        <f>IF(I672&gt;=1,999,I672/(Inputs!$D$32*(1-I672))*60)</f>
        <v>2.7813224109476895</v>
      </c>
      <c r="K672" s="37">
        <f>MIN(1,MAX(0,(J672-Inputs!$D$36)/(Inputs!$D$37-Inputs!$D$36)))</f>
        <v>0</v>
      </c>
      <c r="L672" s="35">
        <f>Inputs!$D$6*Inputs!$D$14*G672*(1-Inputs!$D$38*K672)</f>
        <v>13695.087000000003</v>
      </c>
      <c r="M672" s="39">
        <f>L672*Inputs!$D$11</f>
        <v>294444.37050000008</v>
      </c>
      <c r="N672" s="39">
        <f>M672*(1-Inputs!$D$17)</f>
        <v>103055.52967500003</v>
      </c>
      <c r="O672" s="35">
        <f>Inputs!$D$6*E672*Inputs!$D$27*Inputs!$D$30</f>
        <v>352.22536317596189</v>
      </c>
      <c r="P672" s="36">
        <f>O672/(C672*Inputs!$D$33)</f>
        <v>0.88056340793990473</v>
      </c>
      <c r="Q672" s="38">
        <f>IF(P672&gt;=1,999,P672/(Inputs!$D$33*(1-P672))*60)</f>
        <v>11.05896517245959</v>
      </c>
      <c r="R672" s="37">
        <f>MIN(1,MAX(0,(Q672-Inputs!$D$36)/(Inputs!$D$37-Inputs!$D$36)))</f>
        <v>0.40393101149730604</v>
      </c>
      <c r="S672" s="35">
        <f>Inputs!$D$6*E672*Inputs!$D$27*(1-Inputs!$D$38*R672)</f>
        <v>2401.6810577146616</v>
      </c>
      <c r="T672" s="39">
        <f>S672*Inputs!$D$12</f>
        <v>38426.896923434586</v>
      </c>
      <c r="U672" s="39">
        <f>T672*(1-Inputs!$D$18)</f>
        <v>17292.103615545562</v>
      </c>
      <c r="V672" s="35">
        <f>Inputs!$D$6*F672*Inputs!$D$28*Inputs!$D$31</f>
        <v>753.9461474393554</v>
      </c>
      <c r="W672" s="36">
        <f>V672/(B672*Inputs!$D$34)</f>
        <v>0.74280408614714821</v>
      </c>
      <c r="X672" s="38">
        <f>IF(W672&gt;=1,999,W672/(Inputs!$D$34*(1-W672))*60)</f>
        <v>4.9510056918075414</v>
      </c>
      <c r="Y672" s="37">
        <f>MIN(1,MAX(0,(X672-Inputs!$D$36)/(Inputs!$D$37-Inputs!$D$36)))</f>
        <v>0</v>
      </c>
      <c r="Z672" s="35">
        <f>Inputs!$D$6*F672*Inputs!$D$28*(1-Inputs!$D$38*Y672)</f>
        <v>5799.5857495335031</v>
      </c>
      <c r="AA672" s="39">
        <f>Z672*Inputs!$D$13</f>
        <v>49296.478871034778</v>
      </c>
      <c r="AB672" s="39">
        <f>AA672*(1-Inputs!$D$19)</f>
        <v>29577.887322620867</v>
      </c>
      <c r="AC672" s="39">
        <f t="shared" si="40"/>
        <v>382167.74629446946</v>
      </c>
      <c r="AD672" s="39">
        <f t="shared" si="41"/>
        <v>149925.52061316645</v>
      </c>
      <c r="AE672" s="36">
        <f t="shared" si="42"/>
        <v>0.88056340793990473</v>
      </c>
      <c r="AF672" s="35">
        <f>IF(AND(AE672&lt;=Inputs!$D$35,C672&gt;=Inputs!$D$48*(A672+B672+C672),B672*Inputs!$D$22&lt;=Inputs!$D$50*Inputs!$D$8,B672*Inputs!$D$22&gt;=Inputs!$D$49*Inputs!$D$8,A672*Inputs!$D$20&lt;=Inputs!$D$47*Inputs!$D$8,C672&gt;=1),1,0)</f>
        <v>0</v>
      </c>
      <c r="AG672" s="39">
        <f t="shared" si="43"/>
        <v>-1</v>
      </c>
    </row>
    <row r="673" spans="1:33" x14ac:dyDescent="0.25">
      <c r="A673" s="35">
        <v>52</v>
      </c>
      <c r="B673" s="35">
        <v>30</v>
      </c>
      <c r="C673" s="35">
        <f>Inputs!$D$8-A673-Inputs!$D$22*B673</f>
        <v>8</v>
      </c>
      <c r="D673" s="35">
        <f>A673*Inputs!$D$20+C673*Inputs!$D$21+B673*Inputs!$D$22</f>
        <v>120</v>
      </c>
      <c r="E673" s="36">
        <f>MIN(Inputs!$E$15,Inputs!$D$15*(C673/Inputs!$D$43)^Inputs!$D$44)</f>
        <v>0.23090235080781729</v>
      </c>
      <c r="F673" s="36">
        <f>MIN(Inputs!$E$16,Inputs!$D$16*(B673/Inputs!$D$42)^Inputs!$D$44)</f>
        <v>0.45173877418274222</v>
      </c>
      <c r="G673" s="37">
        <f>Inputs!$D$26*(1+Inputs!$D$41*(B673-Inputs!$D$42))</f>
        <v>1.6500000000000001</v>
      </c>
      <c r="H673" s="35">
        <f>Inputs!$D$6*Inputs!$D$14*G673*Inputs!$D$29</f>
        <v>2073.1095000000005</v>
      </c>
      <c r="I673" s="36">
        <f>H673/(A673*Inputs!$D$32)</f>
        <v>0.72486346153846171</v>
      </c>
      <c r="J673" s="38">
        <f>IF(I673&gt;=1,999,I673/(Inputs!$D$32*(1-I673))*60)</f>
        <v>2.8740644346322672</v>
      </c>
      <c r="K673" s="37">
        <f>MIN(1,MAX(0,(J673-Inputs!$D$36)/(Inputs!$D$37-Inputs!$D$36)))</f>
        <v>0</v>
      </c>
      <c r="L673" s="35">
        <f>Inputs!$D$6*Inputs!$D$14*G673*(1-Inputs!$D$38*K673)</f>
        <v>13820.730000000003</v>
      </c>
      <c r="M673" s="39">
        <f>L673*Inputs!$D$11</f>
        <v>297145.69500000007</v>
      </c>
      <c r="N673" s="39">
        <f>M673*(1-Inputs!$D$17)</f>
        <v>104000.99325000001</v>
      </c>
      <c r="O673" s="35">
        <f>Inputs!$D$6*E673*Inputs!$D$27*Inputs!$D$30</f>
        <v>329.41822419407742</v>
      </c>
      <c r="P673" s="36">
        <f>O673/(C673*Inputs!$D$33)</f>
        <v>1.029431950606492</v>
      </c>
      <c r="Q673" s="38">
        <f>IF(P673&gt;=1,999,P673/(Inputs!$D$33*(1-P673))*60)</f>
        <v>999</v>
      </c>
      <c r="R673" s="37">
        <f>MIN(1,MAX(0,(Q673-Inputs!$D$36)/(Inputs!$D$37-Inputs!$D$36)))</f>
        <v>1</v>
      </c>
      <c r="S673" s="35">
        <f>Inputs!$D$6*E673*Inputs!$D$27*(1-Inputs!$D$38*R673)</f>
        <v>1509.8335275561885</v>
      </c>
      <c r="T673" s="39">
        <f>S673*Inputs!$D$12</f>
        <v>24157.336440899016</v>
      </c>
      <c r="U673" s="39">
        <f>T673*(1-Inputs!$D$18)</f>
        <v>10870.801398404556</v>
      </c>
      <c r="V673" s="35">
        <f>Inputs!$D$6*F673*Inputs!$D$28*Inputs!$D$31</f>
        <v>761.65325673326424</v>
      </c>
      <c r="W673" s="36">
        <f>V673/(B673*Inputs!$D$34)</f>
        <v>0.72538405403168027</v>
      </c>
      <c r="X673" s="38">
        <f>IF(W673&gt;=1,999,W673/(Inputs!$D$34*(1-W673))*60)</f>
        <v>4.5281985239874629</v>
      </c>
      <c r="Y673" s="37">
        <f>MIN(1,MAX(0,(X673-Inputs!$D$36)/(Inputs!$D$37-Inputs!$D$36)))</f>
        <v>0</v>
      </c>
      <c r="Z673" s="35">
        <f>Inputs!$D$6*F673*Inputs!$D$28*(1-Inputs!$D$38*Y673)</f>
        <v>5858.8712056404938</v>
      </c>
      <c r="AA673" s="39">
        <f>Z673*Inputs!$D$13</f>
        <v>49800.405247944196</v>
      </c>
      <c r="AB673" s="39">
        <f>AA673*(1-Inputs!$D$19)</f>
        <v>29880.243148766516</v>
      </c>
      <c r="AC673" s="39">
        <f t="shared" si="40"/>
        <v>371103.43668884324</v>
      </c>
      <c r="AD673" s="39">
        <f t="shared" si="41"/>
        <v>144752.0377971711</v>
      </c>
      <c r="AE673" s="36">
        <f t="shared" si="42"/>
        <v>1.029431950606492</v>
      </c>
      <c r="AF673" s="35">
        <f>IF(AND(AE673&lt;=Inputs!$D$35,C673&gt;=Inputs!$D$48*(A673+B673+C673),B673*Inputs!$D$22&lt;=Inputs!$D$50*Inputs!$D$8,B673*Inputs!$D$22&gt;=Inputs!$D$49*Inputs!$D$8,A673*Inputs!$D$20&lt;=Inputs!$D$47*Inputs!$D$8,C673&gt;=1),1,0)</f>
        <v>0</v>
      </c>
      <c r="AG673" s="39">
        <f t="shared" si="43"/>
        <v>-1</v>
      </c>
    </row>
    <row r="674" spans="1:33" x14ac:dyDescent="0.25">
      <c r="A674" s="35">
        <v>52</v>
      </c>
      <c r="B674" s="35">
        <v>31</v>
      </c>
      <c r="C674" s="35">
        <f>Inputs!$D$8-A674-Inputs!$D$22*B674</f>
        <v>6</v>
      </c>
      <c r="D674" s="35">
        <f>A674*Inputs!$D$20+C674*Inputs!$D$21+B674*Inputs!$D$22</f>
        <v>120</v>
      </c>
      <c r="E674" s="36">
        <f>MIN(Inputs!$E$15,Inputs!$D$15*(C674/Inputs!$D$43)^Inputs!$D$44)</f>
        <v>0.21181013327762671</v>
      </c>
      <c r="F674" s="36">
        <f>MIN(Inputs!$E$16,Inputs!$D$16*(B674/Inputs!$D$42)^Inputs!$D$44)</f>
        <v>0.45620443270573335</v>
      </c>
      <c r="G674" s="37">
        <f>Inputs!$D$26*(1+Inputs!$D$41*(B674-Inputs!$D$42))</f>
        <v>1.665</v>
      </c>
      <c r="H674" s="35">
        <f>Inputs!$D$6*Inputs!$D$14*G674*Inputs!$D$29</f>
        <v>2091.95595</v>
      </c>
      <c r="I674" s="36">
        <f>H674/(A674*Inputs!$D$32)</f>
        <v>0.73145312937062934</v>
      </c>
      <c r="J674" s="38">
        <f>IF(I674&gt;=1,999,I674/(Inputs!$D$32*(1-I674))*60)</f>
        <v>2.9713579105734409</v>
      </c>
      <c r="K674" s="37">
        <f>MIN(1,MAX(0,(J674-Inputs!$D$36)/(Inputs!$D$37-Inputs!$D$36)))</f>
        <v>0</v>
      </c>
      <c r="L674" s="35">
        <f>Inputs!$D$6*Inputs!$D$14*G674*(1-Inputs!$D$38*K674)</f>
        <v>13946.373000000001</v>
      </c>
      <c r="M674" s="39">
        <f>L674*Inputs!$D$11</f>
        <v>299847.01950000005</v>
      </c>
      <c r="N674" s="39">
        <f>M674*(1-Inputs!$D$17)</f>
        <v>104946.45682500002</v>
      </c>
      <c r="O674" s="35">
        <f>Inputs!$D$6*E674*Inputs!$D$27*Inputs!$D$30</f>
        <v>302.18019750132584</v>
      </c>
      <c r="P674" s="36">
        <f>O674/(C674*Inputs!$D$33)</f>
        <v>1.2590841562555244</v>
      </c>
      <c r="Q674" s="38">
        <f>IF(P674&gt;=1,999,P674/(Inputs!$D$33*(1-P674))*60)</f>
        <v>999</v>
      </c>
      <c r="R674" s="37">
        <f>MIN(1,MAX(0,(Q674-Inputs!$D$36)/(Inputs!$D$37-Inputs!$D$36)))</f>
        <v>1</v>
      </c>
      <c r="S674" s="35">
        <f>Inputs!$D$6*E674*Inputs!$D$27*(1-Inputs!$D$38*R674)</f>
        <v>1384.9925718810769</v>
      </c>
      <c r="T674" s="39">
        <f>S674*Inputs!$D$12</f>
        <v>22159.88115009723</v>
      </c>
      <c r="U674" s="39">
        <f>T674*(1-Inputs!$D$18)</f>
        <v>9971.9465175437526</v>
      </c>
      <c r="V674" s="35">
        <f>Inputs!$D$6*F674*Inputs!$D$28*Inputs!$D$31</f>
        <v>769.18257135463637</v>
      </c>
      <c r="W674" s="36">
        <f>V674/(B674*Inputs!$D$34)</f>
        <v>0.70892402889828232</v>
      </c>
      <c r="X674" s="38">
        <f>IF(W674&gt;=1,999,W674/(Inputs!$D$34*(1-W674))*60)</f>
        <v>4.1751929252501148</v>
      </c>
      <c r="Y674" s="37">
        <f>MIN(1,MAX(0,(X674-Inputs!$D$36)/(Inputs!$D$37-Inputs!$D$36)))</f>
        <v>0</v>
      </c>
      <c r="Z674" s="35">
        <f>Inputs!$D$6*F674*Inputs!$D$28*(1-Inputs!$D$38*Y674)</f>
        <v>5916.7890104202797</v>
      </c>
      <c r="AA674" s="39">
        <f>Z674*Inputs!$D$13</f>
        <v>50292.706588572379</v>
      </c>
      <c r="AB674" s="39">
        <f>AA674*(1-Inputs!$D$19)</f>
        <v>30175.623953143426</v>
      </c>
      <c r="AC674" s="39">
        <f t="shared" si="40"/>
        <v>372299.60723866965</v>
      </c>
      <c r="AD674" s="39">
        <f t="shared" si="41"/>
        <v>145094.02729568718</v>
      </c>
      <c r="AE674" s="36">
        <f t="shared" si="42"/>
        <v>1.2590841562555244</v>
      </c>
      <c r="AF674" s="35">
        <f>IF(AND(AE674&lt;=Inputs!$D$35,C674&gt;=Inputs!$D$48*(A674+B674+C674),B674*Inputs!$D$22&lt;=Inputs!$D$50*Inputs!$D$8,B674*Inputs!$D$22&gt;=Inputs!$D$49*Inputs!$D$8,A674*Inputs!$D$20&lt;=Inputs!$D$47*Inputs!$D$8,C674&gt;=1),1,0)</f>
        <v>0</v>
      </c>
      <c r="AG674" s="39">
        <f t="shared" si="43"/>
        <v>-1</v>
      </c>
    </row>
    <row r="675" spans="1:33" x14ac:dyDescent="0.25">
      <c r="A675" s="35">
        <v>52</v>
      </c>
      <c r="B675" s="35">
        <v>32</v>
      </c>
      <c r="C675" s="35">
        <f>Inputs!$D$8-A675-Inputs!$D$22*B675</f>
        <v>4</v>
      </c>
      <c r="D675" s="35">
        <f>A675*Inputs!$D$20+C675*Inputs!$D$21+B675*Inputs!$D$22</f>
        <v>120</v>
      </c>
      <c r="E675" s="36">
        <f>MIN(Inputs!$E$15,Inputs!$D$15*(C675/Inputs!$D$43)^Inputs!$D$44)</f>
        <v>0.18755098776793777</v>
      </c>
      <c r="F675" s="36">
        <f>MIN(Inputs!$E$16,Inputs!$D$16*(B675/Inputs!$D$42)^Inputs!$D$44)</f>
        <v>0.46057036065052986</v>
      </c>
      <c r="G675" s="37">
        <f>Inputs!$D$26*(1+Inputs!$D$41*(B675-Inputs!$D$42))</f>
        <v>1.6800000000000002</v>
      </c>
      <c r="H675" s="35">
        <f>Inputs!$D$6*Inputs!$D$14*G675*Inputs!$D$29</f>
        <v>2110.8024000000005</v>
      </c>
      <c r="I675" s="36">
        <f>H675/(A675*Inputs!$D$32)</f>
        <v>0.73804279720279742</v>
      </c>
      <c r="J675" s="38">
        <f>IF(I675&gt;=1,999,I675/(Inputs!$D$32*(1-I675))*60)</f>
        <v>3.073546321121063</v>
      </c>
      <c r="K675" s="37">
        <f>MIN(1,MAX(0,(J675-Inputs!$D$36)/(Inputs!$D$37-Inputs!$D$36)))</f>
        <v>0</v>
      </c>
      <c r="L675" s="35">
        <f>Inputs!$D$6*Inputs!$D$14*G675*(1-Inputs!$D$38*K675)</f>
        <v>14072.016000000003</v>
      </c>
      <c r="M675" s="39">
        <f>L675*Inputs!$D$11</f>
        <v>302548.34400000004</v>
      </c>
      <c r="N675" s="39">
        <f>M675*(1-Inputs!$D$17)</f>
        <v>105891.9204</v>
      </c>
      <c r="O675" s="35">
        <f>Inputs!$D$6*E675*Inputs!$D$27*Inputs!$D$30</f>
        <v>267.57074200505502</v>
      </c>
      <c r="P675" s="36">
        <f>O675/(C675*Inputs!$D$33)</f>
        <v>1.6723171375315939</v>
      </c>
      <c r="Q675" s="38">
        <f>IF(P675&gt;=1,999,P675/(Inputs!$D$33*(1-P675))*60)</f>
        <v>999</v>
      </c>
      <c r="R675" s="37">
        <f>MIN(1,MAX(0,(Q675-Inputs!$D$36)/(Inputs!$D$37-Inputs!$D$36)))</f>
        <v>1</v>
      </c>
      <c r="S675" s="35">
        <f>Inputs!$D$6*E675*Inputs!$D$27*(1-Inputs!$D$38*R675)</f>
        <v>1226.3659008565023</v>
      </c>
      <c r="T675" s="39">
        <f>S675*Inputs!$D$12</f>
        <v>19621.854413704037</v>
      </c>
      <c r="U675" s="39">
        <f>T675*(1-Inputs!$D$18)</f>
        <v>8829.8344861668156</v>
      </c>
      <c r="V675" s="35">
        <f>Inputs!$D$6*F675*Inputs!$D$28*Inputs!$D$31</f>
        <v>776.54373543410452</v>
      </c>
      <c r="W675" s="36">
        <f>V675/(B675*Inputs!$D$34)</f>
        <v>0.69334262092330756</v>
      </c>
      <c r="X675" s="38">
        <f>IF(W675&gt;=1,999,W675/(Inputs!$D$34*(1-W675))*60)</f>
        <v>3.8759457011369869</v>
      </c>
      <c r="Y675" s="37">
        <f>MIN(1,MAX(0,(X675-Inputs!$D$36)/(Inputs!$D$37-Inputs!$D$36)))</f>
        <v>0</v>
      </c>
      <c r="Z675" s="35">
        <f>Inputs!$D$6*F675*Inputs!$D$28*(1-Inputs!$D$38*Y675)</f>
        <v>5973.4133494931111</v>
      </c>
      <c r="AA675" s="39">
        <f>Z675*Inputs!$D$13</f>
        <v>50774.013470691447</v>
      </c>
      <c r="AB675" s="39">
        <f>AA675*(1-Inputs!$D$19)</f>
        <v>30464.408082414866</v>
      </c>
      <c r="AC675" s="39">
        <f t="shared" si="40"/>
        <v>372944.21188439551</v>
      </c>
      <c r="AD675" s="39">
        <f t="shared" si="41"/>
        <v>145186.16296858169</v>
      </c>
      <c r="AE675" s="36">
        <f t="shared" si="42"/>
        <v>1.6723171375315939</v>
      </c>
      <c r="AF675" s="35">
        <f>IF(AND(AE675&lt;=Inputs!$D$35,C675&gt;=Inputs!$D$48*(A675+B675+C675),B675*Inputs!$D$22&lt;=Inputs!$D$50*Inputs!$D$8,B675*Inputs!$D$22&gt;=Inputs!$D$49*Inputs!$D$8,A675*Inputs!$D$20&lt;=Inputs!$D$47*Inputs!$D$8,C675&gt;=1),1,0)</f>
        <v>0</v>
      </c>
      <c r="AG675" s="39">
        <f t="shared" si="43"/>
        <v>-1</v>
      </c>
    </row>
    <row r="676" spans="1:33" x14ac:dyDescent="0.25">
      <c r="A676" s="35">
        <v>52</v>
      </c>
      <c r="B676" s="35">
        <v>33</v>
      </c>
      <c r="C676" s="35">
        <f>Inputs!$D$8-A676-Inputs!$D$22*B676</f>
        <v>2</v>
      </c>
      <c r="D676" s="35">
        <f>A676*Inputs!$D$20+C676*Inputs!$D$21+B676*Inputs!$D$22</f>
        <v>120</v>
      </c>
      <c r="E676" s="36">
        <f>MIN(Inputs!$E$15,Inputs!$D$15*(C676/Inputs!$D$43)^Inputs!$D$44)</f>
        <v>0.15233873925348645</v>
      </c>
      <c r="F676" s="36">
        <f>MIN(Inputs!$E$16,Inputs!$D$16*(B676/Inputs!$D$42)^Inputs!$D$44)</f>
        <v>0.46484180038786721</v>
      </c>
      <c r="G676" s="37">
        <f>Inputs!$D$26*(1+Inputs!$D$41*(B676-Inputs!$D$42))</f>
        <v>1.6949999999999998</v>
      </c>
      <c r="H676" s="35">
        <f>Inputs!$D$6*Inputs!$D$14*G676*Inputs!$D$29</f>
        <v>2129.64885</v>
      </c>
      <c r="I676" s="36">
        <f>H676/(A676*Inputs!$D$32)</f>
        <v>0.74463246503496505</v>
      </c>
      <c r="J676" s="38">
        <f>IF(I676&gt;=1,999,I676/(Inputs!$D$32*(1-I676))*60)</f>
        <v>3.1810086023813215</v>
      </c>
      <c r="K676" s="37">
        <f>MIN(1,MAX(0,(J676-Inputs!$D$36)/(Inputs!$D$37-Inputs!$D$36)))</f>
        <v>0</v>
      </c>
      <c r="L676" s="35">
        <f>Inputs!$D$6*Inputs!$D$14*G676*(1-Inputs!$D$38*K676)</f>
        <v>14197.659</v>
      </c>
      <c r="M676" s="39">
        <f>L676*Inputs!$D$11</f>
        <v>305249.66849999997</v>
      </c>
      <c r="N676" s="39">
        <f>M676*(1-Inputs!$D$17)</f>
        <v>106837.38397499999</v>
      </c>
      <c r="O676" s="35">
        <f>Inputs!$D$6*E676*Inputs!$D$27*Inputs!$D$30</f>
        <v>217.33497638842198</v>
      </c>
      <c r="P676" s="36">
        <f>O676/(C676*Inputs!$D$33)</f>
        <v>2.7166872048552748</v>
      </c>
      <c r="Q676" s="38">
        <f>IF(P676&gt;=1,999,P676/(Inputs!$D$33*(1-P676))*60)</f>
        <v>999</v>
      </c>
      <c r="R676" s="37">
        <f>MIN(1,MAX(0,(Q676-Inputs!$D$36)/(Inputs!$D$37-Inputs!$D$36)))</f>
        <v>1</v>
      </c>
      <c r="S676" s="35">
        <f>Inputs!$D$6*E676*Inputs!$D$27*(1-Inputs!$D$38*R676)</f>
        <v>996.11864178026747</v>
      </c>
      <c r="T676" s="39">
        <f>S676*Inputs!$D$12</f>
        <v>15937.898268484279</v>
      </c>
      <c r="U676" s="39">
        <f>T676*(1-Inputs!$D$18)</f>
        <v>7172.0542208179249</v>
      </c>
      <c r="V676" s="35">
        <f>Inputs!$D$6*F676*Inputs!$D$28*Inputs!$D$31</f>
        <v>783.74558786036266</v>
      </c>
      <c r="W676" s="36">
        <f>V676/(B676*Inputs!$D$34)</f>
        <v>0.67856760853711051</v>
      </c>
      <c r="X676" s="38">
        <f>IF(W676&gt;=1,999,W676/(Inputs!$D$34*(1-W676))*60)</f>
        <v>3.6189842355277744</v>
      </c>
      <c r="Y676" s="37">
        <f>MIN(1,MAX(0,(X676-Inputs!$D$36)/(Inputs!$D$37-Inputs!$D$36)))</f>
        <v>0</v>
      </c>
      <c r="Z676" s="35">
        <f>Inputs!$D$6*F676*Inputs!$D$28*(1-Inputs!$D$38*Y676)</f>
        <v>6028.812214310482</v>
      </c>
      <c r="AA676" s="39">
        <f>Z676*Inputs!$D$13</f>
        <v>51244.903821639098</v>
      </c>
      <c r="AB676" s="39">
        <f>AA676*(1-Inputs!$D$19)</f>
        <v>30746.942292983458</v>
      </c>
      <c r="AC676" s="39">
        <f t="shared" si="40"/>
        <v>372432.47059012332</v>
      </c>
      <c r="AD676" s="39">
        <f t="shared" si="41"/>
        <v>144756.38048880137</v>
      </c>
      <c r="AE676" s="36">
        <f t="shared" si="42"/>
        <v>2.7166872048552748</v>
      </c>
      <c r="AF676" s="35">
        <f>IF(AND(AE676&lt;=Inputs!$D$35,C676&gt;=Inputs!$D$48*(A676+B676+C676),B676*Inputs!$D$22&lt;=Inputs!$D$50*Inputs!$D$8,B676*Inputs!$D$22&gt;=Inputs!$D$49*Inputs!$D$8,A676*Inputs!$D$20&lt;=Inputs!$D$47*Inputs!$D$8,C676&gt;=1),1,0)</f>
        <v>0</v>
      </c>
      <c r="AG676" s="39">
        <f t="shared" si="43"/>
        <v>-1</v>
      </c>
    </row>
    <row r="677" spans="1:33" x14ac:dyDescent="0.25">
      <c r="A677" s="35">
        <v>53</v>
      </c>
      <c r="B677" s="35">
        <v>10</v>
      </c>
      <c r="C677" s="35">
        <f>Inputs!$D$8-A677-Inputs!$D$22*B677</f>
        <v>47</v>
      </c>
      <c r="D677" s="35">
        <f>A677*Inputs!$D$20+C677*Inputs!$D$21+B677*Inputs!$D$22</f>
        <v>120</v>
      </c>
      <c r="E677" s="36">
        <f>MIN(Inputs!$E$15,Inputs!$D$15*(C677/Inputs!$D$43)^Inputs!$D$44)</f>
        <v>0.39276313309091065</v>
      </c>
      <c r="F677" s="36">
        <f>MIN(Inputs!$E$16,Inputs!$D$16*(B677/Inputs!$D$42)^Inputs!$D$44)</f>
        <v>0.32490095854249423</v>
      </c>
      <c r="G677" s="37">
        <f>Inputs!$D$26*(1+Inputs!$D$41*(B677-Inputs!$D$42))</f>
        <v>1.35</v>
      </c>
      <c r="H677" s="35">
        <f>Inputs!$D$6*Inputs!$D$14*G677*Inputs!$D$29</f>
        <v>1696.1805000000004</v>
      </c>
      <c r="I677" s="36">
        <f>H677/(A677*Inputs!$D$32)</f>
        <v>0.58188010291595216</v>
      </c>
      <c r="J677" s="38">
        <f>IF(I677&gt;=1,999,I677/(Inputs!$D$32*(1-I677))*60)</f>
        <v>1.5181728937490158</v>
      </c>
      <c r="K677" s="37">
        <f>MIN(1,MAX(0,(J677-Inputs!$D$36)/(Inputs!$D$37-Inputs!$D$36)))</f>
        <v>0</v>
      </c>
      <c r="L677" s="35">
        <f>Inputs!$D$6*Inputs!$D$14*G677*(1-Inputs!$D$38*K677)</f>
        <v>11307.870000000003</v>
      </c>
      <c r="M677" s="39">
        <f>L677*Inputs!$D$11</f>
        <v>243119.20500000005</v>
      </c>
      <c r="N677" s="39">
        <f>M677*(1-Inputs!$D$17)</f>
        <v>85091.721750000012</v>
      </c>
      <c r="O677" s="35">
        <f>Inputs!$D$6*E677*Inputs!$D$27*Inputs!$D$30</f>
        <v>560.33788040294633</v>
      </c>
      <c r="P677" s="36">
        <f>O677/(C677*Inputs!$D$33)</f>
        <v>0.29805206404412038</v>
      </c>
      <c r="Q677" s="38">
        <f>IF(P677&gt;=1,999,P677/(Inputs!$D$33*(1-P677))*60)</f>
        <v>0.63691062138016075</v>
      </c>
      <c r="R677" s="37">
        <f>MIN(1,MAX(0,(Q677-Inputs!$D$36)/(Inputs!$D$37-Inputs!$D$36)))</f>
        <v>0</v>
      </c>
      <c r="S677" s="35">
        <f>Inputs!$D$6*E677*Inputs!$D$27*(1-Inputs!$D$38*R677)</f>
        <v>4669.4823366912196</v>
      </c>
      <c r="T677" s="39">
        <f>S677*Inputs!$D$12</f>
        <v>74711.717387059514</v>
      </c>
      <c r="U677" s="39">
        <f>T677*(1-Inputs!$D$18)</f>
        <v>33620.272824176776</v>
      </c>
      <c r="V677" s="35">
        <f>Inputs!$D$6*F677*Inputs!$D$28*Inputs!$D$31</f>
        <v>547.7986113486553</v>
      </c>
      <c r="W677" s="36">
        <f>V677/(B677*Inputs!$D$34)</f>
        <v>1.5651388895675866</v>
      </c>
      <c r="X677" s="38">
        <f>IF(W677&gt;=1,999,W677/(Inputs!$D$34*(1-W677))*60)</f>
        <v>999</v>
      </c>
      <c r="Y677" s="37">
        <f>MIN(1,MAX(0,(X677-Inputs!$D$36)/(Inputs!$D$37-Inputs!$D$36)))</f>
        <v>1</v>
      </c>
      <c r="Z677" s="35">
        <f>Inputs!$D$6*F677*Inputs!$D$28*(1-Inputs!$D$38*Y677)</f>
        <v>2317.6095095520031</v>
      </c>
      <c r="AA677" s="39">
        <f>Z677*Inputs!$D$13</f>
        <v>19699.680831192025</v>
      </c>
      <c r="AB677" s="39">
        <f>AA677*(1-Inputs!$D$19)</f>
        <v>11819.808498715214</v>
      </c>
      <c r="AC677" s="39">
        <f t="shared" si="40"/>
        <v>337530.60321825155</v>
      </c>
      <c r="AD677" s="39">
        <f t="shared" si="41"/>
        <v>130531.803072892</v>
      </c>
      <c r="AE677" s="36">
        <f t="shared" si="42"/>
        <v>1.5651388895675866</v>
      </c>
      <c r="AF677" s="35">
        <f>IF(AND(AE677&lt;=Inputs!$D$35,C677&gt;=Inputs!$D$48*(A677+B677+C677),B677*Inputs!$D$22&lt;=Inputs!$D$50*Inputs!$D$8,B677*Inputs!$D$22&gt;=Inputs!$D$49*Inputs!$D$8,A677*Inputs!$D$20&lt;=Inputs!$D$47*Inputs!$D$8,C677&gt;=1),1,0)</f>
        <v>0</v>
      </c>
      <c r="AG677" s="39">
        <f t="shared" si="43"/>
        <v>-1</v>
      </c>
    </row>
    <row r="678" spans="1:33" x14ac:dyDescent="0.25">
      <c r="A678" s="35">
        <v>53</v>
      </c>
      <c r="B678" s="35">
        <v>11</v>
      </c>
      <c r="C678" s="35">
        <f>Inputs!$D$8-A678-Inputs!$D$22*B678</f>
        <v>45</v>
      </c>
      <c r="D678" s="35">
        <f>A678*Inputs!$D$20+C678*Inputs!$D$21+B678*Inputs!$D$22</f>
        <v>120</v>
      </c>
      <c r="E678" s="36">
        <f>MIN(Inputs!$E$15,Inputs!$D$15*(C678/Inputs!$D$43)^Inputs!$D$44)</f>
        <v>0.38767260497069417</v>
      </c>
      <c r="F678" s="36">
        <f>MIN(Inputs!$E$16,Inputs!$D$16*(B678/Inputs!$D$42)^Inputs!$D$44)</f>
        <v>0.33432495758166098</v>
      </c>
      <c r="G678" s="37">
        <f>Inputs!$D$26*(1+Inputs!$D$41*(B678-Inputs!$D$42))</f>
        <v>1.365</v>
      </c>
      <c r="H678" s="35">
        <f>Inputs!$D$6*Inputs!$D$14*G678*Inputs!$D$29</f>
        <v>1715.0269500000002</v>
      </c>
      <c r="I678" s="36">
        <f>H678/(A678*Inputs!$D$32)</f>
        <v>0.58834543739279599</v>
      </c>
      <c r="J678" s="38">
        <f>IF(I678&gt;=1,999,I678/(Inputs!$D$32*(1-I678))*60)</f>
        <v>1.5591504250108714</v>
      </c>
      <c r="K678" s="37">
        <f>MIN(1,MAX(0,(J678-Inputs!$D$36)/(Inputs!$D$37-Inputs!$D$36)))</f>
        <v>0</v>
      </c>
      <c r="L678" s="35">
        <f>Inputs!$D$6*Inputs!$D$14*G678*(1-Inputs!$D$38*K678)</f>
        <v>11433.513000000001</v>
      </c>
      <c r="M678" s="39">
        <f>L678*Inputs!$D$11</f>
        <v>245820.5295</v>
      </c>
      <c r="N678" s="39">
        <f>M678*(1-Inputs!$D$17)</f>
        <v>86037.185324999999</v>
      </c>
      <c r="O678" s="35">
        <f>Inputs!$D$6*E678*Inputs!$D$27*Inputs!$D$30</f>
        <v>553.07544791707073</v>
      </c>
      <c r="P678" s="36">
        <f>O678/(C678*Inputs!$D$33)</f>
        <v>0.30726413773170597</v>
      </c>
      <c r="Q678" s="38">
        <f>IF(P678&gt;=1,999,P678/(Inputs!$D$33*(1-P678))*60)</f>
        <v>0.66532748151423926</v>
      </c>
      <c r="R678" s="37">
        <f>MIN(1,MAX(0,(Q678-Inputs!$D$36)/(Inputs!$D$37-Inputs!$D$36)))</f>
        <v>0</v>
      </c>
      <c r="S678" s="35">
        <f>Inputs!$D$6*E678*Inputs!$D$27*(1-Inputs!$D$38*R678)</f>
        <v>4608.9620659755892</v>
      </c>
      <c r="T678" s="39">
        <f>S678*Inputs!$D$12</f>
        <v>73743.393055609427</v>
      </c>
      <c r="U678" s="39">
        <f>T678*(1-Inputs!$D$18)</f>
        <v>33184.526875024239</v>
      </c>
      <c r="V678" s="35">
        <f>Inputs!$D$6*F678*Inputs!$D$28*Inputs!$D$31</f>
        <v>563.68792608064427</v>
      </c>
      <c r="W678" s="36">
        <f>V678/(B678*Inputs!$D$34)</f>
        <v>1.4641244833263487</v>
      </c>
      <c r="X678" s="38">
        <f>IF(W678&gt;=1,999,W678/(Inputs!$D$34*(1-W678))*60)</f>
        <v>999</v>
      </c>
      <c r="Y678" s="37">
        <f>MIN(1,MAX(0,(X678-Inputs!$D$36)/(Inputs!$D$37-Inputs!$D$36)))</f>
        <v>1</v>
      </c>
      <c r="Z678" s="35">
        <f>Inputs!$D$6*F678*Inputs!$D$28*(1-Inputs!$D$38*Y678)</f>
        <v>2384.8335334181106</v>
      </c>
      <c r="AA678" s="39">
        <f>Z678*Inputs!$D$13</f>
        <v>20271.08503405394</v>
      </c>
      <c r="AB678" s="39">
        <f>AA678*(1-Inputs!$D$19)</f>
        <v>12162.651020432364</v>
      </c>
      <c r="AC678" s="39">
        <f t="shared" si="40"/>
        <v>339835.00758966338</v>
      </c>
      <c r="AD678" s="39">
        <f t="shared" si="41"/>
        <v>131384.36322045661</v>
      </c>
      <c r="AE678" s="36">
        <f t="shared" si="42"/>
        <v>1.4641244833263487</v>
      </c>
      <c r="AF678" s="35">
        <f>IF(AND(AE678&lt;=Inputs!$D$35,C678&gt;=Inputs!$D$48*(A678+B678+C678),B678*Inputs!$D$22&lt;=Inputs!$D$50*Inputs!$D$8,B678*Inputs!$D$22&gt;=Inputs!$D$49*Inputs!$D$8,A678*Inputs!$D$20&lt;=Inputs!$D$47*Inputs!$D$8,C678&gt;=1),1,0)</f>
        <v>0</v>
      </c>
      <c r="AG678" s="39">
        <f t="shared" si="43"/>
        <v>-1</v>
      </c>
    </row>
    <row r="679" spans="1:33" x14ac:dyDescent="0.25">
      <c r="A679" s="35">
        <v>53</v>
      </c>
      <c r="B679" s="35">
        <v>12</v>
      </c>
      <c r="C679" s="35">
        <f>Inputs!$D$8-A679-Inputs!$D$22*B679</f>
        <v>43</v>
      </c>
      <c r="D679" s="35">
        <f>A679*Inputs!$D$20+C679*Inputs!$D$21+B679*Inputs!$D$22</f>
        <v>120</v>
      </c>
      <c r="E679" s="36">
        <f>MIN(Inputs!$E$15,Inputs!$D$15*(C679/Inputs!$D$43)^Inputs!$D$44)</f>
        <v>0.38242114286867052</v>
      </c>
      <c r="F679" s="36">
        <f>MIN(Inputs!$E$16,Inputs!$D$16*(B679/Inputs!$D$42)^Inputs!$D$44)</f>
        <v>0.34316688017763797</v>
      </c>
      <c r="G679" s="37">
        <f>Inputs!$D$26*(1+Inputs!$D$41*(B679-Inputs!$D$42))</f>
        <v>1.3800000000000001</v>
      </c>
      <c r="H679" s="35">
        <f>Inputs!$D$6*Inputs!$D$14*G679*Inputs!$D$29</f>
        <v>1733.8734000000004</v>
      </c>
      <c r="I679" s="36">
        <f>H679/(A679*Inputs!$D$32)</f>
        <v>0.59481077186963993</v>
      </c>
      <c r="J679" s="38">
        <f>IF(I679&gt;=1,999,I679/(Inputs!$D$32*(1-I679))*60)</f>
        <v>1.6014356585868574</v>
      </c>
      <c r="K679" s="37">
        <f>MIN(1,MAX(0,(J679-Inputs!$D$36)/(Inputs!$D$37-Inputs!$D$36)))</f>
        <v>0</v>
      </c>
      <c r="L679" s="35">
        <f>Inputs!$D$6*Inputs!$D$14*G679*(1-Inputs!$D$38*K679)</f>
        <v>11559.156000000003</v>
      </c>
      <c r="M679" s="39">
        <f>L679*Inputs!$D$11</f>
        <v>248521.85400000005</v>
      </c>
      <c r="N679" s="39">
        <f>M679*(1-Inputs!$D$17)</f>
        <v>86982.648900000015</v>
      </c>
      <c r="O679" s="35">
        <f>Inputs!$D$6*E679*Inputs!$D$27*Inputs!$D$30</f>
        <v>545.58341800044604</v>
      </c>
      <c r="P679" s="36">
        <f>O679/(C679*Inputs!$D$33)</f>
        <v>0.31719966162816632</v>
      </c>
      <c r="Q679" s="38">
        <f>IF(P679&gt;=1,999,P679/(Inputs!$D$33*(1-P679))*60)</f>
        <v>0.69683546668534679</v>
      </c>
      <c r="R679" s="37">
        <f>MIN(1,MAX(0,(Q679-Inputs!$D$36)/(Inputs!$D$37-Inputs!$D$36)))</f>
        <v>0</v>
      </c>
      <c r="S679" s="35">
        <f>Inputs!$D$6*E679*Inputs!$D$27*(1-Inputs!$D$38*R679)</f>
        <v>4546.5284833370506</v>
      </c>
      <c r="T679" s="39">
        <f>S679*Inputs!$D$12</f>
        <v>72744.45573339281</v>
      </c>
      <c r="U679" s="39">
        <f>T679*(1-Inputs!$D$18)</f>
        <v>32735.00508002676</v>
      </c>
      <c r="V679" s="35">
        <f>Inputs!$D$6*F679*Inputs!$D$28*Inputs!$D$31</f>
        <v>578.5958319897461</v>
      </c>
      <c r="W679" s="36">
        <f>V679/(B679*Inputs!$D$34)</f>
        <v>1.3776091237851098</v>
      </c>
      <c r="X679" s="38">
        <f>IF(W679&gt;=1,999,W679/(Inputs!$D$34*(1-W679))*60)</f>
        <v>999</v>
      </c>
      <c r="Y679" s="37">
        <f>MIN(1,MAX(0,(X679-Inputs!$D$36)/(Inputs!$D$37-Inputs!$D$36)))</f>
        <v>1</v>
      </c>
      <c r="Z679" s="35">
        <f>Inputs!$D$6*F679*Inputs!$D$28*(1-Inputs!$D$38*Y679)</f>
        <v>2447.9054430335414</v>
      </c>
      <c r="AA679" s="39">
        <f>Z679*Inputs!$D$13</f>
        <v>20807.1962657851</v>
      </c>
      <c r="AB679" s="39">
        <f>AA679*(1-Inputs!$D$19)</f>
        <v>12484.31775947106</v>
      </c>
      <c r="AC679" s="39">
        <f t="shared" si="40"/>
        <v>342073.50599917793</v>
      </c>
      <c r="AD679" s="39">
        <f t="shared" si="41"/>
        <v>132201.97173949785</v>
      </c>
      <c r="AE679" s="36">
        <f t="shared" si="42"/>
        <v>1.3776091237851098</v>
      </c>
      <c r="AF679" s="35">
        <f>IF(AND(AE679&lt;=Inputs!$D$35,C679&gt;=Inputs!$D$48*(A679+B679+C679),B679*Inputs!$D$22&lt;=Inputs!$D$50*Inputs!$D$8,B679*Inputs!$D$22&gt;=Inputs!$D$49*Inputs!$D$8,A679*Inputs!$D$20&lt;=Inputs!$D$47*Inputs!$D$8,C679&gt;=1),1,0)</f>
        <v>0</v>
      </c>
      <c r="AG679" s="39">
        <f t="shared" si="43"/>
        <v>-1</v>
      </c>
    </row>
    <row r="680" spans="1:33" x14ac:dyDescent="0.25">
      <c r="A680" s="35">
        <v>53</v>
      </c>
      <c r="B680" s="35">
        <v>13</v>
      </c>
      <c r="C680" s="35">
        <f>Inputs!$D$8-A680-Inputs!$D$22*B680</f>
        <v>41</v>
      </c>
      <c r="D680" s="35">
        <f>A680*Inputs!$D$20+C680*Inputs!$D$21+B680*Inputs!$D$22</f>
        <v>120</v>
      </c>
      <c r="E680" s="36">
        <f>MIN(Inputs!$E$15,Inputs!$D$15*(C680/Inputs!$D$43)^Inputs!$D$44)</f>
        <v>0.37699580304543617</v>
      </c>
      <c r="F680" s="36">
        <f>MIN(Inputs!$E$16,Inputs!$D$16*(B680/Inputs!$D$42)^Inputs!$D$44)</f>
        <v>0.35150701637190523</v>
      </c>
      <c r="G680" s="37">
        <f>Inputs!$D$26*(1+Inputs!$D$41*(B680-Inputs!$D$42))</f>
        <v>1.395</v>
      </c>
      <c r="H680" s="35">
        <f>Inputs!$D$6*Inputs!$D$14*G680*Inputs!$D$29</f>
        <v>1752.7198500000002</v>
      </c>
      <c r="I680" s="36">
        <f>H680/(A680*Inputs!$D$32)</f>
        <v>0.60127610634648376</v>
      </c>
      <c r="J680" s="38">
        <f>IF(I680&gt;=1,999,I680/(Inputs!$D$32*(1-I680))*60)</f>
        <v>1.6450922079171864</v>
      </c>
      <c r="K680" s="37">
        <f>MIN(1,MAX(0,(J680-Inputs!$D$36)/(Inputs!$D$37-Inputs!$D$36)))</f>
        <v>0</v>
      </c>
      <c r="L680" s="35">
        <f>Inputs!$D$6*Inputs!$D$14*G680*(1-Inputs!$D$38*K680)</f>
        <v>11684.799000000001</v>
      </c>
      <c r="M680" s="39">
        <f>L680*Inputs!$D$11</f>
        <v>251223.17850000001</v>
      </c>
      <c r="N680" s="39">
        <f>M680*(1-Inputs!$D$17)</f>
        <v>87928.112475000002</v>
      </c>
      <c r="O680" s="35">
        <f>Inputs!$D$6*E680*Inputs!$D$27*Inputs!$D$30</f>
        <v>537.84332438958984</v>
      </c>
      <c r="P680" s="36">
        <f>O680/(C680*Inputs!$D$33)</f>
        <v>0.3279532465790182</v>
      </c>
      <c r="Q680" s="38">
        <f>IF(P680&gt;=1,999,P680/(Inputs!$D$33*(1-P680))*60)</f>
        <v>0.73198756985940516</v>
      </c>
      <c r="R680" s="37">
        <f>MIN(1,MAX(0,(Q680-Inputs!$D$36)/(Inputs!$D$37-Inputs!$D$36)))</f>
        <v>0</v>
      </c>
      <c r="S680" s="35">
        <f>Inputs!$D$6*E680*Inputs!$D$27*(1-Inputs!$D$38*R680)</f>
        <v>4482.027703246582</v>
      </c>
      <c r="T680" s="39">
        <f>S680*Inputs!$D$12</f>
        <v>71712.443251945311</v>
      </c>
      <c r="U680" s="39">
        <f>T680*(1-Inputs!$D$18)</f>
        <v>32270.599463375387</v>
      </c>
      <c r="V680" s="35">
        <f>Inputs!$D$6*F680*Inputs!$D$28*Inputs!$D$31</f>
        <v>592.65770193981814</v>
      </c>
      <c r="W680" s="36">
        <f>V680/(B680*Inputs!$D$34)</f>
        <v>1.3025443998677322</v>
      </c>
      <c r="X680" s="38">
        <f>IF(W680&gt;=1,999,W680/(Inputs!$D$34*(1-W680))*60)</f>
        <v>999</v>
      </c>
      <c r="Y680" s="37">
        <f>MIN(1,MAX(0,(X680-Inputs!$D$36)/(Inputs!$D$37-Inputs!$D$36)))</f>
        <v>1</v>
      </c>
      <c r="Z680" s="35">
        <f>Inputs!$D$6*F680*Inputs!$D$28*(1-Inputs!$D$38*Y680)</f>
        <v>2507.3979697453847</v>
      </c>
      <c r="AA680" s="39">
        <f>Z680*Inputs!$D$13</f>
        <v>21312.882742835769</v>
      </c>
      <c r="AB680" s="39">
        <f>AA680*(1-Inputs!$D$19)</f>
        <v>12787.729645701462</v>
      </c>
      <c r="AC680" s="39">
        <f t="shared" si="40"/>
        <v>344248.50449478114</v>
      </c>
      <c r="AD680" s="39">
        <f t="shared" si="41"/>
        <v>132986.44158407685</v>
      </c>
      <c r="AE680" s="36">
        <f t="shared" si="42"/>
        <v>1.3025443998677322</v>
      </c>
      <c r="AF680" s="35">
        <f>IF(AND(AE680&lt;=Inputs!$D$35,C680&gt;=Inputs!$D$48*(A680+B680+C680),B680*Inputs!$D$22&lt;=Inputs!$D$50*Inputs!$D$8,B680*Inputs!$D$22&gt;=Inputs!$D$49*Inputs!$D$8,A680*Inputs!$D$20&lt;=Inputs!$D$47*Inputs!$D$8,C680&gt;=1),1,0)</f>
        <v>0</v>
      </c>
      <c r="AG680" s="39">
        <f t="shared" si="43"/>
        <v>-1</v>
      </c>
    </row>
    <row r="681" spans="1:33" x14ac:dyDescent="0.25">
      <c r="A681" s="35">
        <v>53</v>
      </c>
      <c r="B681" s="35">
        <v>14</v>
      </c>
      <c r="C681" s="35">
        <f>Inputs!$D$8-A681-Inputs!$D$22*B681</f>
        <v>39</v>
      </c>
      <c r="D681" s="35">
        <f>A681*Inputs!$D$20+C681*Inputs!$D$21+B681*Inputs!$D$22</f>
        <v>120</v>
      </c>
      <c r="E681" s="36">
        <f>MIN(Inputs!$E$15,Inputs!$D$15*(C681/Inputs!$D$43)^Inputs!$D$44)</f>
        <v>0.37138190575462604</v>
      </c>
      <c r="F681" s="36">
        <f>MIN(Inputs!$E$16,Inputs!$D$16*(B681/Inputs!$D$42)^Inputs!$D$44)</f>
        <v>0.35940937671625589</v>
      </c>
      <c r="G681" s="37">
        <f>Inputs!$D$26*(1+Inputs!$D$41*(B681-Inputs!$D$42))</f>
        <v>1.41</v>
      </c>
      <c r="H681" s="35">
        <f>Inputs!$D$6*Inputs!$D$14*G681*Inputs!$D$29</f>
        <v>1771.5663000000002</v>
      </c>
      <c r="I681" s="36">
        <f>H681/(A681*Inputs!$D$32)</f>
        <v>0.60774144082332771</v>
      </c>
      <c r="J681" s="38">
        <f>IF(I681&gt;=1,999,I681/(Inputs!$D$32*(1-I681))*60)</f>
        <v>1.6901878804325801</v>
      </c>
      <c r="K681" s="37">
        <f>MIN(1,MAX(0,(J681-Inputs!$D$36)/(Inputs!$D$37-Inputs!$D$36)))</f>
        <v>0</v>
      </c>
      <c r="L681" s="35">
        <f>Inputs!$D$6*Inputs!$D$14*G681*(1-Inputs!$D$38*K681)</f>
        <v>11810.442000000001</v>
      </c>
      <c r="M681" s="39">
        <f>L681*Inputs!$D$11</f>
        <v>253924.50300000003</v>
      </c>
      <c r="N681" s="39">
        <f>M681*(1-Inputs!$D$17)</f>
        <v>88873.576050000003</v>
      </c>
      <c r="O681" s="35">
        <f>Inputs!$D$6*E681*Inputs!$D$27*Inputs!$D$30</f>
        <v>529.8342241362717</v>
      </c>
      <c r="P681" s="36">
        <f>O681/(C681*Inputs!$D$33)</f>
        <v>0.33963732316427675</v>
      </c>
      <c r="Q681" s="38">
        <f>IF(P681&gt;=1,999,P681/(Inputs!$D$33*(1-P681))*60)</f>
        <v>0.77147907145144612</v>
      </c>
      <c r="R681" s="37">
        <f>MIN(1,MAX(0,(Q681-Inputs!$D$36)/(Inputs!$D$37-Inputs!$D$36)))</f>
        <v>0</v>
      </c>
      <c r="S681" s="35">
        <f>Inputs!$D$6*E681*Inputs!$D$27*(1-Inputs!$D$38*R681)</f>
        <v>4415.2852011355981</v>
      </c>
      <c r="T681" s="39">
        <f>S681*Inputs!$D$12</f>
        <v>70644.563218169569</v>
      </c>
      <c r="U681" s="39">
        <f>T681*(1-Inputs!$D$18)</f>
        <v>31790.053448176302</v>
      </c>
      <c r="V681" s="35">
        <f>Inputs!$D$6*F681*Inputs!$D$28*Inputs!$D$31</f>
        <v>605.98146079368973</v>
      </c>
      <c r="W681" s="36">
        <f>V681/(B681*Inputs!$D$34)</f>
        <v>1.2366968587626321</v>
      </c>
      <c r="X681" s="38">
        <f>IF(W681&gt;=1,999,W681/(Inputs!$D$34*(1-W681))*60)</f>
        <v>999</v>
      </c>
      <c r="Y681" s="37">
        <f>MIN(1,MAX(0,(X681-Inputs!$D$36)/(Inputs!$D$37-Inputs!$D$36)))</f>
        <v>1</v>
      </c>
      <c r="Z681" s="35">
        <f>Inputs!$D$6*F681*Inputs!$D$28*(1-Inputs!$D$38*Y681)</f>
        <v>2563.7677187425338</v>
      </c>
      <c r="AA681" s="39">
        <f>Z681*Inputs!$D$13</f>
        <v>21792.025609311539</v>
      </c>
      <c r="AB681" s="39">
        <f>AA681*(1-Inputs!$D$19)</f>
        <v>13075.215365586922</v>
      </c>
      <c r="AC681" s="39">
        <f t="shared" si="40"/>
        <v>346361.09182748111</v>
      </c>
      <c r="AD681" s="39">
        <f t="shared" si="41"/>
        <v>133738.84486376322</v>
      </c>
      <c r="AE681" s="36">
        <f t="shared" si="42"/>
        <v>1.2366968587626321</v>
      </c>
      <c r="AF681" s="35">
        <f>IF(AND(AE681&lt;=Inputs!$D$35,C681&gt;=Inputs!$D$48*(A681+B681+C681),B681*Inputs!$D$22&lt;=Inputs!$D$50*Inputs!$D$8,B681*Inputs!$D$22&gt;=Inputs!$D$49*Inputs!$D$8,A681*Inputs!$D$20&lt;=Inputs!$D$47*Inputs!$D$8,C681&gt;=1),1,0)</f>
        <v>0</v>
      </c>
      <c r="AG681" s="39">
        <f t="shared" si="43"/>
        <v>-1</v>
      </c>
    </row>
    <row r="682" spans="1:33" x14ac:dyDescent="0.25">
      <c r="A682" s="35">
        <v>53</v>
      </c>
      <c r="B682" s="35">
        <v>15</v>
      </c>
      <c r="C682" s="35">
        <f>Inputs!$D$8-A682-Inputs!$D$22*B682</f>
        <v>37</v>
      </c>
      <c r="D682" s="35">
        <f>A682*Inputs!$D$20+C682*Inputs!$D$21+B682*Inputs!$D$22</f>
        <v>120</v>
      </c>
      <c r="E682" s="36">
        <f>MIN(Inputs!$E$15,Inputs!$D$15*(C682/Inputs!$D$43)^Inputs!$D$44)</f>
        <v>0.36556269939951974</v>
      </c>
      <c r="F682" s="36">
        <f>MIN(Inputs!$E$16,Inputs!$D$16*(B682/Inputs!$D$42)^Inputs!$D$44)</f>
        <v>0.36692590185696072</v>
      </c>
      <c r="G682" s="37">
        <f>Inputs!$D$26*(1+Inputs!$D$41*(B682-Inputs!$D$42))</f>
        <v>1.4249999999999998</v>
      </c>
      <c r="H682" s="35">
        <f>Inputs!$D$6*Inputs!$D$14*G682*Inputs!$D$29</f>
        <v>1790.4127499999997</v>
      </c>
      <c r="I682" s="36">
        <f>H682/(A682*Inputs!$D$32)</f>
        <v>0.61420677530017143</v>
      </c>
      <c r="J682" s="38">
        <f>IF(I682&gt;=1,999,I682/(Inputs!$D$32*(1-I682))*60)</f>
        <v>1.7367950289802276</v>
      </c>
      <c r="K682" s="37">
        <f>MIN(1,MAX(0,(J682-Inputs!$D$36)/(Inputs!$D$37-Inputs!$D$36)))</f>
        <v>0</v>
      </c>
      <c r="L682" s="35">
        <f>Inputs!$D$6*Inputs!$D$14*G682*(1-Inputs!$D$38*K682)</f>
        <v>11936.084999999999</v>
      </c>
      <c r="M682" s="39">
        <f>L682*Inputs!$D$11</f>
        <v>256625.82749999998</v>
      </c>
      <c r="N682" s="39">
        <f>M682*(1-Inputs!$D$17)</f>
        <v>89819.03962499999</v>
      </c>
      <c r="O682" s="35">
        <f>Inputs!$D$6*E682*Inputs!$D$27*Inputs!$D$30</f>
        <v>521.5322184745213</v>
      </c>
      <c r="P682" s="36">
        <f>O682/(C682*Inputs!$D$33)</f>
        <v>0.35238663410440629</v>
      </c>
      <c r="Q682" s="38">
        <f>IF(P682&gt;=1,999,P682/(Inputs!$D$33*(1-P682))*60)</f>
        <v>0.81619679116046151</v>
      </c>
      <c r="R682" s="37">
        <f>MIN(1,MAX(0,(Q682-Inputs!$D$36)/(Inputs!$D$37-Inputs!$D$36)))</f>
        <v>0</v>
      </c>
      <c r="S682" s="35">
        <f>Inputs!$D$6*E682*Inputs!$D$27*(1-Inputs!$D$38*R682)</f>
        <v>4346.101820621011</v>
      </c>
      <c r="T682" s="39">
        <f>S682*Inputs!$D$12</f>
        <v>69537.629129936176</v>
      </c>
      <c r="U682" s="39">
        <f>T682*(1-Inputs!$D$18)</f>
        <v>31291.933108471276</v>
      </c>
      <c r="V682" s="35">
        <f>Inputs!$D$6*F682*Inputs!$D$28*Inputs!$D$31</f>
        <v>618.65468297412497</v>
      </c>
      <c r="W682" s="36">
        <f>V682/(B682*Inputs!$D$34)</f>
        <v>1.1783898723316666</v>
      </c>
      <c r="X682" s="38">
        <f>IF(W682&gt;=1,999,W682/(Inputs!$D$34*(1-W682))*60)</f>
        <v>999</v>
      </c>
      <c r="Y682" s="37">
        <f>MIN(1,MAX(0,(X682-Inputs!$D$36)/(Inputs!$D$37-Inputs!$D$36)))</f>
        <v>1</v>
      </c>
      <c r="Z682" s="35">
        <f>Inputs!$D$6*F682*Inputs!$D$28*(1-Inputs!$D$38*Y682)</f>
        <v>2617.3851971982212</v>
      </c>
      <c r="AA682" s="39">
        <f>Z682*Inputs!$D$13</f>
        <v>22247.774176184881</v>
      </c>
      <c r="AB682" s="39">
        <f>AA682*(1-Inputs!$D$19)</f>
        <v>13348.664505710929</v>
      </c>
      <c r="AC682" s="39">
        <f t="shared" si="40"/>
        <v>348411.23080612108</v>
      </c>
      <c r="AD682" s="39">
        <f t="shared" si="41"/>
        <v>134459.63723918219</v>
      </c>
      <c r="AE682" s="36">
        <f t="shared" si="42"/>
        <v>1.1783898723316666</v>
      </c>
      <c r="AF682" s="35">
        <f>IF(AND(AE682&lt;=Inputs!$D$35,C682&gt;=Inputs!$D$48*(A682+B682+C682),B682*Inputs!$D$22&lt;=Inputs!$D$50*Inputs!$D$8,B682*Inputs!$D$22&gt;=Inputs!$D$49*Inputs!$D$8,A682*Inputs!$D$20&lt;=Inputs!$D$47*Inputs!$D$8,C682&gt;=1),1,0)</f>
        <v>0</v>
      </c>
      <c r="AG682" s="39">
        <f t="shared" si="43"/>
        <v>-1</v>
      </c>
    </row>
    <row r="683" spans="1:33" x14ac:dyDescent="0.25">
      <c r="A683" s="35">
        <v>53</v>
      </c>
      <c r="B683" s="35">
        <v>16</v>
      </c>
      <c r="C683" s="35">
        <f>Inputs!$D$8-A683-Inputs!$D$22*B683</f>
        <v>35</v>
      </c>
      <c r="D683" s="35">
        <f>A683*Inputs!$D$20+C683*Inputs!$D$21+B683*Inputs!$D$22</f>
        <v>120</v>
      </c>
      <c r="E683" s="36">
        <f>MIN(Inputs!$E$15,Inputs!$D$15*(C683/Inputs!$D$43)^Inputs!$D$44)</f>
        <v>0.3595189375764975</v>
      </c>
      <c r="F683" s="36">
        <f>MIN(Inputs!$E$16,Inputs!$D$16*(B683/Inputs!$D$42)^Inputs!$D$44)</f>
        <v>0.37409937912904856</v>
      </c>
      <c r="G683" s="37">
        <f>Inputs!$D$26*(1+Inputs!$D$41*(B683-Inputs!$D$42))</f>
        <v>1.44</v>
      </c>
      <c r="H683" s="35">
        <f>Inputs!$D$6*Inputs!$D$14*G683*Inputs!$D$29</f>
        <v>1809.2592000000002</v>
      </c>
      <c r="I683" s="36">
        <f>H683/(A683*Inputs!$D$32)</f>
        <v>0.62067210977701548</v>
      </c>
      <c r="J683" s="38">
        <f>IF(I683&gt;=1,999,I683/(Inputs!$D$32*(1-I683))*60)</f>
        <v>1.7849909391883791</v>
      </c>
      <c r="K683" s="37">
        <f>MIN(1,MAX(0,(J683-Inputs!$D$36)/(Inputs!$D$37-Inputs!$D$36)))</f>
        <v>0</v>
      </c>
      <c r="L683" s="35">
        <f>Inputs!$D$6*Inputs!$D$14*G683*(1-Inputs!$D$38*K683)</f>
        <v>12061.728000000001</v>
      </c>
      <c r="M683" s="39">
        <f>L683*Inputs!$D$11</f>
        <v>259327.15200000003</v>
      </c>
      <c r="N683" s="39">
        <f>M683*(1-Inputs!$D$17)</f>
        <v>90764.503200000006</v>
      </c>
      <c r="O683" s="35">
        <f>Inputs!$D$6*E683*Inputs!$D$27*Inputs!$D$30</f>
        <v>512.90984940713565</v>
      </c>
      <c r="P683" s="36">
        <f>O683/(C683*Inputs!$D$33)</f>
        <v>0.36636417814795402</v>
      </c>
      <c r="Q683" s="38">
        <f>IF(P683&gt;=1,999,P683/(Inputs!$D$33*(1-P683))*60)</f>
        <v>0.86729040289368331</v>
      </c>
      <c r="R683" s="37">
        <f>MIN(1,MAX(0,(Q683-Inputs!$D$36)/(Inputs!$D$37-Inputs!$D$36)))</f>
        <v>0</v>
      </c>
      <c r="S683" s="35">
        <f>Inputs!$D$6*E683*Inputs!$D$27*(1-Inputs!$D$38*R683)</f>
        <v>4274.2487450594635</v>
      </c>
      <c r="T683" s="39">
        <f>S683*Inputs!$D$12</f>
        <v>68387.979920951417</v>
      </c>
      <c r="U683" s="39">
        <f>T683*(1-Inputs!$D$18)</f>
        <v>30774.590964428135</v>
      </c>
      <c r="V683" s="35">
        <f>Inputs!$D$6*F683*Inputs!$D$28*Inputs!$D$31</f>
        <v>630.74950998177405</v>
      </c>
      <c r="W683" s="36">
        <f>V683/(B683*Inputs!$D$34)</f>
        <v>1.1263384106817393</v>
      </c>
      <c r="X683" s="38">
        <f>IF(W683&gt;=1,999,W683/(Inputs!$D$34*(1-W683))*60)</f>
        <v>999</v>
      </c>
      <c r="Y683" s="37">
        <f>MIN(1,MAX(0,(X683-Inputs!$D$36)/(Inputs!$D$37-Inputs!$D$36)))</f>
        <v>1</v>
      </c>
      <c r="Z683" s="35">
        <f>Inputs!$D$6*F683*Inputs!$D$28*(1-Inputs!$D$38*Y683)</f>
        <v>2668.5556191536598</v>
      </c>
      <c r="AA683" s="39">
        <f>Z683*Inputs!$D$13</f>
        <v>22682.722762806108</v>
      </c>
      <c r="AB683" s="39">
        <f>AA683*(1-Inputs!$D$19)</f>
        <v>13609.633657683664</v>
      </c>
      <c r="AC683" s="39">
        <f t="shared" si="40"/>
        <v>350397.85468375753</v>
      </c>
      <c r="AD683" s="39">
        <f t="shared" si="41"/>
        <v>135148.7278221118</v>
      </c>
      <c r="AE683" s="36">
        <f t="shared" si="42"/>
        <v>1.1263384106817393</v>
      </c>
      <c r="AF683" s="35">
        <f>IF(AND(AE683&lt;=Inputs!$D$35,C683&gt;=Inputs!$D$48*(A683+B683+C683),B683*Inputs!$D$22&lt;=Inputs!$D$50*Inputs!$D$8,B683*Inputs!$D$22&gt;=Inputs!$D$49*Inputs!$D$8,A683*Inputs!$D$20&lt;=Inputs!$D$47*Inputs!$D$8,C683&gt;=1),1,0)</f>
        <v>0</v>
      </c>
      <c r="AG683" s="39">
        <f t="shared" si="43"/>
        <v>-1</v>
      </c>
    </row>
    <row r="684" spans="1:33" x14ac:dyDescent="0.25">
      <c r="A684" s="35">
        <v>53</v>
      </c>
      <c r="B684" s="35">
        <v>17</v>
      </c>
      <c r="C684" s="35">
        <f>Inputs!$D$8-A684-Inputs!$D$22*B684</f>
        <v>33</v>
      </c>
      <c r="D684" s="35">
        <f>A684*Inputs!$D$20+C684*Inputs!$D$21+B684*Inputs!$D$22</f>
        <v>120</v>
      </c>
      <c r="E684" s="36">
        <f>MIN(Inputs!$E$15,Inputs!$D$15*(C684/Inputs!$D$43)^Inputs!$D$44)</f>
        <v>0.35322833999035824</v>
      </c>
      <c r="F684" s="36">
        <f>MIN(Inputs!$E$16,Inputs!$D$16*(B684/Inputs!$D$42)^Inputs!$D$44)</f>
        <v>0.3809655184437048</v>
      </c>
      <c r="G684" s="37">
        <f>Inputs!$D$26*(1+Inputs!$D$41*(B684-Inputs!$D$42))</f>
        <v>1.4550000000000001</v>
      </c>
      <c r="H684" s="35">
        <f>Inputs!$D$6*Inputs!$D$14*G684*Inputs!$D$29</f>
        <v>1828.1056500000002</v>
      </c>
      <c r="I684" s="36">
        <f>H684/(A684*Inputs!$D$32)</f>
        <v>0.62713744425385942</v>
      </c>
      <c r="J684" s="38">
        <f>IF(I684&gt;=1,999,I684/(Inputs!$D$32*(1-I684))*60)</f>
        <v>1.8348582571316829</v>
      </c>
      <c r="K684" s="37">
        <f>MIN(1,MAX(0,(J684-Inputs!$D$36)/(Inputs!$D$37-Inputs!$D$36)))</f>
        <v>0</v>
      </c>
      <c r="L684" s="35">
        <f>Inputs!$D$6*Inputs!$D$14*G684*(1-Inputs!$D$38*K684)</f>
        <v>12187.371000000001</v>
      </c>
      <c r="M684" s="39">
        <f>L684*Inputs!$D$11</f>
        <v>262028.47650000002</v>
      </c>
      <c r="N684" s="39">
        <f>M684*(1-Inputs!$D$17)</f>
        <v>91709.966775000008</v>
      </c>
      <c r="O684" s="35">
        <f>Inputs!$D$6*E684*Inputs!$D$27*Inputs!$D$30</f>
        <v>503.93533061728459</v>
      </c>
      <c r="P684" s="36">
        <f>O684/(C684*Inputs!$D$33)</f>
        <v>0.38176918986157926</v>
      </c>
      <c r="Q684" s="38">
        <f>IF(P684&gt;=1,999,P684/(Inputs!$D$33*(1-P684))*60)</f>
        <v>0.92627830156855617</v>
      </c>
      <c r="R684" s="37">
        <f>MIN(1,MAX(0,(Q684-Inputs!$D$36)/(Inputs!$D$37-Inputs!$D$36)))</f>
        <v>0</v>
      </c>
      <c r="S684" s="35">
        <f>Inputs!$D$6*E684*Inputs!$D$27*(1-Inputs!$D$38*R684)</f>
        <v>4199.461088477372</v>
      </c>
      <c r="T684" s="39">
        <f>S684*Inputs!$D$12</f>
        <v>67191.377415637951</v>
      </c>
      <c r="U684" s="39">
        <f>T684*(1-Inputs!$D$18)</f>
        <v>30236.119837037077</v>
      </c>
      <c r="V684" s="35">
        <f>Inputs!$D$6*F684*Inputs!$D$28*Inputs!$D$31</f>
        <v>642.32615044097156</v>
      </c>
      <c r="W684" s="36">
        <f>V684/(B684*Inputs!$D$34)</f>
        <v>1.0795397486402882</v>
      </c>
      <c r="X684" s="38">
        <f>IF(W684&gt;=1,999,W684/(Inputs!$D$34*(1-W684))*60)</f>
        <v>999</v>
      </c>
      <c r="Y684" s="37">
        <f>MIN(1,MAX(0,(X684-Inputs!$D$36)/(Inputs!$D$37-Inputs!$D$36)))</f>
        <v>1</v>
      </c>
      <c r="Z684" s="35">
        <f>Inputs!$D$6*F684*Inputs!$D$28*(1-Inputs!$D$38*Y684)</f>
        <v>2717.5337134041106</v>
      </c>
      <c r="AA684" s="39">
        <f>Z684*Inputs!$D$13</f>
        <v>23099.03656393494</v>
      </c>
      <c r="AB684" s="39">
        <f>AA684*(1-Inputs!$D$19)</f>
        <v>13859.421938360963</v>
      </c>
      <c r="AC684" s="39">
        <f t="shared" si="40"/>
        <v>352318.89047957287</v>
      </c>
      <c r="AD684" s="39">
        <f t="shared" si="41"/>
        <v>135805.50855039805</v>
      </c>
      <c r="AE684" s="36">
        <f t="shared" si="42"/>
        <v>1.0795397486402882</v>
      </c>
      <c r="AF684" s="35">
        <f>IF(AND(AE684&lt;=Inputs!$D$35,C684&gt;=Inputs!$D$48*(A684+B684+C684),B684*Inputs!$D$22&lt;=Inputs!$D$50*Inputs!$D$8,B684*Inputs!$D$22&gt;=Inputs!$D$49*Inputs!$D$8,A684*Inputs!$D$20&lt;=Inputs!$D$47*Inputs!$D$8,C684&gt;=1),1,0)</f>
        <v>0</v>
      </c>
      <c r="AG684" s="39">
        <f t="shared" si="43"/>
        <v>-1</v>
      </c>
    </row>
    <row r="685" spans="1:33" x14ac:dyDescent="0.25">
      <c r="A685" s="35">
        <v>53</v>
      </c>
      <c r="B685" s="35">
        <v>18</v>
      </c>
      <c r="C685" s="35">
        <f>Inputs!$D$8-A685-Inputs!$D$22*B685</f>
        <v>31</v>
      </c>
      <c r="D685" s="35">
        <f>A685*Inputs!$D$20+C685*Inputs!$D$21+B685*Inputs!$D$22</f>
        <v>120</v>
      </c>
      <c r="E685" s="36">
        <f>MIN(Inputs!$E$15,Inputs!$D$15*(C685/Inputs!$D$43)^Inputs!$D$44)</f>
        <v>0.34666489615699225</v>
      </c>
      <c r="F685" s="36">
        <f>MIN(Inputs!$E$16,Inputs!$D$16*(B685/Inputs!$D$42)^Inputs!$D$44)</f>
        <v>0.38755446447890535</v>
      </c>
      <c r="G685" s="37">
        <f>Inputs!$D$26*(1+Inputs!$D$41*(B685-Inputs!$D$42))</f>
        <v>1.47</v>
      </c>
      <c r="H685" s="35">
        <f>Inputs!$D$6*Inputs!$D$14*G685*Inputs!$D$29</f>
        <v>1846.9521</v>
      </c>
      <c r="I685" s="36">
        <f>H685/(A685*Inputs!$D$32)</f>
        <v>0.63360277873070325</v>
      </c>
      <c r="J685" s="38">
        <f>IF(I685&gt;=1,999,I685/(Inputs!$D$32*(1-I685))*60)</f>
        <v>1.8864854622752747</v>
      </c>
      <c r="K685" s="37">
        <f>MIN(1,MAX(0,(J685-Inputs!$D$36)/(Inputs!$D$37-Inputs!$D$36)))</f>
        <v>0</v>
      </c>
      <c r="L685" s="35">
        <f>Inputs!$D$6*Inputs!$D$14*G685*(1-Inputs!$D$38*K685)</f>
        <v>12313.014000000001</v>
      </c>
      <c r="M685" s="39">
        <f>L685*Inputs!$D$11</f>
        <v>264729.80100000004</v>
      </c>
      <c r="N685" s="39">
        <f>M685*(1-Inputs!$D$17)</f>
        <v>92655.43035000001</v>
      </c>
      <c r="O685" s="35">
        <f>Inputs!$D$6*E685*Inputs!$D$27*Inputs!$D$30</f>
        <v>494.57155409174993</v>
      </c>
      <c r="P685" s="36">
        <f>O685/(C685*Inputs!$D$33)</f>
        <v>0.39884802749334675</v>
      </c>
      <c r="Q685" s="38">
        <f>IF(P685&gt;=1,999,P685/(Inputs!$D$33*(1-P685))*60)</f>
        <v>0.9952093124561755</v>
      </c>
      <c r="R685" s="37">
        <f>MIN(1,MAX(0,(Q685-Inputs!$D$36)/(Inputs!$D$37-Inputs!$D$36)))</f>
        <v>0</v>
      </c>
      <c r="S685" s="35">
        <f>Inputs!$D$6*E685*Inputs!$D$27*(1-Inputs!$D$38*R685)</f>
        <v>4121.4296174312494</v>
      </c>
      <c r="T685" s="39">
        <f>S685*Inputs!$D$12</f>
        <v>65942.873878899991</v>
      </c>
      <c r="U685" s="39">
        <f>T685*(1-Inputs!$D$18)</f>
        <v>29674.293245504992</v>
      </c>
      <c r="V685" s="35">
        <f>Inputs!$D$6*F685*Inputs!$D$28*Inputs!$D$31</f>
        <v>653.43542972572936</v>
      </c>
      <c r="W685" s="36">
        <f>V685/(B685*Inputs!$D$34)</f>
        <v>1.037199094802745</v>
      </c>
      <c r="X685" s="38">
        <f>IF(W685&gt;=1,999,W685/(Inputs!$D$34*(1-W685))*60)</f>
        <v>999</v>
      </c>
      <c r="Y685" s="37">
        <f>MIN(1,MAX(0,(X685-Inputs!$D$36)/(Inputs!$D$37-Inputs!$D$36)))</f>
        <v>1</v>
      </c>
      <c r="Z685" s="35">
        <f>Inputs!$D$6*F685*Inputs!$D$28*(1-Inputs!$D$38*Y685)</f>
        <v>2764.534510378086</v>
      </c>
      <c r="AA685" s="39">
        <f>Z685*Inputs!$D$13</f>
        <v>23498.543338213731</v>
      </c>
      <c r="AB685" s="39">
        <f>AA685*(1-Inputs!$D$19)</f>
        <v>14099.126002928238</v>
      </c>
      <c r="AC685" s="39">
        <f t="shared" si="40"/>
        <v>354171.21821711381</v>
      </c>
      <c r="AD685" s="39">
        <f t="shared" si="41"/>
        <v>136428.84959843324</v>
      </c>
      <c r="AE685" s="36">
        <f t="shared" si="42"/>
        <v>1.037199094802745</v>
      </c>
      <c r="AF685" s="35">
        <f>IF(AND(AE685&lt;=Inputs!$D$35,C685&gt;=Inputs!$D$48*(A685+B685+C685),B685*Inputs!$D$22&lt;=Inputs!$D$50*Inputs!$D$8,B685*Inputs!$D$22&gt;=Inputs!$D$49*Inputs!$D$8,A685*Inputs!$D$20&lt;=Inputs!$D$47*Inputs!$D$8,C685&gt;=1),1,0)</f>
        <v>0</v>
      </c>
      <c r="AG685" s="39">
        <f t="shared" si="43"/>
        <v>-1</v>
      </c>
    </row>
    <row r="686" spans="1:33" x14ac:dyDescent="0.25">
      <c r="A686" s="35">
        <v>53</v>
      </c>
      <c r="B686" s="35">
        <v>19</v>
      </c>
      <c r="C686" s="35">
        <f>Inputs!$D$8-A686-Inputs!$D$22*B686</f>
        <v>29</v>
      </c>
      <c r="D686" s="35">
        <f>A686*Inputs!$D$20+C686*Inputs!$D$21+B686*Inputs!$D$22</f>
        <v>120</v>
      </c>
      <c r="E686" s="36">
        <f>MIN(Inputs!$E$15,Inputs!$D$15*(C686/Inputs!$D$43)^Inputs!$D$44)</f>
        <v>0.33979795258455459</v>
      </c>
      <c r="F686" s="36">
        <f>MIN(Inputs!$E$16,Inputs!$D$16*(B686/Inputs!$D$42)^Inputs!$D$44)</f>
        <v>0.39389192072703005</v>
      </c>
      <c r="G686" s="37">
        <f>Inputs!$D$26*(1+Inputs!$D$41*(B686-Inputs!$D$42))</f>
        <v>1.4849999999999999</v>
      </c>
      <c r="H686" s="35">
        <f>Inputs!$D$6*Inputs!$D$14*G686*Inputs!$D$29</f>
        <v>1865.7985499999998</v>
      </c>
      <c r="I686" s="36">
        <f>H686/(A686*Inputs!$D$32)</f>
        <v>0.64006811320754708</v>
      </c>
      <c r="J686" s="38">
        <f>IF(I686&gt;=1,999,I686/(Inputs!$D$32*(1-I686))*60)</f>
        <v>1.9399673913908515</v>
      </c>
      <c r="K686" s="37">
        <f>MIN(1,MAX(0,(J686-Inputs!$D$36)/(Inputs!$D$37-Inputs!$D$36)))</f>
        <v>0</v>
      </c>
      <c r="L686" s="35">
        <f>Inputs!$D$6*Inputs!$D$14*G686*(1-Inputs!$D$38*K686)</f>
        <v>12438.656999999999</v>
      </c>
      <c r="M686" s="39">
        <f>L686*Inputs!$D$11</f>
        <v>267431.12549999997</v>
      </c>
      <c r="N686" s="39">
        <f>M686*(1-Inputs!$D$17)</f>
        <v>93600.893924999982</v>
      </c>
      <c r="O686" s="35">
        <f>Inputs!$D$6*E686*Inputs!$D$27*Inputs!$D$30</f>
        <v>484.77478784247035</v>
      </c>
      <c r="P686" s="36">
        <f>O686/(C686*Inputs!$D$33)</f>
        <v>0.41790929986419856</v>
      </c>
      <c r="Q686" s="38">
        <f>IF(P686&gt;=1,999,P686/(Inputs!$D$33*(1-P686))*60)</f>
        <v>1.0769179951681944</v>
      </c>
      <c r="R686" s="37">
        <f>MIN(1,MAX(0,(Q686-Inputs!$D$36)/(Inputs!$D$37-Inputs!$D$36)))</f>
        <v>0</v>
      </c>
      <c r="S686" s="35">
        <f>Inputs!$D$6*E686*Inputs!$D$27*(1-Inputs!$D$38*R686)</f>
        <v>4039.7898986872528</v>
      </c>
      <c r="T686" s="39">
        <f>S686*Inputs!$D$12</f>
        <v>64636.638378996046</v>
      </c>
      <c r="U686" s="39">
        <f>T686*(1-Inputs!$D$18)</f>
        <v>29086.487270548219</v>
      </c>
      <c r="V686" s="35">
        <f>Inputs!$D$6*F686*Inputs!$D$28*Inputs!$D$31</f>
        <v>664.12068515796761</v>
      </c>
      <c r="W686" s="36">
        <f>V686/(B686*Inputs!$D$34)</f>
        <v>0.99867772204205651</v>
      </c>
      <c r="X686" s="38">
        <f>IF(W686&gt;=1,999,W686/(Inputs!$D$34*(1-W686))*60)</f>
        <v>1294.749671797274</v>
      </c>
      <c r="Y686" s="37">
        <f>MIN(1,MAX(0,(X686-Inputs!$D$36)/(Inputs!$D$37-Inputs!$D$36)))</f>
        <v>1</v>
      </c>
      <c r="Z686" s="35">
        <f>Inputs!$D$6*F686*Inputs!$D$28*(1-Inputs!$D$38*Y686)</f>
        <v>2809.7413602837091</v>
      </c>
      <c r="AA686" s="39">
        <f>Z686*Inputs!$D$13</f>
        <v>23882.801562411529</v>
      </c>
      <c r="AB686" s="39">
        <f>AA686*(1-Inputs!$D$19)</f>
        <v>14329.680937446918</v>
      </c>
      <c r="AC686" s="39">
        <f t="shared" si="40"/>
        <v>355950.56544140755</v>
      </c>
      <c r="AD686" s="39">
        <f t="shared" si="41"/>
        <v>137017.06213299511</v>
      </c>
      <c r="AE686" s="36">
        <f t="shared" si="42"/>
        <v>0.99867772204205651</v>
      </c>
      <c r="AF686" s="35">
        <f>IF(AND(AE686&lt;=Inputs!$D$35,C686&gt;=Inputs!$D$48*(A686+B686+C686),B686*Inputs!$D$22&lt;=Inputs!$D$50*Inputs!$D$8,B686*Inputs!$D$22&gt;=Inputs!$D$49*Inputs!$D$8,A686*Inputs!$D$20&lt;=Inputs!$D$47*Inputs!$D$8,C686&gt;=1),1,0)</f>
        <v>0</v>
      </c>
      <c r="AG686" s="39">
        <f t="shared" si="43"/>
        <v>-1</v>
      </c>
    </row>
    <row r="687" spans="1:33" x14ac:dyDescent="0.25">
      <c r="A687" s="35">
        <v>53</v>
      </c>
      <c r="B687" s="35">
        <v>20</v>
      </c>
      <c r="C687" s="35">
        <f>Inputs!$D$8-A687-Inputs!$D$22*B687</f>
        <v>27</v>
      </c>
      <c r="D687" s="35">
        <f>A687*Inputs!$D$20+C687*Inputs!$D$21+B687*Inputs!$D$22</f>
        <v>120</v>
      </c>
      <c r="E687" s="36">
        <f>MIN(Inputs!$E$15,Inputs!$D$15*(C687/Inputs!$D$43)^Inputs!$D$44)</f>
        <v>0.33259099594532748</v>
      </c>
      <c r="F687" s="36">
        <f>MIN(Inputs!$E$16,Inputs!$D$16*(B687/Inputs!$D$42)^Inputs!$D$44)</f>
        <v>0.4</v>
      </c>
      <c r="G687" s="37">
        <f>Inputs!$D$26*(1+Inputs!$D$41*(B687-Inputs!$D$42))</f>
        <v>1.5</v>
      </c>
      <c r="H687" s="35">
        <f>Inputs!$D$6*Inputs!$D$14*G687*Inputs!$D$29</f>
        <v>1884.645</v>
      </c>
      <c r="I687" s="36">
        <f>H687/(A687*Inputs!$D$32)</f>
        <v>0.64653344768439103</v>
      </c>
      <c r="J687" s="38">
        <f>IF(I687&gt;=1,999,I687/(Inputs!$D$32*(1-I687))*60)</f>
        <v>1.9954058199711391</v>
      </c>
      <c r="K687" s="37">
        <f>MIN(1,MAX(0,(J687-Inputs!$D$36)/(Inputs!$D$37-Inputs!$D$36)))</f>
        <v>0</v>
      </c>
      <c r="L687" s="35">
        <f>Inputs!$D$6*Inputs!$D$14*G687*(1-Inputs!$D$38*K687)</f>
        <v>12564.300000000001</v>
      </c>
      <c r="M687" s="39">
        <f>L687*Inputs!$D$11</f>
        <v>270132.45</v>
      </c>
      <c r="N687" s="39">
        <f>M687*(1-Inputs!$D$17)</f>
        <v>94546.357499999998</v>
      </c>
      <c r="O687" s="35">
        <f>Inputs!$D$6*E687*Inputs!$D$27*Inputs!$D$30</f>
        <v>474.49293991137716</v>
      </c>
      <c r="P687" s="36">
        <f>O687/(C687*Inputs!$D$33)</f>
        <v>0.43934531473275662</v>
      </c>
      <c r="Q687" s="38">
        <f>IF(P687&gt;=1,999,P687/(Inputs!$D$33*(1-P687))*60)</f>
        <v>1.1754436187133714</v>
      </c>
      <c r="R687" s="37">
        <f>MIN(1,MAX(0,(Q687-Inputs!$D$36)/(Inputs!$D$37-Inputs!$D$36)))</f>
        <v>0</v>
      </c>
      <c r="S687" s="35">
        <f>Inputs!$D$6*E687*Inputs!$D$27*(1-Inputs!$D$38*R687)</f>
        <v>3954.1078325948097</v>
      </c>
      <c r="T687" s="39">
        <f>S687*Inputs!$D$12</f>
        <v>63265.725321516955</v>
      </c>
      <c r="U687" s="39">
        <f>T687*(1-Inputs!$D$18)</f>
        <v>28469.576394682626</v>
      </c>
      <c r="V687" s="35">
        <f>Inputs!$D$6*F687*Inputs!$D$28*Inputs!$D$31</f>
        <v>674.41919999999993</v>
      </c>
      <c r="W687" s="36">
        <f>V687/(B687*Inputs!$D$34)</f>
        <v>0.96345599999999987</v>
      </c>
      <c r="X687" s="38">
        <f>IF(W687&gt;=1,999,W687/(Inputs!$D$34*(1-W687))*60)</f>
        <v>45.195896922691851</v>
      </c>
      <c r="Y687" s="37">
        <f>MIN(1,MAX(0,(X687-Inputs!$D$36)/(Inputs!$D$37-Inputs!$D$36)))</f>
        <v>1</v>
      </c>
      <c r="Z687" s="35">
        <f>Inputs!$D$6*F687*Inputs!$D$28*(1-Inputs!$D$38*Y687)</f>
        <v>2853.3119999999999</v>
      </c>
      <c r="AA687" s="39">
        <f>Z687*Inputs!$D$13</f>
        <v>24253.151999999998</v>
      </c>
      <c r="AB687" s="39">
        <f>AA687*(1-Inputs!$D$19)</f>
        <v>14551.891199999998</v>
      </c>
      <c r="AC687" s="39">
        <f t="shared" si="40"/>
        <v>357651.32732151699</v>
      </c>
      <c r="AD687" s="39">
        <f t="shared" si="41"/>
        <v>137567.82509468263</v>
      </c>
      <c r="AE687" s="36">
        <f t="shared" si="42"/>
        <v>0.96345599999999987</v>
      </c>
      <c r="AF687" s="35">
        <f>IF(AND(AE687&lt;=Inputs!$D$35,C687&gt;=Inputs!$D$48*(A687+B687+C687),B687*Inputs!$D$22&lt;=Inputs!$D$50*Inputs!$D$8,B687*Inputs!$D$22&gt;=Inputs!$D$49*Inputs!$D$8,A687*Inputs!$D$20&lt;=Inputs!$D$47*Inputs!$D$8,C687&gt;=1),1,0)</f>
        <v>0</v>
      </c>
      <c r="AG687" s="39">
        <f t="shared" si="43"/>
        <v>-1</v>
      </c>
    </row>
    <row r="688" spans="1:33" x14ac:dyDescent="0.25">
      <c r="A688" s="35">
        <v>53</v>
      </c>
      <c r="B688" s="35">
        <v>21</v>
      </c>
      <c r="C688" s="35">
        <f>Inputs!$D$8-A688-Inputs!$D$22*B688</f>
        <v>25</v>
      </c>
      <c r="D688" s="35">
        <f>A688*Inputs!$D$20+C688*Inputs!$D$21+B688*Inputs!$D$22</f>
        <v>120</v>
      </c>
      <c r="E688" s="36">
        <f>MIN(Inputs!$E$15,Inputs!$D$15*(C688/Inputs!$D$43)^Inputs!$D$44)</f>
        <v>0.32500000000000001</v>
      </c>
      <c r="F688" s="36">
        <f>MIN(Inputs!$E$16,Inputs!$D$16*(B688/Inputs!$D$42)^Inputs!$D$44)</f>
        <v>0.40589787816896217</v>
      </c>
      <c r="G688" s="37">
        <f>Inputs!$D$26*(1+Inputs!$D$41*(B688-Inputs!$D$42))</f>
        <v>1.5150000000000001</v>
      </c>
      <c r="H688" s="35">
        <f>Inputs!$D$6*Inputs!$D$14*G688*Inputs!$D$29</f>
        <v>1903.4914500000004</v>
      </c>
      <c r="I688" s="36">
        <f>H688/(A688*Inputs!$D$32)</f>
        <v>0.65299878216123519</v>
      </c>
      <c r="J688" s="38">
        <f>IF(I688&gt;=1,999,I688/(Inputs!$D$32*(1-I688))*60)</f>
        <v>2.0529101086419179</v>
      </c>
      <c r="K688" s="37">
        <f>MIN(1,MAX(0,(J688-Inputs!$D$36)/(Inputs!$D$37-Inputs!$D$36)))</f>
        <v>0</v>
      </c>
      <c r="L688" s="35">
        <f>Inputs!$D$6*Inputs!$D$14*G688*(1-Inputs!$D$38*K688)</f>
        <v>12689.943000000003</v>
      </c>
      <c r="M688" s="39">
        <f>L688*Inputs!$D$11</f>
        <v>272833.77450000006</v>
      </c>
      <c r="N688" s="39">
        <f>M688*(1-Inputs!$D$17)</f>
        <v>95491.821075000014</v>
      </c>
      <c r="O688" s="35">
        <f>Inputs!$D$6*E688*Inputs!$D$27*Inputs!$D$30</f>
        <v>463.66320000000002</v>
      </c>
      <c r="P688" s="36">
        <f>O688/(C688*Inputs!$D$33)</f>
        <v>0.4636632</v>
      </c>
      <c r="Q688" s="38">
        <f>IF(P688&gt;=1,999,P688/(Inputs!$D$33*(1-P688))*60)</f>
        <v>1.296750101801704</v>
      </c>
      <c r="R688" s="37">
        <f>MIN(1,MAX(0,(Q688-Inputs!$D$36)/(Inputs!$D$37-Inputs!$D$36)))</f>
        <v>0</v>
      </c>
      <c r="S688" s="35">
        <f>Inputs!$D$6*E688*Inputs!$D$27*(1-Inputs!$D$38*R688)</f>
        <v>3863.86</v>
      </c>
      <c r="T688" s="39">
        <f>S688*Inputs!$D$12</f>
        <v>61821.760000000002</v>
      </c>
      <c r="U688" s="39">
        <f>T688*(1-Inputs!$D$18)</f>
        <v>27819.791999999998</v>
      </c>
      <c r="V688" s="35">
        <f>Inputs!$D$6*F688*Inputs!$D$28*Inputs!$D$31</f>
        <v>684.36330569102222</v>
      </c>
      <c r="W688" s="36">
        <f>V688/(B688*Inputs!$D$34)</f>
        <v>0.93110653835513224</v>
      </c>
      <c r="X688" s="38">
        <f>IF(W688&gt;=1,999,W688/(Inputs!$D$34*(1-W688))*60)</f>
        <v>23.16885520150278</v>
      </c>
      <c r="Y688" s="37">
        <f>MIN(1,MAX(0,(X688-Inputs!$D$36)/(Inputs!$D$37-Inputs!$D$36)))</f>
        <v>1</v>
      </c>
      <c r="Z688" s="35">
        <f>Inputs!$D$6*F688*Inputs!$D$28*(1-Inputs!$D$38*Y688)</f>
        <v>2895.3832163850943</v>
      </c>
      <c r="AA688" s="39">
        <f>Z688*Inputs!$D$13</f>
        <v>24610.757339273303</v>
      </c>
      <c r="AB688" s="39">
        <f>AA688*(1-Inputs!$D$19)</f>
        <v>14766.454403563981</v>
      </c>
      <c r="AC688" s="39">
        <f t="shared" si="40"/>
        <v>359266.29183927336</v>
      </c>
      <c r="AD688" s="39">
        <f t="shared" si="41"/>
        <v>138078.06747856399</v>
      </c>
      <c r="AE688" s="36">
        <f t="shared" si="42"/>
        <v>0.93110653835513224</v>
      </c>
      <c r="AF688" s="35">
        <f>IF(AND(AE688&lt;=Inputs!$D$35,C688&gt;=Inputs!$D$48*(A688+B688+C688),B688*Inputs!$D$22&lt;=Inputs!$D$50*Inputs!$D$8,B688*Inputs!$D$22&gt;=Inputs!$D$49*Inputs!$D$8,A688*Inputs!$D$20&lt;=Inputs!$D$47*Inputs!$D$8,C688&gt;=1),1,0)</f>
        <v>0</v>
      </c>
      <c r="AG688" s="39">
        <f t="shared" si="43"/>
        <v>-1</v>
      </c>
    </row>
    <row r="689" spans="1:33" x14ac:dyDescent="0.25">
      <c r="A689" s="35">
        <v>53</v>
      </c>
      <c r="B689" s="35">
        <v>22</v>
      </c>
      <c r="C689" s="35">
        <f>Inputs!$D$8-A689-Inputs!$D$22*B689</f>
        <v>23</v>
      </c>
      <c r="D689" s="35">
        <f>A689*Inputs!$D$20+C689*Inputs!$D$21+B689*Inputs!$D$22</f>
        <v>120</v>
      </c>
      <c r="E689" s="36">
        <f>MIN(Inputs!$E$15,Inputs!$D$15*(C689/Inputs!$D$43)^Inputs!$D$44)</f>
        <v>0.31697113078396583</v>
      </c>
      <c r="F689" s="36">
        <f>MIN(Inputs!$E$16,Inputs!$D$16*(B689/Inputs!$D$42)^Inputs!$D$44)</f>
        <v>0.41160230376843804</v>
      </c>
      <c r="G689" s="37">
        <f>Inputs!$D$26*(1+Inputs!$D$41*(B689-Inputs!$D$42))</f>
        <v>1.53</v>
      </c>
      <c r="H689" s="35">
        <f>Inputs!$D$6*Inputs!$D$14*G689*Inputs!$D$29</f>
        <v>1922.3379</v>
      </c>
      <c r="I689" s="36">
        <f>H689/(A689*Inputs!$D$32)</f>
        <v>0.65946411663807891</v>
      </c>
      <c r="J689" s="38">
        <f>IF(I689&gt;=1,999,I689/(Inputs!$D$32*(1-I689))*60)</f>
        <v>2.1125979232098127</v>
      </c>
      <c r="K689" s="37">
        <f>MIN(1,MAX(0,(J689-Inputs!$D$36)/(Inputs!$D$37-Inputs!$D$36)))</f>
        <v>0</v>
      </c>
      <c r="L689" s="35">
        <f>Inputs!$D$6*Inputs!$D$14*G689*(1-Inputs!$D$38*K689)</f>
        <v>12815.586000000001</v>
      </c>
      <c r="M689" s="39">
        <f>L689*Inputs!$D$11</f>
        <v>275535.09900000005</v>
      </c>
      <c r="N689" s="39">
        <f>M689*(1-Inputs!$D$17)</f>
        <v>96437.284650000016</v>
      </c>
      <c r="O689" s="35">
        <f>Inputs!$D$6*E689*Inputs!$D$27*Inputs!$D$30</f>
        <v>452.20876555972956</v>
      </c>
      <c r="P689" s="36">
        <f>O689/(C689*Inputs!$D$33)</f>
        <v>0.49153126691274951</v>
      </c>
      <c r="Q689" s="38">
        <f>IF(P689&gt;=1,999,P689/(Inputs!$D$33*(1-P689))*60)</f>
        <v>1.4500339005950402</v>
      </c>
      <c r="R689" s="37">
        <f>MIN(1,MAX(0,(Q689-Inputs!$D$36)/(Inputs!$D$37-Inputs!$D$36)))</f>
        <v>0</v>
      </c>
      <c r="S689" s="35">
        <f>Inputs!$D$6*E689*Inputs!$D$27*(1-Inputs!$D$38*R689)</f>
        <v>3768.4063796644132</v>
      </c>
      <c r="T689" s="39">
        <f>S689*Inputs!$D$12</f>
        <v>60294.502074630611</v>
      </c>
      <c r="U689" s="39">
        <f>T689*(1-Inputs!$D$18)</f>
        <v>27132.525933583773</v>
      </c>
      <c r="V689" s="35">
        <f>Inputs!$D$6*F689*Inputs!$D$28*Inputs!$D$31</f>
        <v>693.98124106416742</v>
      </c>
      <c r="W689" s="36">
        <f>V689/(B689*Inputs!$D$34)</f>
        <v>0.90127433904437326</v>
      </c>
      <c r="X689" s="38">
        <f>IF(W689&gt;=1,999,W689/(Inputs!$D$34*(1-W689))*60)</f>
        <v>15.649849381818807</v>
      </c>
      <c r="Y689" s="37">
        <f>MIN(1,MAX(0,(X689-Inputs!$D$36)/(Inputs!$D$37-Inputs!$D$36)))</f>
        <v>0.70998995878792048</v>
      </c>
      <c r="Z689" s="35">
        <f>Inputs!$D$6*F689*Inputs!$D$28*(1-Inputs!$D$38*Y689)</f>
        <v>3632.749002537963</v>
      </c>
      <c r="AA689" s="39">
        <f>Z689*Inputs!$D$13</f>
        <v>30878.366521572687</v>
      </c>
      <c r="AB689" s="39">
        <f>AA689*(1-Inputs!$D$19)</f>
        <v>18527.019912943611</v>
      </c>
      <c r="AC689" s="39">
        <f t="shared" si="40"/>
        <v>366707.96759620332</v>
      </c>
      <c r="AD689" s="39">
        <f t="shared" si="41"/>
        <v>142096.8304965274</v>
      </c>
      <c r="AE689" s="36">
        <f t="shared" si="42"/>
        <v>0.90127433904437326</v>
      </c>
      <c r="AF689" s="35">
        <f>IF(AND(AE689&lt;=Inputs!$D$35,C689&gt;=Inputs!$D$48*(A689+B689+C689),B689*Inputs!$D$22&lt;=Inputs!$D$50*Inputs!$D$8,B689*Inputs!$D$22&gt;=Inputs!$D$49*Inputs!$D$8,A689*Inputs!$D$20&lt;=Inputs!$D$47*Inputs!$D$8,C689&gt;=1),1,0)</f>
        <v>0</v>
      </c>
      <c r="AG689" s="39">
        <f t="shared" si="43"/>
        <v>-1</v>
      </c>
    </row>
    <row r="690" spans="1:33" x14ac:dyDescent="0.25">
      <c r="A690" s="35">
        <v>53</v>
      </c>
      <c r="B690" s="35">
        <v>23</v>
      </c>
      <c r="C690" s="35">
        <f>Inputs!$D$8-A690-Inputs!$D$22*B690</f>
        <v>21</v>
      </c>
      <c r="D690" s="35">
        <f>A690*Inputs!$D$20+C690*Inputs!$D$21+B690*Inputs!$D$22</f>
        <v>120</v>
      </c>
      <c r="E690" s="36">
        <f>MIN(Inputs!$E$15,Inputs!$D$15*(C690/Inputs!$D$43)^Inputs!$D$44)</f>
        <v>0.30843748043226404</v>
      </c>
      <c r="F690" s="36">
        <f>MIN(Inputs!$E$16,Inputs!$D$16*(B690/Inputs!$D$42)^Inputs!$D$44)</f>
        <v>0.41712800028621322</v>
      </c>
      <c r="G690" s="37">
        <f>Inputs!$D$26*(1+Inputs!$D$41*(B690-Inputs!$D$42))</f>
        <v>1.5449999999999999</v>
      </c>
      <c r="H690" s="35">
        <f>Inputs!$D$6*Inputs!$D$14*G690*Inputs!$D$29</f>
        <v>1941.18435</v>
      </c>
      <c r="I690" s="36">
        <f>H690/(A690*Inputs!$D$32)</f>
        <v>0.66592945111492285</v>
      </c>
      <c r="J690" s="38">
        <f>IF(I690&gt;=1,999,I690/(Inputs!$D$32*(1-I690))*60)</f>
        <v>2.1745960383214777</v>
      </c>
      <c r="K690" s="37">
        <f>MIN(1,MAX(0,(J690-Inputs!$D$36)/(Inputs!$D$37-Inputs!$D$36)))</f>
        <v>0</v>
      </c>
      <c r="L690" s="35">
        <f>Inputs!$D$6*Inputs!$D$14*G690*(1-Inputs!$D$38*K690)</f>
        <v>12941.229000000001</v>
      </c>
      <c r="M690" s="39">
        <f>L690*Inputs!$D$11</f>
        <v>278236.42350000003</v>
      </c>
      <c r="N690" s="39">
        <f>M690*(1-Inputs!$D$17)</f>
        <v>97382.748225000003</v>
      </c>
      <c r="O690" s="35">
        <f>Inputs!$D$6*E690*Inputs!$D$27*Inputs!$D$30</f>
        <v>440.03418208357215</v>
      </c>
      <c r="P690" s="36">
        <f>O690/(C690*Inputs!$D$33)</f>
        <v>0.52385021676615728</v>
      </c>
      <c r="Q690" s="38">
        <f>IF(P690&gt;=1,999,P690/(Inputs!$D$33*(1-P690))*60)</f>
        <v>1.6502692069132636</v>
      </c>
      <c r="R690" s="37">
        <f>MIN(1,MAX(0,(Q690-Inputs!$D$36)/(Inputs!$D$37-Inputs!$D$36)))</f>
        <v>0</v>
      </c>
      <c r="S690" s="35">
        <f>Inputs!$D$6*E690*Inputs!$D$27*(1-Inputs!$D$38*R690)</f>
        <v>3666.9515173631012</v>
      </c>
      <c r="T690" s="39">
        <f>S690*Inputs!$D$12</f>
        <v>58671.224277809619</v>
      </c>
      <c r="U690" s="39">
        <f>T690*(1-Inputs!$D$18)</f>
        <v>26402.050925014326</v>
      </c>
      <c r="V690" s="35">
        <f>Inputs!$D$6*F690*Inputs!$D$28*Inputs!$D$31</f>
        <v>703.29783062656929</v>
      </c>
      <c r="W690" s="36">
        <f>V690/(B690*Inputs!$D$34)</f>
        <v>0.87366190139946498</v>
      </c>
      <c r="X690" s="38">
        <f>IF(W690&gt;=1,999,W690/(Inputs!$D$34*(1-W690))*60)</f>
        <v>11.854746377182334</v>
      </c>
      <c r="Y690" s="37">
        <f>MIN(1,MAX(0,(X690-Inputs!$D$36)/(Inputs!$D$37-Inputs!$D$36)))</f>
        <v>0.45698309181215557</v>
      </c>
      <c r="Z690" s="35">
        <f>Inputs!$D$6*F690*Inputs!$D$28*(1-Inputs!$D$38*Y690)</f>
        <v>4297.4614071503011</v>
      </c>
      <c r="AA690" s="39">
        <f>Z690*Inputs!$D$13</f>
        <v>36528.421960777559</v>
      </c>
      <c r="AB690" s="39">
        <f>AA690*(1-Inputs!$D$19)</f>
        <v>21917.053176466536</v>
      </c>
      <c r="AC690" s="39">
        <f t="shared" si="40"/>
        <v>373436.06973858719</v>
      </c>
      <c r="AD690" s="39">
        <f t="shared" si="41"/>
        <v>145701.85232648085</v>
      </c>
      <c r="AE690" s="36">
        <f t="shared" si="42"/>
        <v>0.87366190139946498</v>
      </c>
      <c r="AF690" s="35">
        <f>IF(AND(AE690&lt;=Inputs!$D$35,C690&gt;=Inputs!$D$48*(A690+B690+C690),B690*Inputs!$D$22&lt;=Inputs!$D$50*Inputs!$D$8,B690*Inputs!$D$22&gt;=Inputs!$D$49*Inputs!$D$8,A690*Inputs!$D$20&lt;=Inputs!$D$47*Inputs!$D$8,C690&gt;=1),1,0)</f>
        <v>0</v>
      </c>
      <c r="AG690" s="39">
        <f t="shared" si="43"/>
        <v>-1</v>
      </c>
    </row>
    <row r="691" spans="1:33" x14ac:dyDescent="0.25">
      <c r="A691" s="35">
        <v>53</v>
      </c>
      <c r="B691" s="35">
        <v>24</v>
      </c>
      <c r="C691" s="35">
        <f>Inputs!$D$8-A691-Inputs!$D$22*B691</f>
        <v>19</v>
      </c>
      <c r="D691" s="35">
        <f>A691*Inputs!$D$20+C691*Inputs!$D$21+B691*Inputs!$D$22</f>
        <v>120</v>
      </c>
      <c r="E691" s="36">
        <f>MIN(Inputs!$E$15,Inputs!$D$15*(C691/Inputs!$D$43)^Inputs!$D$44)</f>
        <v>0.29931428106923352</v>
      </c>
      <c r="F691" s="36">
        <f>MIN(Inputs!$E$16,Inputs!$D$16*(B691/Inputs!$D$42)^Inputs!$D$44)</f>
        <v>0.42248798737570326</v>
      </c>
      <c r="G691" s="37">
        <f>Inputs!$D$26*(1+Inputs!$D$41*(B691-Inputs!$D$42))</f>
        <v>1.56</v>
      </c>
      <c r="H691" s="35">
        <f>Inputs!$D$6*Inputs!$D$14*G691*Inputs!$D$29</f>
        <v>1960.0308</v>
      </c>
      <c r="I691" s="36">
        <f>H691/(A691*Inputs!$D$32)</f>
        <v>0.67239478559176669</v>
      </c>
      <c r="J691" s="38">
        <f>IF(I691&gt;=1,999,I691/(Inputs!$D$32*(1-I691))*60)</f>
        <v>2.2390412362847072</v>
      </c>
      <c r="K691" s="37">
        <f>MIN(1,MAX(0,(J691-Inputs!$D$36)/(Inputs!$D$37-Inputs!$D$36)))</f>
        <v>0</v>
      </c>
      <c r="L691" s="35">
        <f>Inputs!$D$6*Inputs!$D$14*G691*(1-Inputs!$D$38*K691)</f>
        <v>13066.872000000001</v>
      </c>
      <c r="M691" s="39">
        <f>L691*Inputs!$D$11</f>
        <v>280937.74800000002</v>
      </c>
      <c r="N691" s="39">
        <f>M691*(1-Inputs!$D$17)</f>
        <v>98328.211800000005</v>
      </c>
      <c r="O691" s="35">
        <f>Inputs!$D$6*E691*Inputs!$D$27*Inputs!$D$30</f>
        <v>427.01851497310844</v>
      </c>
      <c r="P691" s="36">
        <f>O691/(C691*Inputs!$D$33)</f>
        <v>0.56186646706987953</v>
      </c>
      <c r="Q691" s="38">
        <f>IF(P691&gt;=1,999,P691/(Inputs!$D$33*(1-P691))*60)</f>
        <v>1.9236137781292366</v>
      </c>
      <c r="R691" s="37">
        <f>MIN(1,MAX(0,(Q691-Inputs!$D$36)/(Inputs!$D$37-Inputs!$D$36)))</f>
        <v>0</v>
      </c>
      <c r="S691" s="35">
        <f>Inputs!$D$6*E691*Inputs!$D$27*(1-Inputs!$D$38*R691)</f>
        <v>3558.4876247759039</v>
      </c>
      <c r="T691" s="39">
        <f>S691*Inputs!$D$12</f>
        <v>56935.801996414462</v>
      </c>
      <c r="U691" s="39">
        <f>T691*(1-Inputs!$D$18)</f>
        <v>25621.110898386505</v>
      </c>
      <c r="V691" s="35">
        <f>Inputs!$D$6*F691*Inputs!$D$28*Inputs!$D$31</f>
        <v>712.33502613882979</v>
      </c>
      <c r="W691" s="36">
        <f>V691/(B691*Inputs!$D$34)</f>
        <v>0.84801788826051161</v>
      </c>
      <c r="X691" s="38">
        <f>IF(W691&gt;=1,999,W691/(Inputs!$D$34*(1-W691))*60)</f>
        <v>9.5652372155190832</v>
      </c>
      <c r="Y691" s="37">
        <f>MIN(1,MAX(0,(X691-Inputs!$D$36)/(Inputs!$D$37-Inputs!$D$36)))</f>
        <v>0.30434914770127219</v>
      </c>
      <c r="Z691" s="35">
        <f>Inputs!$D$6*F691*Inputs!$D$28*(1-Inputs!$D$38*Y691)</f>
        <v>4729.0436538571339</v>
      </c>
      <c r="AA691" s="39">
        <f>Z691*Inputs!$D$13</f>
        <v>40196.87105778564</v>
      </c>
      <c r="AB691" s="39">
        <f>AA691*(1-Inputs!$D$19)</f>
        <v>24118.122634671385</v>
      </c>
      <c r="AC691" s="39">
        <f t="shared" si="40"/>
        <v>378070.42105420009</v>
      </c>
      <c r="AD691" s="39">
        <f t="shared" si="41"/>
        <v>148067.4453330579</v>
      </c>
      <c r="AE691" s="36">
        <f t="shared" si="42"/>
        <v>0.84801788826051161</v>
      </c>
      <c r="AF691" s="35">
        <f>IF(AND(AE691&lt;=Inputs!$D$35,C691&gt;=Inputs!$D$48*(A691+B691+C691),B691*Inputs!$D$22&lt;=Inputs!$D$50*Inputs!$D$8,B691*Inputs!$D$22&gt;=Inputs!$D$49*Inputs!$D$8,A691*Inputs!$D$20&lt;=Inputs!$D$47*Inputs!$D$8,C691&gt;=1),1,0)</f>
        <v>1</v>
      </c>
      <c r="AG691" s="39">
        <f t="shared" si="43"/>
        <v>148067.4453330579</v>
      </c>
    </row>
    <row r="692" spans="1:33" x14ac:dyDescent="0.25">
      <c r="A692" s="35">
        <v>53</v>
      </c>
      <c r="B692" s="35">
        <v>25</v>
      </c>
      <c r="C692" s="35">
        <f>Inputs!$D$8-A692-Inputs!$D$22*B692</f>
        <v>17</v>
      </c>
      <c r="D692" s="35">
        <f>A692*Inputs!$D$20+C692*Inputs!$D$21+B692*Inputs!$D$22</f>
        <v>120</v>
      </c>
      <c r="E692" s="36">
        <f>MIN(Inputs!$E$15,Inputs!$D$15*(C692/Inputs!$D$43)^Inputs!$D$44)</f>
        <v>0.28949164546121231</v>
      </c>
      <c r="F692" s="36">
        <f>MIN(Inputs!$E$16,Inputs!$D$16*(B692/Inputs!$D$42)^Inputs!$D$44)</f>
        <v>0.42769383999647526</v>
      </c>
      <c r="G692" s="37">
        <f>Inputs!$D$26*(1+Inputs!$D$41*(B692-Inputs!$D$42))</f>
        <v>1.5750000000000002</v>
      </c>
      <c r="H692" s="35">
        <f>Inputs!$D$6*Inputs!$D$14*G692*Inputs!$D$29</f>
        <v>1978.8772500000005</v>
      </c>
      <c r="I692" s="36">
        <f>H692/(A692*Inputs!$D$32)</f>
        <v>0.67886012006861074</v>
      </c>
      <c r="J692" s="38">
        <f>IF(I692&gt;=1,999,I692/(Inputs!$D$32*(1-I692))*60)</f>
        <v>2.3060813144624279</v>
      </c>
      <c r="K692" s="37">
        <f>MIN(1,MAX(0,(J692-Inputs!$D$36)/(Inputs!$D$37-Inputs!$D$36)))</f>
        <v>0</v>
      </c>
      <c r="L692" s="35">
        <f>Inputs!$D$6*Inputs!$D$14*G692*(1-Inputs!$D$38*K692)</f>
        <v>13192.515000000003</v>
      </c>
      <c r="M692" s="39">
        <f>L692*Inputs!$D$11</f>
        <v>283639.07250000007</v>
      </c>
      <c r="N692" s="39">
        <f>M692*(1-Inputs!$D$17)</f>
        <v>99273.675375000021</v>
      </c>
      <c r="O692" s="35">
        <f>Inputs!$D$6*E692*Inputs!$D$27*Inputs!$D$30</f>
        <v>413.00499294711136</v>
      </c>
      <c r="P692" s="36">
        <f>O692/(C692*Inputs!$D$33)</f>
        <v>0.60736028374575202</v>
      </c>
      <c r="Q692" s="38">
        <f>IF(P692&gt;=1,999,P692/(Inputs!$D$33*(1-P692))*60)</f>
        <v>2.3202961593133828</v>
      </c>
      <c r="R692" s="37">
        <f>MIN(1,MAX(0,(Q692-Inputs!$D$36)/(Inputs!$D$37-Inputs!$D$36)))</f>
        <v>0</v>
      </c>
      <c r="S692" s="35">
        <f>Inputs!$D$6*E692*Inputs!$D$27*(1-Inputs!$D$38*R692)</f>
        <v>3441.7082745592616</v>
      </c>
      <c r="T692" s="39">
        <f>S692*Inputs!$D$12</f>
        <v>55067.332392948185</v>
      </c>
      <c r="U692" s="39">
        <f>T692*(1-Inputs!$D$18)</f>
        <v>24780.299576826681</v>
      </c>
      <c r="V692" s="35">
        <f>Inputs!$D$6*F692*Inputs!$D$28*Inputs!$D$31</f>
        <v>721.1123435383771</v>
      </c>
      <c r="W692" s="36">
        <f>V692/(B692*Inputs!$D$34)</f>
        <v>0.82412839261528814</v>
      </c>
      <c r="X692" s="38">
        <f>IF(W692&gt;=1,999,W692/(Inputs!$D$34*(1-W692))*60)</f>
        <v>8.0330847668163621</v>
      </c>
      <c r="Y692" s="37">
        <f>MIN(1,MAX(0,(X692-Inputs!$D$36)/(Inputs!$D$37-Inputs!$D$36)))</f>
        <v>0.20220565112109082</v>
      </c>
      <c r="Z692" s="35">
        <f>Inputs!$D$6*F692*Inputs!$D$28*(1-Inputs!$D$38*Y692)</f>
        <v>5042.2807508299393</v>
      </c>
      <c r="AA692" s="39">
        <f>Z692*Inputs!$D$13</f>
        <v>42859.386382054487</v>
      </c>
      <c r="AB692" s="39">
        <f>AA692*(1-Inputs!$D$19)</f>
        <v>25715.631829232691</v>
      </c>
      <c r="AC692" s="39">
        <f t="shared" si="40"/>
        <v>381565.7912750027</v>
      </c>
      <c r="AD692" s="39">
        <f t="shared" si="41"/>
        <v>149769.60678105941</v>
      </c>
      <c r="AE692" s="36">
        <f t="shared" si="42"/>
        <v>0.82412839261528814</v>
      </c>
      <c r="AF692" s="35">
        <f>IF(AND(AE692&lt;=Inputs!$D$35,C692&gt;=Inputs!$D$48*(A692+B692+C692),B692*Inputs!$D$22&lt;=Inputs!$D$50*Inputs!$D$8,B692*Inputs!$D$22&gt;=Inputs!$D$49*Inputs!$D$8,A692*Inputs!$D$20&lt;=Inputs!$D$47*Inputs!$D$8,C692&gt;=1),1,0)</f>
        <v>1</v>
      </c>
      <c r="AG692" s="39">
        <f t="shared" si="43"/>
        <v>149769.60678105941</v>
      </c>
    </row>
    <row r="693" spans="1:33" x14ac:dyDescent="0.25">
      <c r="A693" s="35">
        <v>53</v>
      </c>
      <c r="B693" s="35">
        <v>26</v>
      </c>
      <c r="C693" s="35">
        <f>Inputs!$D$8-A693-Inputs!$D$22*B693</f>
        <v>15</v>
      </c>
      <c r="D693" s="35">
        <f>A693*Inputs!$D$20+C693*Inputs!$D$21+B693*Inputs!$D$22</f>
        <v>120</v>
      </c>
      <c r="E693" s="36">
        <f>MIN(Inputs!$E$15,Inputs!$D$15*(C693/Inputs!$D$43)^Inputs!$D$44)</f>
        <v>0.27882309014433088</v>
      </c>
      <c r="F693" s="36">
        <f>MIN(Inputs!$E$16,Inputs!$D$16*(B693/Inputs!$D$42)^Inputs!$D$44)</f>
        <v>0.43275589945781112</v>
      </c>
      <c r="G693" s="37">
        <f>Inputs!$D$26*(1+Inputs!$D$41*(B693-Inputs!$D$42))</f>
        <v>1.59</v>
      </c>
      <c r="H693" s="35">
        <f>Inputs!$D$6*Inputs!$D$14*G693*Inputs!$D$29</f>
        <v>1997.7237</v>
      </c>
      <c r="I693" s="36">
        <f>H693/(A693*Inputs!$D$32)</f>
        <v>0.68532545454545457</v>
      </c>
      <c r="J693" s="38">
        <f>IF(I693&gt;=1,999,I693/(Inputs!$D$32*(1-I693))*60)</f>
        <v>2.3758762168547749</v>
      </c>
      <c r="K693" s="37">
        <f>MIN(1,MAX(0,(J693-Inputs!$D$36)/(Inputs!$D$37-Inputs!$D$36)))</f>
        <v>0</v>
      </c>
      <c r="L693" s="35">
        <f>Inputs!$D$6*Inputs!$D$14*G693*(1-Inputs!$D$38*K693)</f>
        <v>13318.158000000001</v>
      </c>
      <c r="M693" s="39">
        <f>L693*Inputs!$D$11</f>
        <v>286340.39700000006</v>
      </c>
      <c r="N693" s="39">
        <f>M693*(1-Inputs!$D$17)</f>
        <v>100219.13895000001</v>
      </c>
      <c r="O693" s="35">
        <f>Inputs!$D$6*E693*Inputs!$D$27*Inputs!$D$30</f>
        <v>397.78463449295054</v>
      </c>
      <c r="P693" s="36">
        <f>O693/(C693*Inputs!$D$33)</f>
        <v>0.66297439082158427</v>
      </c>
      <c r="Q693" s="38">
        <f>IF(P693&gt;=1,999,P693/(Inputs!$D$33*(1-P693))*60)</f>
        <v>2.9507003597044905</v>
      </c>
      <c r="R693" s="37">
        <f>MIN(1,MAX(0,(Q693-Inputs!$D$36)/(Inputs!$D$37-Inputs!$D$36)))</f>
        <v>0</v>
      </c>
      <c r="S693" s="35">
        <f>Inputs!$D$6*E693*Inputs!$D$27*(1-Inputs!$D$38*R693)</f>
        <v>3314.8719541079213</v>
      </c>
      <c r="T693" s="39">
        <f>S693*Inputs!$D$12</f>
        <v>53037.951265726741</v>
      </c>
      <c r="U693" s="39">
        <f>T693*(1-Inputs!$D$18)</f>
        <v>23867.07806957703</v>
      </c>
      <c r="V693" s="35">
        <f>Inputs!$D$6*F693*Inputs!$D$28*Inputs!$D$31</f>
        <v>729.64721876904355</v>
      </c>
      <c r="W693" s="36">
        <f>V693/(B693*Inputs!$D$34)</f>
        <v>0.80181013051543248</v>
      </c>
      <c r="X693" s="38">
        <f>IF(W693&gt;=1,999,W693/(Inputs!$D$34*(1-W693))*60)</f>
        <v>6.9354284146153136</v>
      </c>
      <c r="Y693" s="37">
        <f>MIN(1,MAX(0,(X693-Inputs!$D$36)/(Inputs!$D$37-Inputs!$D$36)))</f>
        <v>0.12902856097435425</v>
      </c>
      <c r="Z693" s="35">
        <f>Inputs!$D$6*F693*Inputs!$D$28*(1-Inputs!$D$38*Y693)</f>
        <v>5286.7832305655711</v>
      </c>
      <c r="AA693" s="39">
        <f>Z693*Inputs!$D$13</f>
        <v>44937.657459807357</v>
      </c>
      <c r="AB693" s="39">
        <f>AA693*(1-Inputs!$D$19)</f>
        <v>26962.594475884413</v>
      </c>
      <c r="AC693" s="39">
        <f t="shared" si="40"/>
        <v>384316.00572553417</v>
      </c>
      <c r="AD693" s="39">
        <f t="shared" si="41"/>
        <v>151048.81149546144</v>
      </c>
      <c r="AE693" s="36">
        <f t="shared" si="42"/>
        <v>0.80181013051543248</v>
      </c>
      <c r="AF693" s="35">
        <f>IF(AND(AE693&lt;=Inputs!$D$35,C693&gt;=Inputs!$D$48*(A693+B693+C693),B693*Inputs!$D$22&lt;=Inputs!$D$50*Inputs!$D$8,B693*Inputs!$D$22&gt;=Inputs!$D$49*Inputs!$D$8,A693*Inputs!$D$20&lt;=Inputs!$D$47*Inputs!$D$8,C693&gt;=1),1,0)</f>
        <v>1</v>
      </c>
      <c r="AG693" s="39">
        <f t="shared" si="43"/>
        <v>151048.81149546144</v>
      </c>
    </row>
    <row r="694" spans="1:33" x14ac:dyDescent="0.25">
      <c r="A694" s="35">
        <v>53</v>
      </c>
      <c r="B694" s="35">
        <v>27</v>
      </c>
      <c r="C694" s="35">
        <f>Inputs!$D$8-A694-Inputs!$D$22*B694</f>
        <v>13</v>
      </c>
      <c r="D694" s="35">
        <f>A694*Inputs!$D$20+C694*Inputs!$D$21+B694*Inputs!$D$22</f>
        <v>120</v>
      </c>
      <c r="E694" s="36">
        <f>MIN(Inputs!$E$15,Inputs!$D$15*(C694/Inputs!$D$43)^Inputs!$D$44)</f>
        <v>0.26710644306172537</v>
      </c>
      <c r="F694" s="36">
        <f>MIN(Inputs!$E$16,Inputs!$D$16*(B694/Inputs!$D$42)^Inputs!$D$44)</f>
        <v>0.43768344678187454</v>
      </c>
      <c r="G694" s="37">
        <f>Inputs!$D$26*(1+Inputs!$D$41*(B694-Inputs!$D$42))</f>
        <v>1.605</v>
      </c>
      <c r="H694" s="35">
        <f>Inputs!$D$6*Inputs!$D$14*G694*Inputs!$D$29</f>
        <v>2016.57015</v>
      </c>
      <c r="I694" s="36">
        <f>H694/(A694*Inputs!$D$32)</f>
        <v>0.69179078902229851</v>
      </c>
      <c r="J694" s="38">
        <f>IF(I694&gt;=1,999,I694/(Inputs!$D$32*(1-I694))*60)</f>
        <v>2.4485993081050346</v>
      </c>
      <c r="K694" s="37">
        <f>MIN(1,MAX(0,(J694-Inputs!$D$36)/(Inputs!$D$37-Inputs!$D$36)))</f>
        <v>0</v>
      </c>
      <c r="L694" s="35">
        <f>Inputs!$D$6*Inputs!$D$14*G694*(1-Inputs!$D$38*K694)</f>
        <v>13443.801000000001</v>
      </c>
      <c r="M694" s="39">
        <f>L694*Inputs!$D$11</f>
        <v>289041.72150000004</v>
      </c>
      <c r="N694" s="39">
        <f>M694*(1-Inputs!$D$17)</f>
        <v>101164.60252500001</v>
      </c>
      <c r="O694" s="35">
        <f>Inputs!$D$6*E694*Inputs!$D$27*Inputs!$D$30</f>
        <v>381.06900963266889</v>
      </c>
      <c r="P694" s="36">
        <f>O694/(C694*Inputs!$D$33)</f>
        <v>0.73282501852436321</v>
      </c>
      <c r="Q694" s="38">
        <f>IF(P694&gt;=1,999,P694/(Inputs!$D$33*(1-P694))*60)</f>
        <v>4.1142981341865736</v>
      </c>
      <c r="R694" s="37">
        <f>MIN(1,MAX(0,(Q694-Inputs!$D$36)/(Inputs!$D$37-Inputs!$D$36)))</f>
        <v>0</v>
      </c>
      <c r="S694" s="35">
        <f>Inputs!$D$6*E694*Inputs!$D$27*(1-Inputs!$D$38*R694)</f>
        <v>3175.5750802722409</v>
      </c>
      <c r="T694" s="39">
        <f>S694*Inputs!$D$12</f>
        <v>50809.201284355855</v>
      </c>
      <c r="U694" s="39">
        <f>T694*(1-Inputs!$D$18)</f>
        <v>22864.140577960134</v>
      </c>
      <c r="V694" s="35">
        <f>Inputs!$D$6*F694*Inputs!$D$28*Inputs!$D$31</f>
        <v>737.95530007968603</v>
      </c>
      <c r="W694" s="36">
        <f>V694/(B694*Inputs!$D$34)</f>
        <v>0.78090507944940324</v>
      </c>
      <c r="X694" s="38">
        <f>IF(W694&gt;=1,999,W694/(Inputs!$D$34*(1-W694))*60)</f>
        <v>6.1101116290101798</v>
      </c>
      <c r="Y694" s="37">
        <f>MIN(1,MAX(0,(X694-Inputs!$D$36)/(Inputs!$D$37-Inputs!$D$36)))</f>
        <v>7.4007441934011986E-2</v>
      </c>
      <c r="Z694" s="35">
        <f>Inputs!$D$6*F694*Inputs!$D$28*(1-Inputs!$D$38*Y694)</f>
        <v>5487.5301328495489</v>
      </c>
      <c r="AA694" s="39">
        <f>Z694*Inputs!$D$13</f>
        <v>46644.006129221169</v>
      </c>
      <c r="AB694" s="39">
        <f>AA694*(1-Inputs!$D$19)</f>
        <v>27986.4036775327</v>
      </c>
      <c r="AC694" s="39">
        <f t="shared" si="40"/>
        <v>386494.92891357705</v>
      </c>
      <c r="AD694" s="39">
        <f t="shared" si="41"/>
        <v>152015.14678049285</v>
      </c>
      <c r="AE694" s="36">
        <f t="shared" si="42"/>
        <v>0.78090507944940324</v>
      </c>
      <c r="AF694" s="35">
        <f>IF(AND(AE694&lt;=Inputs!$D$35,C694&gt;=Inputs!$D$48*(A694+B694+C694),B694*Inputs!$D$22&lt;=Inputs!$D$50*Inputs!$D$8,B694*Inputs!$D$22&gt;=Inputs!$D$49*Inputs!$D$8,A694*Inputs!$D$20&lt;=Inputs!$D$47*Inputs!$D$8,C694&gt;=1),1,0)</f>
        <v>0</v>
      </c>
      <c r="AG694" s="39">
        <f t="shared" si="43"/>
        <v>-1</v>
      </c>
    </row>
    <row r="695" spans="1:33" x14ac:dyDescent="0.25">
      <c r="A695" s="35">
        <v>53</v>
      </c>
      <c r="B695" s="35">
        <v>28</v>
      </c>
      <c r="C695" s="35">
        <f>Inputs!$D$8-A695-Inputs!$D$22*B695</f>
        <v>11</v>
      </c>
      <c r="D695" s="35">
        <f>A695*Inputs!$D$20+C695*Inputs!$D$21+B695*Inputs!$D$22</f>
        <v>120</v>
      </c>
      <c r="E695" s="36">
        <f>MIN(Inputs!$E$15,Inputs!$D$15*(C695/Inputs!$D$43)^Inputs!$D$44)</f>
        <v>0.25404997933787238</v>
      </c>
      <c r="F695" s="36">
        <f>MIN(Inputs!$E$16,Inputs!$D$16*(B695/Inputs!$D$42)^Inputs!$D$44)</f>
        <v>0.44248484624799689</v>
      </c>
      <c r="G695" s="37">
        <f>Inputs!$D$26*(1+Inputs!$D$41*(B695-Inputs!$D$42))</f>
        <v>1.62</v>
      </c>
      <c r="H695" s="35">
        <f>Inputs!$D$6*Inputs!$D$14*G695*Inputs!$D$29</f>
        <v>2035.4166</v>
      </c>
      <c r="I695" s="36">
        <f>H695/(A695*Inputs!$D$32)</f>
        <v>0.69825612349914234</v>
      </c>
      <c r="J695" s="38">
        <f>IF(I695&gt;=1,999,I695/(Inputs!$D$32*(1-I695))*60)</f>
        <v>2.5244388112909735</v>
      </c>
      <c r="K695" s="37">
        <f>MIN(1,MAX(0,(J695-Inputs!$D$36)/(Inputs!$D$37-Inputs!$D$36)))</f>
        <v>0</v>
      </c>
      <c r="L695" s="35">
        <f>Inputs!$D$6*Inputs!$D$14*G695*(1-Inputs!$D$38*K695)</f>
        <v>13569.444000000001</v>
      </c>
      <c r="M695" s="39">
        <f>L695*Inputs!$D$11</f>
        <v>291743.04600000003</v>
      </c>
      <c r="N695" s="39">
        <f>M695*(1-Inputs!$D$17)</f>
        <v>102110.06610000001</v>
      </c>
      <c r="O695" s="35">
        <f>Inputs!$D$6*E695*Inputs!$D$27*Inputs!$D$30</f>
        <v>362.44192732225167</v>
      </c>
      <c r="P695" s="36">
        <f>O695/(C695*Inputs!$D$33)</f>
        <v>0.82373165300511741</v>
      </c>
      <c r="Q695" s="38">
        <f>IF(P695&gt;=1,999,P695/(Inputs!$D$33*(1-P695))*60)</f>
        <v>7.0097524630644434</v>
      </c>
      <c r="R695" s="37">
        <f>MIN(1,MAX(0,(Q695-Inputs!$D$36)/(Inputs!$D$37-Inputs!$D$36)))</f>
        <v>0.13398349753762956</v>
      </c>
      <c r="S695" s="35">
        <f>Inputs!$D$6*E695*Inputs!$D$27*(1-Inputs!$D$38*R695)</f>
        <v>2838.2447553136676</v>
      </c>
      <c r="T695" s="39">
        <f>S695*Inputs!$D$12</f>
        <v>45411.916085018682</v>
      </c>
      <c r="U695" s="39">
        <f>T695*(1-Inputs!$D$18)</f>
        <v>20435.362238258404</v>
      </c>
      <c r="V695" s="35">
        <f>Inputs!$D$6*F695*Inputs!$D$28*Inputs!$D$31</f>
        <v>746.05069004674272</v>
      </c>
      <c r="W695" s="36">
        <f>V695/(B695*Inputs!$D$34)</f>
        <v>0.76127621433341097</v>
      </c>
      <c r="X695" s="38">
        <f>IF(W695&gt;=1,999,W695/(Inputs!$D$34*(1-W695))*60)</f>
        <v>5.4667570523531852</v>
      </c>
      <c r="Y695" s="37">
        <f>MIN(1,MAX(0,(X695-Inputs!$D$36)/(Inputs!$D$37-Inputs!$D$36)))</f>
        <v>3.111713682354568E-2</v>
      </c>
      <c r="Z695" s="35">
        <f>Inputs!$D$6*F695*Inputs!$D$28*(1-Inputs!$D$38*Y695)</f>
        <v>5658.4919801305723</v>
      </c>
      <c r="AA695" s="39">
        <f>Z695*Inputs!$D$13</f>
        <v>48097.181831109861</v>
      </c>
      <c r="AB695" s="39">
        <f>AA695*(1-Inputs!$D$19)</f>
        <v>28858.309098665915</v>
      </c>
      <c r="AC695" s="39">
        <f t="shared" si="40"/>
        <v>385252.14391612855</v>
      </c>
      <c r="AD695" s="39">
        <f t="shared" si="41"/>
        <v>151403.73743692433</v>
      </c>
      <c r="AE695" s="36">
        <f t="shared" si="42"/>
        <v>0.82373165300511741</v>
      </c>
      <c r="AF695" s="35">
        <f>IF(AND(AE695&lt;=Inputs!$D$35,C695&gt;=Inputs!$D$48*(A695+B695+C695),B695*Inputs!$D$22&lt;=Inputs!$D$50*Inputs!$D$8,B695*Inputs!$D$22&gt;=Inputs!$D$49*Inputs!$D$8,A695*Inputs!$D$20&lt;=Inputs!$D$47*Inputs!$D$8,C695&gt;=1),1,0)</f>
        <v>0</v>
      </c>
      <c r="AG695" s="39">
        <f t="shared" si="43"/>
        <v>-1</v>
      </c>
    </row>
    <row r="696" spans="1:33" x14ac:dyDescent="0.25">
      <c r="A696" s="35">
        <v>53</v>
      </c>
      <c r="B696" s="35">
        <v>29</v>
      </c>
      <c r="C696" s="35">
        <f>Inputs!$D$8-A696-Inputs!$D$22*B696</f>
        <v>9</v>
      </c>
      <c r="D696" s="35">
        <f>A696*Inputs!$D$20+C696*Inputs!$D$21+B696*Inputs!$D$22</f>
        <v>120</v>
      </c>
      <c r="E696" s="36">
        <f>MIN(Inputs!$E$15,Inputs!$D$15*(C696/Inputs!$D$43)^Inputs!$D$44)</f>
        <v>0.23920712491579582</v>
      </c>
      <c r="F696" s="36">
        <f>MIN(Inputs!$E$16,Inputs!$D$16*(B696/Inputs!$D$42)^Inputs!$D$44)</f>
        <v>0.44716766511947192</v>
      </c>
      <c r="G696" s="37">
        <f>Inputs!$D$26*(1+Inputs!$D$41*(B696-Inputs!$D$42))</f>
        <v>1.6350000000000002</v>
      </c>
      <c r="H696" s="35">
        <f>Inputs!$D$6*Inputs!$D$14*G696*Inputs!$D$29</f>
        <v>2054.2630500000005</v>
      </c>
      <c r="I696" s="36">
        <f>H696/(A696*Inputs!$D$32)</f>
        <v>0.7047214579759864</v>
      </c>
      <c r="J696" s="38">
        <f>IF(I696&gt;=1,999,I696/(Inputs!$D$32*(1-I696))*60)</f>
        <v>2.6035994346050062</v>
      </c>
      <c r="K696" s="37">
        <f>MIN(1,MAX(0,(J696-Inputs!$D$36)/(Inputs!$D$37-Inputs!$D$36)))</f>
        <v>0</v>
      </c>
      <c r="L696" s="35">
        <f>Inputs!$D$6*Inputs!$D$14*G696*(1-Inputs!$D$38*K696)</f>
        <v>13695.087000000003</v>
      </c>
      <c r="M696" s="39">
        <f>L696*Inputs!$D$11</f>
        <v>294444.37050000008</v>
      </c>
      <c r="N696" s="39">
        <f>M696*(1-Inputs!$D$17)</f>
        <v>103055.52967500003</v>
      </c>
      <c r="O696" s="35">
        <f>Inputs!$D$6*E696*Inputs!$D$27*Inputs!$D$30</f>
        <v>341.26628000386961</v>
      </c>
      <c r="P696" s="36">
        <f>O696/(C696*Inputs!$D$33)</f>
        <v>0.94796188889963784</v>
      </c>
      <c r="Q696" s="38">
        <f>IF(P696&gt;=1,999,P696/(Inputs!$D$33*(1-P696))*60)</f>
        <v>27.325027816767943</v>
      </c>
      <c r="R696" s="37">
        <f>MIN(1,MAX(0,(Q696-Inputs!$D$36)/(Inputs!$D$37-Inputs!$D$36)))</f>
        <v>1</v>
      </c>
      <c r="S696" s="35">
        <f>Inputs!$D$6*E696*Inputs!$D$27*(1-Inputs!$D$38*R696)</f>
        <v>1564.1371166844026</v>
      </c>
      <c r="T696" s="39">
        <f>S696*Inputs!$D$12</f>
        <v>25026.193866950442</v>
      </c>
      <c r="U696" s="39">
        <f>T696*(1-Inputs!$D$18)</f>
        <v>11261.787240127698</v>
      </c>
      <c r="V696" s="35">
        <f>Inputs!$D$6*F696*Inputs!$D$28*Inputs!$D$31</f>
        <v>753.9461474393554</v>
      </c>
      <c r="W696" s="36">
        <f>V696/(B696*Inputs!$D$34)</f>
        <v>0.74280408614714821</v>
      </c>
      <c r="X696" s="38">
        <f>IF(W696&gt;=1,999,W696/(Inputs!$D$34*(1-W696))*60)</f>
        <v>4.9510056918075414</v>
      </c>
      <c r="Y696" s="37">
        <f>MIN(1,MAX(0,(X696-Inputs!$D$36)/(Inputs!$D$37-Inputs!$D$36)))</f>
        <v>0</v>
      </c>
      <c r="Z696" s="35">
        <f>Inputs!$D$6*F696*Inputs!$D$28*(1-Inputs!$D$38*Y696)</f>
        <v>5799.5857495335031</v>
      </c>
      <c r="AA696" s="39">
        <f>Z696*Inputs!$D$13</f>
        <v>49296.478871034778</v>
      </c>
      <c r="AB696" s="39">
        <f>AA696*(1-Inputs!$D$19)</f>
        <v>29577.887322620867</v>
      </c>
      <c r="AC696" s="39">
        <f t="shared" si="40"/>
        <v>368767.04323798534</v>
      </c>
      <c r="AD696" s="39">
        <f t="shared" si="41"/>
        <v>143895.20423774858</v>
      </c>
      <c r="AE696" s="36">
        <f t="shared" si="42"/>
        <v>0.94796188889963784</v>
      </c>
      <c r="AF696" s="35">
        <f>IF(AND(AE696&lt;=Inputs!$D$35,C696&gt;=Inputs!$D$48*(A696+B696+C696),B696*Inputs!$D$22&lt;=Inputs!$D$50*Inputs!$D$8,B696*Inputs!$D$22&gt;=Inputs!$D$49*Inputs!$D$8,A696*Inputs!$D$20&lt;=Inputs!$D$47*Inputs!$D$8,C696&gt;=1),1,0)</f>
        <v>0</v>
      </c>
      <c r="AG696" s="39">
        <f t="shared" si="43"/>
        <v>-1</v>
      </c>
    </row>
    <row r="697" spans="1:33" x14ac:dyDescent="0.25">
      <c r="A697" s="35">
        <v>53</v>
      </c>
      <c r="B697" s="35">
        <v>30</v>
      </c>
      <c r="C697" s="35">
        <f>Inputs!$D$8-A697-Inputs!$D$22*B697</f>
        <v>7</v>
      </c>
      <c r="D697" s="35">
        <f>A697*Inputs!$D$20+C697*Inputs!$D$21+B697*Inputs!$D$22</f>
        <v>120</v>
      </c>
      <c r="E697" s="36">
        <f>MIN(Inputs!$E$15,Inputs!$D$15*(C697/Inputs!$D$43)^Inputs!$D$44)</f>
        <v>0.2218353587738203</v>
      </c>
      <c r="F697" s="36">
        <f>MIN(Inputs!$E$16,Inputs!$D$16*(B697/Inputs!$D$42)^Inputs!$D$44)</f>
        <v>0.45173877418274222</v>
      </c>
      <c r="G697" s="37">
        <f>Inputs!$D$26*(1+Inputs!$D$41*(B697-Inputs!$D$42))</f>
        <v>1.6500000000000001</v>
      </c>
      <c r="H697" s="35">
        <f>Inputs!$D$6*Inputs!$D$14*G697*Inputs!$D$29</f>
        <v>2073.1095000000005</v>
      </c>
      <c r="I697" s="36">
        <f>H697/(A697*Inputs!$D$32)</f>
        <v>0.71118679245283034</v>
      </c>
      <c r="J697" s="38">
        <f>IF(I697&gt;=1,999,I697/(Inputs!$D$32*(1-I697))*60)</f>
        <v>2.6863042165222217</v>
      </c>
      <c r="K697" s="37">
        <f>MIN(1,MAX(0,(J697-Inputs!$D$36)/(Inputs!$D$37-Inputs!$D$36)))</f>
        <v>0</v>
      </c>
      <c r="L697" s="35">
        <f>Inputs!$D$6*Inputs!$D$14*G697*(1-Inputs!$D$38*K697)</f>
        <v>13820.730000000003</v>
      </c>
      <c r="M697" s="39">
        <f>L697*Inputs!$D$11</f>
        <v>297145.69500000007</v>
      </c>
      <c r="N697" s="39">
        <f>M697*(1-Inputs!$D$17)</f>
        <v>104000.99325000001</v>
      </c>
      <c r="O697" s="35">
        <f>Inputs!$D$6*E697*Inputs!$D$27*Inputs!$D$30</f>
        <v>316.48274560682341</v>
      </c>
      <c r="P697" s="36">
        <f>O697/(C697*Inputs!$D$33)</f>
        <v>1.1302955200243694</v>
      </c>
      <c r="Q697" s="38">
        <f>IF(P697&gt;=1,999,P697/(Inputs!$D$33*(1-P697))*60)</f>
        <v>999</v>
      </c>
      <c r="R697" s="37">
        <f>MIN(1,MAX(0,(Q697-Inputs!$D$36)/(Inputs!$D$37-Inputs!$D$36)))</f>
        <v>1</v>
      </c>
      <c r="S697" s="35">
        <f>Inputs!$D$6*E697*Inputs!$D$27*(1-Inputs!$D$38*R697)</f>
        <v>1450.5459173646075</v>
      </c>
      <c r="T697" s="39">
        <f>S697*Inputs!$D$12</f>
        <v>23208.73467783372</v>
      </c>
      <c r="U697" s="39">
        <f>T697*(1-Inputs!$D$18)</f>
        <v>10443.930605025173</v>
      </c>
      <c r="V697" s="35">
        <f>Inputs!$D$6*F697*Inputs!$D$28*Inputs!$D$31</f>
        <v>761.65325673326424</v>
      </c>
      <c r="W697" s="36">
        <f>V697/(B697*Inputs!$D$34)</f>
        <v>0.72538405403168027</v>
      </c>
      <c r="X697" s="38">
        <f>IF(W697&gt;=1,999,W697/(Inputs!$D$34*(1-W697))*60)</f>
        <v>4.5281985239874629</v>
      </c>
      <c r="Y697" s="37">
        <f>MIN(1,MAX(0,(X697-Inputs!$D$36)/(Inputs!$D$37-Inputs!$D$36)))</f>
        <v>0</v>
      </c>
      <c r="Z697" s="35">
        <f>Inputs!$D$6*F697*Inputs!$D$28*(1-Inputs!$D$38*Y697)</f>
        <v>5858.8712056404938</v>
      </c>
      <c r="AA697" s="39">
        <f>Z697*Inputs!$D$13</f>
        <v>49800.405247944196</v>
      </c>
      <c r="AB697" s="39">
        <f>AA697*(1-Inputs!$D$19)</f>
        <v>29880.243148766516</v>
      </c>
      <c r="AC697" s="39">
        <f t="shared" si="40"/>
        <v>370154.83492577798</v>
      </c>
      <c r="AD697" s="39">
        <f t="shared" si="41"/>
        <v>144325.16700379172</v>
      </c>
      <c r="AE697" s="36">
        <f t="shared" si="42"/>
        <v>1.1302955200243694</v>
      </c>
      <c r="AF697" s="35">
        <f>IF(AND(AE697&lt;=Inputs!$D$35,C697&gt;=Inputs!$D$48*(A697+B697+C697),B697*Inputs!$D$22&lt;=Inputs!$D$50*Inputs!$D$8,B697*Inputs!$D$22&gt;=Inputs!$D$49*Inputs!$D$8,A697*Inputs!$D$20&lt;=Inputs!$D$47*Inputs!$D$8,C697&gt;=1),1,0)</f>
        <v>0</v>
      </c>
      <c r="AG697" s="39">
        <f t="shared" si="43"/>
        <v>-1</v>
      </c>
    </row>
    <row r="698" spans="1:33" x14ac:dyDescent="0.25">
      <c r="A698" s="35">
        <v>53</v>
      </c>
      <c r="B698" s="35">
        <v>31</v>
      </c>
      <c r="C698" s="35">
        <f>Inputs!$D$8-A698-Inputs!$D$22*B698</f>
        <v>5</v>
      </c>
      <c r="D698" s="35">
        <f>A698*Inputs!$D$20+C698*Inputs!$D$21+B698*Inputs!$D$22</f>
        <v>120</v>
      </c>
      <c r="E698" s="36">
        <f>MIN(Inputs!$E$15,Inputs!$D$15*(C698/Inputs!$D$43)^Inputs!$D$44)</f>
        <v>0.20053600538400315</v>
      </c>
      <c r="F698" s="36">
        <f>MIN(Inputs!$E$16,Inputs!$D$16*(B698/Inputs!$D$42)^Inputs!$D$44)</f>
        <v>0.45620443270573335</v>
      </c>
      <c r="G698" s="37">
        <f>Inputs!$D$26*(1+Inputs!$D$41*(B698-Inputs!$D$42))</f>
        <v>1.665</v>
      </c>
      <c r="H698" s="35">
        <f>Inputs!$D$6*Inputs!$D$14*G698*Inputs!$D$29</f>
        <v>2091.95595</v>
      </c>
      <c r="I698" s="36">
        <f>H698/(A698*Inputs!$D$32)</f>
        <v>0.71765212692967406</v>
      </c>
      <c r="J698" s="38">
        <f>IF(I698&gt;=1,999,I698/(Inputs!$D$32*(1-I698))*60)</f>
        <v>2.7727966244775879</v>
      </c>
      <c r="K698" s="37">
        <f>MIN(1,MAX(0,(J698-Inputs!$D$36)/(Inputs!$D$37-Inputs!$D$36)))</f>
        <v>0</v>
      </c>
      <c r="L698" s="35">
        <f>Inputs!$D$6*Inputs!$D$14*G698*(1-Inputs!$D$38*K698)</f>
        <v>13946.373000000001</v>
      </c>
      <c r="M698" s="39">
        <f>L698*Inputs!$D$11</f>
        <v>299847.01950000005</v>
      </c>
      <c r="N698" s="39">
        <f>M698*(1-Inputs!$D$17)</f>
        <v>104946.45682500002</v>
      </c>
      <c r="O698" s="35">
        <f>Inputs!$D$6*E698*Inputs!$D$27*Inputs!$D$30</f>
        <v>286.09589529712042</v>
      </c>
      <c r="P698" s="36">
        <f>O698/(C698*Inputs!$D$33)</f>
        <v>1.4304794764856021</v>
      </c>
      <c r="Q698" s="38">
        <f>IF(P698&gt;=1,999,P698/(Inputs!$D$33*(1-P698))*60)</f>
        <v>999</v>
      </c>
      <c r="R698" s="37">
        <f>MIN(1,MAX(0,(Q698-Inputs!$D$36)/(Inputs!$D$37-Inputs!$D$36)))</f>
        <v>1</v>
      </c>
      <c r="S698" s="35">
        <f>Inputs!$D$6*E698*Inputs!$D$27*(1-Inputs!$D$38*R698)</f>
        <v>1311.2728534451353</v>
      </c>
      <c r="T698" s="39">
        <f>S698*Inputs!$D$12</f>
        <v>20980.365655122165</v>
      </c>
      <c r="U698" s="39">
        <f>T698*(1-Inputs!$D$18)</f>
        <v>9441.164544804973</v>
      </c>
      <c r="V698" s="35">
        <f>Inputs!$D$6*F698*Inputs!$D$28*Inputs!$D$31</f>
        <v>769.18257135463637</v>
      </c>
      <c r="W698" s="36">
        <f>V698/(B698*Inputs!$D$34)</f>
        <v>0.70892402889828232</v>
      </c>
      <c r="X698" s="38">
        <f>IF(W698&gt;=1,999,W698/(Inputs!$D$34*(1-W698))*60)</f>
        <v>4.1751929252501148</v>
      </c>
      <c r="Y698" s="37">
        <f>MIN(1,MAX(0,(X698-Inputs!$D$36)/(Inputs!$D$37-Inputs!$D$36)))</f>
        <v>0</v>
      </c>
      <c r="Z698" s="35">
        <f>Inputs!$D$6*F698*Inputs!$D$28*(1-Inputs!$D$38*Y698)</f>
        <v>5916.7890104202797</v>
      </c>
      <c r="AA698" s="39">
        <f>Z698*Inputs!$D$13</f>
        <v>50292.706588572379</v>
      </c>
      <c r="AB698" s="39">
        <f>AA698*(1-Inputs!$D$19)</f>
        <v>30175.623953143426</v>
      </c>
      <c r="AC698" s="39">
        <f t="shared" si="40"/>
        <v>371120.09174369456</v>
      </c>
      <c r="AD698" s="39">
        <f t="shared" si="41"/>
        <v>144563.24532294841</v>
      </c>
      <c r="AE698" s="36">
        <f t="shared" si="42"/>
        <v>1.4304794764856021</v>
      </c>
      <c r="AF698" s="35">
        <f>IF(AND(AE698&lt;=Inputs!$D$35,C698&gt;=Inputs!$D$48*(A698+B698+C698),B698*Inputs!$D$22&lt;=Inputs!$D$50*Inputs!$D$8,B698*Inputs!$D$22&gt;=Inputs!$D$49*Inputs!$D$8,A698*Inputs!$D$20&lt;=Inputs!$D$47*Inputs!$D$8,C698&gt;=1),1,0)</f>
        <v>0</v>
      </c>
      <c r="AG698" s="39">
        <f t="shared" si="43"/>
        <v>-1</v>
      </c>
    </row>
    <row r="699" spans="1:33" x14ac:dyDescent="0.25">
      <c r="A699" s="35">
        <v>53</v>
      </c>
      <c r="B699" s="35">
        <v>32</v>
      </c>
      <c r="C699" s="35">
        <f>Inputs!$D$8-A699-Inputs!$D$22*B699</f>
        <v>3</v>
      </c>
      <c r="D699" s="35">
        <f>A699*Inputs!$D$20+C699*Inputs!$D$21+B699*Inputs!$D$22</f>
        <v>120</v>
      </c>
      <c r="E699" s="36">
        <f>MIN(Inputs!$E$15,Inputs!$D$15*(C699/Inputs!$D$43)^Inputs!$D$44)</f>
        <v>0.17204328832728594</v>
      </c>
      <c r="F699" s="36">
        <f>MIN(Inputs!$E$16,Inputs!$D$16*(B699/Inputs!$D$42)^Inputs!$D$44)</f>
        <v>0.46057036065052986</v>
      </c>
      <c r="G699" s="37">
        <f>Inputs!$D$26*(1+Inputs!$D$41*(B699-Inputs!$D$42))</f>
        <v>1.6800000000000002</v>
      </c>
      <c r="H699" s="35">
        <f>Inputs!$D$6*Inputs!$D$14*G699*Inputs!$D$29</f>
        <v>2110.8024000000005</v>
      </c>
      <c r="I699" s="36">
        <f>H699/(A699*Inputs!$D$32)</f>
        <v>0.72411746140651823</v>
      </c>
      <c r="J699" s="38">
        <f>IF(I699&gt;=1,999,I699/(Inputs!$D$32*(1-I699))*60)</f>
        <v>2.8633429486394011</v>
      </c>
      <c r="K699" s="37">
        <f>MIN(1,MAX(0,(J699-Inputs!$D$36)/(Inputs!$D$37-Inputs!$D$36)))</f>
        <v>0</v>
      </c>
      <c r="L699" s="35">
        <f>Inputs!$D$6*Inputs!$D$14*G699*(1-Inputs!$D$38*K699)</f>
        <v>14072.016000000003</v>
      </c>
      <c r="M699" s="39">
        <f>L699*Inputs!$D$11</f>
        <v>302548.34400000004</v>
      </c>
      <c r="N699" s="39">
        <f>M699*(1-Inputs!$D$17)</f>
        <v>105891.9204</v>
      </c>
      <c r="O699" s="35">
        <f>Inputs!$D$6*E699*Inputs!$D$27*Inputs!$D$30</f>
        <v>245.44658955185244</v>
      </c>
      <c r="P699" s="36">
        <f>O699/(C699*Inputs!$D$33)</f>
        <v>2.0453882462654369</v>
      </c>
      <c r="Q699" s="38">
        <f>IF(P699&gt;=1,999,P699/(Inputs!$D$33*(1-P699))*60)</f>
        <v>999</v>
      </c>
      <c r="R699" s="37">
        <f>MIN(1,MAX(0,(Q699-Inputs!$D$36)/(Inputs!$D$37-Inputs!$D$36)))</f>
        <v>1</v>
      </c>
      <c r="S699" s="35">
        <f>Inputs!$D$6*E699*Inputs!$D$27*(1-Inputs!$D$38*R699)</f>
        <v>1124.9635354459906</v>
      </c>
      <c r="T699" s="39">
        <f>S699*Inputs!$D$12</f>
        <v>17999.41656713585</v>
      </c>
      <c r="U699" s="39">
        <f>T699*(1-Inputs!$D$18)</f>
        <v>8099.7374552111314</v>
      </c>
      <c r="V699" s="35">
        <f>Inputs!$D$6*F699*Inputs!$D$28*Inputs!$D$31</f>
        <v>776.54373543410452</v>
      </c>
      <c r="W699" s="36">
        <f>V699/(B699*Inputs!$D$34)</f>
        <v>0.69334262092330756</v>
      </c>
      <c r="X699" s="38">
        <f>IF(W699&gt;=1,999,W699/(Inputs!$D$34*(1-W699))*60)</f>
        <v>3.8759457011369869</v>
      </c>
      <c r="Y699" s="37">
        <f>MIN(1,MAX(0,(X699-Inputs!$D$36)/(Inputs!$D$37-Inputs!$D$36)))</f>
        <v>0</v>
      </c>
      <c r="Z699" s="35">
        <f>Inputs!$D$6*F699*Inputs!$D$28*(1-Inputs!$D$38*Y699)</f>
        <v>5973.4133494931111</v>
      </c>
      <c r="AA699" s="39">
        <f>Z699*Inputs!$D$13</f>
        <v>50774.013470691447</v>
      </c>
      <c r="AB699" s="39">
        <f>AA699*(1-Inputs!$D$19)</f>
        <v>30464.408082414866</v>
      </c>
      <c r="AC699" s="39">
        <f t="shared" si="40"/>
        <v>371321.77403782733</v>
      </c>
      <c r="AD699" s="39">
        <f t="shared" si="41"/>
        <v>144456.065937626</v>
      </c>
      <c r="AE699" s="36">
        <f t="shared" si="42"/>
        <v>2.0453882462654369</v>
      </c>
      <c r="AF699" s="35">
        <f>IF(AND(AE699&lt;=Inputs!$D$35,C699&gt;=Inputs!$D$48*(A699+B699+C699),B699*Inputs!$D$22&lt;=Inputs!$D$50*Inputs!$D$8,B699*Inputs!$D$22&gt;=Inputs!$D$49*Inputs!$D$8,A699*Inputs!$D$20&lt;=Inputs!$D$47*Inputs!$D$8,C699&gt;=1),1,0)</f>
        <v>0</v>
      </c>
      <c r="AG699" s="39">
        <f t="shared" si="43"/>
        <v>-1</v>
      </c>
    </row>
    <row r="700" spans="1:33" x14ac:dyDescent="0.25">
      <c r="A700" s="35">
        <v>53</v>
      </c>
      <c r="B700" s="35">
        <v>33</v>
      </c>
      <c r="C700" s="35">
        <f>Inputs!$D$8-A700-Inputs!$D$22*B700</f>
        <v>1</v>
      </c>
      <c r="D700" s="35">
        <f>A700*Inputs!$D$20+C700*Inputs!$D$21+B700*Inputs!$D$22</f>
        <v>120</v>
      </c>
      <c r="E700" s="36">
        <f>MIN(Inputs!$E$15,Inputs!$D$15*(C700/Inputs!$D$43)^Inputs!$D$44)</f>
        <v>0.12373750601653212</v>
      </c>
      <c r="F700" s="36">
        <f>MIN(Inputs!$E$16,Inputs!$D$16*(B700/Inputs!$D$42)^Inputs!$D$44)</f>
        <v>0.46484180038786721</v>
      </c>
      <c r="G700" s="37">
        <f>Inputs!$D$26*(1+Inputs!$D$41*(B700-Inputs!$D$42))</f>
        <v>1.6949999999999998</v>
      </c>
      <c r="H700" s="35">
        <f>Inputs!$D$6*Inputs!$D$14*G700*Inputs!$D$29</f>
        <v>2129.64885</v>
      </c>
      <c r="I700" s="36">
        <f>H700/(A700*Inputs!$D$32)</f>
        <v>0.73058279588336195</v>
      </c>
      <c r="J700" s="38">
        <f>IF(I700&gt;=1,999,I700/(Inputs!$D$32*(1-I700))*60)</f>
        <v>2.9582350403499009</v>
      </c>
      <c r="K700" s="37">
        <f>MIN(1,MAX(0,(J700-Inputs!$D$36)/(Inputs!$D$37-Inputs!$D$36)))</f>
        <v>0</v>
      </c>
      <c r="L700" s="35">
        <f>Inputs!$D$6*Inputs!$D$14*G700*(1-Inputs!$D$38*K700)</f>
        <v>14197.659</v>
      </c>
      <c r="M700" s="39">
        <f>L700*Inputs!$D$11</f>
        <v>305249.66849999997</v>
      </c>
      <c r="N700" s="39">
        <f>M700*(1-Inputs!$D$17)</f>
        <v>106837.38397499999</v>
      </c>
      <c r="O700" s="35">
        <f>Inputs!$D$6*E700*Inputs!$D$27*Inputs!$D$30</f>
        <v>176.53085538352164</v>
      </c>
      <c r="P700" s="36">
        <f>O700/(C700*Inputs!$D$33)</f>
        <v>4.4132713845880414</v>
      </c>
      <c r="Q700" s="38">
        <f>IF(P700&gt;=1,999,P700/(Inputs!$D$33*(1-P700))*60)</f>
        <v>999</v>
      </c>
      <c r="R700" s="37">
        <f>MIN(1,MAX(0,(Q700-Inputs!$D$36)/(Inputs!$D$37-Inputs!$D$36)))</f>
        <v>1</v>
      </c>
      <c r="S700" s="35">
        <f>Inputs!$D$6*E700*Inputs!$D$27*(1-Inputs!$D$38*R700)</f>
        <v>809.09975384114091</v>
      </c>
      <c r="T700" s="39">
        <f>S700*Inputs!$D$12</f>
        <v>12945.596061458255</v>
      </c>
      <c r="U700" s="39">
        <f>T700*(1-Inputs!$D$18)</f>
        <v>5825.5182276562136</v>
      </c>
      <c r="V700" s="35">
        <f>Inputs!$D$6*F700*Inputs!$D$28*Inputs!$D$31</f>
        <v>783.74558786036266</v>
      </c>
      <c r="W700" s="36">
        <f>V700/(B700*Inputs!$D$34)</f>
        <v>0.67856760853711051</v>
      </c>
      <c r="X700" s="38">
        <f>IF(W700&gt;=1,999,W700/(Inputs!$D$34*(1-W700))*60)</f>
        <v>3.6189842355277744</v>
      </c>
      <c r="Y700" s="37">
        <f>MIN(1,MAX(0,(X700-Inputs!$D$36)/(Inputs!$D$37-Inputs!$D$36)))</f>
        <v>0</v>
      </c>
      <c r="Z700" s="35">
        <f>Inputs!$D$6*F700*Inputs!$D$28*(1-Inputs!$D$38*Y700)</f>
        <v>6028.812214310482</v>
      </c>
      <c r="AA700" s="39">
        <f>Z700*Inputs!$D$13</f>
        <v>51244.903821639098</v>
      </c>
      <c r="AB700" s="39">
        <f>AA700*(1-Inputs!$D$19)</f>
        <v>30746.942292983458</v>
      </c>
      <c r="AC700" s="39">
        <f t="shared" si="40"/>
        <v>369440.16838309728</v>
      </c>
      <c r="AD700" s="39">
        <f t="shared" si="41"/>
        <v>143409.84449563967</v>
      </c>
      <c r="AE700" s="36">
        <f t="shared" si="42"/>
        <v>4.4132713845880414</v>
      </c>
      <c r="AF700" s="35">
        <f>IF(AND(AE700&lt;=Inputs!$D$35,C700&gt;=Inputs!$D$48*(A700+B700+C700),B700*Inputs!$D$22&lt;=Inputs!$D$50*Inputs!$D$8,B700*Inputs!$D$22&gt;=Inputs!$D$49*Inputs!$D$8,A700*Inputs!$D$20&lt;=Inputs!$D$47*Inputs!$D$8,C700&gt;=1),1,0)</f>
        <v>0</v>
      </c>
      <c r="AG700" s="39">
        <f t="shared" si="43"/>
        <v>-1</v>
      </c>
    </row>
    <row r="701" spans="1:33" x14ac:dyDescent="0.25">
      <c r="A701" s="35">
        <v>54</v>
      </c>
      <c r="B701" s="35">
        <v>10</v>
      </c>
      <c r="C701" s="35">
        <f>Inputs!$D$8-A701-Inputs!$D$22*B701</f>
        <v>46</v>
      </c>
      <c r="D701" s="35">
        <f>A701*Inputs!$D$20+C701*Inputs!$D$21+B701*Inputs!$D$22</f>
        <v>120</v>
      </c>
      <c r="E701" s="36">
        <f>MIN(Inputs!$E$15,Inputs!$D$15*(C701/Inputs!$D$43)^Inputs!$D$44)</f>
        <v>0.39023723685630041</v>
      </c>
      <c r="F701" s="36">
        <f>MIN(Inputs!$E$16,Inputs!$D$16*(B701/Inputs!$D$42)^Inputs!$D$44)</f>
        <v>0.32490095854249423</v>
      </c>
      <c r="G701" s="37">
        <f>Inputs!$D$26*(1+Inputs!$D$41*(B701-Inputs!$D$42))</f>
        <v>1.35</v>
      </c>
      <c r="H701" s="35">
        <f>Inputs!$D$6*Inputs!$D$14*G701*Inputs!$D$29</f>
        <v>1696.1805000000004</v>
      </c>
      <c r="I701" s="36">
        <f>H701/(A701*Inputs!$D$32)</f>
        <v>0.57110454545454559</v>
      </c>
      <c r="J701" s="38">
        <f>IF(I701&gt;=1,999,I701/(Inputs!$D$32*(1-I701))*60)</f>
        <v>1.4526223905920173</v>
      </c>
      <c r="K701" s="37">
        <f>MIN(1,MAX(0,(J701-Inputs!$D$36)/(Inputs!$D$37-Inputs!$D$36)))</f>
        <v>0</v>
      </c>
      <c r="L701" s="35">
        <f>Inputs!$D$6*Inputs!$D$14*G701*(1-Inputs!$D$38*K701)</f>
        <v>11307.870000000003</v>
      </c>
      <c r="M701" s="39">
        <f>L701*Inputs!$D$11</f>
        <v>243119.20500000005</v>
      </c>
      <c r="N701" s="39">
        <f>M701*(1-Inputs!$D$17)</f>
        <v>85091.721750000012</v>
      </c>
      <c r="O701" s="35">
        <f>Inputs!$D$6*E701*Inputs!$D$27*Inputs!$D$30</f>
        <v>556.73429538446214</v>
      </c>
      <c r="P701" s="36">
        <f>O701/(C701*Inputs!$D$33)</f>
        <v>0.30257298662199028</v>
      </c>
      <c r="Q701" s="38">
        <f>IF(P701&gt;=1,999,P701/(Inputs!$D$33*(1-P701))*60)</f>
        <v>0.65076269090109196</v>
      </c>
      <c r="R701" s="37">
        <f>MIN(1,MAX(0,(Q701-Inputs!$D$36)/(Inputs!$D$37-Inputs!$D$36)))</f>
        <v>0</v>
      </c>
      <c r="S701" s="35">
        <f>Inputs!$D$6*E701*Inputs!$D$27*(1-Inputs!$D$38*R701)</f>
        <v>4639.4524615371847</v>
      </c>
      <c r="T701" s="39">
        <f>S701*Inputs!$D$12</f>
        <v>74231.239384594955</v>
      </c>
      <c r="U701" s="39">
        <f>T701*(1-Inputs!$D$18)</f>
        <v>33404.05772306773</v>
      </c>
      <c r="V701" s="35">
        <f>Inputs!$D$6*F701*Inputs!$D$28*Inputs!$D$31</f>
        <v>547.7986113486553</v>
      </c>
      <c r="W701" s="36">
        <f>V701/(B701*Inputs!$D$34)</f>
        <v>1.5651388895675866</v>
      </c>
      <c r="X701" s="38">
        <f>IF(W701&gt;=1,999,W701/(Inputs!$D$34*(1-W701))*60)</f>
        <v>999</v>
      </c>
      <c r="Y701" s="37">
        <f>MIN(1,MAX(0,(X701-Inputs!$D$36)/(Inputs!$D$37-Inputs!$D$36)))</f>
        <v>1</v>
      </c>
      <c r="Z701" s="35">
        <f>Inputs!$D$6*F701*Inputs!$D$28*(1-Inputs!$D$38*Y701)</f>
        <v>2317.6095095520031</v>
      </c>
      <c r="AA701" s="39">
        <f>Z701*Inputs!$D$13</f>
        <v>19699.680831192025</v>
      </c>
      <c r="AB701" s="39">
        <f>AA701*(1-Inputs!$D$19)</f>
        <v>11819.808498715214</v>
      </c>
      <c r="AC701" s="39">
        <f t="shared" si="40"/>
        <v>337050.12521578703</v>
      </c>
      <c r="AD701" s="39">
        <f t="shared" si="41"/>
        <v>130315.58797178295</v>
      </c>
      <c r="AE701" s="36">
        <f t="shared" si="42"/>
        <v>1.5651388895675866</v>
      </c>
      <c r="AF701" s="35">
        <f>IF(AND(AE701&lt;=Inputs!$D$35,C701&gt;=Inputs!$D$48*(A701+B701+C701),B701*Inputs!$D$22&lt;=Inputs!$D$50*Inputs!$D$8,B701*Inputs!$D$22&gt;=Inputs!$D$49*Inputs!$D$8,A701*Inputs!$D$20&lt;=Inputs!$D$47*Inputs!$D$8,C701&gt;=1),1,0)</f>
        <v>0</v>
      </c>
      <c r="AG701" s="39">
        <f t="shared" si="43"/>
        <v>-1</v>
      </c>
    </row>
    <row r="702" spans="1:33" x14ac:dyDescent="0.25">
      <c r="A702" s="35">
        <v>54</v>
      </c>
      <c r="B702" s="35">
        <v>11</v>
      </c>
      <c r="C702" s="35">
        <f>Inputs!$D$8-A702-Inputs!$D$22*B702</f>
        <v>44</v>
      </c>
      <c r="D702" s="35">
        <f>A702*Inputs!$D$20+C702*Inputs!$D$21+B702*Inputs!$D$22</f>
        <v>120</v>
      </c>
      <c r="E702" s="36">
        <f>MIN(Inputs!$E$15,Inputs!$D$15*(C702/Inputs!$D$43)^Inputs!$D$44)</f>
        <v>0.38506776240403751</v>
      </c>
      <c r="F702" s="36">
        <f>MIN(Inputs!$E$16,Inputs!$D$16*(B702/Inputs!$D$42)^Inputs!$D$44)</f>
        <v>0.33432495758166098</v>
      </c>
      <c r="G702" s="37">
        <f>Inputs!$D$26*(1+Inputs!$D$41*(B702-Inputs!$D$42))</f>
        <v>1.365</v>
      </c>
      <c r="H702" s="35">
        <f>Inputs!$D$6*Inputs!$D$14*G702*Inputs!$D$29</f>
        <v>1715.0269500000002</v>
      </c>
      <c r="I702" s="36">
        <f>H702/(A702*Inputs!$D$32)</f>
        <v>0.57745015151515156</v>
      </c>
      <c r="J702" s="38">
        <f>IF(I702&gt;=1,999,I702/(Inputs!$D$32*(1-I702))*60)</f>
        <v>1.4908196561743625</v>
      </c>
      <c r="K702" s="37">
        <f>MIN(1,MAX(0,(J702-Inputs!$D$36)/(Inputs!$D$37-Inputs!$D$36)))</f>
        <v>0</v>
      </c>
      <c r="L702" s="35">
        <f>Inputs!$D$6*Inputs!$D$14*G702*(1-Inputs!$D$38*K702)</f>
        <v>11433.513000000001</v>
      </c>
      <c r="M702" s="39">
        <f>L702*Inputs!$D$11</f>
        <v>245820.5295</v>
      </c>
      <c r="N702" s="39">
        <f>M702*(1-Inputs!$D$17)</f>
        <v>86037.185324999999</v>
      </c>
      <c r="O702" s="35">
        <f>Inputs!$D$6*E702*Inputs!$D$27*Inputs!$D$30</f>
        <v>549.35923364029463</v>
      </c>
      <c r="P702" s="36">
        <f>O702/(C702*Inputs!$D$33)</f>
        <v>0.31213592820471286</v>
      </c>
      <c r="Q702" s="38">
        <f>IF(P702&gt;=1,999,P702/(Inputs!$D$33*(1-P702))*60)</f>
        <v>0.6806633919476025</v>
      </c>
      <c r="R702" s="37">
        <f>MIN(1,MAX(0,(Q702-Inputs!$D$36)/(Inputs!$D$37-Inputs!$D$36)))</f>
        <v>0</v>
      </c>
      <c r="S702" s="35">
        <f>Inputs!$D$6*E702*Inputs!$D$27*(1-Inputs!$D$38*R702)</f>
        <v>4577.9936136691222</v>
      </c>
      <c r="T702" s="39">
        <f>S702*Inputs!$D$12</f>
        <v>73247.897818705955</v>
      </c>
      <c r="U702" s="39">
        <f>T702*(1-Inputs!$D$18)</f>
        <v>32961.554018417679</v>
      </c>
      <c r="V702" s="35">
        <f>Inputs!$D$6*F702*Inputs!$D$28*Inputs!$D$31</f>
        <v>563.68792608064427</v>
      </c>
      <c r="W702" s="36">
        <f>V702/(B702*Inputs!$D$34)</f>
        <v>1.4641244833263487</v>
      </c>
      <c r="X702" s="38">
        <f>IF(W702&gt;=1,999,W702/(Inputs!$D$34*(1-W702))*60)</f>
        <v>999</v>
      </c>
      <c r="Y702" s="37">
        <f>MIN(1,MAX(0,(X702-Inputs!$D$36)/(Inputs!$D$37-Inputs!$D$36)))</f>
        <v>1</v>
      </c>
      <c r="Z702" s="35">
        <f>Inputs!$D$6*F702*Inputs!$D$28*(1-Inputs!$D$38*Y702)</f>
        <v>2384.8335334181106</v>
      </c>
      <c r="AA702" s="39">
        <f>Z702*Inputs!$D$13</f>
        <v>20271.08503405394</v>
      </c>
      <c r="AB702" s="39">
        <f>AA702*(1-Inputs!$D$19)</f>
        <v>12162.651020432364</v>
      </c>
      <c r="AC702" s="39">
        <f t="shared" si="40"/>
        <v>339339.51235275989</v>
      </c>
      <c r="AD702" s="39">
        <f t="shared" si="41"/>
        <v>131161.39036385005</v>
      </c>
      <c r="AE702" s="36">
        <f t="shared" si="42"/>
        <v>1.4641244833263487</v>
      </c>
      <c r="AF702" s="35">
        <f>IF(AND(AE702&lt;=Inputs!$D$35,C702&gt;=Inputs!$D$48*(A702+B702+C702),B702*Inputs!$D$22&lt;=Inputs!$D$50*Inputs!$D$8,B702*Inputs!$D$22&gt;=Inputs!$D$49*Inputs!$D$8,A702*Inputs!$D$20&lt;=Inputs!$D$47*Inputs!$D$8,C702&gt;=1),1,0)</f>
        <v>0</v>
      </c>
      <c r="AG702" s="39">
        <f t="shared" si="43"/>
        <v>-1</v>
      </c>
    </row>
    <row r="703" spans="1:33" x14ac:dyDescent="0.25">
      <c r="A703" s="35">
        <v>54</v>
      </c>
      <c r="B703" s="35">
        <v>12</v>
      </c>
      <c r="C703" s="35">
        <f>Inputs!$D$8-A703-Inputs!$D$22*B703</f>
        <v>42</v>
      </c>
      <c r="D703" s="35">
        <f>A703*Inputs!$D$20+C703*Inputs!$D$21+B703*Inputs!$D$22</f>
        <v>120</v>
      </c>
      <c r="E703" s="36">
        <f>MIN(Inputs!$E$15,Inputs!$D$15*(C703/Inputs!$D$43)^Inputs!$D$44)</f>
        <v>0.37973108090036384</v>
      </c>
      <c r="F703" s="36">
        <f>MIN(Inputs!$E$16,Inputs!$D$16*(B703/Inputs!$D$42)^Inputs!$D$44)</f>
        <v>0.34316688017763797</v>
      </c>
      <c r="G703" s="37">
        <f>Inputs!$D$26*(1+Inputs!$D$41*(B703-Inputs!$D$42))</f>
        <v>1.3800000000000001</v>
      </c>
      <c r="H703" s="35">
        <f>Inputs!$D$6*Inputs!$D$14*G703*Inputs!$D$29</f>
        <v>1733.8734000000004</v>
      </c>
      <c r="I703" s="36">
        <f>H703/(A703*Inputs!$D$32)</f>
        <v>0.58379575757575775</v>
      </c>
      <c r="J703" s="38">
        <f>IF(I703&gt;=1,999,I703/(Inputs!$D$32*(1-I703))*60)</f>
        <v>1.5301816614458874</v>
      </c>
      <c r="K703" s="37">
        <f>MIN(1,MAX(0,(J703-Inputs!$D$36)/(Inputs!$D$37-Inputs!$D$36)))</f>
        <v>0</v>
      </c>
      <c r="L703" s="35">
        <f>Inputs!$D$6*Inputs!$D$14*G703*(1-Inputs!$D$38*K703)</f>
        <v>11559.156000000003</v>
      </c>
      <c r="M703" s="39">
        <f>L703*Inputs!$D$11</f>
        <v>248521.85400000005</v>
      </c>
      <c r="N703" s="39">
        <f>M703*(1-Inputs!$D$17)</f>
        <v>86982.648900000015</v>
      </c>
      <c r="O703" s="35">
        <f>Inputs!$D$6*E703*Inputs!$D$27*Inputs!$D$30</f>
        <v>541.74562495298949</v>
      </c>
      <c r="P703" s="36">
        <f>O703/(C703*Inputs!$D$33)</f>
        <v>0.32246763390058897</v>
      </c>
      <c r="Q703" s="38">
        <f>IF(P703&gt;=1,999,P703/(Inputs!$D$33*(1-P703))*60)</f>
        <v>0.71391637514762252</v>
      </c>
      <c r="R703" s="37">
        <f>MIN(1,MAX(0,(Q703-Inputs!$D$36)/(Inputs!$D$37-Inputs!$D$36)))</f>
        <v>0</v>
      </c>
      <c r="S703" s="35">
        <f>Inputs!$D$6*E703*Inputs!$D$27*(1-Inputs!$D$38*R703)</f>
        <v>4514.5468746082461</v>
      </c>
      <c r="T703" s="39">
        <f>S703*Inputs!$D$12</f>
        <v>72232.749993731937</v>
      </c>
      <c r="U703" s="39">
        <f>T703*(1-Inputs!$D$18)</f>
        <v>32504.737497179369</v>
      </c>
      <c r="V703" s="35">
        <f>Inputs!$D$6*F703*Inputs!$D$28*Inputs!$D$31</f>
        <v>578.5958319897461</v>
      </c>
      <c r="W703" s="36">
        <f>V703/(B703*Inputs!$D$34)</f>
        <v>1.3776091237851098</v>
      </c>
      <c r="X703" s="38">
        <f>IF(W703&gt;=1,999,W703/(Inputs!$D$34*(1-W703))*60)</f>
        <v>999</v>
      </c>
      <c r="Y703" s="37">
        <f>MIN(1,MAX(0,(X703-Inputs!$D$36)/(Inputs!$D$37-Inputs!$D$36)))</f>
        <v>1</v>
      </c>
      <c r="Z703" s="35">
        <f>Inputs!$D$6*F703*Inputs!$D$28*(1-Inputs!$D$38*Y703)</f>
        <v>2447.9054430335414</v>
      </c>
      <c r="AA703" s="39">
        <f>Z703*Inputs!$D$13</f>
        <v>20807.1962657851</v>
      </c>
      <c r="AB703" s="39">
        <f>AA703*(1-Inputs!$D$19)</f>
        <v>12484.31775947106</v>
      </c>
      <c r="AC703" s="39">
        <f t="shared" si="40"/>
        <v>341561.8002595171</v>
      </c>
      <c r="AD703" s="39">
        <f t="shared" si="41"/>
        <v>131971.70415665046</v>
      </c>
      <c r="AE703" s="36">
        <f t="shared" si="42"/>
        <v>1.3776091237851098</v>
      </c>
      <c r="AF703" s="35">
        <f>IF(AND(AE703&lt;=Inputs!$D$35,C703&gt;=Inputs!$D$48*(A703+B703+C703),B703*Inputs!$D$22&lt;=Inputs!$D$50*Inputs!$D$8,B703*Inputs!$D$22&gt;=Inputs!$D$49*Inputs!$D$8,A703*Inputs!$D$20&lt;=Inputs!$D$47*Inputs!$D$8,C703&gt;=1),1,0)</f>
        <v>0</v>
      </c>
      <c r="AG703" s="39">
        <f t="shared" si="43"/>
        <v>-1</v>
      </c>
    </row>
    <row r="704" spans="1:33" x14ac:dyDescent="0.25">
      <c r="A704" s="35">
        <v>54</v>
      </c>
      <c r="B704" s="35">
        <v>13</v>
      </c>
      <c r="C704" s="35">
        <f>Inputs!$D$8-A704-Inputs!$D$22*B704</f>
        <v>40</v>
      </c>
      <c r="D704" s="35">
        <f>A704*Inputs!$D$20+C704*Inputs!$D$21+B704*Inputs!$D$22</f>
        <v>120</v>
      </c>
      <c r="E704" s="36">
        <f>MIN(Inputs!$E$15,Inputs!$D$15*(C704/Inputs!$D$43)^Inputs!$D$44)</f>
        <v>0.37421341802855551</v>
      </c>
      <c r="F704" s="36">
        <f>MIN(Inputs!$E$16,Inputs!$D$16*(B704/Inputs!$D$42)^Inputs!$D$44)</f>
        <v>0.35150701637190523</v>
      </c>
      <c r="G704" s="37">
        <f>Inputs!$D$26*(1+Inputs!$D$41*(B704-Inputs!$D$42))</f>
        <v>1.395</v>
      </c>
      <c r="H704" s="35">
        <f>Inputs!$D$6*Inputs!$D$14*G704*Inputs!$D$29</f>
        <v>1752.7198500000002</v>
      </c>
      <c r="I704" s="36">
        <f>H704/(A704*Inputs!$D$32)</f>
        <v>0.59014136363636371</v>
      </c>
      <c r="J704" s="38">
        <f>IF(I704&gt;=1,999,I704/(Inputs!$D$32*(1-I704))*60)</f>
        <v>1.5707625053951786</v>
      </c>
      <c r="K704" s="37">
        <f>MIN(1,MAX(0,(J704-Inputs!$D$36)/(Inputs!$D$37-Inputs!$D$36)))</f>
        <v>0</v>
      </c>
      <c r="L704" s="35">
        <f>Inputs!$D$6*Inputs!$D$14*G704*(1-Inputs!$D$38*K704)</f>
        <v>11684.799000000001</v>
      </c>
      <c r="M704" s="39">
        <f>L704*Inputs!$D$11</f>
        <v>251223.17850000001</v>
      </c>
      <c r="N704" s="39">
        <f>M704*(1-Inputs!$D$17)</f>
        <v>87928.112475000002</v>
      </c>
      <c r="O704" s="35">
        <f>Inputs!$D$6*E704*Inputs!$D$27*Inputs!$D$30</f>
        <v>533.8738181109469</v>
      </c>
      <c r="P704" s="36">
        <f>O704/(C704*Inputs!$D$33)</f>
        <v>0.33367113631934181</v>
      </c>
      <c r="Q704" s="38">
        <f>IF(P704&gt;=1,999,P704/(Inputs!$D$33*(1-P704))*60)</f>
        <v>0.75114066305685867</v>
      </c>
      <c r="R704" s="37">
        <f>MIN(1,MAX(0,(Q704-Inputs!$D$36)/(Inputs!$D$37-Inputs!$D$36)))</f>
        <v>0</v>
      </c>
      <c r="S704" s="35">
        <f>Inputs!$D$6*E704*Inputs!$D$27*(1-Inputs!$D$38*R704)</f>
        <v>4448.9484842578913</v>
      </c>
      <c r="T704" s="39">
        <f>S704*Inputs!$D$12</f>
        <v>71183.175748126261</v>
      </c>
      <c r="U704" s="39">
        <f>T704*(1-Inputs!$D$18)</f>
        <v>32032.429086656815</v>
      </c>
      <c r="V704" s="35">
        <f>Inputs!$D$6*F704*Inputs!$D$28*Inputs!$D$31</f>
        <v>592.65770193981814</v>
      </c>
      <c r="W704" s="36">
        <f>V704/(B704*Inputs!$D$34)</f>
        <v>1.3025443998677322</v>
      </c>
      <c r="X704" s="38">
        <f>IF(W704&gt;=1,999,W704/(Inputs!$D$34*(1-W704))*60)</f>
        <v>999</v>
      </c>
      <c r="Y704" s="37">
        <f>MIN(1,MAX(0,(X704-Inputs!$D$36)/(Inputs!$D$37-Inputs!$D$36)))</f>
        <v>1</v>
      </c>
      <c r="Z704" s="35">
        <f>Inputs!$D$6*F704*Inputs!$D$28*(1-Inputs!$D$38*Y704)</f>
        <v>2507.3979697453847</v>
      </c>
      <c r="AA704" s="39">
        <f>Z704*Inputs!$D$13</f>
        <v>21312.882742835769</v>
      </c>
      <c r="AB704" s="39">
        <f>AA704*(1-Inputs!$D$19)</f>
        <v>12787.729645701462</v>
      </c>
      <c r="AC704" s="39">
        <f t="shared" si="40"/>
        <v>343719.23699096206</v>
      </c>
      <c r="AD704" s="39">
        <f t="shared" si="41"/>
        <v>132748.27120735828</v>
      </c>
      <c r="AE704" s="36">
        <f t="shared" si="42"/>
        <v>1.3025443998677322</v>
      </c>
      <c r="AF704" s="35">
        <f>IF(AND(AE704&lt;=Inputs!$D$35,C704&gt;=Inputs!$D$48*(A704+B704+C704),B704*Inputs!$D$22&lt;=Inputs!$D$50*Inputs!$D$8,B704*Inputs!$D$22&gt;=Inputs!$D$49*Inputs!$D$8,A704*Inputs!$D$20&lt;=Inputs!$D$47*Inputs!$D$8,C704&gt;=1),1,0)</f>
        <v>0</v>
      </c>
      <c r="AG704" s="39">
        <f t="shared" si="43"/>
        <v>-1</v>
      </c>
    </row>
    <row r="705" spans="1:33" x14ac:dyDescent="0.25">
      <c r="A705" s="35">
        <v>54</v>
      </c>
      <c r="B705" s="35">
        <v>14</v>
      </c>
      <c r="C705" s="35">
        <f>Inputs!$D$8-A705-Inputs!$D$22*B705</f>
        <v>38</v>
      </c>
      <c r="D705" s="35">
        <f>A705*Inputs!$D$20+C705*Inputs!$D$21+B705*Inputs!$D$22</f>
        <v>120</v>
      </c>
      <c r="E705" s="36">
        <f>MIN(Inputs!$E$15,Inputs!$D$15*(C705/Inputs!$D$43)^Inputs!$D$44)</f>
        <v>0.36849910497273691</v>
      </c>
      <c r="F705" s="36">
        <f>MIN(Inputs!$E$16,Inputs!$D$16*(B705/Inputs!$D$42)^Inputs!$D$44)</f>
        <v>0.35940937671625589</v>
      </c>
      <c r="G705" s="37">
        <f>Inputs!$D$26*(1+Inputs!$D$41*(B705-Inputs!$D$42))</f>
        <v>1.41</v>
      </c>
      <c r="H705" s="35">
        <f>Inputs!$D$6*Inputs!$D$14*G705*Inputs!$D$29</f>
        <v>1771.5663000000002</v>
      </c>
      <c r="I705" s="36">
        <f>H705/(A705*Inputs!$D$32)</f>
        <v>0.59648696969696979</v>
      </c>
      <c r="J705" s="38">
        <f>IF(I705&gt;=1,999,I705/(Inputs!$D$32*(1-I705))*60)</f>
        <v>1.6126196900322334</v>
      </c>
      <c r="K705" s="37">
        <f>MIN(1,MAX(0,(J705-Inputs!$D$36)/(Inputs!$D$37-Inputs!$D$36)))</f>
        <v>0</v>
      </c>
      <c r="L705" s="35">
        <f>Inputs!$D$6*Inputs!$D$14*G705*(1-Inputs!$D$38*K705)</f>
        <v>11810.442000000001</v>
      </c>
      <c r="M705" s="39">
        <f>L705*Inputs!$D$11</f>
        <v>253924.50300000003</v>
      </c>
      <c r="N705" s="39">
        <f>M705*(1-Inputs!$D$17)</f>
        <v>88873.576050000003</v>
      </c>
      <c r="O705" s="35">
        <f>Inputs!$D$6*E705*Inputs!$D$27*Inputs!$D$30</f>
        <v>525.72145910398501</v>
      </c>
      <c r="P705" s="36">
        <f>O705/(C705*Inputs!$D$33)</f>
        <v>0.34586938098946385</v>
      </c>
      <c r="Q705" s="38">
        <f>IF(P705&gt;=1,999,P705/(Inputs!$D$33*(1-P705))*60)</f>
        <v>0.79311999225622454</v>
      </c>
      <c r="R705" s="37">
        <f>MIN(1,MAX(0,(Q705-Inputs!$D$36)/(Inputs!$D$37-Inputs!$D$36)))</f>
        <v>0</v>
      </c>
      <c r="S705" s="35">
        <f>Inputs!$D$6*E705*Inputs!$D$27*(1-Inputs!$D$38*R705)</f>
        <v>4381.012159199875</v>
      </c>
      <c r="T705" s="39">
        <f>S705*Inputs!$D$12</f>
        <v>70096.194547198</v>
      </c>
      <c r="U705" s="39">
        <f>T705*(1-Inputs!$D$18)</f>
        <v>31543.287546239098</v>
      </c>
      <c r="V705" s="35">
        <f>Inputs!$D$6*F705*Inputs!$D$28*Inputs!$D$31</f>
        <v>605.98146079368973</v>
      </c>
      <c r="W705" s="36">
        <f>V705/(B705*Inputs!$D$34)</f>
        <v>1.2366968587626321</v>
      </c>
      <c r="X705" s="38">
        <f>IF(W705&gt;=1,999,W705/(Inputs!$D$34*(1-W705))*60)</f>
        <v>999</v>
      </c>
      <c r="Y705" s="37">
        <f>MIN(1,MAX(0,(X705-Inputs!$D$36)/(Inputs!$D$37-Inputs!$D$36)))</f>
        <v>1</v>
      </c>
      <c r="Z705" s="35">
        <f>Inputs!$D$6*F705*Inputs!$D$28*(1-Inputs!$D$38*Y705)</f>
        <v>2563.7677187425338</v>
      </c>
      <c r="AA705" s="39">
        <f>Z705*Inputs!$D$13</f>
        <v>21792.025609311539</v>
      </c>
      <c r="AB705" s="39">
        <f>AA705*(1-Inputs!$D$19)</f>
        <v>13075.215365586922</v>
      </c>
      <c r="AC705" s="39">
        <f t="shared" si="40"/>
        <v>345812.72315650957</v>
      </c>
      <c r="AD705" s="39">
        <f t="shared" si="41"/>
        <v>133492.07896182602</v>
      </c>
      <c r="AE705" s="36">
        <f t="shared" si="42"/>
        <v>1.2366968587626321</v>
      </c>
      <c r="AF705" s="35">
        <f>IF(AND(AE705&lt;=Inputs!$D$35,C705&gt;=Inputs!$D$48*(A705+B705+C705),B705*Inputs!$D$22&lt;=Inputs!$D$50*Inputs!$D$8,B705*Inputs!$D$22&gt;=Inputs!$D$49*Inputs!$D$8,A705*Inputs!$D$20&lt;=Inputs!$D$47*Inputs!$D$8,C705&gt;=1),1,0)</f>
        <v>0</v>
      </c>
      <c r="AG705" s="39">
        <f t="shared" si="43"/>
        <v>-1</v>
      </c>
    </row>
    <row r="706" spans="1:33" x14ac:dyDescent="0.25">
      <c r="A706" s="35">
        <v>54</v>
      </c>
      <c r="B706" s="35">
        <v>15</v>
      </c>
      <c r="C706" s="35">
        <f>Inputs!$D$8-A706-Inputs!$D$22*B706</f>
        <v>36</v>
      </c>
      <c r="D706" s="35">
        <f>A706*Inputs!$D$20+C706*Inputs!$D$21+B706*Inputs!$D$22</f>
        <v>120</v>
      </c>
      <c r="E706" s="36">
        <f>MIN(Inputs!$E$15,Inputs!$D$15*(C706/Inputs!$D$43)^Inputs!$D$44)</f>
        <v>0.36257020206219398</v>
      </c>
      <c r="F706" s="36">
        <f>MIN(Inputs!$E$16,Inputs!$D$16*(B706/Inputs!$D$42)^Inputs!$D$44)</f>
        <v>0.36692590185696072</v>
      </c>
      <c r="G706" s="37">
        <f>Inputs!$D$26*(1+Inputs!$D$41*(B706-Inputs!$D$42))</f>
        <v>1.4249999999999998</v>
      </c>
      <c r="H706" s="35">
        <f>Inputs!$D$6*Inputs!$D$14*G706*Inputs!$D$29</f>
        <v>1790.4127499999997</v>
      </c>
      <c r="I706" s="36">
        <f>H706/(A706*Inputs!$D$32)</f>
        <v>0.60283257575757565</v>
      </c>
      <c r="J706" s="38">
        <f>IF(I706&gt;=1,999,I706/(Inputs!$D$32*(1-I706))*60)</f>
        <v>1.6558143922414765</v>
      </c>
      <c r="K706" s="37">
        <f>MIN(1,MAX(0,(J706-Inputs!$D$36)/(Inputs!$D$37-Inputs!$D$36)))</f>
        <v>0</v>
      </c>
      <c r="L706" s="35">
        <f>Inputs!$D$6*Inputs!$D$14*G706*(1-Inputs!$D$38*K706)</f>
        <v>11936.084999999999</v>
      </c>
      <c r="M706" s="39">
        <f>L706*Inputs!$D$11</f>
        <v>256625.82749999998</v>
      </c>
      <c r="N706" s="39">
        <f>M706*(1-Inputs!$D$17)</f>
        <v>89819.03962499999</v>
      </c>
      <c r="O706" s="35">
        <f>Inputs!$D$6*E706*Inputs!$D$27*Inputs!$D$30</f>
        <v>517.26295419324151</v>
      </c>
      <c r="P706" s="36">
        <f>O706/(C706*Inputs!$D$33)</f>
        <v>0.35921038485641771</v>
      </c>
      <c r="Q706" s="38">
        <f>IF(P706&gt;=1,999,P706/(Inputs!$D$33*(1-P706))*60)</f>
        <v>0.84086190623406665</v>
      </c>
      <c r="R706" s="37">
        <f>MIN(1,MAX(0,(Q706-Inputs!$D$36)/(Inputs!$D$37-Inputs!$D$36)))</f>
        <v>0</v>
      </c>
      <c r="S706" s="35">
        <f>Inputs!$D$6*E706*Inputs!$D$27*(1-Inputs!$D$38*R706)</f>
        <v>4310.5246182770125</v>
      </c>
      <c r="T706" s="39">
        <f>S706*Inputs!$D$12</f>
        <v>68968.393892432199</v>
      </c>
      <c r="U706" s="39">
        <f>T706*(1-Inputs!$D$18)</f>
        <v>31035.777251594485</v>
      </c>
      <c r="V706" s="35">
        <f>Inputs!$D$6*F706*Inputs!$D$28*Inputs!$D$31</f>
        <v>618.65468297412497</v>
      </c>
      <c r="W706" s="36">
        <f>V706/(B706*Inputs!$D$34)</f>
        <v>1.1783898723316666</v>
      </c>
      <c r="X706" s="38">
        <f>IF(W706&gt;=1,999,W706/(Inputs!$D$34*(1-W706))*60)</f>
        <v>999</v>
      </c>
      <c r="Y706" s="37">
        <f>MIN(1,MAX(0,(X706-Inputs!$D$36)/(Inputs!$D$37-Inputs!$D$36)))</f>
        <v>1</v>
      </c>
      <c r="Z706" s="35">
        <f>Inputs!$D$6*F706*Inputs!$D$28*(1-Inputs!$D$38*Y706)</f>
        <v>2617.3851971982212</v>
      </c>
      <c r="AA706" s="39">
        <f>Z706*Inputs!$D$13</f>
        <v>22247.774176184881</v>
      </c>
      <c r="AB706" s="39">
        <f>AA706*(1-Inputs!$D$19)</f>
        <v>13348.664505710929</v>
      </c>
      <c r="AC706" s="39">
        <f t="shared" si="40"/>
        <v>347841.99556861707</v>
      </c>
      <c r="AD706" s="39">
        <f t="shared" si="41"/>
        <v>134203.48138230541</v>
      </c>
      <c r="AE706" s="36">
        <f t="shared" si="42"/>
        <v>1.1783898723316666</v>
      </c>
      <c r="AF706" s="35">
        <f>IF(AND(AE706&lt;=Inputs!$D$35,C706&gt;=Inputs!$D$48*(A706+B706+C706),B706*Inputs!$D$22&lt;=Inputs!$D$50*Inputs!$D$8,B706*Inputs!$D$22&gt;=Inputs!$D$49*Inputs!$D$8,A706*Inputs!$D$20&lt;=Inputs!$D$47*Inputs!$D$8,C706&gt;=1),1,0)</f>
        <v>0</v>
      </c>
      <c r="AG706" s="39">
        <f t="shared" si="43"/>
        <v>-1</v>
      </c>
    </row>
    <row r="707" spans="1:33" x14ac:dyDescent="0.25">
      <c r="A707" s="35">
        <v>54</v>
      </c>
      <c r="B707" s="35">
        <v>16</v>
      </c>
      <c r="C707" s="35">
        <f>Inputs!$D$8-A707-Inputs!$D$22*B707</f>
        <v>34</v>
      </c>
      <c r="D707" s="35">
        <f>A707*Inputs!$D$20+C707*Inputs!$D$21+B707*Inputs!$D$22</f>
        <v>120</v>
      </c>
      <c r="E707" s="36">
        <f>MIN(Inputs!$E$15,Inputs!$D$15*(C707/Inputs!$D$43)^Inputs!$D$44)</f>
        <v>0.35640602201959876</v>
      </c>
      <c r="F707" s="36">
        <f>MIN(Inputs!$E$16,Inputs!$D$16*(B707/Inputs!$D$42)^Inputs!$D$44)</f>
        <v>0.37409937912904856</v>
      </c>
      <c r="G707" s="37">
        <f>Inputs!$D$26*(1+Inputs!$D$41*(B707-Inputs!$D$42))</f>
        <v>1.44</v>
      </c>
      <c r="H707" s="35">
        <f>Inputs!$D$6*Inputs!$D$14*G707*Inputs!$D$29</f>
        <v>1809.2592000000002</v>
      </c>
      <c r="I707" s="36">
        <f>H707/(A707*Inputs!$D$32)</f>
        <v>0.60917818181818184</v>
      </c>
      <c r="J707" s="38">
        <f>IF(I707&gt;=1,999,I707/(Inputs!$D$32*(1-I707))*60)</f>
        <v>1.7004117621185622</v>
      </c>
      <c r="K707" s="37">
        <f>MIN(1,MAX(0,(J707-Inputs!$D$36)/(Inputs!$D$37-Inputs!$D$36)))</f>
        <v>0</v>
      </c>
      <c r="L707" s="35">
        <f>Inputs!$D$6*Inputs!$D$14*G707*(1-Inputs!$D$38*K707)</f>
        <v>12061.728000000001</v>
      </c>
      <c r="M707" s="39">
        <f>L707*Inputs!$D$11</f>
        <v>259327.15200000003</v>
      </c>
      <c r="N707" s="39">
        <f>M707*(1-Inputs!$D$17)</f>
        <v>90764.503200000006</v>
      </c>
      <c r="O707" s="35">
        <f>Inputs!$D$6*E707*Inputs!$D$27*Inputs!$D$30</f>
        <v>508.46878975039266</v>
      </c>
      <c r="P707" s="36">
        <f>O707/(C707*Inputs!$D$33)</f>
        <v>0.37387411011058286</v>
      </c>
      <c r="Q707" s="38">
        <f>IF(P707&gt;=1,999,P707/(Inputs!$D$33*(1-P707))*60)</f>
        <v>0.89568435712652228</v>
      </c>
      <c r="R707" s="37">
        <f>MIN(1,MAX(0,(Q707-Inputs!$D$36)/(Inputs!$D$37-Inputs!$D$36)))</f>
        <v>0</v>
      </c>
      <c r="S707" s="35">
        <f>Inputs!$D$6*E707*Inputs!$D$27*(1-Inputs!$D$38*R707)</f>
        <v>4237.2399145866057</v>
      </c>
      <c r="T707" s="39">
        <f>S707*Inputs!$D$12</f>
        <v>67795.838633385691</v>
      </c>
      <c r="U707" s="39">
        <f>T707*(1-Inputs!$D$18)</f>
        <v>30508.127385023559</v>
      </c>
      <c r="V707" s="35">
        <f>Inputs!$D$6*F707*Inputs!$D$28*Inputs!$D$31</f>
        <v>630.74950998177405</v>
      </c>
      <c r="W707" s="36">
        <f>V707/(B707*Inputs!$D$34)</f>
        <v>1.1263384106817393</v>
      </c>
      <c r="X707" s="38">
        <f>IF(W707&gt;=1,999,W707/(Inputs!$D$34*(1-W707))*60)</f>
        <v>999</v>
      </c>
      <c r="Y707" s="37">
        <f>MIN(1,MAX(0,(X707-Inputs!$D$36)/(Inputs!$D$37-Inputs!$D$36)))</f>
        <v>1</v>
      </c>
      <c r="Z707" s="35">
        <f>Inputs!$D$6*F707*Inputs!$D$28*(1-Inputs!$D$38*Y707)</f>
        <v>2668.5556191536598</v>
      </c>
      <c r="AA707" s="39">
        <f>Z707*Inputs!$D$13</f>
        <v>22682.722762806108</v>
      </c>
      <c r="AB707" s="39">
        <f>AA707*(1-Inputs!$D$19)</f>
        <v>13609.633657683664</v>
      </c>
      <c r="AC707" s="39">
        <f t="shared" si="40"/>
        <v>349805.71339619183</v>
      </c>
      <c r="AD707" s="39">
        <f t="shared" si="41"/>
        <v>134882.26424270723</v>
      </c>
      <c r="AE707" s="36">
        <f t="shared" si="42"/>
        <v>1.1263384106817393</v>
      </c>
      <c r="AF707" s="35">
        <f>IF(AND(AE707&lt;=Inputs!$D$35,C707&gt;=Inputs!$D$48*(A707+B707+C707),B707*Inputs!$D$22&lt;=Inputs!$D$50*Inputs!$D$8,B707*Inputs!$D$22&gt;=Inputs!$D$49*Inputs!$D$8,A707*Inputs!$D$20&lt;=Inputs!$D$47*Inputs!$D$8,C707&gt;=1),1,0)</f>
        <v>0</v>
      </c>
      <c r="AG707" s="39">
        <f t="shared" si="43"/>
        <v>-1</v>
      </c>
    </row>
    <row r="708" spans="1:33" x14ac:dyDescent="0.25">
      <c r="A708" s="35">
        <v>54</v>
      </c>
      <c r="B708" s="35">
        <v>17</v>
      </c>
      <c r="C708" s="35">
        <f>Inputs!$D$8-A708-Inputs!$D$22*B708</f>
        <v>32</v>
      </c>
      <c r="D708" s="35">
        <f>A708*Inputs!$D$20+C708*Inputs!$D$21+B708*Inputs!$D$22</f>
        <v>120</v>
      </c>
      <c r="E708" s="36">
        <f>MIN(Inputs!$E$15,Inputs!$D$15*(C708/Inputs!$D$43)^Inputs!$D$44)</f>
        <v>0.34998251836560429</v>
      </c>
      <c r="F708" s="36">
        <f>MIN(Inputs!$E$16,Inputs!$D$16*(B708/Inputs!$D$42)^Inputs!$D$44)</f>
        <v>0.3809655184437048</v>
      </c>
      <c r="G708" s="37">
        <f>Inputs!$D$26*(1+Inputs!$D$41*(B708-Inputs!$D$42))</f>
        <v>1.4550000000000001</v>
      </c>
      <c r="H708" s="35">
        <f>Inputs!$D$6*Inputs!$D$14*G708*Inputs!$D$29</f>
        <v>1828.1056500000002</v>
      </c>
      <c r="I708" s="36">
        <f>H708/(A708*Inputs!$D$32)</f>
        <v>0.61552378787878792</v>
      </c>
      <c r="J708" s="38">
        <f>IF(I708&gt;=1,999,I708/(Inputs!$D$32*(1-I708))*60)</f>
        <v>1.7464812508506353</v>
      </c>
      <c r="K708" s="37">
        <f>MIN(1,MAX(0,(J708-Inputs!$D$36)/(Inputs!$D$37-Inputs!$D$36)))</f>
        <v>0</v>
      </c>
      <c r="L708" s="35">
        <f>Inputs!$D$6*Inputs!$D$14*G708*(1-Inputs!$D$38*K708)</f>
        <v>12187.371000000001</v>
      </c>
      <c r="M708" s="39">
        <f>L708*Inputs!$D$11</f>
        <v>262028.47650000002</v>
      </c>
      <c r="N708" s="39">
        <f>M708*(1-Inputs!$D$17)</f>
        <v>91709.966775000008</v>
      </c>
      <c r="O708" s="35">
        <f>Inputs!$D$6*E708*Inputs!$D$27*Inputs!$D$30</f>
        <v>499.30465972139962</v>
      </c>
      <c r="P708" s="36">
        <f>O708/(C708*Inputs!$D$33)</f>
        <v>0.39008176540734346</v>
      </c>
      <c r="Q708" s="38">
        <f>IF(P708&gt;=1,999,P708/(Inputs!$D$33*(1-P708))*60)</f>
        <v>0.95934604824825165</v>
      </c>
      <c r="R708" s="37">
        <f>MIN(1,MAX(0,(Q708-Inputs!$D$36)/(Inputs!$D$37-Inputs!$D$36)))</f>
        <v>0</v>
      </c>
      <c r="S708" s="35">
        <f>Inputs!$D$6*E708*Inputs!$D$27*(1-Inputs!$D$38*R708)</f>
        <v>4160.8721643449971</v>
      </c>
      <c r="T708" s="39">
        <f>S708*Inputs!$D$12</f>
        <v>66573.954629519954</v>
      </c>
      <c r="U708" s="39">
        <f>T708*(1-Inputs!$D$18)</f>
        <v>29958.279583283977</v>
      </c>
      <c r="V708" s="35">
        <f>Inputs!$D$6*F708*Inputs!$D$28*Inputs!$D$31</f>
        <v>642.32615044097156</v>
      </c>
      <c r="W708" s="36">
        <f>V708/(B708*Inputs!$D$34)</f>
        <v>1.0795397486402882</v>
      </c>
      <c r="X708" s="38">
        <f>IF(W708&gt;=1,999,W708/(Inputs!$D$34*(1-W708))*60)</f>
        <v>999</v>
      </c>
      <c r="Y708" s="37">
        <f>MIN(1,MAX(0,(X708-Inputs!$D$36)/(Inputs!$D$37-Inputs!$D$36)))</f>
        <v>1</v>
      </c>
      <c r="Z708" s="35">
        <f>Inputs!$D$6*F708*Inputs!$D$28*(1-Inputs!$D$38*Y708)</f>
        <v>2717.5337134041106</v>
      </c>
      <c r="AA708" s="39">
        <f>Z708*Inputs!$D$13</f>
        <v>23099.03656393494</v>
      </c>
      <c r="AB708" s="39">
        <f>AA708*(1-Inputs!$D$19)</f>
        <v>13859.421938360963</v>
      </c>
      <c r="AC708" s="39">
        <f t="shared" si="40"/>
        <v>351701.46769345488</v>
      </c>
      <c r="AD708" s="39">
        <f t="shared" si="41"/>
        <v>135527.66829664496</v>
      </c>
      <c r="AE708" s="36">
        <f t="shared" si="42"/>
        <v>1.0795397486402882</v>
      </c>
      <c r="AF708" s="35">
        <f>IF(AND(AE708&lt;=Inputs!$D$35,C708&gt;=Inputs!$D$48*(A708+B708+C708),B708*Inputs!$D$22&lt;=Inputs!$D$50*Inputs!$D$8,B708*Inputs!$D$22&gt;=Inputs!$D$49*Inputs!$D$8,A708*Inputs!$D$20&lt;=Inputs!$D$47*Inputs!$D$8,C708&gt;=1),1,0)</f>
        <v>0</v>
      </c>
      <c r="AG708" s="39">
        <f t="shared" si="43"/>
        <v>-1</v>
      </c>
    </row>
    <row r="709" spans="1:33" x14ac:dyDescent="0.25">
      <c r="A709" s="35">
        <v>54</v>
      </c>
      <c r="B709" s="35">
        <v>18</v>
      </c>
      <c r="C709" s="35">
        <f>Inputs!$D$8-A709-Inputs!$D$22*B709</f>
        <v>30</v>
      </c>
      <c r="D709" s="35">
        <f>A709*Inputs!$D$20+C709*Inputs!$D$21+B709*Inputs!$D$22</f>
        <v>120</v>
      </c>
      <c r="E709" s="36">
        <f>MIN(Inputs!$E$15,Inputs!$D$15*(C709/Inputs!$D$43)^Inputs!$D$44)</f>
        <v>0.3432714897427589</v>
      </c>
      <c r="F709" s="36">
        <f>MIN(Inputs!$E$16,Inputs!$D$16*(B709/Inputs!$D$42)^Inputs!$D$44)</f>
        <v>0.38755446447890535</v>
      </c>
      <c r="G709" s="37">
        <f>Inputs!$D$26*(1+Inputs!$D$41*(B709-Inputs!$D$42))</f>
        <v>1.47</v>
      </c>
      <c r="H709" s="35">
        <f>Inputs!$D$6*Inputs!$D$14*G709*Inputs!$D$29</f>
        <v>1846.9521</v>
      </c>
      <c r="I709" s="36">
        <f>H709/(A709*Inputs!$D$32)</f>
        <v>0.62186939393939389</v>
      </c>
      <c r="J709" s="38">
        <f>IF(I709&gt;=1,999,I709/(Inputs!$D$32*(1-I709))*60)</f>
        <v>1.7940969716105928</v>
      </c>
      <c r="K709" s="37">
        <f>MIN(1,MAX(0,(J709-Inputs!$D$36)/(Inputs!$D$37-Inputs!$D$36)))</f>
        <v>0</v>
      </c>
      <c r="L709" s="35">
        <f>Inputs!$D$6*Inputs!$D$14*G709*(1-Inputs!$D$38*K709)</f>
        <v>12313.014000000001</v>
      </c>
      <c r="M709" s="39">
        <f>L709*Inputs!$D$11</f>
        <v>264729.80100000004</v>
      </c>
      <c r="N709" s="39">
        <f>M709*(1-Inputs!$D$17)</f>
        <v>92655.43035000001</v>
      </c>
      <c r="O709" s="35">
        <f>Inputs!$D$6*E709*Inputs!$D$27*Inputs!$D$30</f>
        <v>489.73033047044544</v>
      </c>
      <c r="P709" s="36">
        <f>O709/(C709*Inputs!$D$33)</f>
        <v>0.40810860872537119</v>
      </c>
      <c r="Q709" s="38">
        <f>IF(P709&gt;=1,999,P709/(Inputs!$D$33*(1-P709))*60)</f>
        <v>1.0342487187890559</v>
      </c>
      <c r="R709" s="37">
        <f>MIN(1,MAX(0,(Q709-Inputs!$D$36)/(Inputs!$D$37-Inputs!$D$36)))</f>
        <v>0</v>
      </c>
      <c r="S709" s="35">
        <f>Inputs!$D$6*E709*Inputs!$D$27*(1-Inputs!$D$38*R709)</f>
        <v>4081.0860872537123</v>
      </c>
      <c r="T709" s="39">
        <f>S709*Inputs!$D$12</f>
        <v>65297.377396059397</v>
      </c>
      <c r="U709" s="39">
        <f>T709*(1-Inputs!$D$18)</f>
        <v>29383.819828226726</v>
      </c>
      <c r="V709" s="35">
        <f>Inputs!$D$6*F709*Inputs!$D$28*Inputs!$D$31</f>
        <v>653.43542972572936</v>
      </c>
      <c r="W709" s="36">
        <f>V709/(B709*Inputs!$D$34)</f>
        <v>1.037199094802745</v>
      </c>
      <c r="X709" s="38">
        <f>IF(W709&gt;=1,999,W709/(Inputs!$D$34*(1-W709))*60)</f>
        <v>999</v>
      </c>
      <c r="Y709" s="37">
        <f>MIN(1,MAX(0,(X709-Inputs!$D$36)/(Inputs!$D$37-Inputs!$D$36)))</f>
        <v>1</v>
      </c>
      <c r="Z709" s="35">
        <f>Inputs!$D$6*F709*Inputs!$D$28*(1-Inputs!$D$38*Y709)</f>
        <v>2764.534510378086</v>
      </c>
      <c r="AA709" s="39">
        <f>Z709*Inputs!$D$13</f>
        <v>23498.543338213731</v>
      </c>
      <c r="AB709" s="39">
        <f>AA709*(1-Inputs!$D$19)</f>
        <v>14099.126002928238</v>
      </c>
      <c r="AC709" s="39">
        <f t="shared" ref="AC709:AC772" si="44">M709+T709+AA709</f>
        <v>353525.72173427319</v>
      </c>
      <c r="AD709" s="39">
        <f t="shared" ref="AD709:AD772" si="45">N709+U709+AB709</f>
        <v>136138.37618115498</v>
      </c>
      <c r="AE709" s="36">
        <f t="shared" ref="AE709:AE772" si="46">MAX(I709,P709,W709)</f>
        <v>1.037199094802745</v>
      </c>
      <c r="AF709" s="35">
        <f>IF(AND(AE709&lt;=Inputs!$D$35,C709&gt;=Inputs!$D$48*(A709+B709+C709),B709*Inputs!$D$22&lt;=Inputs!$D$50*Inputs!$D$8,B709*Inputs!$D$22&gt;=Inputs!$D$49*Inputs!$D$8,A709*Inputs!$D$20&lt;=Inputs!$D$47*Inputs!$D$8,C709&gt;=1),1,0)</f>
        <v>0</v>
      </c>
      <c r="AG709" s="39">
        <f t="shared" ref="AG709:AG772" si="47">IF(AF709=1,AD709,-1)</f>
        <v>-1</v>
      </c>
    </row>
    <row r="710" spans="1:33" x14ac:dyDescent="0.25">
      <c r="A710" s="35">
        <v>54</v>
      </c>
      <c r="B710" s="35">
        <v>19</v>
      </c>
      <c r="C710" s="35">
        <f>Inputs!$D$8-A710-Inputs!$D$22*B710</f>
        <v>28</v>
      </c>
      <c r="D710" s="35">
        <f>A710*Inputs!$D$20+C710*Inputs!$D$21+B710*Inputs!$D$22</f>
        <v>120</v>
      </c>
      <c r="E710" s="36">
        <f>MIN(Inputs!$E$15,Inputs!$D$15*(C710/Inputs!$D$43)^Inputs!$D$44)</f>
        <v>0.33623952833125714</v>
      </c>
      <c r="F710" s="36">
        <f>MIN(Inputs!$E$16,Inputs!$D$16*(B710/Inputs!$D$42)^Inputs!$D$44)</f>
        <v>0.39389192072703005</v>
      </c>
      <c r="G710" s="37">
        <f>Inputs!$D$26*(1+Inputs!$D$41*(B710-Inputs!$D$42))</f>
        <v>1.4849999999999999</v>
      </c>
      <c r="H710" s="35">
        <f>Inputs!$D$6*Inputs!$D$14*G710*Inputs!$D$29</f>
        <v>1865.7985499999998</v>
      </c>
      <c r="I710" s="36">
        <f>H710/(A710*Inputs!$D$32)</f>
        <v>0.62821499999999997</v>
      </c>
      <c r="J710" s="38">
        <f>IF(I710&gt;=1,999,I710/(Inputs!$D$32*(1-I710))*60)</f>
        <v>1.8433380974096707</v>
      </c>
      <c r="K710" s="37">
        <f>MIN(1,MAX(0,(J710-Inputs!$D$36)/(Inputs!$D$37-Inputs!$D$36)))</f>
        <v>0</v>
      </c>
      <c r="L710" s="35">
        <f>Inputs!$D$6*Inputs!$D$14*G710*(1-Inputs!$D$38*K710)</f>
        <v>12438.656999999999</v>
      </c>
      <c r="M710" s="39">
        <f>L710*Inputs!$D$11</f>
        <v>267431.12549999997</v>
      </c>
      <c r="N710" s="39">
        <f>M710*(1-Inputs!$D$17)</f>
        <v>93600.893924999982</v>
      </c>
      <c r="O710" s="35">
        <f>Inputs!$D$6*E710*Inputs!$D$27*Inputs!$D$30</f>
        <v>479.69814053095797</v>
      </c>
      <c r="P710" s="36">
        <f>O710/(C710*Inputs!$D$33)</f>
        <v>0.42830191118835531</v>
      </c>
      <c r="Q710" s="38">
        <f>IF(P710&gt;=1,999,P710/(Inputs!$D$33*(1-P710))*60)</f>
        <v>1.1237624882006552</v>
      </c>
      <c r="R710" s="37">
        <f>MIN(1,MAX(0,(Q710-Inputs!$D$36)/(Inputs!$D$37-Inputs!$D$36)))</f>
        <v>0</v>
      </c>
      <c r="S710" s="35">
        <f>Inputs!$D$6*E710*Inputs!$D$27*(1-Inputs!$D$38*R710)</f>
        <v>3997.4845044246499</v>
      </c>
      <c r="T710" s="39">
        <f>S710*Inputs!$D$12</f>
        <v>63959.752070794399</v>
      </c>
      <c r="U710" s="39">
        <f>T710*(1-Inputs!$D$18)</f>
        <v>28781.888431857478</v>
      </c>
      <c r="V710" s="35">
        <f>Inputs!$D$6*F710*Inputs!$D$28*Inputs!$D$31</f>
        <v>664.12068515796761</v>
      </c>
      <c r="W710" s="36">
        <f>V710/(B710*Inputs!$D$34)</f>
        <v>0.99867772204205651</v>
      </c>
      <c r="X710" s="38">
        <f>IF(W710&gt;=1,999,W710/(Inputs!$D$34*(1-W710))*60)</f>
        <v>1294.749671797274</v>
      </c>
      <c r="Y710" s="37">
        <f>MIN(1,MAX(0,(X710-Inputs!$D$36)/(Inputs!$D$37-Inputs!$D$36)))</f>
        <v>1</v>
      </c>
      <c r="Z710" s="35">
        <f>Inputs!$D$6*F710*Inputs!$D$28*(1-Inputs!$D$38*Y710)</f>
        <v>2809.7413602837091</v>
      </c>
      <c r="AA710" s="39">
        <f>Z710*Inputs!$D$13</f>
        <v>23882.801562411529</v>
      </c>
      <c r="AB710" s="39">
        <f>AA710*(1-Inputs!$D$19)</f>
        <v>14329.680937446918</v>
      </c>
      <c r="AC710" s="39">
        <f t="shared" si="44"/>
        <v>355273.67913320591</v>
      </c>
      <c r="AD710" s="39">
        <f t="shared" si="45"/>
        <v>136712.46329430438</v>
      </c>
      <c r="AE710" s="36">
        <f t="shared" si="46"/>
        <v>0.99867772204205651</v>
      </c>
      <c r="AF710" s="35">
        <f>IF(AND(AE710&lt;=Inputs!$D$35,C710&gt;=Inputs!$D$48*(A710+B710+C710),B710*Inputs!$D$22&lt;=Inputs!$D$50*Inputs!$D$8,B710*Inputs!$D$22&gt;=Inputs!$D$49*Inputs!$D$8,A710*Inputs!$D$20&lt;=Inputs!$D$47*Inputs!$D$8,C710&gt;=1),1,0)</f>
        <v>0</v>
      </c>
      <c r="AG710" s="39">
        <f t="shared" si="47"/>
        <v>-1</v>
      </c>
    </row>
    <row r="711" spans="1:33" x14ac:dyDescent="0.25">
      <c r="A711" s="35">
        <v>54</v>
      </c>
      <c r="B711" s="35">
        <v>20</v>
      </c>
      <c r="C711" s="35">
        <f>Inputs!$D$8-A711-Inputs!$D$22*B711</f>
        <v>26</v>
      </c>
      <c r="D711" s="35">
        <f>A711*Inputs!$D$20+C711*Inputs!$D$21+B711*Inputs!$D$22</f>
        <v>120</v>
      </c>
      <c r="E711" s="36">
        <f>MIN(Inputs!$E$15,Inputs!$D$15*(C711/Inputs!$D$43)^Inputs!$D$44)</f>
        <v>0.32884660514387515</v>
      </c>
      <c r="F711" s="36">
        <f>MIN(Inputs!$E$16,Inputs!$D$16*(B711/Inputs!$D$42)^Inputs!$D$44)</f>
        <v>0.4</v>
      </c>
      <c r="G711" s="37">
        <f>Inputs!$D$26*(1+Inputs!$D$41*(B711-Inputs!$D$42))</f>
        <v>1.5</v>
      </c>
      <c r="H711" s="35">
        <f>Inputs!$D$6*Inputs!$D$14*G711*Inputs!$D$29</f>
        <v>1884.645</v>
      </c>
      <c r="I711" s="36">
        <f>H711/(A711*Inputs!$D$32)</f>
        <v>0.63456060606060605</v>
      </c>
      <c r="J711" s="38">
        <f>IF(I711&gt;=1,999,I711/(Inputs!$D$32*(1-I711))*60)</f>
        <v>1.8942893004006647</v>
      </c>
      <c r="K711" s="37">
        <f>MIN(1,MAX(0,(J711-Inputs!$D$36)/(Inputs!$D$37-Inputs!$D$36)))</f>
        <v>0</v>
      </c>
      <c r="L711" s="35">
        <f>Inputs!$D$6*Inputs!$D$14*G711*(1-Inputs!$D$38*K711)</f>
        <v>12564.300000000001</v>
      </c>
      <c r="M711" s="39">
        <f>L711*Inputs!$D$11</f>
        <v>270132.45</v>
      </c>
      <c r="N711" s="39">
        <f>M711*(1-Inputs!$D$17)</f>
        <v>94546.357499999998</v>
      </c>
      <c r="O711" s="35">
        <f>Inputs!$D$6*E711*Inputs!$D$27*Inputs!$D$30</f>
        <v>469.15098230814039</v>
      </c>
      <c r="P711" s="36">
        <f>O711/(C711*Inputs!$D$33)</f>
        <v>0.45110671375782729</v>
      </c>
      <c r="Q711" s="38">
        <f>IF(P711&gt;=1,999,P711/(Inputs!$D$33*(1-P711))*60)</f>
        <v>1.2327716290160586</v>
      </c>
      <c r="R711" s="37">
        <f>MIN(1,MAX(0,(Q711-Inputs!$D$36)/(Inputs!$D$37-Inputs!$D$36)))</f>
        <v>0</v>
      </c>
      <c r="S711" s="35">
        <f>Inputs!$D$6*E711*Inputs!$D$27*(1-Inputs!$D$38*R711)</f>
        <v>3909.5915192345033</v>
      </c>
      <c r="T711" s="39">
        <f>S711*Inputs!$D$12</f>
        <v>62553.464307752052</v>
      </c>
      <c r="U711" s="39">
        <f>T711*(1-Inputs!$D$18)</f>
        <v>28149.058938488422</v>
      </c>
      <c r="V711" s="35">
        <f>Inputs!$D$6*F711*Inputs!$D$28*Inputs!$D$31</f>
        <v>674.41919999999993</v>
      </c>
      <c r="W711" s="36">
        <f>V711/(B711*Inputs!$D$34)</f>
        <v>0.96345599999999987</v>
      </c>
      <c r="X711" s="38">
        <f>IF(W711&gt;=1,999,W711/(Inputs!$D$34*(1-W711))*60)</f>
        <v>45.195896922691851</v>
      </c>
      <c r="Y711" s="37">
        <f>MIN(1,MAX(0,(X711-Inputs!$D$36)/(Inputs!$D$37-Inputs!$D$36)))</f>
        <v>1</v>
      </c>
      <c r="Z711" s="35">
        <f>Inputs!$D$6*F711*Inputs!$D$28*(1-Inputs!$D$38*Y711)</f>
        <v>2853.3119999999999</v>
      </c>
      <c r="AA711" s="39">
        <f>Z711*Inputs!$D$13</f>
        <v>24253.151999999998</v>
      </c>
      <c r="AB711" s="39">
        <f>AA711*(1-Inputs!$D$19)</f>
        <v>14551.891199999998</v>
      </c>
      <c r="AC711" s="39">
        <f t="shared" si="44"/>
        <v>356939.06630775204</v>
      </c>
      <c r="AD711" s="39">
        <f t="shared" si="45"/>
        <v>137247.30763848842</v>
      </c>
      <c r="AE711" s="36">
        <f t="shared" si="46"/>
        <v>0.96345599999999987</v>
      </c>
      <c r="AF711" s="35">
        <f>IF(AND(AE711&lt;=Inputs!$D$35,C711&gt;=Inputs!$D$48*(A711+B711+C711),B711*Inputs!$D$22&lt;=Inputs!$D$50*Inputs!$D$8,B711*Inputs!$D$22&gt;=Inputs!$D$49*Inputs!$D$8,A711*Inputs!$D$20&lt;=Inputs!$D$47*Inputs!$D$8,C711&gt;=1),1,0)</f>
        <v>0</v>
      </c>
      <c r="AG711" s="39">
        <f t="shared" si="47"/>
        <v>-1</v>
      </c>
    </row>
    <row r="712" spans="1:33" x14ac:dyDescent="0.25">
      <c r="A712" s="35">
        <v>54</v>
      </c>
      <c r="B712" s="35">
        <v>21</v>
      </c>
      <c r="C712" s="35">
        <f>Inputs!$D$8-A712-Inputs!$D$22*B712</f>
        <v>24</v>
      </c>
      <c r="D712" s="35">
        <f>A712*Inputs!$D$20+C712*Inputs!$D$21+B712*Inputs!$D$22</f>
        <v>120</v>
      </c>
      <c r="E712" s="36">
        <f>MIN(Inputs!$E$15,Inputs!$D$15*(C712/Inputs!$D$43)^Inputs!$D$44)</f>
        <v>0.32104412796367415</v>
      </c>
      <c r="F712" s="36">
        <f>MIN(Inputs!$E$16,Inputs!$D$16*(B712/Inputs!$D$42)^Inputs!$D$44)</f>
        <v>0.40589787816896217</v>
      </c>
      <c r="G712" s="37">
        <f>Inputs!$D$26*(1+Inputs!$D$41*(B712-Inputs!$D$42))</f>
        <v>1.5150000000000001</v>
      </c>
      <c r="H712" s="35">
        <f>Inputs!$D$6*Inputs!$D$14*G712*Inputs!$D$29</f>
        <v>1903.4914500000004</v>
      </c>
      <c r="I712" s="36">
        <f>H712/(A712*Inputs!$D$32)</f>
        <v>0.64090621212121224</v>
      </c>
      <c r="J712" s="38">
        <f>IF(I712&gt;=1,999,I712/(Inputs!$D$32*(1-I712))*60)</f>
        <v>1.9470412377591613</v>
      </c>
      <c r="K712" s="37">
        <f>MIN(1,MAX(0,(J712-Inputs!$D$36)/(Inputs!$D$37-Inputs!$D$36)))</f>
        <v>0</v>
      </c>
      <c r="L712" s="35">
        <f>Inputs!$D$6*Inputs!$D$14*G712*(1-Inputs!$D$38*K712)</f>
        <v>12689.943000000003</v>
      </c>
      <c r="M712" s="39">
        <f>L712*Inputs!$D$11</f>
        <v>272833.77450000006</v>
      </c>
      <c r="N712" s="39">
        <f>M712*(1-Inputs!$D$17)</f>
        <v>95491.821075000014</v>
      </c>
      <c r="O712" s="35">
        <f>Inputs!$D$6*E712*Inputs!$D$27*Inputs!$D$30</f>
        <v>458.01953142414351</v>
      </c>
      <c r="P712" s="36">
        <f>O712/(C712*Inputs!$D$33)</f>
        <v>0.47710367856681618</v>
      </c>
      <c r="Q712" s="38">
        <f>IF(P712&gt;=1,999,P712/(Inputs!$D$33*(1-P712))*60)</f>
        <v>1.3686375071232384</v>
      </c>
      <c r="R712" s="37">
        <f>MIN(1,MAX(0,(Q712-Inputs!$D$36)/(Inputs!$D$37-Inputs!$D$36)))</f>
        <v>0</v>
      </c>
      <c r="S712" s="35">
        <f>Inputs!$D$6*E712*Inputs!$D$27*(1-Inputs!$D$38*R712)</f>
        <v>3816.8294285345296</v>
      </c>
      <c r="T712" s="39">
        <f>S712*Inputs!$D$12</f>
        <v>61069.270856552474</v>
      </c>
      <c r="U712" s="39">
        <f>T712*(1-Inputs!$D$18)</f>
        <v>27481.17188544861</v>
      </c>
      <c r="V712" s="35">
        <f>Inputs!$D$6*F712*Inputs!$D$28*Inputs!$D$31</f>
        <v>684.36330569102222</v>
      </c>
      <c r="W712" s="36">
        <f>V712/(B712*Inputs!$D$34)</f>
        <v>0.93110653835513224</v>
      </c>
      <c r="X712" s="38">
        <f>IF(W712&gt;=1,999,W712/(Inputs!$D$34*(1-W712))*60)</f>
        <v>23.16885520150278</v>
      </c>
      <c r="Y712" s="37">
        <f>MIN(1,MAX(0,(X712-Inputs!$D$36)/(Inputs!$D$37-Inputs!$D$36)))</f>
        <v>1</v>
      </c>
      <c r="Z712" s="35">
        <f>Inputs!$D$6*F712*Inputs!$D$28*(1-Inputs!$D$38*Y712)</f>
        <v>2895.3832163850943</v>
      </c>
      <c r="AA712" s="39">
        <f>Z712*Inputs!$D$13</f>
        <v>24610.757339273303</v>
      </c>
      <c r="AB712" s="39">
        <f>AA712*(1-Inputs!$D$19)</f>
        <v>14766.454403563981</v>
      </c>
      <c r="AC712" s="39">
        <f t="shared" si="44"/>
        <v>358513.80269582581</v>
      </c>
      <c r="AD712" s="39">
        <f t="shared" si="45"/>
        <v>137739.44736401259</v>
      </c>
      <c r="AE712" s="36">
        <f t="shared" si="46"/>
        <v>0.93110653835513224</v>
      </c>
      <c r="AF712" s="35">
        <f>IF(AND(AE712&lt;=Inputs!$D$35,C712&gt;=Inputs!$D$48*(A712+B712+C712),B712*Inputs!$D$22&lt;=Inputs!$D$50*Inputs!$D$8,B712*Inputs!$D$22&gt;=Inputs!$D$49*Inputs!$D$8,A712*Inputs!$D$20&lt;=Inputs!$D$47*Inputs!$D$8,C712&gt;=1),1,0)</f>
        <v>0</v>
      </c>
      <c r="AG712" s="39">
        <f t="shared" si="47"/>
        <v>-1</v>
      </c>
    </row>
    <row r="713" spans="1:33" x14ac:dyDescent="0.25">
      <c r="A713" s="35">
        <v>54</v>
      </c>
      <c r="B713" s="35">
        <v>22</v>
      </c>
      <c r="C713" s="35">
        <f>Inputs!$D$8-A713-Inputs!$D$22*B713</f>
        <v>22</v>
      </c>
      <c r="D713" s="35">
        <f>A713*Inputs!$D$20+C713*Inputs!$D$21+B713*Inputs!$D$22</f>
        <v>120</v>
      </c>
      <c r="E713" s="36">
        <f>MIN(Inputs!$E$15,Inputs!$D$15*(C713/Inputs!$D$43)^Inputs!$D$44)</f>
        <v>0.31277221277221301</v>
      </c>
      <c r="F713" s="36">
        <f>MIN(Inputs!$E$16,Inputs!$D$16*(B713/Inputs!$D$42)^Inputs!$D$44)</f>
        <v>0.41160230376843804</v>
      </c>
      <c r="G713" s="37">
        <f>Inputs!$D$26*(1+Inputs!$D$41*(B713-Inputs!$D$42))</f>
        <v>1.53</v>
      </c>
      <c r="H713" s="35">
        <f>Inputs!$D$6*Inputs!$D$14*G713*Inputs!$D$29</f>
        <v>1922.3379</v>
      </c>
      <c r="I713" s="36">
        <f>H713/(A713*Inputs!$D$32)</f>
        <v>0.64725181818181821</v>
      </c>
      <c r="J713" s="38">
        <f>IF(I713&gt;=1,999,I713/(Inputs!$D$32*(1-I713))*60)</f>
        <v>2.0016910900080198</v>
      </c>
      <c r="K713" s="37">
        <f>MIN(1,MAX(0,(J713-Inputs!$D$36)/(Inputs!$D$37-Inputs!$D$36)))</f>
        <v>0</v>
      </c>
      <c r="L713" s="35">
        <f>Inputs!$D$6*Inputs!$D$14*G713*(1-Inputs!$D$38*K713)</f>
        <v>12815.586000000001</v>
      </c>
      <c r="M713" s="39">
        <f>L713*Inputs!$D$11</f>
        <v>275535.09900000005</v>
      </c>
      <c r="N713" s="39">
        <f>M713*(1-Inputs!$D$17)</f>
        <v>96437.284650000016</v>
      </c>
      <c r="O713" s="35">
        <f>Inputs!$D$6*E713*Inputs!$D$27*Inputs!$D$30</f>
        <v>446.21835398475434</v>
      </c>
      <c r="P713" s="36">
        <f>O713/(C713*Inputs!$D$33)</f>
        <v>0.50706631134631175</v>
      </c>
      <c r="Q713" s="38">
        <f>IF(P713&gt;=1,999,P713/(Inputs!$D$33*(1-P713))*60)</f>
        <v>1.543005650713049</v>
      </c>
      <c r="R713" s="37">
        <f>MIN(1,MAX(0,(Q713-Inputs!$D$36)/(Inputs!$D$37-Inputs!$D$36)))</f>
        <v>0</v>
      </c>
      <c r="S713" s="35">
        <f>Inputs!$D$6*E713*Inputs!$D$27*(1-Inputs!$D$38*R713)</f>
        <v>3718.4862832062863</v>
      </c>
      <c r="T713" s="39">
        <f>S713*Inputs!$D$12</f>
        <v>59495.780531300581</v>
      </c>
      <c r="U713" s="39">
        <f>T713*(1-Inputs!$D$18)</f>
        <v>26773.101239085259</v>
      </c>
      <c r="V713" s="35">
        <f>Inputs!$D$6*F713*Inputs!$D$28*Inputs!$D$31</f>
        <v>693.98124106416742</v>
      </c>
      <c r="W713" s="36">
        <f>V713/(B713*Inputs!$D$34)</f>
        <v>0.90127433904437326</v>
      </c>
      <c r="X713" s="38">
        <f>IF(W713&gt;=1,999,W713/(Inputs!$D$34*(1-W713))*60)</f>
        <v>15.649849381818807</v>
      </c>
      <c r="Y713" s="37">
        <f>MIN(1,MAX(0,(X713-Inputs!$D$36)/(Inputs!$D$37-Inputs!$D$36)))</f>
        <v>0.70998995878792048</v>
      </c>
      <c r="Z713" s="35">
        <f>Inputs!$D$6*F713*Inputs!$D$28*(1-Inputs!$D$38*Y713)</f>
        <v>3632.749002537963</v>
      </c>
      <c r="AA713" s="39">
        <f>Z713*Inputs!$D$13</f>
        <v>30878.366521572687</v>
      </c>
      <c r="AB713" s="39">
        <f>AA713*(1-Inputs!$D$19)</f>
        <v>18527.019912943611</v>
      </c>
      <c r="AC713" s="39">
        <f t="shared" si="44"/>
        <v>365909.24605287332</v>
      </c>
      <c r="AD713" s="39">
        <f t="shared" si="45"/>
        <v>141737.40580202889</v>
      </c>
      <c r="AE713" s="36">
        <f t="shared" si="46"/>
        <v>0.90127433904437326</v>
      </c>
      <c r="AF713" s="35">
        <f>IF(AND(AE713&lt;=Inputs!$D$35,C713&gt;=Inputs!$D$48*(A713+B713+C713),B713*Inputs!$D$22&lt;=Inputs!$D$50*Inputs!$D$8,B713*Inputs!$D$22&gt;=Inputs!$D$49*Inputs!$D$8,A713*Inputs!$D$20&lt;=Inputs!$D$47*Inputs!$D$8,C713&gt;=1),1,0)</f>
        <v>0</v>
      </c>
      <c r="AG713" s="39">
        <f t="shared" si="47"/>
        <v>-1</v>
      </c>
    </row>
    <row r="714" spans="1:33" x14ac:dyDescent="0.25">
      <c r="A714" s="35">
        <v>54</v>
      </c>
      <c r="B714" s="35">
        <v>23</v>
      </c>
      <c r="C714" s="35">
        <f>Inputs!$D$8-A714-Inputs!$D$22*B714</f>
        <v>20</v>
      </c>
      <c r="D714" s="35">
        <f>A714*Inputs!$D$20+C714*Inputs!$D$21+B714*Inputs!$D$22</f>
        <v>120</v>
      </c>
      <c r="E714" s="36">
        <f>MIN(Inputs!$E$15,Inputs!$D$15*(C714/Inputs!$D$43)^Inputs!$D$44)</f>
        <v>0.30395574554235194</v>
      </c>
      <c r="F714" s="36">
        <f>MIN(Inputs!$E$16,Inputs!$D$16*(B714/Inputs!$D$42)^Inputs!$D$44)</f>
        <v>0.41712800028621322</v>
      </c>
      <c r="G714" s="37">
        <f>Inputs!$D$26*(1+Inputs!$D$41*(B714-Inputs!$D$42))</f>
        <v>1.5449999999999999</v>
      </c>
      <c r="H714" s="35">
        <f>Inputs!$D$6*Inputs!$D$14*G714*Inputs!$D$29</f>
        <v>1941.18435</v>
      </c>
      <c r="I714" s="36">
        <f>H714/(A714*Inputs!$D$32)</f>
        <v>0.65359742424242429</v>
      </c>
      <c r="J714" s="38">
        <f>IF(I714&gt;=1,999,I714/(Inputs!$D$32*(1-I714))*60)</f>
        <v>2.0583431585099379</v>
      </c>
      <c r="K714" s="37">
        <f>MIN(1,MAX(0,(J714-Inputs!$D$36)/(Inputs!$D$37-Inputs!$D$36)))</f>
        <v>0</v>
      </c>
      <c r="L714" s="35">
        <f>Inputs!$D$6*Inputs!$D$14*G714*(1-Inputs!$D$38*K714)</f>
        <v>12941.229000000001</v>
      </c>
      <c r="M714" s="39">
        <f>L714*Inputs!$D$11</f>
        <v>278236.42350000003</v>
      </c>
      <c r="N714" s="39">
        <f>M714*(1-Inputs!$D$17)</f>
        <v>97382.748225000003</v>
      </c>
      <c r="O714" s="35">
        <f>Inputs!$D$6*E714*Inputs!$D$27*Inputs!$D$30</f>
        <v>433.64028811246965</v>
      </c>
      <c r="P714" s="36">
        <f>O714/(C714*Inputs!$D$33)</f>
        <v>0.54205036014058705</v>
      </c>
      <c r="Q714" s="38">
        <f>IF(P714&gt;=1,999,P714/(Inputs!$D$33*(1-P714))*60)</f>
        <v>1.7754693299038049</v>
      </c>
      <c r="R714" s="37">
        <f>MIN(1,MAX(0,(Q714-Inputs!$D$36)/(Inputs!$D$37-Inputs!$D$36)))</f>
        <v>0</v>
      </c>
      <c r="S714" s="35">
        <f>Inputs!$D$6*E714*Inputs!$D$27*(1-Inputs!$D$38*R714)</f>
        <v>3613.6690676039138</v>
      </c>
      <c r="T714" s="39">
        <f>S714*Inputs!$D$12</f>
        <v>57818.705081662622</v>
      </c>
      <c r="U714" s="39">
        <f>T714*(1-Inputs!$D$18)</f>
        <v>26018.417286748176</v>
      </c>
      <c r="V714" s="35">
        <f>Inputs!$D$6*F714*Inputs!$D$28*Inputs!$D$31</f>
        <v>703.29783062656929</v>
      </c>
      <c r="W714" s="36">
        <f>V714/(B714*Inputs!$D$34)</f>
        <v>0.87366190139946498</v>
      </c>
      <c r="X714" s="38">
        <f>IF(W714&gt;=1,999,W714/(Inputs!$D$34*(1-W714))*60)</f>
        <v>11.854746377182334</v>
      </c>
      <c r="Y714" s="37">
        <f>MIN(1,MAX(0,(X714-Inputs!$D$36)/(Inputs!$D$37-Inputs!$D$36)))</f>
        <v>0.45698309181215557</v>
      </c>
      <c r="Z714" s="35">
        <f>Inputs!$D$6*F714*Inputs!$D$28*(1-Inputs!$D$38*Y714)</f>
        <v>4297.4614071503011</v>
      </c>
      <c r="AA714" s="39">
        <f>Z714*Inputs!$D$13</f>
        <v>36528.421960777559</v>
      </c>
      <c r="AB714" s="39">
        <f>AA714*(1-Inputs!$D$19)</f>
        <v>21917.053176466536</v>
      </c>
      <c r="AC714" s="39">
        <f t="shared" si="44"/>
        <v>372583.55054244021</v>
      </c>
      <c r="AD714" s="39">
        <f t="shared" si="45"/>
        <v>145318.21868821472</v>
      </c>
      <c r="AE714" s="36">
        <f t="shared" si="46"/>
        <v>0.87366190139946498</v>
      </c>
      <c r="AF714" s="35">
        <f>IF(AND(AE714&lt;=Inputs!$D$35,C714&gt;=Inputs!$D$48*(A714+B714+C714),B714*Inputs!$D$22&lt;=Inputs!$D$50*Inputs!$D$8,B714*Inputs!$D$22&gt;=Inputs!$D$49*Inputs!$D$8,A714*Inputs!$D$20&lt;=Inputs!$D$47*Inputs!$D$8,C714&gt;=1),1,0)</f>
        <v>0</v>
      </c>
      <c r="AG714" s="39">
        <f t="shared" si="47"/>
        <v>-1</v>
      </c>
    </row>
    <row r="715" spans="1:33" x14ac:dyDescent="0.25">
      <c r="A715" s="35">
        <v>54</v>
      </c>
      <c r="B715" s="35">
        <v>24</v>
      </c>
      <c r="C715" s="35">
        <f>Inputs!$D$8-A715-Inputs!$D$22*B715</f>
        <v>18</v>
      </c>
      <c r="D715" s="35">
        <f>A715*Inputs!$D$20+C715*Inputs!$D$21+B715*Inputs!$D$22</f>
        <v>120</v>
      </c>
      <c r="E715" s="36">
        <f>MIN(Inputs!$E$15,Inputs!$D$15*(C715/Inputs!$D$43)^Inputs!$D$44)</f>
        <v>0.29449851547238159</v>
      </c>
      <c r="F715" s="36">
        <f>MIN(Inputs!$E$16,Inputs!$D$16*(B715/Inputs!$D$42)^Inputs!$D$44)</f>
        <v>0.42248798737570326</v>
      </c>
      <c r="G715" s="37">
        <f>Inputs!$D$26*(1+Inputs!$D$41*(B715-Inputs!$D$42))</f>
        <v>1.56</v>
      </c>
      <c r="H715" s="35">
        <f>Inputs!$D$6*Inputs!$D$14*G715*Inputs!$D$29</f>
        <v>1960.0308</v>
      </c>
      <c r="I715" s="36">
        <f>H715/(A715*Inputs!$D$32)</f>
        <v>0.65994303030303025</v>
      </c>
      <c r="J715" s="38">
        <f>IF(I715&gt;=1,999,I715/(Inputs!$D$32*(1-I715))*60)</f>
        <v>2.1171095298567693</v>
      </c>
      <c r="K715" s="37">
        <f>MIN(1,MAX(0,(J715-Inputs!$D$36)/(Inputs!$D$37-Inputs!$D$36)))</f>
        <v>0</v>
      </c>
      <c r="L715" s="35">
        <f>Inputs!$D$6*Inputs!$D$14*G715*(1-Inputs!$D$38*K715)</f>
        <v>13066.872000000001</v>
      </c>
      <c r="M715" s="39">
        <f>L715*Inputs!$D$11</f>
        <v>280937.74800000002</v>
      </c>
      <c r="N715" s="39">
        <f>M715*(1-Inputs!$D$17)</f>
        <v>98328.211800000005</v>
      </c>
      <c r="O715" s="35">
        <f>Inputs!$D$6*E715*Inputs!$D$27*Inputs!$D$30</f>
        <v>420.14807408976606</v>
      </c>
      <c r="P715" s="36">
        <f>O715/(C715*Inputs!$D$33)</f>
        <v>0.58353899179134172</v>
      </c>
      <c r="Q715" s="38">
        <f>IF(P715&gt;=1,999,P715/(Inputs!$D$33*(1-P715))*60)</f>
        <v>2.1017777665477375</v>
      </c>
      <c r="R715" s="37">
        <f>MIN(1,MAX(0,(Q715-Inputs!$D$36)/(Inputs!$D$37-Inputs!$D$36)))</f>
        <v>0</v>
      </c>
      <c r="S715" s="35">
        <f>Inputs!$D$6*E715*Inputs!$D$27*(1-Inputs!$D$38*R715)</f>
        <v>3501.2339507480506</v>
      </c>
      <c r="T715" s="39">
        <f>S715*Inputs!$D$12</f>
        <v>56019.743211968809</v>
      </c>
      <c r="U715" s="39">
        <f>T715*(1-Inputs!$D$18)</f>
        <v>25208.88444538596</v>
      </c>
      <c r="V715" s="35">
        <f>Inputs!$D$6*F715*Inputs!$D$28*Inputs!$D$31</f>
        <v>712.33502613882979</v>
      </c>
      <c r="W715" s="36">
        <f>V715/(B715*Inputs!$D$34)</f>
        <v>0.84801788826051161</v>
      </c>
      <c r="X715" s="38">
        <f>IF(W715&gt;=1,999,W715/(Inputs!$D$34*(1-W715))*60)</f>
        <v>9.5652372155190832</v>
      </c>
      <c r="Y715" s="37">
        <f>MIN(1,MAX(0,(X715-Inputs!$D$36)/(Inputs!$D$37-Inputs!$D$36)))</f>
        <v>0.30434914770127219</v>
      </c>
      <c r="Z715" s="35">
        <f>Inputs!$D$6*F715*Inputs!$D$28*(1-Inputs!$D$38*Y715)</f>
        <v>4729.0436538571339</v>
      </c>
      <c r="AA715" s="39">
        <f>Z715*Inputs!$D$13</f>
        <v>40196.87105778564</v>
      </c>
      <c r="AB715" s="39">
        <f>AA715*(1-Inputs!$D$19)</f>
        <v>24118.122634671385</v>
      </c>
      <c r="AC715" s="39">
        <f t="shared" si="44"/>
        <v>377154.36226975446</v>
      </c>
      <c r="AD715" s="39">
        <f t="shared" si="45"/>
        <v>147655.21888005736</v>
      </c>
      <c r="AE715" s="36">
        <f t="shared" si="46"/>
        <v>0.84801788826051161</v>
      </c>
      <c r="AF715" s="35">
        <f>IF(AND(AE715&lt;=Inputs!$D$35,C715&gt;=Inputs!$D$48*(A715+B715+C715),B715*Inputs!$D$22&lt;=Inputs!$D$50*Inputs!$D$8,B715*Inputs!$D$22&gt;=Inputs!$D$49*Inputs!$D$8,A715*Inputs!$D$20&lt;=Inputs!$D$47*Inputs!$D$8,C715&gt;=1),1,0)</f>
        <v>1</v>
      </c>
      <c r="AG715" s="39">
        <f t="shared" si="47"/>
        <v>147655.21888005736</v>
      </c>
    </row>
    <row r="716" spans="1:33" x14ac:dyDescent="0.25">
      <c r="A716" s="35">
        <v>54</v>
      </c>
      <c r="B716" s="35">
        <v>25</v>
      </c>
      <c r="C716" s="35">
        <f>Inputs!$D$8-A716-Inputs!$D$22*B716</f>
        <v>16</v>
      </c>
      <c r="D716" s="35">
        <f>A716*Inputs!$D$20+C716*Inputs!$D$21+B716*Inputs!$D$22</f>
        <v>120</v>
      </c>
      <c r="E716" s="36">
        <f>MIN(Inputs!$E$15,Inputs!$D$15*(C716/Inputs!$D$43)^Inputs!$D$44)</f>
        <v>0.2842741392252523</v>
      </c>
      <c r="F716" s="36">
        <f>MIN(Inputs!$E$16,Inputs!$D$16*(B716/Inputs!$D$42)^Inputs!$D$44)</f>
        <v>0.42769383999647526</v>
      </c>
      <c r="G716" s="37">
        <f>Inputs!$D$26*(1+Inputs!$D$41*(B716-Inputs!$D$42))</f>
        <v>1.5750000000000002</v>
      </c>
      <c r="H716" s="35">
        <f>Inputs!$D$6*Inputs!$D$14*G716*Inputs!$D$29</f>
        <v>1978.8772500000005</v>
      </c>
      <c r="I716" s="36">
        <f>H716/(A716*Inputs!$D$32)</f>
        <v>0.66628863636363655</v>
      </c>
      <c r="J716" s="38">
        <f>IF(I716&gt;=1,999,I716/(Inputs!$D$32*(1-I716))*60)</f>
        <v>2.1781108160600526</v>
      </c>
      <c r="K716" s="37">
        <f>MIN(1,MAX(0,(J716-Inputs!$D$36)/(Inputs!$D$37-Inputs!$D$36)))</f>
        <v>0</v>
      </c>
      <c r="L716" s="35">
        <f>Inputs!$D$6*Inputs!$D$14*G716*(1-Inputs!$D$38*K716)</f>
        <v>13192.515000000003</v>
      </c>
      <c r="M716" s="39">
        <f>L716*Inputs!$D$11</f>
        <v>283639.07250000007</v>
      </c>
      <c r="N716" s="39">
        <f>M716*(1-Inputs!$D$17)</f>
        <v>99273.675375000021</v>
      </c>
      <c r="O716" s="35">
        <f>Inputs!$D$6*E716*Inputs!$D$27*Inputs!$D$30</f>
        <v>405.56140637054153</v>
      </c>
      <c r="P716" s="36">
        <f>O716/(C716*Inputs!$D$33)</f>
        <v>0.63368969745397119</v>
      </c>
      <c r="Q716" s="38">
        <f>IF(P716&gt;=1,999,P716/(Inputs!$D$33*(1-P716))*60)</f>
        <v>2.5948889222451426</v>
      </c>
      <c r="R716" s="37">
        <f>MIN(1,MAX(0,(Q716-Inputs!$D$36)/(Inputs!$D$37-Inputs!$D$36)))</f>
        <v>0</v>
      </c>
      <c r="S716" s="35">
        <f>Inputs!$D$6*E716*Inputs!$D$27*(1-Inputs!$D$38*R716)</f>
        <v>3379.6783864211798</v>
      </c>
      <c r="T716" s="39">
        <f>S716*Inputs!$D$12</f>
        <v>54074.854182738876</v>
      </c>
      <c r="U716" s="39">
        <f>T716*(1-Inputs!$D$18)</f>
        <v>24333.684382232492</v>
      </c>
      <c r="V716" s="35">
        <f>Inputs!$D$6*F716*Inputs!$D$28*Inputs!$D$31</f>
        <v>721.1123435383771</v>
      </c>
      <c r="W716" s="36">
        <f>V716/(B716*Inputs!$D$34)</f>
        <v>0.82412839261528814</v>
      </c>
      <c r="X716" s="38">
        <f>IF(W716&gt;=1,999,W716/(Inputs!$D$34*(1-W716))*60)</f>
        <v>8.0330847668163621</v>
      </c>
      <c r="Y716" s="37">
        <f>MIN(1,MAX(0,(X716-Inputs!$D$36)/(Inputs!$D$37-Inputs!$D$36)))</f>
        <v>0.20220565112109082</v>
      </c>
      <c r="Z716" s="35">
        <f>Inputs!$D$6*F716*Inputs!$D$28*(1-Inputs!$D$38*Y716)</f>
        <v>5042.2807508299393</v>
      </c>
      <c r="AA716" s="39">
        <f>Z716*Inputs!$D$13</f>
        <v>42859.386382054487</v>
      </c>
      <c r="AB716" s="39">
        <f>AA716*(1-Inputs!$D$19)</f>
        <v>25715.631829232691</v>
      </c>
      <c r="AC716" s="39">
        <f t="shared" si="44"/>
        <v>380573.31306479342</v>
      </c>
      <c r="AD716" s="39">
        <f t="shared" si="45"/>
        <v>149322.99158646521</v>
      </c>
      <c r="AE716" s="36">
        <f t="shared" si="46"/>
        <v>0.82412839261528814</v>
      </c>
      <c r="AF716" s="35">
        <f>IF(AND(AE716&lt;=Inputs!$D$35,C716&gt;=Inputs!$D$48*(A716+B716+C716),B716*Inputs!$D$22&lt;=Inputs!$D$50*Inputs!$D$8,B716*Inputs!$D$22&gt;=Inputs!$D$49*Inputs!$D$8,A716*Inputs!$D$20&lt;=Inputs!$D$47*Inputs!$D$8,C716&gt;=1),1,0)</f>
        <v>1</v>
      </c>
      <c r="AG716" s="39">
        <f t="shared" si="47"/>
        <v>149322.99158646521</v>
      </c>
    </row>
    <row r="717" spans="1:33" x14ac:dyDescent="0.25">
      <c r="A717" s="35">
        <v>54</v>
      </c>
      <c r="B717" s="35">
        <v>26</v>
      </c>
      <c r="C717" s="35">
        <f>Inputs!$D$8-A717-Inputs!$D$22*B717</f>
        <v>14</v>
      </c>
      <c r="D717" s="35">
        <f>A717*Inputs!$D$20+C717*Inputs!$D$21+B717*Inputs!$D$22</f>
        <v>120</v>
      </c>
      <c r="E717" s="36">
        <f>MIN(Inputs!$E$15,Inputs!$D$15*(C717/Inputs!$D$43)^Inputs!$D$44)</f>
        <v>0.27311136263675401</v>
      </c>
      <c r="F717" s="36">
        <f>MIN(Inputs!$E$16,Inputs!$D$16*(B717/Inputs!$D$42)^Inputs!$D$44)</f>
        <v>0.43275589945781112</v>
      </c>
      <c r="G717" s="37">
        <f>Inputs!$D$26*(1+Inputs!$D$41*(B717-Inputs!$D$42))</f>
        <v>1.59</v>
      </c>
      <c r="H717" s="35">
        <f>Inputs!$D$6*Inputs!$D$14*G717*Inputs!$D$29</f>
        <v>1997.7237</v>
      </c>
      <c r="I717" s="36">
        <f>H717/(A717*Inputs!$D$32)</f>
        <v>0.67263424242424241</v>
      </c>
      <c r="J717" s="38">
        <f>IF(I717&gt;=1,999,I717/(Inputs!$D$32*(1-I717))*60)</f>
        <v>2.2414769808279242</v>
      </c>
      <c r="K717" s="37">
        <f>MIN(1,MAX(0,(J717-Inputs!$D$36)/(Inputs!$D$37-Inputs!$D$36)))</f>
        <v>0</v>
      </c>
      <c r="L717" s="35">
        <f>Inputs!$D$6*Inputs!$D$14*G717*(1-Inputs!$D$38*K717)</f>
        <v>13318.158000000001</v>
      </c>
      <c r="M717" s="39">
        <f>L717*Inputs!$D$11</f>
        <v>286340.39700000006</v>
      </c>
      <c r="N717" s="39">
        <f>M717*(1-Inputs!$D$17)</f>
        <v>100219.13895000001</v>
      </c>
      <c r="O717" s="35">
        <f>Inputs!$D$6*E717*Inputs!$D$27*Inputs!$D$30</f>
        <v>389.63596417390096</v>
      </c>
      <c r="P717" s="36">
        <f>O717/(C717*Inputs!$D$33)</f>
        <v>0.69577850745339453</v>
      </c>
      <c r="Q717" s="38">
        <f>IF(P717&gt;=1,999,P717/(Inputs!$D$33*(1-P717))*60)</f>
        <v>3.4306181080227471</v>
      </c>
      <c r="R717" s="37">
        <f>MIN(1,MAX(0,(Q717-Inputs!$D$36)/(Inputs!$D$37-Inputs!$D$36)))</f>
        <v>0</v>
      </c>
      <c r="S717" s="35">
        <f>Inputs!$D$6*E717*Inputs!$D$27*(1-Inputs!$D$38*R717)</f>
        <v>3246.9663681158413</v>
      </c>
      <c r="T717" s="39">
        <f>S717*Inputs!$D$12</f>
        <v>51951.461889853461</v>
      </c>
      <c r="U717" s="39">
        <f>T717*(1-Inputs!$D$18)</f>
        <v>23378.157850434054</v>
      </c>
      <c r="V717" s="35">
        <f>Inputs!$D$6*F717*Inputs!$D$28*Inputs!$D$31</f>
        <v>729.64721876904355</v>
      </c>
      <c r="W717" s="36">
        <f>V717/(B717*Inputs!$D$34)</f>
        <v>0.80181013051543248</v>
      </c>
      <c r="X717" s="38">
        <f>IF(W717&gt;=1,999,W717/(Inputs!$D$34*(1-W717))*60)</f>
        <v>6.9354284146153136</v>
      </c>
      <c r="Y717" s="37">
        <f>MIN(1,MAX(0,(X717-Inputs!$D$36)/(Inputs!$D$37-Inputs!$D$36)))</f>
        <v>0.12902856097435425</v>
      </c>
      <c r="Z717" s="35">
        <f>Inputs!$D$6*F717*Inputs!$D$28*(1-Inputs!$D$38*Y717)</f>
        <v>5286.7832305655711</v>
      </c>
      <c r="AA717" s="39">
        <f>Z717*Inputs!$D$13</f>
        <v>44937.657459807357</v>
      </c>
      <c r="AB717" s="39">
        <f>AA717*(1-Inputs!$D$19)</f>
        <v>26962.594475884413</v>
      </c>
      <c r="AC717" s="39">
        <f t="shared" si="44"/>
        <v>383229.51634966087</v>
      </c>
      <c r="AD717" s="39">
        <f t="shared" si="45"/>
        <v>150559.89127631846</v>
      </c>
      <c r="AE717" s="36">
        <f t="shared" si="46"/>
        <v>0.80181013051543248</v>
      </c>
      <c r="AF717" s="35">
        <f>IF(AND(AE717&lt;=Inputs!$D$35,C717&gt;=Inputs!$D$48*(A717+B717+C717),B717*Inputs!$D$22&lt;=Inputs!$D$50*Inputs!$D$8,B717*Inputs!$D$22&gt;=Inputs!$D$49*Inputs!$D$8,A717*Inputs!$D$20&lt;=Inputs!$D$47*Inputs!$D$8,C717&gt;=1),1,0)</f>
        <v>0</v>
      </c>
      <c r="AG717" s="39">
        <f t="shared" si="47"/>
        <v>-1</v>
      </c>
    </row>
    <row r="718" spans="1:33" x14ac:dyDescent="0.25">
      <c r="A718" s="35">
        <v>54</v>
      </c>
      <c r="B718" s="35">
        <v>27</v>
      </c>
      <c r="C718" s="35">
        <f>Inputs!$D$8-A718-Inputs!$D$22*B718</f>
        <v>12</v>
      </c>
      <c r="D718" s="35">
        <f>A718*Inputs!$D$20+C718*Inputs!$D$21+B718*Inputs!$D$22</f>
        <v>120</v>
      </c>
      <c r="E718" s="36">
        <f>MIN(Inputs!$E$15,Inputs!$D$15*(C718/Inputs!$D$43)^Inputs!$D$44)</f>
        <v>0.26076886227459228</v>
      </c>
      <c r="F718" s="36">
        <f>MIN(Inputs!$E$16,Inputs!$D$16*(B718/Inputs!$D$42)^Inputs!$D$44)</f>
        <v>0.43768344678187454</v>
      </c>
      <c r="G718" s="37">
        <f>Inputs!$D$26*(1+Inputs!$D$41*(B718-Inputs!$D$42))</f>
        <v>1.605</v>
      </c>
      <c r="H718" s="35">
        <f>Inputs!$D$6*Inputs!$D$14*G718*Inputs!$D$29</f>
        <v>2016.57015</v>
      </c>
      <c r="I718" s="36">
        <f>H718/(A718*Inputs!$D$32)</f>
        <v>0.67897984848484849</v>
      </c>
      <c r="J718" s="38">
        <f>IF(I718&gt;=1,999,I718/(Inputs!$D$32*(1-I718))*60)</f>
        <v>2.3073482638401863</v>
      </c>
      <c r="K718" s="37">
        <f>MIN(1,MAX(0,(J718-Inputs!$D$36)/(Inputs!$D$37-Inputs!$D$36)))</f>
        <v>0</v>
      </c>
      <c r="L718" s="35">
        <f>Inputs!$D$6*Inputs!$D$14*G718*(1-Inputs!$D$38*K718)</f>
        <v>13443.801000000001</v>
      </c>
      <c r="M718" s="39">
        <f>L718*Inputs!$D$11</f>
        <v>289041.72150000004</v>
      </c>
      <c r="N718" s="39">
        <f>M718*(1-Inputs!$D$17)</f>
        <v>101164.60252500001</v>
      </c>
      <c r="O718" s="35">
        <f>Inputs!$D$6*E718*Inputs!$D$27*Inputs!$D$30</f>
        <v>372.02746197722075</v>
      </c>
      <c r="P718" s="36">
        <f>O718/(C718*Inputs!$D$33)</f>
        <v>0.77505721245254322</v>
      </c>
      <c r="Q718" s="38">
        <f>IF(P718&gt;=1,999,P718/(Inputs!$D$33*(1-P718))*60)</f>
        <v>5.1683622816025654</v>
      </c>
      <c r="R718" s="37">
        <f>MIN(1,MAX(0,(Q718-Inputs!$D$36)/(Inputs!$D$37-Inputs!$D$36)))</f>
        <v>1.1224152106837693E-2</v>
      </c>
      <c r="S718" s="35">
        <f>Inputs!$D$6*E718*Inputs!$D$27*(1-Inputs!$D$38*R718)</f>
        <v>3084.5700017308486</v>
      </c>
      <c r="T718" s="39">
        <f>S718*Inputs!$D$12</f>
        <v>49353.120027693578</v>
      </c>
      <c r="U718" s="39">
        <f>T718*(1-Inputs!$D$18)</f>
        <v>22208.904012462106</v>
      </c>
      <c r="V718" s="35">
        <f>Inputs!$D$6*F718*Inputs!$D$28*Inputs!$D$31</f>
        <v>737.95530007968603</v>
      </c>
      <c r="W718" s="36">
        <f>V718/(B718*Inputs!$D$34)</f>
        <v>0.78090507944940324</v>
      </c>
      <c r="X718" s="38">
        <f>IF(W718&gt;=1,999,W718/(Inputs!$D$34*(1-W718))*60)</f>
        <v>6.1101116290101798</v>
      </c>
      <c r="Y718" s="37">
        <f>MIN(1,MAX(0,(X718-Inputs!$D$36)/(Inputs!$D$37-Inputs!$D$36)))</f>
        <v>7.4007441934011986E-2</v>
      </c>
      <c r="Z718" s="35">
        <f>Inputs!$D$6*F718*Inputs!$D$28*(1-Inputs!$D$38*Y718)</f>
        <v>5487.5301328495489</v>
      </c>
      <c r="AA718" s="39">
        <f>Z718*Inputs!$D$13</f>
        <v>46644.006129221169</v>
      </c>
      <c r="AB718" s="39">
        <f>AA718*(1-Inputs!$D$19)</f>
        <v>27986.4036775327</v>
      </c>
      <c r="AC718" s="39">
        <f t="shared" si="44"/>
        <v>385038.84765691479</v>
      </c>
      <c r="AD718" s="39">
        <f t="shared" si="45"/>
        <v>151359.91021499483</v>
      </c>
      <c r="AE718" s="36">
        <f t="shared" si="46"/>
        <v>0.78090507944940324</v>
      </c>
      <c r="AF718" s="35">
        <f>IF(AND(AE718&lt;=Inputs!$D$35,C718&gt;=Inputs!$D$48*(A718+B718+C718),B718*Inputs!$D$22&lt;=Inputs!$D$50*Inputs!$D$8,B718*Inputs!$D$22&gt;=Inputs!$D$49*Inputs!$D$8,A718*Inputs!$D$20&lt;=Inputs!$D$47*Inputs!$D$8,C718&gt;=1),1,0)</f>
        <v>0</v>
      </c>
      <c r="AG718" s="39">
        <f t="shared" si="47"/>
        <v>-1</v>
      </c>
    </row>
    <row r="719" spans="1:33" x14ac:dyDescent="0.25">
      <c r="A719" s="35">
        <v>54</v>
      </c>
      <c r="B719" s="35">
        <v>28</v>
      </c>
      <c r="C719" s="35">
        <f>Inputs!$D$8-A719-Inputs!$D$22*B719</f>
        <v>10</v>
      </c>
      <c r="D719" s="35">
        <f>A719*Inputs!$D$20+C719*Inputs!$D$21+B719*Inputs!$D$22</f>
        <v>120</v>
      </c>
      <c r="E719" s="36">
        <f>MIN(Inputs!$E$15,Inputs!$D$15*(C719/Inputs!$D$43)^Inputs!$D$44)</f>
        <v>0.24688878270302153</v>
      </c>
      <c r="F719" s="36">
        <f>MIN(Inputs!$E$16,Inputs!$D$16*(B719/Inputs!$D$42)^Inputs!$D$44)</f>
        <v>0.44248484624799689</v>
      </c>
      <c r="G719" s="37">
        <f>Inputs!$D$26*(1+Inputs!$D$41*(B719-Inputs!$D$42))</f>
        <v>1.62</v>
      </c>
      <c r="H719" s="35">
        <f>Inputs!$D$6*Inputs!$D$14*G719*Inputs!$D$29</f>
        <v>2035.4166</v>
      </c>
      <c r="I719" s="36">
        <f>H719/(A719*Inputs!$D$32)</f>
        <v>0.68532545454545457</v>
      </c>
      <c r="J719" s="38">
        <f>IF(I719&gt;=1,999,I719/(Inputs!$D$32*(1-I719))*60)</f>
        <v>2.3758762168547749</v>
      </c>
      <c r="K719" s="37">
        <f>MIN(1,MAX(0,(J719-Inputs!$D$36)/(Inputs!$D$37-Inputs!$D$36)))</f>
        <v>0</v>
      </c>
      <c r="L719" s="35">
        <f>Inputs!$D$6*Inputs!$D$14*G719*(1-Inputs!$D$38*K719)</f>
        <v>13569.444000000001</v>
      </c>
      <c r="M719" s="39">
        <f>L719*Inputs!$D$11</f>
        <v>291743.04600000003</v>
      </c>
      <c r="N719" s="39">
        <f>M719*(1-Inputs!$D$17)</f>
        <v>102110.06610000001</v>
      </c>
      <c r="O719" s="35">
        <f>Inputs!$D$6*E719*Inputs!$D$27*Inputs!$D$30</f>
        <v>352.22536317596189</v>
      </c>
      <c r="P719" s="36">
        <f>O719/(C719*Inputs!$D$33)</f>
        <v>0.88056340793990473</v>
      </c>
      <c r="Q719" s="38">
        <f>IF(P719&gt;=1,999,P719/(Inputs!$D$33*(1-P719))*60)</f>
        <v>11.05896517245959</v>
      </c>
      <c r="R719" s="37">
        <f>MIN(1,MAX(0,(Q719-Inputs!$D$36)/(Inputs!$D$37-Inputs!$D$36)))</f>
        <v>0.40393101149730604</v>
      </c>
      <c r="S719" s="35">
        <f>Inputs!$D$6*E719*Inputs!$D$27*(1-Inputs!$D$38*R719)</f>
        <v>2401.6810577146616</v>
      </c>
      <c r="T719" s="39">
        <f>S719*Inputs!$D$12</f>
        <v>38426.896923434586</v>
      </c>
      <c r="U719" s="39">
        <f>T719*(1-Inputs!$D$18)</f>
        <v>17292.103615545562</v>
      </c>
      <c r="V719" s="35">
        <f>Inputs!$D$6*F719*Inputs!$D$28*Inputs!$D$31</f>
        <v>746.05069004674272</v>
      </c>
      <c r="W719" s="36">
        <f>V719/(B719*Inputs!$D$34)</f>
        <v>0.76127621433341097</v>
      </c>
      <c r="X719" s="38">
        <f>IF(W719&gt;=1,999,W719/(Inputs!$D$34*(1-W719))*60)</f>
        <v>5.4667570523531852</v>
      </c>
      <c r="Y719" s="37">
        <f>MIN(1,MAX(0,(X719-Inputs!$D$36)/(Inputs!$D$37-Inputs!$D$36)))</f>
        <v>3.111713682354568E-2</v>
      </c>
      <c r="Z719" s="35">
        <f>Inputs!$D$6*F719*Inputs!$D$28*(1-Inputs!$D$38*Y719)</f>
        <v>5658.4919801305723</v>
      </c>
      <c r="AA719" s="39">
        <f>Z719*Inputs!$D$13</f>
        <v>48097.181831109861</v>
      </c>
      <c r="AB719" s="39">
        <f>AA719*(1-Inputs!$D$19)</f>
        <v>28858.309098665915</v>
      </c>
      <c r="AC719" s="39">
        <f t="shared" si="44"/>
        <v>378267.12475454446</v>
      </c>
      <c r="AD719" s="39">
        <f t="shared" si="45"/>
        <v>148260.4788142115</v>
      </c>
      <c r="AE719" s="36">
        <f t="shared" si="46"/>
        <v>0.88056340793990473</v>
      </c>
      <c r="AF719" s="35">
        <f>IF(AND(AE719&lt;=Inputs!$D$35,C719&gt;=Inputs!$D$48*(A719+B719+C719),B719*Inputs!$D$22&lt;=Inputs!$D$50*Inputs!$D$8,B719*Inputs!$D$22&gt;=Inputs!$D$49*Inputs!$D$8,A719*Inputs!$D$20&lt;=Inputs!$D$47*Inputs!$D$8,C719&gt;=1),1,0)</f>
        <v>0</v>
      </c>
      <c r="AG719" s="39">
        <f t="shared" si="47"/>
        <v>-1</v>
      </c>
    </row>
    <row r="720" spans="1:33" x14ac:dyDescent="0.25">
      <c r="A720" s="35">
        <v>54</v>
      </c>
      <c r="B720" s="35">
        <v>29</v>
      </c>
      <c r="C720" s="35">
        <f>Inputs!$D$8-A720-Inputs!$D$22*B720</f>
        <v>8</v>
      </c>
      <c r="D720" s="35">
        <f>A720*Inputs!$D$20+C720*Inputs!$D$21+B720*Inputs!$D$22</f>
        <v>120</v>
      </c>
      <c r="E720" s="36">
        <f>MIN(Inputs!$E$15,Inputs!$D$15*(C720/Inputs!$D$43)^Inputs!$D$44)</f>
        <v>0.23090235080781729</v>
      </c>
      <c r="F720" s="36">
        <f>MIN(Inputs!$E$16,Inputs!$D$16*(B720/Inputs!$D$42)^Inputs!$D$44)</f>
        <v>0.44716766511947192</v>
      </c>
      <c r="G720" s="37">
        <f>Inputs!$D$26*(1+Inputs!$D$41*(B720-Inputs!$D$42))</f>
        <v>1.6350000000000002</v>
      </c>
      <c r="H720" s="35">
        <f>Inputs!$D$6*Inputs!$D$14*G720*Inputs!$D$29</f>
        <v>2054.2630500000005</v>
      </c>
      <c r="I720" s="36">
        <f>H720/(A720*Inputs!$D$32)</f>
        <v>0.69167106060606076</v>
      </c>
      <c r="J720" s="38">
        <f>IF(I720&gt;=1,999,I720/(Inputs!$D$32*(1-I720))*60)</f>
        <v>2.447224867756661</v>
      </c>
      <c r="K720" s="37">
        <f>MIN(1,MAX(0,(J720-Inputs!$D$36)/(Inputs!$D$37-Inputs!$D$36)))</f>
        <v>0</v>
      </c>
      <c r="L720" s="35">
        <f>Inputs!$D$6*Inputs!$D$14*G720*(1-Inputs!$D$38*K720)</f>
        <v>13695.087000000003</v>
      </c>
      <c r="M720" s="39">
        <f>L720*Inputs!$D$11</f>
        <v>294444.37050000008</v>
      </c>
      <c r="N720" s="39">
        <f>M720*(1-Inputs!$D$17)</f>
        <v>103055.52967500003</v>
      </c>
      <c r="O720" s="35">
        <f>Inputs!$D$6*E720*Inputs!$D$27*Inputs!$D$30</f>
        <v>329.41822419407742</v>
      </c>
      <c r="P720" s="36">
        <f>O720/(C720*Inputs!$D$33)</f>
        <v>1.029431950606492</v>
      </c>
      <c r="Q720" s="38">
        <f>IF(P720&gt;=1,999,P720/(Inputs!$D$33*(1-P720))*60)</f>
        <v>999</v>
      </c>
      <c r="R720" s="37">
        <f>MIN(1,MAX(0,(Q720-Inputs!$D$36)/(Inputs!$D$37-Inputs!$D$36)))</f>
        <v>1</v>
      </c>
      <c r="S720" s="35">
        <f>Inputs!$D$6*E720*Inputs!$D$27*(1-Inputs!$D$38*R720)</f>
        <v>1509.8335275561885</v>
      </c>
      <c r="T720" s="39">
        <f>S720*Inputs!$D$12</f>
        <v>24157.336440899016</v>
      </c>
      <c r="U720" s="39">
        <f>T720*(1-Inputs!$D$18)</f>
        <v>10870.801398404556</v>
      </c>
      <c r="V720" s="35">
        <f>Inputs!$D$6*F720*Inputs!$D$28*Inputs!$D$31</f>
        <v>753.9461474393554</v>
      </c>
      <c r="W720" s="36">
        <f>V720/(B720*Inputs!$D$34)</f>
        <v>0.74280408614714821</v>
      </c>
      <c r="X720" s="38">
        <f>IF(W720&gt;=1,999,W720/(Inputs!$D$34*(1-W720))*60)</f>
        <v>4.9510056918075414</v>
      </c>
      <c r="Y720" s="37">
        <f>MIN(1,MAX(0,(X720-Inputs!$D$36)/(Inputs!$D$37-Inputs!$D$36)))</f>
        <v>0</v>
      </c>
      <c r="Z720" s="35">
        <f>Inputs!$D$6*F720*Inputs!$D$28*(1-Inputs!$D$38*Y720)</f>
        <v>5799.5857495335031</v>
      </c>
      <c r="AA720" s="39">
        <f>Z720*Inputs!$D$13</f>
        <v>49296.478871034778</v>
      </c>
      <c r="AB720" s="39">
        <f>AA720*(1-Inputs!$D$19)</f>
        <v>29577.887322620867</v>
      </c>
      <c r="AC720" s="39">
        <f t="shared" si="44"/>
        <v>367898.18581193383</v>
      </c>
      <c r="AD720" s="39">
        <f t="shared" si="45"/>
        <v>143504.21839602545</v>
      </c>
      <c r="AE720" s="36">
        <f t="shared" si="46"/>
        <v>1.029431950606492</v>
      </c>
      <c r="AF720" s="35">
        <f>IF(AND(AE720&lt;=Inputs!$D$35,C720&gt;=Inputs!$D$48*(A720+B720+C720),B720*Inputs!$D$22&lt;=Inputs!$D$50*Inputs!$D$8,B720*Inputs!$D$22&gt;=Inputs!$D$49*Inputs!$D$8,A720*Inputs!$D$20&lt;=Inputs!$D$47*Inputs!$D$8,C720&gt;=1),1,0)</f>
        <v>0</v>
      </c>
      <c r="AG720" s="39">
        <f t="shared" si="47"/>
        <v>-1</v>
      </c>
    </row>
    <row r="721" spans="1:33" x14ac:dyDescent="0.25">
      <c r="A721" s="35">
        <v>54</v>
      </c>
      <c r="B721" s="35">
        <v>30</v>
      </c>
      <c r="C721" s="35">
        <f>Inputs!$D$8-A721-Inputs!$D$22*B721</f>
        <v>6</v>
      </c>
      <c r="D721" s="35">
        <f>A721*Inputs!$D$20+C721*Inputs!$D$21+B721*Inputs!$D$22</f>
        <v>120</v>
      </c>
      <c r="E721" s="36">
        <f>MIN(Inputs!$E$15,Inputs!$D$15*(C721/Inputs!$D$43)^Inputs!$D$44)</f>
        <v>0.21181013327762671</v>
      </c>
      <c r="F721" s="36">
        <f>MIN(Inputs!$E$16,Inputs!$D$16*(B721/Inputs!$D$42)^Inputs!$D$44)</f>
        <v>0.45173877418274222</v>
      </c>
      <c r="G721" s="37">
        <f>Inputs!$D$26*(1+Inputs!$D$41*(B721-Inputs!$D$42))</f>
        <v>1.6500000000000001</v>
      </c>
      <c r="H721" s="35">
        <f>Inputs!$D$6*Inputs!$D$14*G721*Inputs!$D$29</f>
        <v>2073.1095000000005</v>
      </c>
      <c r="I721" s="36">
        <f>H721/(A721*Inputs!$D$32)</f>
        <v>0.69801666666666684</v>
      </c>
      <c r="J721" s="38">
        <f>IF(I721&gt;=1,999,I721/(Inputs!$D$32*(1-I721))*60)</f>
        <v>2.5215720313683798</v>
      </c>
      <c r="K721" s="37">
        <f>MIN(1,MAX(0,(J721-Inputs!$D$36)/(Inputs!$D$37-Inputs!$D$36)))</f>
        <v>0</v>
      </c>
      <c r="L721" s="35">
        <f>Inputs!$D$6*Inputs!$D$14*G721*(1-Inputs!$D$38*K721)</f>
        <v>13820.730000000003</v>
      </c>
      <c r="M721" s="39">
        <f>L721*Inputs!$D$11</f>
        <v>297145.69500000007</v>
      </c>
      <c r="N721" s="39">
        <f>M721*(1-Inputs!$D$17)</f>
        <v>104000.99325000001</v>
      </c>
      <c r="O721" s="35">
        <f>Inputs!$D$6*E721*Inputs!$D$27*Inputs!$D$30</f>
        <v>302.18019750132584</v>
      </c>
      <c r="P721" s="36">
        <f>O721/(C721*Inputs!$D$33)</f>
        <v>1.2590841562555244</v>
      </c>
      <c r="Q721" s="38">
        <f>IF(P721&gt;=1,999,P721/(Inputs!$D$33*(1-P721))*60)</f>
        <v>999</v>
      </c>
      <c r="R721" s="37">
        <f>MIN(1,MAX(0,(Q721-Inputs!$D$36)/(Inputs!$D$37-Inputs!$D$36)))</f>
        <v>1</v>
      </c>
      <c r="S721" s="35">
        <f>Inputs!$D$6*E721*Inputs!$D$27*(1-Inputs!$D$38*R721)</f>
        <v>1384.9925718810769</v>
      </c>
      <c r="T721" s="39">
        <f>S721*Inputs!$D$12</f>
        <v>22159.88115009723</v>
      </c>
      <c r="U721" s="39">
        <f>T721*(1-Inputs!$D$18)</f>
        <v>9971.9465175437526</v>
      </c>
      <c r="V721" s="35">
        <f>Inputs!$D$6*F721*Inputs!$D$28*Inputs!$D$31</f>
        <v>761.65325673326424</v>
      </c>
      <c r="W721" s="36">
        <f>V721/(B721*Inputs!$D$34)</f>
        <v>0.72538405403168027</v>
      </c>
      <c r="X721" s="38">
        <f>IF(W721&gt;=1,999,W721/(Inputs!$D$34*(1-W721))*60)</f>
        <v>4.5281985239874629</v>
      </c>
      <c r="Y721" s="37">
        <f>MIN(1,MAX(0,(X721-Inputs!$D$36)/(Inputs!$D$37-Inputs!$D$36)))</f>
        <v>0</v>
      </c>
      <c r="Z721" s="35">
        <f>Inputs!$D$6*F721*Inputs!$D$28*(1-Inputs!$D$38*Y721)</f>
        <v>5858.8712056404938</v>
      </c>
      <c r="AA721" s="39">
        <f>Z721*Inputs!$D$13</f>
        <v>49800.405247944196</v>
      </c>
      <c r="AB721" s="39">
        <f>AA721*(1-Inputs!$D$19)</f>
        <v>29880.243148766516</v>
      </c>
      <c r="AC721" s="39">
        <f t="shared" si="44"/>
        <v>369105.98139804148</v>
      </c>
      <c r="AD721" s="39">
        <f t="shared" si="45"/>
        <v>143853.18291631027</v>
      </c>
      <c r="AE721" s="36">
        <f t="shared" si="46"/>
        <v>1.2590841562555244</v>
      </c>
      <c r="AF721" s="35">
        <f>IF(AND(AE721&lt;=Inputs!$D$35,C721&gt;=Inputs!$D$48*(A721+B721+C721),B721*Inputs!$D$22&lt;=Inputs!$D$50*Inputs!$D$8,B721*Inputs!$D$22&gt;=Inputs!$D$49*Inputs!$D$8,A721*Inputs!$D$20&lt;=Inputs!$D$47*Inputs!$D$8,C721&gt;=1),1,0)</f>
        <v>0</v>
      </c>
      <c r="AG721" s="39">
        <f t="shared" si="47"/>
        <v>-1</v>
      </c>
    </row>
    <row r="722" spans="1:33" x14ac:dyDescent="0.25">
      <c r="A722" s="35">
        <v>54</v>
      </c>
      <c r="B722" s="35">
        <v>31</v>
      </c>
      <c r="C722" s="35">
        <f>Inputs!$D$8-A722-Inputs!$D$22*B722</f>
        <v>4</v>
      </c>
      <c r="D722" s="35">
        <f>A722*Inputs!$D$20+C722*Inputs!$D$21+B722*Inputs!$D$22</f>
        <v>120</v>
      </c>
      <c r="E722" s="36">
        <f>MIN(Inputs!$E$15,Inputs!$D$15*(C722/Inputs!$D$43)^Inputs!$D$44)</f>
        <v>0.18755098776793777</v>
      </c>
      <c r="F722" s="36">
        <f>MIN(Inputs!$E$16,Inputs!$D$16*(B722/Inputs!$D$42)^Inputs!$D$44)</f>
        <v>0.45620443270573335</v>
      </c>
      <c r="G722" s="37">
        <f>Inputs!$D$26*(1+Inputs!$D$41*(B722-Inputs!$D$42))</f>
        <v>1.665</v>
      </c>
      <c r="H722" s="35">
        <f>Inputs!$D$6*Inputs!$D$14*G722*Inputs!$D$29</f>
        <v>2091.95595</v>
      </c>
      <c r="I722" s="36">
        <f>H722/(A722*Inputs!$D$32)</f>
        <v>0.7043622727272727</v>
      </c>
      <c r="J722" s="38">
        <f>IF(I722&gt;=1,999,I722/(Inputs!$D$32*(1-I722))*60)</f>
        <v>2.5991107890730123</v>
      </c>
      <c r="K722" s="37">
        <f>MIN(1,MAX(0,(J722-Inputs!$D$36)/(Inputs!$D$37-Inputs!$D$36)))</f>
        <v>0</v>
      </c>
      <c r="L722" s="35">
        <f>Inputs!$D$6*Inputs!$D$14*G722*(1-Inputs!$D$38*K722)</f>
        <v>13946.373000000001</v>
      </c>
      <c r="M722" s="39">
        <f>L722*Inputs!$D$11</f>
        <v>299847.01950000005</v>
      </c>
      <c r="N722" s="39">
        <f>M722*(1-Inputs!$D$17)</f>
        <v>104946.45682500002</v>
      </c>
      <c r="O722" s="35">
        <f>Inputs!$D$6*E722*Inputs!$D$27*Inputs!$D$30</f>
        <v>267.57074200505502</v>
      </c>
      <c r="P722" s="36">
        <f>O722/(C722*Inputs!$D$33)</f>
        <v>1.6723171375315939</v>
      </c>
      <c r="Q722" s="38">
        <f>IF(P722&gt;=1,999,P722/(Inputs!$D$33*(1-P722))*60)</f>
        <v>999</v>
      </c>
      <c r="R722" s="37">
        <f>MIN(1,MAX(0,(Q722-Inputs!$D$36)/(Inputs!$D$37-Inputs!$D$36)))</f>
        <v>1</v>
      </c>
      <c r="S722" s="35">
        <f>Inputs!$D$6*E722*Inputs!$D$27*(1-Inputs!$D$38*R722)</f>
        <v>1226.3659008565023</v>
      </c>
      <c r="T722" s="39">
        <f>S722*Inputs!$D$12</f>
        <v>19621.854413704037</v>
      </c>
      <c r="U722" s="39">
        <f>T722*(1-Inputs!$D$18)</f>
        <v>8829.8344861668156</v>
      </c>
      <c r="V722" s="35">
        <f>Inputs!$D$6*F722*Inputs!$D$28*Inputs!$D$31</f>
        <v>769.18257135463637</v>
      </c>
      <c r="W722" s="36">
        <f>V722/(B722*Inputs!$D$34)</f>
        <v>0.70892402889828232</v>
      </c>
      <c r="X722" s="38">
        <f>IF(W722&gt;=1,999,W722/(Inputs!$D$34*(1-W722))*60)</f>
        <v>4.1751929252501148</v>
      </c>
      <c r="Y722" s="37">
        <f>MIN(1,MAX(0,(X722-Inputs!$D$36)/(Inputs!$D$37-Inputs!$D$36)))</f>
        <v>0</v>
      </c>
      <c r="Z722" s="35">
        <f>Inputs!$D$6*F722*Inputs!$D$28*(1-Inputs!$D$38*Y722)</f>
        <v>5916.7890104202797</v>
      </c>
      <c r="AA722" s="39">
        <f>Z722*Inputs!$D$13</f>
        <v>50292.706588572379</v>
      </c>
      <c r="AB722" s="39">
        <f>AA722*(1-Inputs!$D$19)</f>
        <v>30175.623953143426</v>
      </c>
      <c r="AC722" s="39">
        <f t="shared" si="44"/>
        <v>369761.58050227643</v>
      </c>
      <c r="AD722" s="39">
        <f t="shared" si="45"/>
        <v>143951.91526431026</v>
      </c>
      <c r="AE722" s="36">
        <f t="shared" si="46"/>
        <v>1.6723171375315939</v>
      </c>
      <c r="AF722" s="35">
        <f>IF(AND(AE722&lt;=Inputs!$D$35,C722&gt;=Inputs!$D$48*(A722+B722+C722),B722*Inputs!$D$22&lt;=Inputs!$D$50*Inputs!$D$8,B722*Inputs!$D$22&gt;=Inputs!$D$49*Inputs!$D$8,A722*Inputs!$D$20&lt;=Inputs!$D$47*Inputs!$D$8,C722&gt;=1),1,0)</f>
        <v>0</v>
      </c>
      <c r="AG722" s="39">
        <f t="shared" si="47"/>
        <v>-1</v>
      </c>
    </row>
    <row r="723" spans="1:33" x14ac:dyDescent="0.25">
      <c r="A723" s="35">
        <v>54</v>
      </c>
      <c r="B723" s="35">
        <v>32</v>
      </c>
      <c r="C723" s="35">
        <f>Inputs!$D$8-A723-Inputs!$D$22*B723</f>
        <v>2</v>
      </c>
      <c r="D723" s="35">
        <f>A723*Inputs!$D$20+C723*Inputs!$D$21+B723*Inputs!$D$22</f>
        <v>120</v>
      </c>
      <c r="E723" s="36">
        <f>MIN(Inputs!$E$15,Inputs!$D$15*(C723/Inputs!$D$43)^Inputs!$D$44)</f>
        <v>0.15233873925348645</v>
      </c>
      <c r="F723" s="36">
        <f>MIN(Inputs!$E$16,Inputs!$D$16*(B723/Inputs!$D$42)^Inputs!$D$44)</f>
        <v>0.46057036065052986</v>
      </c>
      <c r="G723" s="37">
        <f>Inputs!$D$26*(1+Inputs!$D$41*(B723-Inputs!$D$42))</f>
        <v>1.6800000000000002</v>
      </c>
      <c r="H723" s="35">
        <f>Inputs!$D$6*Inputs!$D$14*G723*Inputs!$D$29</f>
        <v>2110.8024000000005</v>
      </c>
      <c r="I723" s="36">
        <f>H723/(A723*Inputs!$D$32)</f>
        <v>0.710707878787879</v>
      </c>
      <c r="J723" s="38">
        <f>IF(I723&gt;=1,999,I723/(Inputs!$D$32*(1-I723))*60)</f>
        <v>2.6800511631698343</v>
      </c>
      <c r="K723" s="37">
        <f>MIN(1,MAX(0,(J723-Inputs!$D$36)/(Inputs!$D$37-Inputs!$D$36)))</f>
        <v>0</v>
      </c>
      <c r="L723" s="35">
        <f>Inputs!$D$6*Inputs!$D$14*G723*(1-Inputs!$D$38*K723)</f>
        <v>14072.016000000003</v>
      </c>
      <c r="M723" s="39">
        <f>L723*Inputs!$D$11</f>
        <v>302548.34400000004</v>
      </c>
      <c r="N723" s="39">
        <f>M723*(1-Inputs!$D$17)</f>
        <v>105891.9204</v>
      </c>
      <c r="O723" s="35">
        <f>Inputs!$D$6*E723*Inputs!$D$27*Inputs!$D$30</f>
        <v>217.33497638842198</v>
      </c>
      <c r="P723" s="36">
        <f>O723/(C723*Inputs!$D$33)</f>
        <v>2.7166872048552748</v>
      </c>
      <c r="Q723" s="38">
        <f>IF(P723&gt;=1,999,P723/(Inputs!$D$33*(1-P723))*60)</f>
        <v>999</v>
      </c>
      <c r="R723" s="37">
        <f>MIN(1,MAX(0,(Q723-Inputs!$D$36)/(Inputs!$D$37-Inputs!$D$36)))</f>
        <v>1</v>
      </c>
      <c r="S723" s="35">
        <f>Inputs!$D$6*E723*Inputs!$D$27*(1-Inputs!$D$38*R723)</f>
        <v>996.11864178026747</v>
      </c>
      <c r="T723" s="39">
        <f>S723*Inputs!$D$12</f>
        <v>15937.898268484279</v>
      </c>
      <c r="U723" s="39">
        <f>T723*(1-Inputs!$D$18)</f>
        <v>7172.0542208179249</v>
      </c>
      <c r="V723" s="35">
        <f>Inputs!$D$6*F723*Inputs!$D$28*Inputs!$D$31</f>
        <v>776.54373543410452</v>
      </c>
      <c r="W723" s="36">
        <f>V723/(B723*Inputs!$D$34)</f>
        <v>0.69334262092330756</v>
      </c>
      <c r="X723" s="38">
        <f>IF(W723&gt;=1,999,W723/(Inputs!$D$34*(1-W723))*60)</f>
        <v>3.8759457011369869</v>
      </c>
      <c r="Y723" s="37">
        <f>MIN(1,MAX(0,(X723-Inputs!$D$36)/(Inputs!$D$37-Inputs!$D$36)))</f>
        <v>0</v>
      </c>
      <c r="Z723" s="35">
        <f>Inputs!$D$6*F723*Inputs!$D$28*(1-Inputs!$D$38*Y723)</f>
        <v>5973.4133494931111</v>
      </c>
      <c r="AA723" s="39">
        <f>Z723*Inputs!$D$13</f>
        <v>50774.013470691447</v>
      </c>
      <c r="AB723" s="39">
        <f>AA723*(1-Inputs!$D$19)</f>
        <v>30464.408082414866</v>
      </c>
      <c r="AC723" s="39">
        <f t="shared" si="44"/>
        <v>369260.25573917577</v>
      </c>
      <c r="AD723" s="39">
        <f t="shared" si="45"/>
        <v>143528.38270323278</v>
      </c>
      <c r="AE723" s="36">
        <f t="shared" si="46"/>
        <v>2.7166872048552748</v>
      </c>
      <c r="AF723" s="35">
        <f>IF(AND(AE723&lt;=Inputs!$D$35,C723&gt;=Inputs!$D$48*(A723+B723+C723),B723*Inputs!$D$22&lt;=Inputs!$D$50*Inputs!$D$8,B723*Inputs!$D$22&gt;=Inputs!$D$49*Inputs!$D$8,A723*Inputs!$D$20&lt;=Inputs!$D$47*Inputs!$D$8,C723&gt;=1),1,0)</f>
        <v>0</v>
      </c>
      <c r="AG723" s="39">
        <f t="shared" si="47"/>
        <v>-1</v>
      </c>
    </row>
    <row r="724" spans="1:33" x14ac:dyDescent="0.25">
      <c r="A724" s="35">
        <v>55</v>
      </c>
      <c r="B724" s="35">
        <v>10</v>
      </c>
      <c r="C724" s="35">
        <f>Inputs!$D$8-A724-Inputs!$D$22*B724</f>
        <v>45</v>
      </c>
      <c r="D724" s="35">
        <f>A724*Inputs!$D$20+C724*Inputs!$D$21+B724*Inputs!$D$22</f>
        <v>120</v>
      </c>
      <c r="E724" s="36">
        <f>MIN(Inputs!$E$15,Inputs!$D$15*(C724/Inputs!$D$43)^Inputs!$D$44)</f>
        <v>0.38767260497069417</v>
      </c>
      <c r="F724" s="36">
        <f>MIN(Inputs!$E$16,Inputs!$D$16*(B724/Inputs!$D$42)^Inputs!$D$44)</f>
        <v>0.32490095854249423</v>
      </c>
      <c r="G724" s="37">
        <f>Inputs!$D$26*(1+Inputs!$D$41*(B724-Inputs!$D$42))</f>
        <v>1.35</v>
      </c>
      <c r="H724" s="35">
        <f>Inputs!$D$6*Inputs!$D$14*G724*Inputs!$D$29</f>
        <v>1696.1805000000004</v>
      </c>
      <c r="I724" s="36">
        <f>H724/(A724*Inputs!$D$32)</f>
        <v>0.56072082644628107</v>
      </c>
      <c r="J724" s="38">
        <f>IF(I724&gt;=1,999,I724/(Inputs!$D$32*(1-I724))*60)</f>
        <v>1.3924981739602165</v>
      </c>
      <c r="K724" s="37">
        <f>MIN(1,MAX(0,(J724-Inputs!$D$36)/(Inputs!$D$37-Inputs!$D$36)))</f>
        <v>0</v>
      </c>
      <c r="L724" s="35">
        <f>Inputs!$D$6*Inputs!$D$14*G724*(1-Inputs!$D$38*K724)</f>
        <v>11307.870000000003</v>
      </c>
      <c r="M724" s="39">
        <f>L724*Inputs!$D$11</f>
        <v>243119.20500000005</v>
      </c>
      <c r="N724" s="39">
        <f>M724*(1-Inputs!$D$17)</f>
        <v>85091.721750000012</v>
      </c>
      <c r="O724" s="35">
        <f>Inputs!$D$6*E724*Inputs!$D$27*Inputs!$D$30</f>
        <v>553.07544791707073</v>
      </c>
      <c r="P724" s="36">
        <f>O724/(C724*Inputs!$D$33)</f>
        <v>0.30726413773170597</v>
      </c>
      <c r="Q724" s="38">
        <f>IF(P724&gt;=1,999,P724/(Inputs!$D$33*(1-P724))*60)</f>
        <v>0.66532748151423926</v>
      </c>
      <c r="R724" s="37">
        <f>MIN(1,MAX(0,(Q724-Inputs!$D$36)/(Inputs!$D$37-Inputs!$D$36)))</f>
        <v>0</v>
      </c>
      <c r="S724" s="35">
        <f>Inputs!$D$6*E724*Inputs!$D$27*(1-Inputs!$D$38*R724)</f>
        <v>4608.9620659755892</v>
      </c>
      <c r="T724" s="39">
        <f>S724*Inputs!$D$12</f>
        <v>73743.393055609427</v>
      </c>
      <c r="U724" s="39">
        <f>T724*(1-Inputs!$D$18)</f>
        <v>33184.526875024239</v>
      </c>
      <c r="V724" s="35">
        <f>Inputs!$D$6*F724*Inputs!$D$28*Inputs!$D$31</f>
        <v>547.7986113486553</v>
      </c>
      <c r="W724" s="36">
        <f>V724/(B724*Inputs!$D$34)</f>
        <v>1.5651388895675866</v>
      </c>
      <c r="X724" s="38">
        <f>IF(W724&gt;=1,999,W724/(Inputs!$D$34*(1-W724))*60)</f>
        <v>999</v>
      </c>
      <c r="Y724" s="37">
        <f>MIN(1,MAX(0,(X724-Inputs!$D$36)/(Inputs!$D$37-Inputs!$D$36)))</f>
        <v>1</v>
      </c>
      <c r="Z724" s="35">
        <f>Inputs!$D$6*F724*Inputs!$D$28*(1-Inputs!$D$38*Y724)</f>
        <v>2317.6095095520031</v>
      </c>
      <c r="AA724" s="39">
        <f>Z724*Inputs!$D$13</f>
        <v>19699.680831192025</v>
      </c>
      <c r="AB724" s="39">
        <f>AA724*(1-Inputs!$D$19)</f>
        <v>11819.808498715214</v>
      </c>
      <c r="AC724" s="39">
        <f t="shared" si="44"/>
        <v>336562.2788868015</v>
      </c>
      <c r="AD724" s="39">
        <f t="shared" si="45"/>
        <v>130096.05712373946</v>
      </c>
      <c r="AE724" s="36">
        <f t="shared" si="46"/>
        <v>1.5651388895675866</v>
      </c>
      <c r="AF724" s="35">
        <f>IF(AND(AE724&lt;=Inputs!$D$35,C724&gt;=Inputs!$D$48*(A724+B724+C724),B724*Inputs!$D$22&lt;=Inputs!$D$50*Inputs!$D$8,B724*Inputs!$D$22&gt;=Inputs!$D$49*Inputs!$D$8,A724*Inputs!$D$20&lt;=Inputs!$D$47*Inputs!$D$8,C724&gt;=1),1,0)</f>
        <v>0</v>
      </c>
      <c r="AG724" s="39">
        <f t="shared" si="47"/>
        <v>-1</v>
      </c>
    </row>
    <row r="725" spans="1:33" x14ac:dyDescent="0.25">
      <c r="A725" s="35">
        <v>55</v>
      </c>
      <c r="B725" s="35">
        <v>11</v>
      </c>
      <c r="C725" s="35">
        <f>Inputs!$D$8-A725-Inputs!$D$22*B725</f>
        <v>43</v>
      </c>
      <c r="D725" s="35">
        <f>A725*Inputs!$D$20+C725*Inputs!$D$21+B725*Inputs!$D$22</f>
        <v>120</v>
      </c>
      <c r="E725" s="36">
        <f>MIN(Inputs!$E$15,Inputs!$D$15*(C725/Inputs!$D$43)^Inputs!$D$44)</f>
        <v>0.38242114286867052</v>
      </c>
      <c r="F725" s="36">
        <f>MIN(Inputs!$E$16,Inputs!$D$16*(B725/Inputs!$D$42)^Inputs!$D$44)</f>
        <v>0.33432495758166098</v>
      </c>
      <c r="G725" s="37">
        <f>Inputs!$D$26*(1+Inputs!$D$41*(B725-Inputs!$D$42))</f>
        <v>1.365</v>
      </c>
      <c r="H725" s="35">
        <f>Inputs!$D$6*Inputs!$D$14*G725*Inputs!$D$29</f>
        <v>1715.0269500000002</v>
      </c>
      <c r="I725" s="36">
        <f>H725/(A725*Inputs!$D$32)</f>
        <v>0.56695105785123967</v>
      </c>
      <c r="J725" s="38">
        <f>IF(I725&gt;=1,999,I725/(Inputs!$D$32*(1-I725))*60)</f>
        <v>1.4282267035257641</v>
      </c>
      <c r="K725" s="37">
        <f>MIN(1,MAX(0,(J725-Inputs!$D$36)/(Inputs!$D$37-Inputs!$D$36)))</f>
        <v>0</v>
      </c>
      <c r="L725" s="35">
        <f>Inputs!$D$6*Inputs!$D$14*G725*(1-Inputs!$D$38*K725)</f>
        <v>11433.513000000001</v>
      </c>
      <c r="M725" s="39">
        <f>L725*Inputs!$D$11</f>
        <v>245820.5295</v>
      </c>
      <c r="N725" s="39">
        <f>M725*(1-Inputs!$D$17)</f>
        <v>86037.185324999999</v>
      </c>
      <c r="O725" s="35">
        <f>Inputs!$D$6*E725*Inputs!$D$27*Inputs!$D$30</f>
        <v>545.58341800044604</v>
      </c>
      <c r="P725" s="36">
        <f>O725/(C725*Inputs!$D$33)</f>
        <v>0.31719966162816632</v>
      </c>
      <c r="Q725" s="38">
        <f>IF(P725&gt;=1,999,P725/(Inputs!$D$33*(1-P725))*60)</f>
        <v>0.69683546668534679</v>
      </c>
      <c r="R725" s="37">
        <f>MIN(1,MAX(0,(Q725-Inputs!$D$36)/(Inputs!$D$37-Inputs!$D$36)))</f>
        <v>0</v>
      </c>
      <c r="S725" s="35">
        <f>Inputs!$D$6*E725*Inputs!$D$27*(1-Inputs!$D$38*R725)</f>
        <v>4546.5284833370506</v>
      </c>
      <c r="T725" s="39">
        <f>S725*Inputs!$D$12</f>
        <v>72744.45573339281</v>
      </c>
      <c r="U725" s="39">
        <f>T725*(1-Inputs!$D$18)</f>
        <v>32735.00508002676</v>
      </c>
      <c r="V725" s="35">
        <f>Inputs!$D$6*F725*Inputs!$D$28*Inputs!$D$31</f>
        <v>563.68792608064427</v>
      </c>
      <c r="W725" s="36">
        <f>V725/(B725*Inputs!$D$34)</f>
        <v>1.4641244833263487</v>
      </c>
      <c r="X725" s="38">
        <f>IF(W725&gt;=1,999,W725/(Inputs!$D$34*(1-W725))*60)</f>
        <v>999</v>
      </c>
      <c r="Y725" s="37">
        <f>MIN(1,MAX(0,(X725-Inputs!$D$36)/(Inputs!$D$37-Inputs!$D$36)))</f>
        <v>1</v>
      </c>
      <c r="Z725" s="35">
        <f>Inputs!$D$6*F725*Inputs!$D$28*(1-Inputs!$D$38*Y725)</f>
        <v>2384.8335334181106</v>
      </c>
      <c r="AA725" s="39">
        <f>Z725*Inputs!$D$13</f>
        <v>20271.08503405394</v>
      </c>
      <c r="AB725" s="39">
        <f>AA725*(1-Inputs!$D$19)</f>
        <v>12162.651020432364</v>
      </c>
      <c r="AC725" s="39">
        <f t="shared" si="44"/>
        <v>338836.07026744675</v>
      </c>
      <c r="AD725" s="39">
        <f t="shared" si="45"/>
        <v>130934.84142545913</v>
      </c>
      <c r="AE725" s="36">
        <f t="shared" si="46"/>
        <v>1.4641244833263487</v>
      </c>
      <c r="AF725" s="35">
        <f>IF(AND(AE725&lt;=Inputs!$D$35,C725&gt;=Inputs!$D$48*(A725+B725+C725),B725*Inputs!$D$22&lt;=Inputs!$D$50*Inputs!$D$8,B725*Inputs!$D$22&gt;=Inputs!$D$49*Inputs!$D$8,A725*Inputs!$D$20&lt;=Inputs!$D$47*Inputs!$D$8,C725&gt;=1),1,0)</f>
        <v>0</v>
      </c>
      <c r="AG725" s="39">
        <f t="shared" si="47"/>
        <v>-1</v>
      </c>
    </row>
    <row r="726" spans="1:33" x14ac:dyDescent="0.25">
      <c r="A726" s="35">
        <v>55</v>
      </c>
      <c r="B726" s="35">
        <v>12</v>
      </c>
      <c r="C726" s="35">
        <f>Inputs!$D$8-A726-Inputs!$D$22*B726</f>
        <v>41</v>
      </c>
      <c r="D726" s="35">
        <f>A726*Inputs!$D$20+C726*Inputs!$D$21+B726*Inputs!$D$22</f>
        <v>120</v>
      </c>
      <c r="E726" s="36">
        <f>MIN(Inputs!$E$15,Inputs!$D$15*(C726/Inputs!$D$43)^Inputs!$D$44)</f>
        <v>0.37699580304543617</v>
      </c>
      <c r="F726" s="36">
        <f>MIN(Inputs!$E$16,Inputs!$D$16*(B726/Inputs!$D$42)^Inputs!$D$44)</f>
        <v>0.34316688017763797</v>
      </c>
      <c r="G726" s="37">
        <f>Inputs!$D$26*(1+Inputs!$D$41*(B726-Inputs!$D$42))</f>
        <v>1.3800000000000001</v>
      </c>
      <c r="H726" s="35">
        <f>Inputs!$D$6*Inputs!$D$14*G726*Inputs!$D$29</f>
        <v>1733.8734000000004</v>
      </c>
      <c r="I726" s="36">
        <f>H726/(A726*Inputs!$D$32)</f>
        <v>0.57318128925619849</v>
      </c>
      <c r="J726" s="38">
        <f>IF(I726&gt;=1,999,I726/(Inputs!$D$32*(1-I726))*60)</f>
        <v>1.4649982848664536</v>
      </c>
      <c r="K726" s="37">
        <f>MIN(1,MAX(0,(J726-Inputs!$D$36)/(Inputs!$D$37-Inputs!$D$36)))</f>
        <v>0</v>
      </c>
      <c r="L726" s="35">
        <f>Inputs!$D$6*Inputs!$D$14*G726*(1-Inputs!$D$38*K726)</f>
        <v>11559.156000000003</v>
      </c>
      <c r="M726" s="39">
        <f>L726*Inputs!$D$11</f>
        <v>248521.85400000005</v>
      </c>
      <c r="N726" s="39">
        <f>M726*(1-Inputs!$D$17)</f>
        <v>86982.648900000015</v>
      </c>
      <c r="O726" s="35">
        <f>Inputs!$D$6*E726*Inputs!$D$27*Inputs!$D$30</f>
        <v>537.84332438958984</v>
      </c>
      <c r="P726" s="36">
        <f>O726/(C726*Inputs!$D$33)</f>
        <v>0.3279532465790182</v>
      </c>
      <c r="Q726" s="38">
        <f>IF(P726&gt;=1,999,P726/(Inputs!$D$33*(1-P726))*60)</f>
        <v>0.73198756985940516</v>
      </c>
      <c r="R726" s="37">
        <f>MIN(1,MAX(0,(Q726-Inputs!$D$36)/(Inputs!$D$37-Inputs!$D$36)))</f>
        <v>0</v>
      </c>
      <c r="S726" s="35">
        <f>Inputs!$D$6*E726*Inputs!$D$27*(1-Inputs!$D$38*R726)</f>
        <v>4482.027703246582</v>
      </c>
      <c r="T726" s="39">
        <f>S726*Inputs!$D$12</f>
        <v>71712.443251945311</v>
      </c>
      <c r="U726" s="39">
        <f>T726*(1-Inputs!$D$18)</f>
        <v>32270.599463375387</v>
      </c>
      <c r="V726" s="35">
        <f>Inputs!$D$6*F726*Inputs!$D$28*Inputs!$D$31</f>
        <v>578.5958319897461</v>
      </c>
      <c r="W726" s="36">
        <f>V726/(B726*Inputs!$D$34)</f>
        <v>1.3776091237851098</v>
      </c>
      <c r="X726" s="38">
        <f>IF(W726&gt;=1,999,W726/(Inputs!$D$34*(1-W726))*60)</f>
        <v>999</v>
      </c>
      <c r="Y726" s="37">
        <f>MIN(1,MAX(0,(X726-Inputs!$D$36)/(Inputs!$D$37-Inputs!$D$36)))</f>
        <v>1</v>
      </c>
      <c r="Z726" s="35">
        <f>Inputs!$D$6*F726*Inputs!$D$28*(1-Inputs!$D$38*Y726)</f>
        <v>2447.9054430335414</v>
      </c>
      <c r="AA726" s="39">
        <f>Z726*Inputs!$D$13</f>
        <v>20807.1962657851</v>
      </c>
      <c r="AB726" s="39">
        <f>AA726*(1-Inputs!$D$19)</f>
        <v>12484.31775947106</v>
      </c>
      <c r="AC726" s="39">
        <f t="shared" si="44"/>
        <v>341041.49351773044</v>
      </c>
      <c r="AD726" s="39">
        <f t="shared" si="45"/>
        <v>131737.56612284647</v>
      </c>
      <c r="AE726" s="36">
        <f t="shared" si="46"/>
        <v>1.3776091237851098</v>
      </c>
      <c r="AF726" s="35">
        <f>IF(AND(AE726&lt;=Inputs!$D$35,C726&gt;=Inputs!$D$48*(A726+B726+C726),B726*Inputs!$D$22&lt;=Inputs!$D$50*Inputs!$D$8,B726*Inputs!$D$22&gt;=Inputs!$D$49*Inputs!$D$8,A726*Inputs!$D$20&lt;=Inputs!$D$47*Inputs!$D$8,C726&gt;=1),1,0)</f>
        <v>0</v>
      </c>
      <c r="AG726" s="39">
        <f t="shared" si="47"/>
        <v>-1</v>
      </c>
    </row>
    <row r="727" spans="1:33" x14ac:dyDescent="0.25">
      <c r="A727" s="35">
        <v>55</v>
      </c>
      <c r="B727" s="35">
        <v>13</v>
      </c>
      <c r="C727" s="35">
        <f>Inputs!$D$8-A727-Inputs!$D$22*B727</f>
        <v>39</v>
      </c>
      <c r="D727" s="35">
        <f>A727*Inputs!$D$20+C727*Inputs!$D$21+B727*Inputs!$D$22</f>
        <v>120</v>
      </c>
      <c r="E727" s="36">
        <f>MIN(Inputs!$E$15,Inputs!$D$15*(C727/Inputs!$D$43)^Inputs!$D$44)</f>
        <v>0.37138190575462604</v>
      </c>
      <c r="F727" s="36">
        <f>MIN(Inputs!$E$16,Inputs!$D$16*(B727/Inputs!$D$42)^Inputs!$D$44)</f>
        <v>0.35150701637190523</v>
      </c>
      <c r="G727" s="37">
        <f>Inputs!$D$26*(1+Inputs!$D$41*(B727-Inputs!$D$42))</f>
        <v>1.395</v>
      </c>
      <c r="H727" s="35">
        <f>Inputs!$D$6*Inputs!$D$14*G727*Inputs!$D$29</f>
        <v>1752.7198500000002</v>
      </c>
      <c r="I727" s="36">
        <f>H727/(A727*Inputs!$D$32)</f>
        <v>0.57941152066115709</v>
      </c>
      <c r="J727" s="38">
        <f>IF(I727&gt;=1,999,I727/(Inputs!$D$32*(1-I727))*60)</f>
        <v>1.5028592705638131</v>
      </c>
      <c r="K727" s="37">
        <f>MIN(1,MAX(0,(J727-Inputs!$D$36)/(Inputs!$D$37-Inputs!$D$36)))</f>
        <v>0</v>
      </c>
      <c r="L727" s="35">
        <f>Inputs!$D$6*Inputs!$D$14*G727*(1-Inputs!$D$38*K727)</f>
        <v>11684.799000000001</v>
      </c>
      <c r="M727" s="39">
        <f>L727*Inputs!$D$11</f>
        <v>251223.17850000001</v>
      </c>
      <c r="N727" s="39">
        <f>M727*(1-Inputs!$D$17)</f>
        <v>87928.112475000002</v>
      </c>
      <c r="O727" s="35">
        <f>Inputs!$D$6*E727*Inputs!$D$27*Inputs!$D$30</f>
        <v>529.8342241362717</v>
      </c>
      <c r="P727" s="36">
        <f>O727/(C727*Inputs!$D$33)</f>
        <v>0.33963732316427675</v>
      </c>
      <c r="Q727" s="38">
        <f>IF(P727&gt;=1,999,P727/(Inputs!$D$33*(1-P727))*60)</f>
        <v>0.77147907145144612</v>
      </c>
      <c r="R727" s="37">
        <f>MIN(1,MAX(0,(Q727-Inputs!$D$36)/(Inputs!$D$37-Inputs!$D$36)))</f>
        <v>0</v>
      </c>
      <c r="S727" s="35">
        <f>Inputs!$D$6*E727*Inputs!$D$27*(1-Inputs!$D$38*R727)</f>
        <v>4415.2852011355981</v>
      </c>
      <c r="T727" s="39">
        <f>S727*Inputs!$D$12</f>
        <v>70644.563218169569</v>
      </c>
      <c r="U727" s="39">
        <f>T727*(1-Inputs!$D$18)</f>
        <v>31790.053448176302</v>
      </c>
      <c r="V727" s="35">
        <f>Inputs!$D$6*F727*Inputs!$D$28*Inputs!$D$31</f>
        <v>592.65770193981814</v>
      </c>
      <c r="W727" s="36">
        <f>V727/(B727*Inputs!$D$34)</f>
        <v>1.3025443998677322</v>
      </c>
      <c r="X727" s="38">
        <f>IF(W727&gt;=1,999,W727/(Inputs!$D$34*(1-W727))*60)</f>
        <v>999</v>
      </c>
      <c r="Y727" s="37">
        <f>MIN(1,MAX(0,(X727-Inputs!$D$36)/(Inputs!$D$37-Inputs!$D$36)))</f>
        <v>1</v>
      </c>
      <c r="Z727" s="35">
        <f>Inputs!$D$6*F727*Inputs!$D$28*(1-Inputs!$D$38*Y727)</f>
        <v>2507.3979697453847</v>
      </c>
      <c r="AA727" s="39">
        <f>Z727*Inputs!$D$13</f>
        <v>21312.882742835769</v>
      </c>
      <c r="AB727" s="39">
        <f>AA727*(1-Inputs!$D$19)</f>
        <v>12787.729645701462</v>
      </c>
      <c r="AC727" s="39">
        <f t="shared" si="44"/>
        <v>343180.62446100538</v>
      </c>
      <c r="AD727" s="39">
        <f t="shared" si="45"/>
        <v>132505.89556887778</v>
      </c>
      <c r="AE727" s="36">
        <f t="shared" si="46"/>
        <v>1.3025443998677322</v>
      </c>
      <c r="AF727" s="35">
        <f>IF(AND(AE727&lt;=Inputs!$D$35,C727&gt;=Inputs!$D$48*(A727+B727+C727),B727*Inputs!$D$22&lt;=Inputs!$D$50*Inputs!$D$8,B727*Inputs!$D$22&gt;=Inputs!$D$49*Inputs!$D$8,A727*Inputs!$D$20&lt;=Inputs!$D$47*Inputs!$D$8,C727&gt;=1),1,0)</f>
        <v>0</v>
      </c>
      <c r="AG727" s="39">
        <f t="shared" si="47"/>
        <v>-1</v>
      </c>
    </row>
    <row r="728" spans="1:33" x14ac:dyDescent="0.25">
      <c r="A728" s="35">
        <v>55</v>
      </c>
      <c r="B728" s="35">
        <v>14</v>
      </c>
      <c r="C728" s="35">
        <f>Inputs!$D$8-A728-Inputs!$D$22*B728</f>
        <v>37</v>
      </c>
      <c r="D728" s="35">
        <f>A728*Inputs!$D$20+C728*Inputs!$D$21+B728*Inputs!$D$22</f>
        <v>120</v>
      </c>
      <c r="E728" s="36">
        <f>MIN(Inputs!$E$15,Inputs!$D$15*(C728/Inputs!$D$43)^Inputs!$D$44)</f>
        <v>0.36556269939951974</v>
      </c>
      <c r="F728" s="36">
        <f>MIN(Inputs!$E$16,Inputs!$D$16*(B728/Inputs!$D$42)^Inputs!$D$44)</f>
        <v>0.35940937671625589</v>
      </c>
      <c r="G728" s="37">
        <f>Inputs!$D$26*(1+Inputs!$D$41*(B728-Inputs!$D$42))</f>
        <v>1.41</v>
      </c>
      <c r="H728" s="35">
        <f>Inputs!$D$6*Inputs!$D$14*G728*Inputs!$D$29</f>
        <v>1771.5663000000002</v>
      </c>
      <c r="I728" s="36">
        <f>H728/(A728*Inputs!$D$32)</f>
        <v>0.58564175206611579</v>
      </c>
      <c r="J728" s="38">
        <f>IF(I728&gt;=1,999,I728/(Inputs!$D$32*(1-I728))*60)</f>
        <v>1.5418588010025442</v>
      </c>
      <c r="K728" s="37">
        <f>MIN(1,MAX(0,(J728-Inputs!$D$36)/(Inputs!$D$37-Inputs!$D$36)))</f>
        <v>0</v>
      </c>
      <c r="L728" s="35">
        <f>Inputs!$D$6*Inputs!$D$14*G728*(1-Inputs!$D$38*K728)</f>
        <v>11810.442000000001</v>
      </c>
      <c r="M728" s="39">
        <f>L728*Inputs!$D$11</f>
        <v>253924.50300000003</v>
      </c>
      <c r="N728" s="39">
        <f>M728*(1-Inputs!$D$17)</f>
        <v>88873.576050000003</v>
      </c>
      <c r="O728" s="35">
        <f>Inputs!$D$6*E728*Inputs!$D$27*Inputs!$D$30</f>
        <v>521.5322184745213</v>
      </c>
      <c r="P728" s="36">
        <f>O728/(C728*Inputs!$D$33)</f>
        <v>0.35238663410440629</v>
      </c>
      <c r="Q728" s="38">
        <f>IF(P728&gt;=1,999,P728/(Inputs!$D$33*(1-P728))*60)</f>
        <v>0.81619679116046151</v>
      </c>
      <c r="R728" s="37">
        <f>MIN(1,MAX(0,(Q728-Inputs!$D$36)/(Inputs!$D$37-Inputs!$D$36)))</f>
        <v>0</v>
      </c>
      <c r="S728" s="35">
        <f>Inputs!$D$6*E728*Inputs!$D$27*(1-Inputs!$D$38*R728)</f>
        <v>4346.101820621011</v>
      </c>
      <c r="T728" s="39">
        <f>S728*Inputs!$D$12</f>
        <v>69537.629129936176</v>
      </c>
      <c r="U728" s="39">
        <f>T728*(1-Inputs!$D$18)</f>
        <v>31291.933108471276</v>
      </c>
      <c r="V728" s="35">
        <f>Inputs!$D$6*F728*Inputs!$D$28*Inputs!$D$31</f>
        <v>605.98146079368973</v>
      </c>
      <c r="W728" s="36">
        <f>V728/(B728*Inputs!$D$34)</f>
        <v>1.2366968587626321</v>
      </c>
      <c r="X728" s="38">
        <f>IF(W728&gt;=1,999,W728/(Inputs!$D$34*(1-W728))*60)</f>
        <v>999</v>
      </c>
      <c r="Y728" s="37">
        <f>MIN(1,MAX(0,(X728-Inputs!$D$36)/(Inputs!$D$37-Inputs!$D$36)))</f>
        <v>1</v>
      </c>
      <c r="Z728" s="35">
        <f>Inputs!$D$6*F728*Inputs!$D$28*(1-Inputs!$D$38*Y728)</f>
        <v>2563.7677187425338</v>
      </c>
      <c r="AA728" s="39">
        <f>Z728*Inputs!$D$13</f>
        <v>21792.025609311539</v>
      </c>
      <c r="AB728" s="39">
        <f>AA728*(1-Inputs!$D$19)</f>
        <v>13075.215365586922</v>
      </c>
      <c r="AC728" s="39">
        <f t="shared" si="44"/>
        <v>345254.15773924772</v>
      </c>
      <c r="AD728" s="39">
        <f t="shared" si="45"/>
        <v>133240.7245240582</v>
      </c>
      <c r="AE728" s="36">
        <f t="shared" si="46"/>
        <v>1.2366968587626321</v>
      </c>
      <c r="AF728" s="35">
        <f>IF(AND(AE728&lt;=Inputs!$D$35,C728&gt;=Inputs!$D$48*(A728+B728+C728),B728*Inputs!$D$22&lt;=Inputs!$D$50*Inputs!$D$8,B728*Inputs!$D$22&gt;=Inputs!$D$49*Inputs!$D$8,A728*Inputs!$D$20&lt;=Inputs!$D$47*Inputs!$D$8,C728&gt;=1),1,0)</f>
        <v>0</v>
      </c>
      <c r="AG728" s="39">
        <f t="shared" si="47"/>
        <v>-1</v>
      </c>
    </row>
    <row r="729" spans="1:33" x14ac:dyDescent="0.25">
      <c r="A729" s="35">
        <v>55</v>
      </c>
      <c r="B729" s="35">
        <v>15</v>
      </c>
      <c r="C729" s="35">
        <f>Inputs!$D$8-A729-Inputs!$D$22*B729</f>
        <v>35</v>
      </c>
      <c r="D729" s="35">
        <f>A729*Inputs!$D$20+C729*Inputs!$D$21+B729*Inputs!$D$22</f>
        <v>120</v>
      </c>
      <c r="E729" s="36">
        <f>MIN(Inputs!$E$15,Inputs!$D$15*(C729/Inputs!$D$43)^Inputs!$D$44)</f>
        <v>0.3595189375764975</v>
      </c>
      <c r="F729" s="36">
        <f>MIN(Inputs!$E$16,Inputs!$D$16*(B729/Inputs!$D$42)^Inputs!$D$44)</f>
        <v>0.36692590185696072</v>
      </c>
      <c r="G729" s="37">
        <f>Inputs!$D$26*(1+Inputs!$D$41*(B729-Inputs!$D$42))</f>
        <v>1.4249999999999998</v>
      </c>
      <c r="H729" s="35">
        <f>Inputs!$D$6*Inputs!$D$14*G729*Inputs!$D$29</f>
        <v>1790.4127499999997</v>
      </c>
      <c r="I729" s="36">
        <f>H729/(A729*Inputs!$D$32)</f>
        <v>0.59187198347107428</v>
      </c>
      <c r="J729" s="38">
        <f>IF(I729&gt;=1,999,I729/(Inputs!$D$32*(1-I729))*60)</f>
        <v>1.5820490171549597</v>
      </c>
      <c r="K729" s="37">
        <f>MIN(1,MAX(0,(J729-Inputs!$D$36)/(Inputs!$D$37-Inputs!$D$36)))</f>
        <v>0</v>
      </c>
      <c r="L729" s="35">
        <f>Inputs!$D$6*Inputs!$D$14*G729*(1-Inputs!$D$38*K729)</f>
        <v>11936.084999999999</v>
      </c>
      <c r="M729" s="39">
        <f>L729*Inputs!$D$11</f>
        <v>256625.82749999998</v>
      </c>
      <c r="N729" s="39">
        <f>M729*(1-Inputs!$D$17)</f>
        <v>89819.03962499999</v>
      </c>
      <c r="O729" s="35">
        <f>Inputs!$D$6*E729*Inputs!$D$27*Inputs!$D$30</f>
        <v>512.90984940713565</v>
      </c>
      <c r="P729" s="36">
        <f>O729/(C729*Inputs!$D$33)</f>
        <v>0.36636417814795402</v>
      </c>
      <c r="Q729" s="38">
        <f>IF(P729&gt;=1,999,P729/(Inputs!$D$33*(1-P729))*60)</f>
        <v>0.86729040289368331</v>
      </c>
      <c r="R729" s="37">
        <f>MIN(1,MAX(0,(Q729-Inputs!$D$36)/(Inputs!$D$37-Inputs!$D$36)))</f>
        <v>0</v>
      </c>
      <c r="S729" s="35">
        <f>Inputs!$D$6*E729*Inputs!$D$27*(1-Inputs!$D$38*R729)</f>
        <v>4274.2487450594635</v>
      </c>
      <c r="T729" s="39">
        <f>S729*Inputs!$D$12</f>
        <v>68387.979920951417</v>
      </c>
      <c r="U729" s="39">
        <f>T729*(1-Inputs!$D$18)</f>
        <v>30774.590964428135</v>
      </c>
      <c r="V729" s="35">
        <f>Inputs!$D$6*F729*Inputs!$D$28*Inputs!$D$31</f>
        <v>618.65468297412497</v>
      </c>
      <c r="W729" s="36">
        <f>V729/(B729*Inputs!$D$34)</f>
        <v>1.1783898723316666</v>
      </c>
      <c r="X729" s="38">
        <f>IF(W729&gt;=1,999,W729/(Inputs!$D$34*(1-W729))*60)</f>
        <v>999</v>
      </c>
      <c r="Y729" s="37">
        <f>MIN(1,MAX(0,(X729-Inputs!$D$36)/(Inputs!$D$37-Inputs!$D$36)))</f>
        <v>1</v>
      </c>
      <c r="Z729" s="35">
        <f>Inputs!$D$6*F729*Inputs!$D$28*(1-Inputs!$D$38*Y729)</f>
        <v>2617.3851971982212</v>
      </c>
      <c r="AA729" s="39">
        <f>Z729*Inputs!$D$13</f>
        <v>22247.774176184881</v>
      </c>
      <c r="AB729" s="39">
        <f>AA729*(1-Inputs!$D$19)</f>
        <v>13348.664505710929</v>
      </c>
      <c r="AC729" s="39">
        <f t="shared" si="44"/>
        <v>347261.58159713633</v>
      </c>
      <c r="AD729" s="39">
        <f t="shared" si="45"/>
        <v>133942.29509513907</v>
      </c>
      <c r="AE729" s="36">
        <f t="shared" si="46"/>
        <v>1.1783898723316666</v>
      </c>
      <c r="AF729" s="35">
        <f>IF(AND(AE729&lt;=Inputs!$D$35,C729&gt;=Inputs!$D$48*(A729+B729+C729),B729*Inputs!$D$22&lt;=Inputs!$D$50*Inputs!$D$8,B729*Inputs!$D$22&gt;=Inputs!$D$49*Inputs!$D$8,A729*Inputs!$D$20&lt;=Inputs!$D$47*Inputs!$D$8,C729&gt;=1),1,0)</f>
        <v>0</v>
      </c>
      <c r="AG729" s="39">
        <f t="shared" si="47"/>
        <v>-1</v>
      </c>
    </row>
    <row r="730" spans="1:33" x14ac:dyDescent="0.25">
      <c r="A730" s="35">
        <v>55</v>
      </c>
      <c r="B730" s="35">
        <v>16</v>
      </c>
      <c r="C730" s="35">
        <f>Inputs!$D$8-A730-Inputs!$D$22*B730</f>
        <v>33</v>
      </c>
      <c r="D730" s="35">
        <f>A730*Inputs!$D$20+C730*Inputs!$D$21+B730*Inputs!$D$22</f>
        <v>120</v>
      </c>
      <c r="E730" s="36">
        <f>MIN(Inputs!$E$15,Inputs!$D$15*(C730/Inputs!$D$43)^Inputs!$D$44)</f>
        <v>0.35322833999035824</v>
      </c>
      <c r="F730" s="36">
        <f>MIN(Inputs!$E$16,Inputs!$D$16*(B730/Inputs!$D$42)^Inputs!$D$44)</f>
        <v>0.37409937912904856</v>
      </c>
      <c r="G730" s="37">
        <f>Inputs!$D$26*(1+Inputs!$D$41*(B730-Inputs!$D$42))</f>
        <v>1.44</v>
      </c>
      <c r="H730" s="35">
        <f>Inputs!$D$6*Inputs!$D$14*G730*Inputs!$D$29</f>
        <v>1809.2592000000002</v>
      </c>
      <c r="I730" s="36">
        <f>H730/(A730*Inputs!$D$32)</f>
        <v>0.5981022148760331</v>
      </c>
      <c r="J730" s="38">
        <f>IF(I730&gt;=1,999,I730/(Inputs!$D$32*(1-I730))*60)</f>
        <v>1.6234852931569865</v>
      </c>
      <c r="K730" s="37">
        <f>MIN(1,MAX(0,(J730-Inputs!$D$36)/(Inputs!$D$37-Inputs!$D$36)))</f>
        <v>0</v>
      </c>
      <c r="L730" s="35">
        <f>Inputs!$D$6*Inputs!$D$14*G730*(1-Inputs!$D$38*K730)</f>
        <v>12061.728000000001</v>
      </c>
      <c r="M730" s="39">
        <f>L730*Inputs!$D$11</f>
        <v>259327.15200000003</v>
      </c>
      <c r="N730" s="39">
        <f>M730*(1-Inputs!$D$17)</f>
        <v>90764.503200000006</v>
      </c>
      <c r="O730" s="35">
        <f>Inputs!$D$6*E730*Inputs!$D$27*Inputs!$D$30</f>
        <v>503.93533061728459</v>
      </c>
      <c r="P730" s="36">
        <f>O730/(C730*Inputs!$D$33)</f>
        <v>0.38176918986157926</v>
      </c>
      <c r="Q730" s="38">
        <f>IF(P730&gt;=1,999,P730/(Inputs!$D$33*(1-P730))*60)</f>
        <v>0.92627830156855617</v>
      </c>
      <c r="R730" s="37">
        <f>MIN(1,MAX(0,(Q730-Inputs!$D$36)/(Inputs!$D$37-Inputs!$D$36)))</f>
        <v>0</v>
      </c>
      <c r="S730" s="35">
        <f>Inputs!$D$6*E730*Inputs!$D$27*(1-Inputs!$D$38*R730)</f>
        <v>4199.461088477372</v>
      </c>
      <c r="T730" s="39">
        <f>S730*Inputs!$D$12</f>
        <v>67191.377415637951</v>
      </c>
      <c r="U730" s="39">
        <f>T730*(1-Inputs!$D$18)</f>
        <v>30236.119837037077</v>
      </c>
      <c r="V730" s="35">
        <f>Inputs!$D$6*F730*Inputs!$D$28*Inputs!$D$31</f>
        <v>630.74950998177405</v>
      </c>
      <c r="W730" s="36">
        <f>V730/(B730*Inputs!$D$34)</f>
        <v>1.1263384106817393</v>
      </c>
      <c r="X730" s="38">
        <f>IF(W730&gt;=1,999,W730/(Inputs!$D$34*(1-W730))*60)</f>
        <v>999</v>
      </c>
      <c r="Y730" s="37">
        <f>MIN(1,MAX(0,(X730-Inputs!$D$36)/(Inputs!$D$37-Inputs!$D$36)))</f>
        <v>1</v>
      </c>
      <c r="Z730" s="35">
        <f>Inputs!$D$6*F730*Inputs!$D$28*(1-Inputs!$D$38*Y730)</f>
        <v>2668.5556191536598</v>
      </c>
      <c r="AA730" s="39">
        <f>Z730*Inputs!$D$13</f>
        <v>22682.722762806108</v>
      </c>
      <c r="AB730" s="39">
        <f>AA730*(1-Inputs!$D$19)</f>
        <v>13609.633657683664</v>
      </c>
      <c r="AC730" s="39">
        <f t="shared" si="44"/>
        <v>349201.25217844406</v>
      </c>
      <c r="AD730" s="39">
        <f t="shared" si="45"/>
        <v>134610.25669472077</v>
      </c>
      <c r="AE730" s="36">
        <f t="shared" si="46"/>
        <v>1.1263384106817393</v>
      </c>
      <c r="AF730" s="35">
        <f>IF(AND(AE730&lt;=Inputs!$D$35,C730&gt;=Inputs!$D$48*(A730+B730+C730),B730*Inputs!$D$22&lt;=Inputs!$D$50*Inputs!$D$8,B730*Inputs!$D$22&gt;=Inputs!$D$49*Inputs!$D$8,A730*Inputs!$D$20&lt;=Inputs!$D$47*Inputs!$D$8,C730&gt;=1),1,0)</f>
        <v>0</v>
      </c>
      <c r="AG730" s="39">
        <f t="shared" si="47"/>
        <v>-1</v>
      </c>
    </row>
    <row r="731" spans="1:33" x14ac:dyDescent="0.25">
      <c r="A731" s="35">
        <v>55</v>
      </c>
      <c r="B731" s="35">
        <v>17</v>
      </c>
      <c r="C731" s="35">
        <f>Inputs!$D$8-A731-Inputs!$D$22*B731</f>
        <v>31</v>
      </c>
      <c r="D731" s="35">
        <f>A731*Inputs!$D$20+C731*Inputs!$D$21+B731*Inputs!$D$22</f>
        <v>120</v>
      </c>
      <c r="E731" s="36">
        <f>MIN(Inputs!$E$15,Inputs!$D$15*(C731/Inputs!$D$43)^Inputs!$D$44)</f>
        <v>0.34666489615699225</v>
      </c>
      <c r="F731" s="36">
        <f>MIN(Inputs!$E$16,Inputs!$D$16*(B731/Inputs!$D$42)^Inputs!$D$44)</f>
        <v>0.3809655184437048</v>
      </c>
      <c r="G731" s="37">
        <f>Inputs!$D$26*(1+Inputs!$D$41*(B731-Inputs!$D$42))</f>
        <v>1.4550000000000001</v>
      </c>
      <c r="H731" s="35">
        <f>Inputs!$D$6*Inputs!$D$14*G731*Inputs!$D$29</f>
        <v>1828.1056500000002</v>
      </c>
      <c r="I731" s="36">
        <f>H731/(A731*Inputs!$D$32)</f>
        <v>0.60433244628099181</v>
      </c>
      <c r="J731" s="38">
        <f>IF(I731&gt;=1,999,I731/(Inputs!$D$32*(1-I731))*60)</f>
        <v>1.66622649085717</v>
      </c>
      <c r="K731" s="37">
        <f>MIN(1,MAX(0,(J731-Inputs!$D$36)/(Inputs!$D$37-Inputs!$D$36)))</f>
        <v>0</v>
      </c>
      <c r="L731" s="35">
        <f>Inputs!$D$6*Inputs!$D$14*G731*(1-Inputs!$D$38*K731)</f>
        <v>12187.371000000001</v>
      </c>
      <c r="M731" s="39">
        <f>L731*Inputs!$D$11</f>
        <v>262028.47650000002</v>
      </c>
      <c r="N731" s="39">
        <f>M731*(1-Inputs!$D$17)</f>
        <v>91709.966775000008</v>
      </c>
      <c r="O731" s="35">
        <f>Inputs!$D$6*E731*Inputs!$D$27*Inputs!$D$30</f>
        <v>494.57155409174993</v>
      </c>
      <c r="P731" s="36">
        <f>O731/(C731*Inputs!$D$33)</f>
        <v>0.39884802749334675</v>
      </c>
      <c r="Q731" s="38">
        <f>IF(P731&gt;=1,999,P731/(Inputs!$D$33*(1-P731))*60)</f>
        <v>0.9952093124561755</v>
      </c>
      <c r="R731" s="37">
        <f>MIN(1,MAX(0,(Q731-Inputs!$D$36)/(Inputs!$D$37-Inputs!$D$36)))</f>
        <v>0</v>
      </c>
      <c r="S731" s="35">
        <f>Inputs!$D$6*E731*Inputs!$D$27*(1-Inputs!$D$38*R731)</f>
        <v>4121.4296174312494</v>
      </c>
      <c r="T731" s="39">
        <f>S731*Inputs!$D$12</f>
        <v>65942.873878899991</v>
      </c>
      <c r="U731" s="39">
        <f>T731*(1-Inputs!$D$18)</f>
        <v>29674.293245504992</v>
      </c>
      <c r="V731" s="35">
        <f>Inputs!$D$6*F731*Inputs!$D$28*Inputs!$D$31</f>
        <v>642.32615044097156</v>
      </c>
      <c r="W731" s="36">
        <f>V731/(B731*Inputs!$D$34)</f>
        <v>1.0795397486402882</v>
      </c>
      <c r="X731" s="38">
        <f>IF(W731&gt;=1,999,W731/(Inputs!$D$34*(1-W731))*60)</f>
        <v>999</v>
      </c>
      <c r="Y731" s="37">
        <f>MIN(1,MAX(0,(X731-Inputs!$D$36)/(Inputs!$D$37-Inputs!$D$36)))</f>
        <v>1</v>
      </c>
      <c r="Z731" s="35">
        <f>Inputs!$D$6*F731*Inputs!$D$28*(1-Inputs!$D$38*Y731)</f>
        <v>2717.5337134041106</v>
      </c>
      <c r="AA731" s="39">
        <f>Z731*Inputs!$D$13</f>
        <v>23099.03656393494</v>
      </c>
      <c r="AB731" s="39">
        <f>AA731*(1-Inputs!$D$19)</f>
        <v>13859.421938360963</v>
      </c>
      <c r="AC731" s="39">
        <f t="shared" si="44"/>
        <v>351070.38694283494</v>
      </c>
      <c r="AD731" s="39">
        <f t="shared" si="45"/>
        <v>135243.68195886596</v>
      </c>
      <c r="AE731" s="36">
        <f t="shared" si="46"/>
        <v>1.0795397486402882</v>
      </c>
      <c r="AF731" s="35">
        <f>IF(AND(AE731&lt;=Inputs!$D$35,C731&gt;=Inputs!$D$48*(A731+B731+C731),B731*Inputs!$D$22&lt;=Inputs!$D$50*Inputs!$D$8,B731*Inputs!$D$22&gt;=Inputs!$D$49*Inputs!$D$8,A731*Inputs!$D$20&lt;=Inputs!$D$47*Inputs!$D$8,C731&gt;=1),1,0)</f>
        <v>0</v>
      </c>
      <c r="AG731" s="39">
        <f t="shared" si="47"/>
        <v>-1</v>
      </c>
    </row>
    <row r="732" spans="1:33" x14ac:dyDescent="0.25">
      <c r="A732" s="35">
        <v>55</v>
      </c>
      <c r="B732" s="35">
        <v>18</v>
      </c>
      <c r="C732" s="35">
        <f>Inputs!$D$8-A732-Inputs!$D$22*B732</f>
        <v>29</v>
      </c>
      <c r="D732" s="35">
        <f>A732*Inputs!$D$20+C732*Inputs!$D$21+B732*Inputs!$D$22</f>
        <v>120</v>
      </c>
      <c r="E732" s="36">
        <f>MIN(Inputs!$E$15,Inputs!$D$15*(C732/Inputs!$D$43)^Inputs!$D$44)</f>
        <v>0.33979795258455459</v>
      </c>
      <c r="F732" s="36">
        <f>MIN(Inputs!$E$16,Inputs!$D$16*(B732/Inputs!$D$42)^Inputs!$D$44)</f>
        <v>0.38755446447890535</v>
      </c>
      <c r="G732" s="37">
        <f>Inputs!$D$26*(1+Inputs!$D$41*(B732-Inputs!$D$42))</f>
        <v>1.47</v>
      </c>
      <c r="H732" s="35">
        <f>Inputs!$D$6*Inputs!$D$14*G732*Inputs!$D$29</f>
        <v>1846.9521</v>
      </c>
      <c r="I732" s="36">
        <f>H732/(A732*Inputs!$D$32)</f>
        <v>0.61056267768595041</v>
      </c>
      <c r="J732" s="38">
        <f>IF(I732&gt;=1,999,I732/(Inputs!$D$32*(1-I732))*60)</f>
        <v>1.7103352387994037</v>
      </c>
      <c r="K732" s="37">
        <f>MIN(1,MAX(0,(J732-Inputs!$D$36)/(Inputs!$D$37-Inputs!$D$36)))</f>
        <v>0</v>
      </c>
      <c r="L732" s="35">
        <f>Inputs!$D$6*Inputs!$D$14*G732*(1-Inputs!$D$38*K732)</f>
        <v>12313.014000000001</v>
      </c>
      <c r="M732" s="39">
        <f>L732*Inputs!$D$11</f>
        <v>264729.80100000004</v>
      </c>
      <c r="N732" s="39">
        <f>M732*(1-Inputs!$D$17)</f>
        <v>92655.43035000001</v>
      </c>
      <c r="O732" s="35">
        <f>Inputs!$D$6*E732*Inputs!$D$27*Inputs!$D$30</f>
        <v>484.77478784247035</v>
      </c>
      <c r="P732" s="36">
        <f>O732/(C732*Inputs!$D$33)</f>
        <v>0.41790929986419856</v>
      </c>
      <c r="Q732" s="38">
        <f>IF(P732&gt;=1,999,P732/(Inputs!$D$33*(1-P732))*60)</f>
        <v>1.0769179951681944</v>
      </c>
      <c r="R732" s="37">
        <f>MIN(1,MAX(0,(Q732-Inputs!$D$36)/(Inputs!$D$37-Inputs!$D$36)))</f>
        <v>0</v>
      </c>
      <c r="S732" s="35">
        <f>Inputs!$D$6*E732*Inputs!$D$27*(1-Inputs!$D$38*R732)</f>
        <v>4039.7898986872528</v>
      </c>
      <c r="T732" s="39">
        <f>S732*Inputs!$D$12</f>
        <v>64636.638378996046</v>
      </c>
      <c r="U732" s="39">
        <f>T732*(1-Inputs!$D$18)</f>
        <v>29086.487270548219</v>
      </c>
      <c r="V732" s="35">
        <f>Inputs!$D$6*F732*Inputs!$D$28*Inputs!$D$31</f>
        <v>653.43542972572936</v>
      </c>
      <c r="W732" s="36">
        <f>V732/(B732*Inputs!$D$34)</f>
        <v>1.037199094802745</v>
      </c>
      <c r="X732" s="38">
        <f>IF(W732&gt;=1,999,W732/(Inputs!$D$34*(1-W732))*60)</f>
        <v>999</v>
      </c>
      <c r="Y732" s="37">
        <f>MIN(1,MAX(0,(X732-Inputs!$D$36)/(Inputs!$D$37-Inputs!$D$36)))</f>
        <v>1</v>
      </c>
      <c r="Z732" s="35">
        <f>Inputs!$D$6*F732*Inputs!$D$28*(1-Inputs!$D$38*Y732)</f>
        <v>2764.534510378086</v>
      </c>
      <c r="AA732" s="39">
        <f>Z732*Inputs!$D$13</f>
        <v>23498.543338213731</v>
      </c>
      <c r="AB732" s="39">
        <f>AA732*(1-Inputs!$D$19)</f>
        <v>14099.126002928238</v>
      </c>
      <c r="AC732" s="39">
        <f t="shared" si="44"/>
        <v>352864.98271720984</v>
      </c>
      <c r="AD732" s="39">
        <f t="shared" si="45"/>
        <v>135841.04362347646</v>
      </c>
      <c r="AE732" s="36">
        <f t="shared" si="46"/>
        <v>1.037199094802745</v>
      </c>
      <c r="AF732" s="35">
        <f>IF(AND(AE732&lt;=Inputs!$D$35,C732&gt;=Inputs!$D$48*(A732+B732+C732),B732*Inputs!$D$22&lt;=Inputs!$D$50*Inputs!$D$8,B732*Inputs!$D$22&gt;=Inputs!$D$49*Inputs!$D$8,A732*Inputs!$D$20&lt;=Inputs!$D$47*Inputs!$D$8,C732&gt;=1),1,0)</f>
        <v>0</v>
      </c>
      <c r="AG732" s="39">
        <f t="shared" si="47"/>
        <v>-1</v>
      </c>
    </row>
    <row r="733" spans="1:33" x14ac:dyDescent="0.25">
      <c r="A733" s="35">
        <v>55</v>
      </c>
      <c r="B733" s="35">
        <v>19</v>
      </c>
      <c r="C733" s="35">
        <f>Inputs!$D$8-A733-Inputs!$D$22*B733</f>
        <v>27</v>
      </c>
      <c r="D733" s="35">
        <f>A733*Inputs!$D$20+C733*Inputs!$D$21+B733*Inputs!$D$22</f>
        <v>120</v>
      </c>
      <c r="E733" s="36">
        <f>MIN(Inputs!$E$15,Inputs!$D$15*(C733/Inputs!$D$43)^Inputs!$D$44)</f>
        <v>0.33259099594532748</v>
      </c>
      <c r="F733" s="36">
        <f>MIN(Inputs!$E$16,Inputs!$D$16*(B733/Inputs!$D$42)^Inputs!$D$44)</f>
        <v>0.39389192072703005</v>
      </c>
      <c r="G733" s="37">
        <f>Inputs!$D$26*(1+Inputs!$D$41*(B733-Inputs!$D$42))</f>
        <v>1.4849999999999999</v>
      </c>
      <c r="H733" s="35">
        <f>Inputs!$D$6*Inputs!$D$14*G733*Inputs!$D$29</f>
        <v>1865.7985499999998</v>
      </c>
      <c r="I733" s="36">
        <f>H733/(A733*Inputs!$D$32)</f>
        <v>0.616792909090909</v>
      </c>
      <c r="J733" s="38">
        <f>IF(I733&gt;=1,999,I733/(Inputs!$D$32*(1-I733))*60)</f>
        <v>1.7558782384200773</v>
      </c>
      <c r="K733" s="37">
        <f>MIN(1,MAX(0,(J733-Inputs!$D$36)/(Inputs!$D$37-Inputs!$D$36)))</f>
        <v>0</v>
      </c>
      <c r="L733" s="35">
        <f>Inputs!$D$6*Inputs!$D$14*G733*(1-Inputs!$D$38*K733)</f>
        <v>12438.656999999999</v>
      </c>
      <c r="M733" s="39">
        <f>L733*Inputs!$D$11</f>
        <v>267431.12549999997</v>
      </c>
      <c r="N733" s="39">
        <f>M733*(1-Inputs!$D$17)</f>
        <v>93600.893924999982</v>
      </c>
      <c r="O733" s="35">
        <f>Inputs!$D$6*E733*Inputs!$D$27*Inputs!$D$30</f>
        <v>474.49293991137716</v>
      </c>
      <c r="P733" s="36">
        <f>O733/(C733*Inputs!$D$33)</f>
        <v>0.43934531473275662</v>
      </c>
      <c r="Q733" s="38">
        <f>IF(P733&gt;=1,999,P733/(Inputs!$D$33*(1-P733))*60)</f>
        <v>1.1754436187133714</v>
      </c>
      <c r="R733" s="37">
        <f>MIN(1,MAX(0,(Q733-Inputs!$D$36)/(Inputs!$D$37-Inputs!$D$36)))</f>
        <v>0</v>
      </c>
      <c r="S733" s="35">
        <f>Inputs!$D$6*E733*Inputs!$D$27*(1-Inputs!$D$38*R733)</f>
        <v>3954.1078325948097</v>
      </c>
      <c r="T733" s="39">
        <f>S733*Inputs!$D$12</f>
        <v>63265.725321516955</v>
      </c>
      <c r="U733" s="39">
        <f>T733*(1-Inputs!$D$18)</f>
        <v>28469.576394682626</v>
      </c>
      <c r="V733" s="35">
        <f>Inputs!$D$6*F733*Inputs!$D$28*Inputs!$D$31</f>
        <v>664.12068515796761</v>
      </c>
      <c r="W733" s="36">
        <f>V733/(B733*Inputs!$D$34)</f>
        <v>0.99867772204205651</v>
      </c>
      <c r="X733" s="38">
        <f>IF(W733&gt;=1,999,W733/(Inputs!$D$34*(1-W733))*60)</f>
        <v>1294.749671797274</v>
      </c>
      <c r="Y733" s="37">
        <f>MIN(1,MAX(0,(X733-Inputs!$D$36)/(Inputs!$D$37-Inputs!$D$36)))</f>
        <v>1</v>
      </c>
      <c r="Z733" s="35">
        <f>Inputs!$D$6*F733*Inputs!$D$28*(1-Inputs!$D$38*Y733)</f>
        <v>2809.7413602837091</v>
      </c>
      <c r="AA733" s="39">
        <f>Z733*Inputs!$D$13</f>
        <v>23882.801562411529</v>
      </c>
      <c r="AB733" s="39">
        <f>AA733*(1-Inputs!$D$19)</f>
        <v>14329.680937446918</v>
      </c>
      <c r="AC733" s="39">
        <f t="shared" si="44"/>
        <v>354579.65238392848</v>
      </c>
      <c r="AD733" s="39">
        <f t="shared" si="45"/>
        <v>136400.15125712953</v>
      </c>
      <c r="AE733" s="36">
        <f t="shared" si="46"/>
        <v>0.99867772204205651</v>
      </c>
      <c r="AF733" s="35">
        <f>IF(AND(AE733&lt;=Inputs!$D$35,C733&gt;=Inputs!$D$48*(A733+B733+C733),B733*Inputs!$D$22&lt;=Inputs!$D$50*Inputs!$D$8,B733*Inputs!$D$22&gt;=Inputs!$D$49*Inputs!$D$8,A733*Inputs!$D$20&lt;=Inputs!$D$47*Inputs!$D$8,C733&gt;=1),1,0)</f>
        <v>0</v>
      </c>
      <c r="AG733" s="39">
        <f t="shared" si="47"/>
        <v>-1</v>
      </c>
    </row>
    <row r="734" spans="1:33" x14ac:dyDescent="0.25">
      <c r="A734" s="35">
        <v>55</v>
      </c>
      <c r="B734" s="35">
        <v>20</v>
      </c>
      <c r="C734" s="35">
        <f>Inputs!$D$8-A734-Inputs!$D$22*B734</f>
        <v>25</v>
      </c>
      <c r="D734" s="35">
        <f>A734*Inputs!$D$20+C734*Inputs!$D$21+B734*Inputs!$D$22</f>
        <v>120</v>
      </c>
      <c r="E734" s="36">
        <f>MIN(Inputs!$E$15,Inputs!$D$15*(C734/Inputs!$D$43)^Inputs!$D$44)</f>
        <v>0.32500000000000001</v>
      </c>
      <c r="F734" s="36">
        <f>MIN(Inputs!$E$16,Inputs!$D$16*(B734/Inputs!$D$42)^Inputs!$D$44)</f>
        <v>0.4</v>
      </c>
      <c r="G734" s="37">
        <f>Inputs!$D$26*(1+Inputs!$D$41*(B734-Inputs!$D$42))</f>
        <v>1.5</v>
      </c>
      <c r="H734" s="35">
        <f>Inputs!$D$6*Inputs!$D$14*G734*Inputs!$D$29</f>
        <v>1884.645</v>
      </c>
      <c r="I734" s="36">
        <f>H734/(A734*Inputs!$D$32)</f>
        <v>0.62302314049586771</v>
      </c>
      <c r="J734" s="38">
        <f>IF(I734&gt;=1,999,I734/(Inputs!$D$32*(1-I734))*60)</f>
        <v>1.802926600608024</v>
      </c>
      <c r="K734" s="37">
        <f>MIN(1,MAX(0,(J734-Inputs!$D$36)/(Inputs!$D$37-Inputs!$D$36)))</f>
        <v>0</v>
      </c>
      <c r="L734" s="35">
        <f>Inputs!$D$6*Inputs!$D$14*G734*(1-Inputs!$D$38*K734)</f>
        <v>12564.300000000001</v>
      </c>
      <c r="M734" s="39">
        <f>L734*Inputs!$D$11</f>
        <v>270132.45</v>
      </c>
      <c r="N734" s="39">
        <f>M734*(1-Inputs!$D$17)</f>
        <v>94546.357499999998</v>
      </c>
      <c r="O734" s="35">
        <f>Inputs!$D$6*E734*Inputs!$D$27*Inputs!$D$30</f>
        <v>463.66320000000002</v>
      </c>
      <c r="P734" s="36">
        <f>O734/(C734*Inputs!$D$33)</f>
        <v>0.4636632</v>
      </c>
      <c r="Q734" s="38">
        <f>IF(P734&gt;=1,999,P734/(Inputs!$D$33*(1-P734))*60)</f>
        <v>1.296750101801704</v>
      </c>
      <c r="R734" s="37">
        <f>MIN(1,MAX(0,(Q734-Inputs!$D$36)/(Inputs!$D$37-Inputs!$D$36)))</f>
        <v>0</v>
      </c>
      <c r="S734" s="35">
        <f>Inputs!$D$6*E734*Inputs!$D$27*(1-Inputs!$D$38*R734)</f>
        <v>3863.86</v>
      </c>
      <c r="T734" s="39">
        <f>S734*Inputs!$D$12</f>
        <v>61821.760000000002</v>
      </c>
      <c r="U734" s="39">
        <f>T734*(1-Inputs!$D$18)</f>
        <v>27819.791999999998</v>
      </c>
      <c r="V734" s="35">
        <f>Inputs!$D$6*F734*Inputs!$D$28*Inputs!$D$31</f>
        <v>674.41919999999993</v>
      </c>
      <c r="W734" s="36">
        <f>V734/(B734*Inputs!$D$34)</f>
        <v>0.96345599999999987</v>
      </c>
      <c r="X734" s="38">
        <f>IF(W734&gt;=1,999,W734/(Inputs!$D$34*(1-W734))*60)</f>
        <v>45.195896922691851</v>
      </c>
      <c r="Y734" s="37">
        <f>MIN(1,MAX(0,(X734-Inputs!$D$36)/(Inputs!$D$37-Inputs!$D$36)))</f>
        <v>1</v>
      </c>
      <c r="Z734" s="35">
        <f>Inputs!$D$6*F734*Inputs!$D$28*(1-Inputs!$D$38*Y734)</f>
        <v>2853.3119999999999</v>
      </c>
      <c r="AA734" s="39">
        <f>Z734*Inputs!$D$13</f>
        <v>24253.151999999998</v>
      </c>
      <c r="AB734" s="39">
        <f>AA734*(1-Inputs!$D$19)</f>
        <v>14551.891199999998</v>
      </c>
      <c r="AC734" s="39">
        <f t="shared" si="44"/>
        <v>356207.36200000002</v>
      </c>
      <c r="AD734" s="39">
        <f t="shared" si="45"/>
        <v>136918.04070000001</v>
      </c>
      <c r="AE734" s="36">
        <f t="shared" si="46"/>
        <v>0.96345599999999987</v>
      </c>
      <c r="AF734" s="35">
        <f>IF(AND(AE734&lt;=Inputs!$D$35,C734&gt;=Inputs!$D$48*(A734+B734+C734),B734*Inputs!$D$22&lt;=Inputs!$D$50*Inputs!$D$8,B734*Inputs!$D$22&gt;=Inputs!$D$49*Inputs!$D$8,A734*Inputs!$D$20&lt;=Inputs!$D$47*Inputs!$D$8,C734&gt;=1),1,0)</f>
        <v>0</v>
      </c>
      <c r="AG734" s="39">
        <f t="shared" si="47"/>
        <v>-1</v>
      </c>
    </row>
    <row r="735" spans="1:33" x14ac:dyDescent="0.25">
      <c r="A735" s="35">
        <v>55</v>
      </c>
      <c r="B735" s="35">
        <v>21</v>
      </c>
      <c r="C735" s="35">
        <f>Inputs!$D$8-A735-Inputs!$D$22*B735</f>
        <v>23</v>
      </c>
      <c r="D735" s="35">
        <f>A735*Inputs!$D$20+C735*Inputs!$D$21+B735*Inputs!$D$22</f>
        <v>120</v>
      </c>
      <c r="E735" s="36">
        <f>MIN(Inputs!$E$15,Inputs!$D$15*(C735/Inputs!$D$43)^Inputs!$D$44)</f>
        <v>0.31697113078396583</v>
      </c>
      <c r="F735" s="36">
        <f>MIN(Inputs!$E$16,Inputs!$D$16*(B735/Inputs!$D$42)^Inputs!$D$44)</f>
        <v>0.40589787816896217</v>
      </c>
      <c r="G735" s="37">
        <f>Inputs!$D$26*(1+Inputs!$D$41*(B735-Inputs!$D$42))</f>
        <v>1.5150000000000001</v>
      </c>
      <c r="H735" s="35">
        <f>Inputs!$D$6*Inputs!$D$14*G735*Inputs!$D$29</f>
        <v>1903.4914500000004</v>
      </c>
      <c r="I735" s="36">
        <f>H735/(A735*Inputs!$D$32)</f>
        <v>0.62925337190082664</v>
      </c>
      <c r="J735" s="38">
        <f>IF(I735&gt;=1,999,I735/(Inputs!$D$32*(1-I735))*60)</f>
        <v>1.8515562161989128</v>
      </c>
      <c r="K735" s="37">
        <f>MIN(1,MAX(0,(J735-Inputs!$D$36)/(Inputs!$D$37-Inputs!$D$36)))</f>
        <v>0</v>
      </c>
      <c r="L735" s="35">
        <f>Inputs!$D$6*Inputs!$D$14*G735*(1-Inputs!$D$38*K735)</f>
        <v>12689.943000000003</v>
      </c>
      <c r="M735" s="39">
        <f>L735*Inputs!$D$11</f>
        <v>272833.77450000006</v>
      </c>
      <c r="N735" s="39">
        <f>M735*(1-Inputs!$D$17)</f>
        <v>95491.821075000014</v>
      </c>
      <c r="O735" s="35">
        <f>Inputs!$D$6*E735*Inputs!$D$27*Inputs!$D$30</f>
        <v>452.20876555972956</v>
      </c>
      <c r="P735" s="36">
        <f>O735/(C735*Inputs!$D$33)</f>
        <v>0.49153126691274951</v>
      </c>
      <c r="Q735" s="38">
        <f>IF(P735&gt;=1,999,P735/(Inputs!$D$33*(1-P735))*60)</f>
        <v>1.4500339005950402</v>
      </c>
      <c r="R735" s="37">
        <f>MIN(1,MAX(0,(Q735-Inputs!$D$36)/(Inputs!$D$37-Inputs!$D$36)))</f>
        <v>0</v>
      </c>
      <c r="S735" s="35">
        <f>Inputs!$D$6*E735*Inputs!$D$27*(1-Inputs!$D$38*R735)</f>
        <v>3768.4063796644132</v>
      </c>
      <c r="T735" s="39">
        <f>S735*Inputs!$D$12</f>
        <v>60294.502074630611</v>
      </c>
      <c r="U735" s="39">
        <f>T735*(1-Inputs!$D$18)</f>
        <v>27132.525933583773</v>
      </c>
      <c r="V735" s="35">
        <f>Inputs!$D$6*F735*Inputs!$D$28*Inputs!$D$31</f>
        <v>684.36330569102222</v>
      </c>
      <c r="W735" s="36">
        <f>V735/(B735*Inputs!$D$34)</f>
        <v>0.93110653835513224</v>
      </c>
      <c r="X735" s="38">
        <f>IF(W735&gt;=1,999,W735/(Inputs!$D$34*(1-W735))*60)</f>
        <v>23.16885520150278</v>
      </c>
      <c r="Y735" s="37">
        <f>MIN(1,MAX(0,(X735-Inputs!$D$36)/(Inputs!$D$37-Inputs!$D$36)))</f>
        <v>1</v>
      </c>
      <c r="Z735" s="35">
        <f>Inputs!$D$6*F735*Inputs!$D$28*(1-Inputs!$D$38*Y735)</f>
        <v>2895.3832163850943</v>
      </c>
      <c r="AA735" s="39">
        <f>Z735*Inputs!$D$13</f>
        <v>24610.757339273303</v>
      </c>
      <c r="AB735" s="39">
        <f>AA735*(1-Inputs!$D$19)</f>
        <v>14766.454403563981</v>
      </c>
      <c r="AC735" s="39">
        <f t="shared" si="44"/>
        <v>357739.03391390393</v>
      </c>
      <c r="AD735" s="39">
        <f t="shared" si="45"/>
        <v>137390.80141214776</v>
      </c>
      <c r="AE735" s="36">
        <f t="shared" si="46"/>
        <v>0.93110653835513224</v>
      </c>
      <c r="AF735" s="35">
        <f>IF(AND(AE735&lt;=Inputs!$D$35,C735&gt;=Inputs!$D$48*(A735+B735+C735),B735*Inputs!$D$22&lt;=Inputs!$D$50*Inputs!$D$8,B735*Inputs!$D$22&gt;=Inputs!$D$49*Inputs!$D$8,A735*Inputs!$D$20&lt;=Inputs!$D$47*Inputs!$D$8,C735&gt;=1),1,0)</f>
        <v>0</v>
      </c>
      <c r="AG735" s="39">
        <f t="shared" si="47"/>
        <v>-1</v>
      </c>
    </row>
    <row r="736" spans="1:33" x14ac:dyDescent="0.25">
      <c r="A736" s="35">
        <v>55</v>
      </c>
      <c r="B736" s="35">
        <v>22</v>
      </c>
      <c r="C736" s="35">
        <f>Inputs!$D$8-A736-Inputs!$D$22*B736</f>
        <v>21</v>
      </c>
      <c r="D736" s="35">
        <f>A736*Inputs!$D$20+C736*Inputs!$D$21+B736*Inputs!$D$22</f>
        <v>120</v>
      </c>
      <c r="E736" s="36">
        <f>MIN(Inputs!$E$15,Inputs!$D$15*(C736/Inputs!$D$43)^Inputs!$D$44)</f>
        <v>0.30843748043226404</v>
      </c>
      <c r="F736" s="36">
        <f>MIN(Inputs!$E$16,Inputs!$D$16*(B736/Inputs!$D$42)^Inputs!$D$44)</f>
        <v>0.41160230376843804</v>
      </c>
      <c r="G736" s="37">
        <f>Inputs!$D$26*(1+Inputs!$D$41*(B736-Inputs!$D$42))</f>
        <v>1.53</v>
      </c>
      <c r="H736" s="35">
        <f>Inputs!$D$6*Inputs!$D$14*G736*Inputs!$D$29</f>
        <v>1922.3379</v>
      </c>
      <c r="I736" s="36">
        <f>H736/(A736*Inputs!$D$32)</f>
        <v>0.63548360330578513</v>
      </c>
      <c r="J736" s="38">
        <f>IF(I736&gt;=1,999,I736/(Inputs!$D$32*(1-I736))*60)</f>
        <v>1.9018481644640644</v>
      </c>
      <c r="K736" s="37">
        <f>MIN(1,MAX(0,(J736-Inputs!$D$36)/(Inputs!$D$37-Inputs!$D$36)))</f>
        <v>0</v>
      </c>
      <c r="L736" s="35">
        <f>Inputs!$D$6*Inputs!$D$14*G736*(1-Inputs!$D$38*K736)</f>
        <v>12815.586000000001</v>
      </c>
      <c r="M736" s="39">
        <f>L736*Inputs!$D$11</f>
        <v>275535.09900000005</v>
      </c>
      <c r="N736" s="39">
        <f>M736*(1-Inputs!$D$17)</f>
        <v>96437.284650000016</v>
      </c>
      <c r="O736" s="35">
        <f>Inputs!$D$6*E736*Inputs!$D$27*Inputs!$D$30</f>
        <v>440.03418208357215</v>
      </c>
      <c r="P736" s="36">
        <f>O736/(C736*Inputs!$D$33)</f>
        <v>0.52385021676615728</v>
      </c>
      <c r="Q736" s="38">
        <f>IF(P736&gt;=1,999,P736/(Inputs!$D$33*(1-P736))*60)</f>
        <v>1.6502692069132636</v>
      </c>
      <c r="R736" s="37">
        <f>MIN(1,MAX(0,(Q736-Inputs!$D$36)/(Inputs!$D$37-Inputs!$D$36)))</f>
        <v>0</v>
      </c>
      <c r="S736" s="35">
        <f>Inputs!$D$6*E736*Inputs!$D$27*(1-Inputs!$D$38*R736)</f>
        <v>3666.9515173631012</v>
      </c>
      <c r="T736" s="39">
        <f>S736*Inputs!$D$12</f>
        <v>58671.224277809619</v>
      </c>
      <c r="U736" s="39">
        <f>T736*(1-Inputs!$D$18)</f>
        <v>26402.050925014326</v>
      </c>
      <c r="V736" s="35">
        <f>Inputs!$D$6*F736*Inputs!$D$28*Inputs!$D$31</f>
        <v>693.98124106416742</v>
      </c>
      <c r="W736" s="36">
        <f>V736/(B736*Inputs!$D$34)</f>
        <v>0.90127433904437326</v>
      </c>
      <c r="X736" s="38">
        <f>IF(W736&gt;=1,999,W736/(Inputs!$D$34*(1-W736))*60)</f>
        <v>15.649849381818807</v>
      </c>
      <c r="Y736" s="37">
        <f>MIN(1,MAX(0,(X736-Inputs!$D$36)/(Inputs!$D$37-Inputs!$D$36)))</f>
        <v>0.70998995878792048</v>
      </c>
      <c r="Z736" s="35">
        <f>Inputs!$D$6*F736*Inputs!$D$28*(1-Inputs!$D$38*Y736)</f>
        <v>3632.749002537963</v>
      </c>
      <c r="AA736" s="39">
        <f>Z736*Inputs!$D$13</f>
        <v>30878.366521572687</v>
      </c>
      <c r="AB736" s="39">
        <f>AA736*(1-Inputs!$D$19)</f>
        <v>18527.019912943611</v>
      </c>
      <c r="AC736" s="39">
        <f t="shared" si="44"/>
        <v>365084.68979938235</v>
      </c>
      <c r="AD736" s="39">
        <f t="shared" si="45"/>
        <v>141366.35548795795</v>
      </c>
      <c r="AE736" s="36">
        <f t="shared" si="46"/>
        <v>0.90127433904437326</v>
      </c>
      <c r="AF736" s="35">
        <f>IF(AND(AE736&lt;=Inputs!$D$35,C736&gt;=Inputs!$D$48*(A736+B736+C736),B736*Inputs!$D$22&lt;=Inputs!$D$50*Inputs!$D$8,B736*Inputs!$D$22&gt;=Inputs!$D$49*Inputs!$D$8,A736*Inputs!$D$20&lt;=Inputs!$D$47*Inputs!$D$8,C736&gt;=1),1,0)</f>
        <v>0</v>
      </c>
      <c r="AG736" s="39">
        <f t="shared" si="47"/>
        <v>-1</v>
      </c>
    </row>
    <row r="737" spans="1:33" x14ac:dyDescent="0.25">
      <c r="A737" s="35">
        <v>55</v>
      </c>
      <c r="B737" s="35">
        <v>23</v>
      </c>
      <c r="C737" s="35">
        <f>Inputs!$D$8-A737-Inputs!$D$22*B737</f>
        <v>19</v>
      </c>
      <c r="D737" s="35">
        <f>A737*Inputs!$D$20+C737*Inputs!$D$21+B737*Inputs!$D$22</f>
        <v>120</v>
      </c>
      <c r="E737" s="36">
        <f>MIN(Inputs!$E$15,Inputs!$D$15*(C737/Inputs!$D$43)^Inputs!$D$44)</f>
        <v>0.29931428106923352</v>
      </c>
      <c r="F737" s="36">
        <f>MIN(Inputs!$E$16,Inputs!$D$16*(B737/Inputs!$D$42)^Inputs!$D$44)</f>
        <v>0.41712800028621322</v>
      </c>
      <c r="G737" s="37">
        <f>Inputs!$D$26*(1+Inputs!$D$41*(B737-Inputs!$D$42))</f>
        <v>1.5449999999999999</v>
      </c>
      <c r="H737" s="35">
        <f>Inputs!$D$6*Inputs!$D$14*G737*Inputs!$D$29</f>
        <v>1941.18435</v>
      </c>
      <c r="I737" s="36">
        <f>H737/(A737*Inputs!$D$32)</f>
        <v>0.64171383471074384</v>
      </c>
      <c r="J737" s="38">
        <f>IF(I737&gt;=1,999,I737/(Inputs!$D$32*(1-I737))*60)</f>
        <v>1.9538891642185228</v>
      </c>
      <c r="K737" s="37">
        <f>MIN(1,MAX(0,(J737-Inputs!$D$36)/(Inputs!$D$37-Inputs!$D$36)))</f>
        <v>0</v>
      </c>
      <c r="L737" s="35">
        <f>Inputs!$D$6*Inputs!$D$14*G737*(1-Inputs!$D$38*K737)</f>
        <v>12941.229000000001</v>
      </c>
      <c r="M737" s="39">
        <f>L737*Inputs!$D$11</f>
        <v>278236.42350000003</v>
      </c>
      <c r="N737" s="39">
        <f>M737*(1-Inputs!$D$17)</f>
        <v>97382.748225000003</v>
      </c>
      <c r="O737" s="35">
        <f>Inputs!$D$6*E737*Inputs!$D$27*Inputs!$D$30</f>
        <v>427.01851497310844</v>
      </c>
      <c r="P737" s="36">
        <f>O737/(C737*Inputs!$D$33)</f>
        <v>0.56186646706987953</v>
      </c>
      <c r="Q737" s="38">
        <f>IF(P737&gt;=1,999,P737/(Inputs!$D$33*(1-P737))*60)</f>
        <v>1.9236137781292366</v>
      </c>
      <c r="R737" s="37">
        <f>MIN(1,MAX(0,(Q737-Inputs!$D$36)/(Inputs!$D$37-Inputs!$D$36)))</f>
        <v>0</v>
      </c>
      <c r="S737" s="35">
        <f>Inputs!$D$6*E737*Inputs!$D$27*(1-Inputs!$D$38*R737)</f>
        <v>3558.4876247759039</v>
      </c>
      <c r="T737" s="39">
        <f>S737*Inputs!$D$12</f>
        <v>56935.801996414462</v>
      </c>
      <c r="U737" s="39">
        <f>T737*(1-Inputs!$D$18)</f>
        <v>25621.110898386505</v>
      </c>
      <c r="V737" s="35">
        <f>Inputs!$D$6*F737*Inputs!$D$28*Inputs!$D$31</f>
        <v>703.29783062656929</v>
      </c>
      <c r="W737" s="36">
        <f>V737/(B737*Inputs!$D$34)</f>
        <v>0.87366190139946498</v>
      </c>
      <c r="X737" s="38">
        <f>IF(W737&gt;=1,999,W737/(Inputs!$D$34*(1-W737))*60)</f>
        <v>11.854746377182334</v>
      </c>
      <c r="Y737" s="37">
        <f>MIN(1,MAX(0,(X737-Inputs!$D$36)/(Inputs!$D$37-Inputs!$D$36)))</f>
        <v>0.45698309181215557</v>
      </c>
      <c r="Z737" s="35">
        <f>Inputs!$D$6*F737*Inputs!$D$28*(1-Inputs!$D$38*Y737)</f>
        <v>4297.4614071503011</v>
      </c>
      <c r="AA737" s="39">
        <f>Z737*Inputs!$D$13</f>
        <v>36528.421960777559</v>
      </c>
      <c r="AB737" s="39">
        <f>AA737*(1-Inputs!$D$19)</f>
        <v>21917.053176466536</v>
      </c>
      <c r="AC737" s="39">
        <f t="shared" si="44"/>
        <v>371700.64745719201</v>
      </c>
      <c r="AD737" s="39">
        <f t="shared" si="45"/>
        <v>144920.91229985305</v>
      </c>
      <c r="AE737" s="36">
        <f t="shared" si="46"/>
        <v>0.87366190139946498</v>
      </c>
      <c r="AF737" s="35">
        <f>IF(AND(AE737&lt;=Inputs!$D$35,C737&gt;=Inputs!$D$48*(A737+B737+C737),B737*Inputs!$D$22&lt;=Inputs!$D$50*Inputs!$D$8,B737*Inputs!$D$22&gt;=Inputs!$D$49*Inputs!$D$8,A737*Inputs!$D$20&lt;=Inputs!$D$47*Inputs!$D$8,C737&gt;=1),1,0)</f>
        <v>0</v>
      </c>
      <c r="AG737" s="39">
        <f t="shared" si="47"/>
        <v>-1</v>
      </c>
    </row>
    <row r="738" spans="1:33" x14ac:dyDescent="0.25">
      <c r="A738" s="35">
        <v>55</v>
      </c>
      <c r="B738" s="35">
        <v>24</v>
      </c>
      <c r="C738" s="35">
        <f>Inputs!$D$8-A738-Inputs!$D$22*B738</f>
        <v>17</v>
      </c>
      <c r="D738" s="35">
        <f>A738*Inputs!$D$20+C738*Inputs!$D$21+B738*Inputs!$D$22</f>
        <v>120</v>
      </c>
      <c r="E738" s="36">
        <f>MIN(Inputs!$E$15,Inputs!$D$15*(C738/Inputs!$D$43)^Inputs!$D$44)</f>
        <v>0.28949164546121231</v>
      </c>
      <c r="F738" s="36">
        <f>MIN(Inputs!$E$16,Inputs!$D$16*(B738/Inputs!$D$42)^Inputs!$D$44)</f>
        <v>0.42248798737570326</v>
      </c>
      <c r="G738" s="37">
        <f>Inputs!$D$26*(1+Inputs!$D$41*(B738-Inputs!$D$42))</f>
        <v>1.56</v>
      </c>
      <c r="H738" s="35">
        <f>Inputs!$D$6*Inputs!$D$14*G738*Inputs!$D$29</f>
        <v>1960.0308</v>
      </c>
      <c r="I738" s="36">
        <f>H738/(A738*Inputs!$D$32)</f>
        <v>0.64794406611570243</v>
      </c>
      <c r="J738" s="38">
        <f>IF(I738&gt;=1,999,I738/(Inputs!$D$32*(1-I738))*60)</f>
        <v>2.0077720728278505</v>
      </c>
      <c r="K738" s="37">
        <f>MIN(1,MAX(0,(J738-Inputs!$D$36)/(Inputs!$D$37-Inputs!$D$36)))</f>
        <v>0</v>
      </c>
      <c r="L738" s="35">
        <f>Inputs!$D$6*Inputs!$D$14*G738*(1-Inputs!$D$38*K738)</f>
        <v>13066.872000000001</v>
      </c>
      <c r="M738" s="39">
        <f>L738*Inputs!$D$11</f>
        <v>280937.74800000002</v>
      </c>
      <c r="N738" s="39">
        <f>M738*(1-Inputs!$D$17)</f>
        <v>98328.211800000005</v>
      </c>
      <c r="O738" s="35">
        <f>Inputs!$D$6*E738*Inputs!$D$27*Inputs!$D$30</f>
        <v>413.00499294711136</v>
      </c>
      <c r="P738" s="36">
        <f>O738/(C738*Inputs!$D$33)</f>
        <v>0.60736028374575202</v>
      </c>
      <c r="Q738" s="38">
        <f>IF(P738&gt;=1,999,P738/(Inputs!$D$33*(1-P738))*60)</f>
        <v>2.3202961593133828</v>
      </c>
      <c r="R738" s="37">
        <f>MIN(1,MAX(0,(Q738-Inputs!$D$36)/(Inputs!$D$37-Inputs!$D$36)))</f>
        <v>0</v>
      </c>
      <c r="S738" s="35">
        <f>Inputs!$D$6*E738*Inputs!$D$27*(1-Inputs!$D$38*R738)</f>
        <v>3441.7082745592616</v>
      </c>
      <c r="T738" s="39">
        <f>S738*Inputs!$D$12</f>
        <v>55067.332392948185</v>
      </c>
      <c r="U738" s="39">
        <f>T738*(1-Inputs!$D$18)</f>
        <v>24780.299576826681</v>
      </c>
      <c r="V738" s="35">
        <f>Inputs!$D$6*F738*Inputs!$D$28*Inputs!$D$31</f>
        <v>712.33502613882979</v>
      </c>
      <c r="W738" s="36">
        <f>V738/(B738*Inputs!$D$34)</f>
        <v>0.84801788826051161</v>
      </c>
      <c r="X738" s="38">
        <f>IF(W738&gt;=1,999,W738/(Inputs!$D$34*(1-W738))*60)</f>
        <v>9.5652372155190832</v>
      </c>
      <c r="Y738" s="37">
        <f>MIN(1,MAX(0,(X738-Inputs!$D$36)/(Inputs!$D$37-Inputs!$D$36)))</f>
        <v>0.30434914770127219</v>
      </c>
      <c r="Z738" s="35">
        <f>Inputs!$D$6*F738*Inputs!$D$28*(1-Inputs!$D$38*Y738)</f>
        <v>4729.0436538571339</v>
      </c>
      <c r="AA738" s="39">
        <f>Z738*Inputs!$D$13</f>
        <v>40196.87105778564</v>
      </c>
      <c r="AB738" s="39">
        <f>AA738*(1-Inputs!$D$19)</f>
        <v>24118.122634671385</v>
      </c>
      <c r="AC738" s="39">
        <f t="shared" si="44"/>
        <v>376201.95145073388</v>
      </c>
      <c r="AD738" s="39">
        <f t="shared" si="45"/>
        <v>147226.63401149807</v>
      </c>
      <c r="AE738" s="36">
        <f t="shared" si="46"/>
        <v>0.84801788826051161</v>
      </c>
      <c r="AF738" s="35">
        <f>IF(AND(AE738&lt;=Inputs!$D$35,C738&gt;=Inputs!$D$48*(A738+B738+C738),B738*Inputs!$D$22&lt;=Inputs!$D$50*Inputs!$D$8,B738*Inputs!$D$22&gt;=Inputs!$D$49*Inputs!$D$8,A738*Inputs!$D$20&lt;=Inputs!$D$47*Inputs!$D$8,C738&gt;=1),1,0)</f>
        <v>1</v>
      </c>
      <c r="AG738" s="39">
        <f t="shared" si="47"/>
        <v>147226.63401149807</v>
      </c>
    </row>
    <row r="739" spans="1:33" x14ac:dyDescent="0.25">
      <c r="A739" s="35">
        <v>55</v>
      </c>
      <c r="B739" s="35">
        <v>25</v>
      </c>
      <c r="C739" s="35">
        <f>Inputs!$D$8-A739-Inputs!$D$22*B739</f>
        <v>15</v>
      </c>
      <c r="D739" s="35">
        <f>A739*Inputs!$D$20+C739*Inputs!$D$21+B739*Inputs!$D$22</f>
        <v>120</v>
      </c>
      <c r="E739" s="36">
        <f>MIN(Inputs!$E$15,Inputs!$D$15*(C739/Inputs!$D$43)^Inputs!$D$44)</f>
        <v>0.27882309014433088</v>
      </c>
      <c r="F739" s="36">
        <f>MIN(Inputs!$E$16,Inputs!$D$16*(B739/Inputs!$D$42)^Inputs!$D$44)</f>
        <v>0.42769383999647526</v>
      </c>
      <c r="G739" s="37">
        <f>Inputs!$D$26*(1+Inputs!$D$41*(B739-Inputs!$D$42))</f>
        <v>1.5750000000000002</v>
      </c>
      <c r="H739" s="35">
        <f>Inputs!$D$6*Inputs!$D$14*G739*Inputs!$D$29</f>
        <v>1978.8772500000005</v>
      </c>
      <c r="I739" s="36">
        <f>H739/(A739*Inputs!$D$32)</f>
        <v>0.65417429752066136</v>
      </c>
      <c r="J739" s="38">
        <f>IF(I739&gt;=1,999,I739/(Inputs!$D$32*(1-I739))*60)</f>
        <v>2.063596439154185</v>
      </c>
      <c r="K739" s="37">
        <f>MIN(1,MAX(0,(J739-Inputs!$D$36)/(Inputs!$D$37-Inputs!$D$36)))</f>
        <v>0</v>
      </c>
      <c r="L739" s="35">
        <f>Inputs!$D$6*Inputs!$D$14*G739*(1-Inputs!$D$38*K739)</f>
        <v>13192.515000000003</v>
      </c>
      <c r="M739" s="39">
        <f>L739*Inputs!$D$11</f>
        <v>283639.07250000007</v>
      </c>
      <c r="N739" s="39">
        <f>M739*(1-Inputs!$D$17)</f>
        <v>99273.675375000021</v>
      </c>
      <c r="O739" s="35">
        <f>Inputs!$D$6*E739*Inputs!$D$27*Inputs!$D$30</f>
        <v>397.78463449295054</v>
      </c>
      <c r="P739" s="36">
        <f>O739/(C739*Inputs!$D$33)</f>
        <v>0.66297439082158427</v>
      </c>
      <c r="Q739" s="38">
        <f>IF(P739&gt;=1,999,P739/(Inputs!$D$33*(1-P739))*60)</f>
        <v>2.9507003597044905</v>
      </c>
      <c r="R739" s="37">
        <f>MIN(1,MAX(0,(Q739-Inputs!$D$36)/(Inputs!$D$37-Inputs!$D$36)))</f>
        <v>0</v>
      </c>
      <c r="S739" s="35">
        <f>Inputs!$D$6*E739*Inputs!$D$27*(1-Inputs!$D$38*R739)</f>
        <v>3314.8719541079213</v>
      </c>
      <c r="T739" s="39">
        <f>S739*Inputs!$D$12</f>
        <v>53037.951265726741</v>
      </c>
      <c r="U739" s="39">
        <f>T739*(1-Inputs!$D$18)</f>
        <v>23867.07806957703</v>
      </c>
      <c r="V739" s="35">
        <f>Inputs!$D$6*F739*Inputs!$D$28*Inputs!$D$31</f>
        <v>721.1123435383771</v>
      </c>
      <c r="W739" s="36">
        <f>V739/(B739*Inputs!$D$34)</f>
        <v>0.82412839261528814</v>
      </c>
      <c r="X739" s="38">
        <f>IF(W739&gt;=1,999,W739/(Inputs!$D$34*(1-W739))*60)</f>
        <v>8.0330847668163621</v>
      </c>
      <c r="Y739" s="37">
        <f>MIN(1,MAX(0,(X739-Inputs!$D$36)/(Inputs!$D$37-Inputs!$D$36)))</f>
        <v>0.20220565112109082</v>
      </c>
      <c r="Z739" s="35">
        <f>Inputs!$D$6*F739*Inputs!$D$28*(1-Inputs!$D$38*Y739)</f>
        <v>5042.2807508299393</v>
      </c>
      <c r="AA739" s="39">
        <f>Z739*Inputs!$D$13</f>
        <v>42859.386382054487</v>
      </c>
      <c r="AB739" s="39">
        <f>AA739*(1-Inputs!$D$19)</f>
        <v>25715.631829232691</v>
      </c>
      <c r="AC739" s="39">
        <f t="shared" si="44"/>
        <v>379536.41014778131</v>
      </c>
      <c r="AD739" s="39">
        <f t="shared" si="45"/>
        <v>148856.38527380972</v>
      </c>
      <c r="AE739" s="36">
        <f t="shared" si="46"/>
        <v>0.82412839261528814</v>
      </c>
      <c r="AF739" s="35">
        <f>IF(AND(AE739&lt;=Inputs!$D$35,C739&gt;=Inputs!$D$48*(A739+B739+C739),B739*Inputs!$D$22&lt;=Inputs!$D$50*Inputs!$D$8,B739*Inputs!$D$22&gt;=Inputs!$D$49*Inputs!$D$8,A739*Inputs!$D$20&lt;=Inputs!$D$47*Inputs!$D$8,C739&gt;=1),1,0)</f>
        <v>1</v>
      </c>
      <c r="AG739" s="39">
        <f t="shared" si="47"/>
        <v>148856.38527380972</v>
      </c>
    </row>
    <row r="740" spans="1:33" x14ac:dyDescent="0.25">
      <c r="A740" s="35">
        <v>55</v>
      </c>
      <c r="B740" s="35">
        <v>26</v>
      </c>
      <c r="C740" s="35">
        <f>Inputs!$D$8-A740-Inputs!$D$22*B740</f>
        <v>13</v>
      </c>
      <c r="D740" s="35">
        <f>A740*Inputs!$D$20+C740*Inputs!$D$21+B740*Inputs!$D$22</f>
        <v>120</v>
      </c>
      <c r="E740" s="36">
        <f>MIN(Inputs!$E$15,Inputs!$D$15*(C740/Inputs!$D$43)^Inputs!$D$44)</f>
        <v>0.26710644306172537</v>
      </c>
      <c r="F740" s="36">
        <f>MIN(Inputs!$E$16,Inputs!$D$16*(B740/Inputs!$D$42)^Inputs!$D$44)</f>
        <v>0.43275589945781112</v>
      </c>
      <c r="G740" s="37">
        <f>Inputs!$D$26*(1+Inputs!$D$41*(B740-Inputs!$D$42))</f>
        <v>1.59</v>
      </c>
      <c r="H740" s="35">
        <f>Inputs!$D$6*Inputs!$D$14*G740*Inputs!$D$29</f>
        <v>1997.7237</v>
      </c>
      <c r="I740" s="36">
        <f>H740/(A740*Inputs!$D$32)</f>
        <v>0.66040452892561985</v>
      </c>
      <c r="J740" s="38">
        <f>IF(I740&gt;=1,999,I740/(Inputs!$D$32*(1-I740))*60)</f>
        <v>2.1214691173684681</v>
      </c>
      <c r="K740" s="37">
        <f>MIN(1,MAX(0,(J740-Inputs!$D$36)/(Inputs!$D$37-Inputs!$D$36)))</f>
        <v>0</v>
      </c>
      <c r="L740" s="35">
        <f>Inputs!$D$6*Inputs!$D$14*G740*(1-Inputs!$D$38*K740)</f>
        <v>13318.158000000001</v>
      </c>
      <c r="M740" s="39">
        <f>L740*Inputs!$D$11</f>
        <v>286340.39700000006</v>
      </c>
      <c r="N740" s="39">
        <f>M740*(1-Inputs!$D$17)</f>
        <v>100219.13895000001</v>
      </c>
      <c r="O740" s="35">
        <f>Inputs!$D$6*E740*Inputs!$D$27*Inputs!$D$30</f>
        <v>381.06900963266889</v>
      </c>
      <c r="P740" s="36">
        <f>O740/(C740*Inputs!$D$33)</f>
        <v>0.73282501852436321</v>
      </c>
      <c r="Q740" s="38">
        <f>IF(P740&gt;=1,999,P740/(Inputs!$D$33*(1-P740))*60)</f>
        <v>4.1142981341865736</v>
      </c>
      <c r="R740" s="37">
        <f>MIN(1,MAX(0,(Q740-Inputs!$D$36)/(Inputs!$D$37-Inputs!$D$36)))</f>
        <v>0</v>
      </c>
      <c r="S740" s="35">
        <f>Inputs!$D$6*E740*Inputs!$D$27*(1-Inputs!$D$38*R740)</f>
        <v>3175.5750802722409</v>
      </c>
      <c r="T740" s="39">
        <f>S740*Inputs!$D$12</f>
        <v>50809.201284355855</v>
      </c>
      <c r="U740" s="39">
        <f>T740*(1-Inputs!$D$18)</f>
        <v>22864.140577960134</v>
      </c>
      <c r="V740" s="35">
        <f>Inputs!$D$6*F740*Inputs!$D$28*Inputs!$D$31</f>
        <v>729.64721876904355</v>
      </c>
      <c r="W740" s="36">
        <f>V740/(B740*Inputs!$D$34)</f>
        <v>0.80181013051543248</v>
      </c>
      <c r="X740" s="38">
        <f>IF(W740&gt;=1,999,W740/(Inputs!$D$34*(1-W740))*60)</f>
        <v>6.9354284146153136</v>
      </c>
      <c r="Y740" s="37">
        <f>MIN(1,MAX(0,(X740-Inputs!$D$36)/(Inputs!$D$37-Inputs!$D$36)))</f>
        <v>0.12902856097435425</v>
      </c>
      <c r="Z740" s="35">
        <f>Inputs!$D$6*F740*Inputs!$D$28*(1-Inputs!$D$38*Y740)</f>
        <v>5286.7832305655711</v>
      </c>
      <c r="AA740" s="39">
        <f>Z740*Inputs!$D$13</f>
        <v>44937.657459807357</v>
      </c>
      <c r="AB740" s="39">
        <f>AA740*(1-Inputs!$D$19)</f>
        <v>26962.594475884413</v>
      </c>
      <c r="AC740" s="39">
        <f t="shared" si="44"/>
        <v>382087.25574416324</v>
      </c>
      <c r="AD740" s="39">
        <f t="shared" si="45"/>
        <v>150045.87400384457</v>
      </c>
      <c r="AE740" s="36">
        <f t="shared" si="46"/>
        <v>0.80181013051543248</v>
      </c>
      <c r="AF740" s="35">
        <f>IF(AND(AE740&lt;=Inputs!$D$35,C740&gt;=Inputs!$D$48*(A740+B740+C740),B740*Inputs!$D$22&lt;=Inputs!$D$50*Inputs!$D$8,B740*Inputs!$D$22&gt;=Inputs!$D$49*Inputs!$D$8,A740*Inputs!$D$20&lt;=Inputs!$D$47*Inputs!$D$8,C740&gt;=1),1,0)</f>
        <v>0</v>
      </c>
      <c r="AG740" s="39">
        <f t="shared" si="47"/>
        <v>-1</v>
      </c>
    </row>
    <row r="741" spans="1:33" x14ac:dyDescent="0.25">
      <c r="A741" s="35">
        <v>55</v>
      </c>
      <c r="B741" s="35">
        <v>27</v>
      </c>
      <c r="C741" s="35">
        <f>Inputs!$D$8-A741-Inputs!$D$22*B741</f>
        <v>11</v>
      </c>
      <c r="D741" s="35">
        <f>A741*Inputs!$D$20+C741*Inputs!$D$21+B741*Inputs!$D$22</f>
        <v>120</v>
      </c>
      <c r="E741" s="36">
        <f>MIN(Inputs!$E$15,Inputs!$D$15*(C741/Inputs!$D$43)^Inputs!$D$44)</f>
        <v>0.25404997933787238</v>
      </c>
      <c r="F741" s="36">
        <f>MIN(Inputs!$E$16,Inputs!$D$16*(B741/Inputs!$D$42)^Inputs!$D$44)</f>
        <v>0.43768344678187454</v>
      </c>
      <c r="G741" s="37">
        <f>Inputs!$D$26*(1+Inputs!$D$41*(B741-Inputs!$D$42))</f>
        <v>1.605</v>
      </c>
      <c r="H741" s="35">
        <f>Inputs!$D$6*Inputs!$D$14*G741*Inputs!$D$29</f>
        <v>2016.57015</v>
      </c>
      <c r="I741" s="36">
        <f>H741/(A741*Inputs!$D$32)</f>
        <v>0.66663476033057856</v>
      </c>
      <c r="J741" s="38">
        <f>IF(I741&gt;=1,999,I741/(Inputs!$D$32*(1-I741))*60)</f>
        <v>2.181504949591595</v>
      </c>
      <c r="K741" s="37">
        <f>MIN(1,MAX(0,(J741-Inputs!$D$36)/(Inputs!$D$37-Inputs!$D$36)))</f>
        <v>0</v>
      </c>
      <c r="L741" s="35">
        <f>Inputs!$D$6*Inputs!$D$14*G741*(1-Inputs!$D$38*K741)</f>
        <v>13443.801000000001</v>
      </c>
      <c r="M741" s="39">
        <f>L741*Inputs!$D$11</f>
        <v>289041.72150000004</v>
      </c>
      <c r="N741" s="39">
        <f>M741*(1-Inputs!$D$17)</f>
        <v>101164.60252500001</v>
      </c>
      <c r="O741" s="35">
        <f>Inputs!$D$6*E741*Inputs!$D$27*Inputs!$D$30</f>
        <v>362.44192732225167</v>
      </c>
      <c r="P741" s="36">
        <f>O741/(C741*Inputs!$D$33)</f>
        <v>0.82373165300511741</v>
      </c>
      <c r="Q741" s="38">
        <f>IF(P741&gt;=1,999,P741/(Inputs!$D$33*(1-P741))*60)</f>
        <v>7.0097524630644434</v>
      </c>
      <c r="R741" s="37">
        <f>MIN(1,MAX(0,(Q741-Inputs!$D$36)/(Inputs!$D$37-Inputs!$D$36)))</f>
        <v>0.13398349753762956</v>
      </c>
      <c r="S741" s="35">
        <f>Inputs!$D$6*E741*Inputs!$D$27*(1-Inputs!$D$38*R741)</f>
        <v>2838.2447553136676</v>
      </c>
      <c r="T741" s="39">
        <f>S741*Inputs!$D$12</f>
        <v>45411.916085018682</v>
      </c>
      <c r="U741" s="39">
        <f>T741*(1-Inputs!$D$18)</f>
        <v>20435.362238258404</v>
      </c>
      <c r="V741" s="35">
        <f>Inputs!$D$6*F741*Inputs!$D$28*Inputs!$D$31</f>
        <v>737.95530007968603</v>
      </c>
      <c r="W741" s="36">
        <f>V741/(B741*Inputs!$D$34)</f>
        <v>0.78090507944940324</v>
      </c>
      <c r="X741" s="38">
        <f>IF(W741&gt;=1,999,W741/(Inputs!$D$34*(1-W741))*60)</f>
        <v>6.1101116290101798</v>
      </c>
      <c r="Y741" s="37">
        <f>MIN(1,MAX(0,(X741-Inputs!$D$36)/(Inputs!$D$37-Inputs!$D$36)))</f>
        <v>7.4007441934011986E-2</v>
      </c>
      <c r="Z741" s="35">
        <f>Inputs!$D$6*F741*Inputs!$D$28*(1-Inputs!$D$38*Y741)</f>
        <v>5487.5301328495489</v>
      </c>
      <c r="AA741" s="39">
        <f>Z741*Inputs!$D$13</f>
        <v>46644.006129221169</v>
      </c>
      <c r="AB741" s="39">
        <f>AA741*(1-Inputs!$D$19)</f>
        <v>27986.4036775327</v>
      </c>
      <c r="AC741" s="39">
        <f t="shared" si="44"/>
        <v>381097.64371423988</v>
      </c>
      <c r="AD741" s="39">
        <f t="shared" si="45"/>
        <v>149586.36844079112</v>
      </c>
      <c r="AE741" s="36">
        <f t="shared" si="46"/>
        <v>0.82373165300511741</v>
      </c>
      <c r="AF741" s="35">
        <f>IF(AND(AE741&lt;=Inputs!$D$35,C741&gt;=Inputs!$D$48*(A741+B741+C741),B741*Inputs!$D$22&lt;=Inputs!$D$50*Inputs!$D$8,B741*Inputs!$D$22&gt;=Inputs!$D$49*Inputs!$D$8,A741*Inputs!$D$20&lt;=Inputs!$D$47*Inputs!$D$8,C741&gt;=1),1,0)</f>
        <v>0</v>
      </c>
      <c r="AG741" s="39">
        <f t="shared" si="47"/>
        <v>-1</v>
      </c>
    </row>
    <row r="742" spans="1:33" x14ac:dyDescent="0.25">
      <c r="A742" s="35">
        <v>55</v>
      </c>
      <c r="B742" s="35">
        <v>28</v>
      </c>
      <c r="C742" s="35">
        <f>Inputs!$D$8-A742-Inputs!$D$22*B742</f>
        <v>9</v>
      </c>
      <c r="D742" s="35">
        <f>A742*Inputs!$D$20+C742*Inputs!$D$21+B742*Inputs!$D$22</f>
        <v>120</v>
      </c>
      <c r="E742" s="36">
        <f>MIN(Inputs!$E$15,Inputs!$D$15*(C742/Inputs!$D$43)^Inputs!$D$44)</f>
        <v>0.23920712491579582</v>
      </c>
      <c r="F742" s="36">
        <f>MIN(Inputs!$E$16,Inputs!$D$16*(B742/Inputs!$D$42)^Inputs!$D$44)</f>
        <v>0.44248484624799689</v>
      </c>
      <c r="G742" s="37">
        <f>Inputs!$D$26*(1+Inputs!$D$41*(B742-Inputs!$D$42))</f>
        <v>1.62</v>
      </c>
      <c r="H742" s="35">
        <f>Inputs!$D$6*Inputs!$D$14*G742*Inputs!$D$29</f>
        <v>2035.4166</v>
      </c>
      <c r="I742" s="36">
        <f>H742/(A742*Inputs!$D$32)</f>
        <v>0.67286499173553715</v>
      </c>
      <c r="J742" s="38">
        <f>IF(I742&gt;=1,999,I742/(Inputs!$D$32*(1-I742))*60)</f>
        <v>2.243827526540231</v>
      </c>
      <c r="K742" s="37">
        <f>MIN(1,MAX(0,(J742-Inputs!$D$36)/(Inputs!$D$37-Inputs!$D$36)))</f>
        <v>0</v>
      </c>
      <c r="L742" s="35">
        <f>Inputs!$D$6*Inputs!$D$14*G742*(1-Inputs!$D$38*K742)</f>
        <v>13569.444000000001</v>
      </c>
      <c r="M742" s="39">
        <f>L742*Inputs!$D$11</f>
        <v>291743.04600000003</v>
      </c>
      <c r="N742" s="39">
        <f>M742*(1-Inputs!$D$17)</f>
        <v>102110.06610000001</v>
      </c>
      <c r="O742" s="35">
        <f>Inputs!$D$6*E742*Inputs!$D$27*Inputs!$D$30</f>
        <v>341.26628000386961</v>
      </c>
      <c r="P742" s="36">
        <f>O742/(C742*Inputs!$D$33)</f>
        <v>0.94796188889963784</v>
      </c>
      <c r="Q742" s="38">
        <f>IF(P742&gt;=1,999,P742/(Inputs!$D$33*(1-P742))*60)</f>
        <v>27.325027816767943</v>
      </c>
      <c r="R742" s="37">
        <f>MIN(1,MAX(0,(Q742-Inputs!$D$36)/(Inputs!$D$37-Inputs!$D$36)))</f>
        <v>1</v>
      </c>
      <c r="S742" s="35">
        <f>Inputs!$D$6*E742*Inputs!$D$27*(1-Inputs!$D$38*R742)</f>
        <v>1564.1371166844026</v>
      </c>
      <c r="T742" s="39">
        <f>S742*Inputs!$D$12</f>
        <v>25026.193866950442</v>
      </c>
      <c r="U742" s="39">
        <f>T742*(1-Inputs!$D$18)</f>
        <v>11261.787240127698</v>
      </c>
      <c r="V742" s="35">
        <f>Inputs!$D$6*F742*Inputs!$D$28*Inputs!$D$31</f>
        <v>746.05069004674272</v>
      </c>
      <c r="W742" s="36">
        <f>V742/(B742*Inputs!$D$34)</f>
        <v>0.76127621433341097</v>
      </c>
      <c r="X742" s="38">
        <f>IF(W742&gt;=1,999,W742/(Inputs!$D$34*(1-W742))*60)</f>
        <v>5.4667570523531852</v>
      </c>
      <c r="Y742" s="37">
        <f>MIN(1,MAX(0,(X742-Inputs!$D$36)/(Inputs!$D$37-Inputs!$D$36)))</f>
        <v>3.111713682354568E-2</v>
      </c>
      <c r="Z742" s="35">
        <f>Inputs!$D$6*F742*Inputs!$D$28*(1-Inputs!$D$38*Y742)</f>
        <v>5658.4919801305723</v>
      </c>
      <c r="AA742" s="39">
        <f>Z742*Inputs!$D$13</f>
        <v>48097.181831109861</v>
      </c>
      <c r="AB742" s="39">
        <f>AA742*(1-Inputs!$D$19)</f>
        <v>28858.309098665915</v>
      </c>
      <c r="AC742" s="39">
        <f t="shared" si="44"/>
        <v>364866.42169806035</v>
      </c>
      <c r="AD742" s="39">
        <f t="shared" si="45"/>
        <v>142230.16243879363</v>
      </c>
      <c r="AE742" s="36">
        <f t="shared" si="46"/>
        <v>0.94796188889963784</v>
      </c>
      <c r="AF742" s="35">
        <f>IF(AND(AE742&lt;=Inputs!$D$35,C742&gt;=Inputs!$D$48*(A742+B742+C742),B742*Inputs!$D$22&lt;=Inputs!$D$50*Inputs!$D$8,B742*Inputs!$D$22&gt;=Inputs!$D$49*Inputs!$D$8,A742*Inputs!$D$20&lt;=Inputs!$D$47*Inputs!$D$8,C742&gt;=1),1,0)</f>
        <v>0</v>
      </c>
      <c r="AG742" s="39">
        <f t="shared" si="47"/>
        <v>-1</v>
      </c>
    </row>
    <row r="743" spans="1:33" x14ac:dyDescent="0.25">
      <c r="A743" s="35">
        <v>55</v>
      </c>
      <c r="B743" s="35">
        <v>29</v>
      </c>
      <c r="C743" s="35">
        <f>Inputs!$D$8-A743-Inputs!$D$22*B743</f>
        <v>7</v>
      </c>
      <c r="D743" s="35">
        <f>A743*Inputs!$D$20+C743*Inputs!$D$21+B743*Inputs!$D$22</f>
        <v>120</v>
      </c>
      <c r="E743" s="36">
        <f>MIN(Inputs!$E$15,Inputs!$D$15*(C743/Inputs!$D$43)^Inputs!$D$44)</f>
        <v>0.2218353587738203</v>
      </c>
      <c r="F743" s="36">
        <f>MIN(Inputs!$E$16,Inputs!$D$16*(B743/Inputs!$D$42)^Inputs!$D$44)</f>
        <v>0.44716766511947192</v>
      </c>
      <c r="G743" s="37">
        <f>Inputs!$D$26*(1+Inputs!$D$41*(B743-Inputs!$D$42))</f>
        <v>1.6350000000000002</v>
      </c>
      <c r="H743" s="35">
        <f>Inputs!$D$6*Inputs!$D$14*G743*Inputs!$D$29</f>
        <v>2054.2630500000005</v>
      </c>
      <c r="I743" s="36">
        <f>H743/(A743*Inputs!$D$32)</f>
        <v>0.67909522314049597</v>
      </c>
      <c r="J743" s="38">
        <f>IF(I743&gt;=1,999,I743/(Inputs!$D$32*(1-I743))*60)</f>
        <v>2.3085700367783848</v>
      </c>
      <c r="K743" s="37">
        <f>MIN(1,MAX(0,(J743-Inputs!$D$36)/(Inputs!$D$37-Inputs!$D$36)))</f>
        <v>0</v>
      </c>
      <c r="L743" s="35">
        <f>Inputs!$D$6*Inputs!$D$14*G743*(1-Inputs!$D$38*K743)</f>
        <v>13695.087000000003</v>
      </c>
      <c r="M743" s="39">
        <f>L743*Inputs!$D$11</f>
        <v>294444.37050000008</v>
      </c>
      <c r="N743" s="39">
        <f>M743*(1-Inputs!$D$17)</f>
        <v>103055.52967500003</v>
      </c>
      <c r="O743" s="35">
        <f>Inputs!$D$6*E743*Inputs!$D$27*Inputs!$D$30</f>
        <v>316.48274560682341</v>
      </c>
      <c r="P743" s="36">
        <f>O743/(C743*Inputs!$D$33)</f>
        <v>1.1302955200243694</v>
      </c>
      <c r="Q743" s="38">
        <f>IF(P743&gt;=1,999,P743/(Inputs!$D$33*(1-P743))*60)</f>
        <v>999</v>
      </c>
      <c r="R743" s="37">
        <f>MIN(1,MAX(0,(Q743-Inputs!$D$36)/(Inputs!$D$37-Inputs!$D$36)))</f>
        <v>1</v>
      </c>
      <c r="S743" s="35">
        <f>Inputs!$D$6*E743*Inputs!$D$27*(1-Inputs!$D$38*R743)</f>
        <v>1450.5459173646075</v>
      </c>
      <c r="T743" s="39">
        <f>S743*Inputs!$D$12</f>
        <v>23208.73467783372</v>
      </c>
      <c r="U743" s="39">
        <f>T743*(1-Inputs!$D$18)</f>
        <v>10443.930605025173</v>
      </c>
      <c r="V743" s="35">
        <f>Inputs!$D$6*F743*Inputs!$D$28*Inputs!$D$31</f>
        <v>753.9461474393554</v>
      </c>
      <c r="W743" s="36">
        <f>V743/(B743*Inputs!$D$34)</f>
        <v>0.74280408614714821</v>
      </c>
      <c r="X743" s="38">
        <f>IF(W743&gt;=1,999,W743/(Inputs!$D$34*(1-W743))*60)</f>
        <v>4.9510056918075414</v>
      </c>
      <c r="Y743" s="37">
        <f>MIN(1,MAX(0,(X743-Inputs!$D$36)/(Inputs!$D$37-Inputs!$D$36)))</f>
        <v>0</v>
      </c>
      <c r="Z743" s="35">
        <f>Inputs!$D$6*F743*Inputs!$D$28*(1-Inputs!$D$38*Y743)</f>
        <v>5799.5857495335031</v>
      </c>
      <c r="AA743" s="39">
        <f>Z743*Inputs!$D$13</f>
        <v>49296.478871034778</v>
      </c>
      <c r="AB743" s="39">
        <f>AA743*(1-Inputs!$D$19)</f>
        <v>29577.887322620867</v>
      </c>
      <c r="AC743" s="39">
        <f t="shared" si="44"/>
        <v>366949.58404886862</v>
      </c>
      <c r="AD743" s="39">
        <f t="shared" si="45"/>
        <v>143077.34760264607</v>
      </c>
      <c r="AE743" s="36">
        <f t="shared" si="46"/>
        <v>1.1302955200243694</v>
      </c>
      <c r="AF743" s="35">
        <f>IF(AND(AE743&lt;=Inputs!$D$35,C743&gt;=Inputs!$D$48*(A743+B743+C743),B743*Inputs!$D$22&lt;=Inputs!$D$50*Inputs!$D$8,B743*Inputs!$D$22&gt;=Inputs!$D$49*Inputs!$D$8,A743*Inputs!$D$20&lt;=Inputs!$D$47*Inputs!$D$8,C743&gt;=1),1,0)</f>
        <v>0</v>
      </c>
      <c r="AG743" s="39">
        <f t="shared" si="47"/>
        <v>-1</v>
      </c>
    </row>
    <row r="744" spans="1:33" x14ac:dyDescent="0.25">
      <c r="A744" s="35">
        <v>55</v>
      </c>
      <c r="B744" s="35">
        <v>30</v>
      </c>
      <c r="C744" s="35">
        <f>Inputs!$D$8-A744-Inputs!$D$22*B744</f>
        <v>5</v>
      </c>
      <c r="D744" s="35">
        <f>A744*Inputs!$D$20+C744*Inputs!$D$21+B744*Inputs!$D$22</f>
        <v>120</v>
      </c>
      <c r="E744" s="36">
        <f>MIN(Inputs!$E$15,Inputs!$D$15*(C744/Inputs!$D$43)^Inputs!$D$44)</f>
        <v>0.20053600538400315</v>
      </c>
      <c r="F744" s="36">
        <f>MIN(Inputs!$E$16,Inputs!$D$16*(B744/Inputs!$D$42)^Inputs!$D$44)</f>
        <v>0.45173877418274222</v>
      </c>
      <c r="G744" s="37">
        <f>Inputs!$D$26*(1+Inputs!$D$41*(B744-Inputs!$D$42))</f>
        <v>1.6500000000000001</v>
      </c>
      <c r="H744" s="35">
        <f>Inputs!$D$6*Inputs!$D$14*G744*Inputs!$D$29</f>
        <v>2073.1095000000005</v>
      </c>
      <c r="I744" s="36">
        <f>H744/(A744*Inputs!$D$32)</f>
        <v>0.68532545454545468</v>
      </c>
      <c r="J744" s="38">
        <f>IF(I744&gt;=1,999,I744/(Inputs!$D$32*(1-I744))*60)</f>
        <v>2.3758762168547762</v>
      </c>
      <c r="K744" s="37">
        <f>MIN(1,MAX(0,(J744-Inputs!$D$36)/(Inputs!$D$37-Inputs!$D$36)))</f>
        <v>0</v>
      </c>
      <c r="L744" s="35">
        <f>Inputs!$D$6*Inputs!$D$14*G744*(1-Inputs!$D$38*K744)</f>
        <v>13820.730000000003</v>
      </c>
      <c r="M744" s="39">
        <f>L744*Inputs!$D$11</f>
        <v>297145.69500000007</v>
      </c>
      <c r="N744" s="39">
        <f>M744*(1-Inputs!$D$17)</f>
        <v>104000.99325000001</v>
      </c>
      <c r="O744" s="35">
        <f>Inputs!$D$6*E744*Inputs!$D$27*Inputs!$D$30</f>
        <v>286.09589529712042</v>
      </c>
      <c r="P744" s="36">
        <f>O744/(C744*Inputs!$D$33)</f>
        <v>1.4304794764856021</v>
      </c>
      <c r="Q744" s="38">
        <f>IF(P744&gt;=1,999,P744/(Inputs!$D$33*(1-P744))*60)</f>
        <v>999</v>
      </c>
      <c r="R744" s="37">
        <f>MIN(1,MAX(0,(Q744-Inputs!$D$36)/(Inputs!$D$37-Inputs!$D$36)))</f>
        <v>1</v>
      </c>
      <c r="S744" s="35">
        <f>Inputs!$D$6*E744*Inputs!$D$27*(1-Inputs!$D$38*R744)</f>
        <v>1311.2728534451353</v>
      </c>
      <c r="T744" s="39">
        <f>S744*Inputs!$D$12</f>
        <v>20980.365655122165</v>
      </c>
      <c r="U744" s="39">
        <f>T744*(1-Inputs!$D$18)</f>
        <v>9441.164544804973</v>
      </c>
      <c r="V744" s="35">
        <f>Inputs!$D$6*F744*Inputs!$D$28*Inputs!$D$31</f>
        <v>761.65325673326424</v>
      </c>
      <c r="W744" s="36">
        <f>V744/(B744*Inputs!$D$34)</f>
        <v>0.72538405403168027</v>
      </c>
      <c r="X744" s="38">
        <f>IF(W744&gt;=1,999,W744/(Inputs!$D$34*(1-W744))*60)</f>
        <v>4.5281985239874629</v>
      </c>
      <c r="Y744" s="37">
        <f>MIN(1,MAX(0,(X744-Inputs!$D$36)/(Inputs!$D$37-Inputs!$D$36)))</f>
        <v>0</v>
      </c>
      <c r="Z744" s="35">
        <f>Inputs!$D$6*F744*Inputs!$D$28*(1-Inputs!$D$38*Y744)</f>
        <v>5858.8712056404938</v>
      </c>
      <c r="AA744" s="39">
        <f>Z744*Inputs!$D$13</f>
        <v>49800.405247944196</v>
      </c>
      <c r="AB744" s="39">
        <f>AA744*(1-Inputs!$D$19)</f>
        <v>29880.243148766516</v>
      </c>
      <c r="AC744" s="39">
        <f t="shared" si="44"/>
        <v>367926.46590306639</v>
      </c>
      <c r="AD744" s="39">
        <f t="shared" si="45"/>
        <v>143322.4009435715</v>
      </c>
      <c r="AE744" s="36">
        <f t="shared" si="46"/>
        <v>1.4304794764856021</v>
      </c>
      <c r="AF744" s="35">
        <f>IF(AND(AE744&lt;=Inputs!$D$35,C744&gt;=Inputs!$D$48*(A744+B744+C744),B744*Inputs!$D$22&lt;=Inputs!$D$50*Inputs!$D$8,B744*Inputs!$D$22&gt;=Inputs!$D$49*Inputs!$D$8,A744*Inputs!$D$20&lt;=Inputs!$D$47*Inputs!$D$8,C744&gt;=1),1,0)</f>
        <v>0</v>
      </c>
      <c r="AG744" s="39">
        <f t="shared" si="47"/>
        <v>-1</v>
      </c>
    </row>
    <row r="745" spans="1:33" x14ac:dyDescent="0.25">
      <c r="A745" s="35">
        <v>55</v>
      </c>
      <c r="B745" s="35">
        <v>31</v>
      </c>
      <c r="C745" s="35">
        <f>Inputs!$D$8-A745-Inputs!$D$22*B745</f>
        <v>3</v>
      </c>
      <c r="D745" s="35">
        <f>A745*Inputs!$D$20+C745*Inputs!$D$21+B745*Inputs!$D$22</f>
        <v>120</v>
      </c>
      <c r="E745" s="36">
        <f>MIN(Inputs!$E$15,Inputs!$D$15*(C745/Inputs!$D$43)^Inputs!$D$44)</f>
        <v>0.17204328832728594</v>
      </c>
      <c r="F745" s="36">
        <f>MIN(Inputs!$E$16,Inputs!$D$16*(B745/Inputs!$D$42)^Inputs!$D$44)</f>
        <v>0.45620443270573335</v>
      </c>
      <c r="G745" s="37">
        <f>Inputs!$D$26*(1+Inputs!$D$41*(B745-Inputs!$D$42))</f>
        <v>1.665</v>
      </c>
      <c r="H745" s="35">
        <f>Inputs!$D$6*Inputs!$D$14*G745*Inputs!$D$29</f>
        <v>2091.95595</v>
      </c>
      <c r="I745" s="36">
        <f>H745/(A745*Inputs!$D$32)</f>
        <v>0.69155568595041328</v>
      </c>
      <c r="J745" s="38">
        <f>IF(I745&gt;=1,999,I745/(Inputs!$D$32*(1-I745))*60)</f>
        <v>2.4459014165905288</v>
      </c>
      <c r="K745" s="37">
        <f>MIN(1,MAX(0,(J745-Inputs!$D$36)/(Inputs!$D$37-Inputs!$D$36)))</f>
        <v>0</v>
      </c>
      <c r="L745" s="35">
        <f>Inputs!$D$6*Inputs!$D$14*G745*(1-Inputs!$D$38*K745)</f>
        <v>13946.373000000001</v>
      </c>
      <c r="M745" s="39">
        <f>L745*Inputs!$D$11</f>
        <v>299847.01950000005</v>
      </c>
      <c r="N745" s="39">
        <f>M745*(1-Inputs!$D$17)</f>
        <v>104946.45682500002</v>
      </c>
      <c r="O745" s="35">
        <f>Inputs!$D$6*E745*Inputs!$D$27*Inputs!$D$30</f>
        <v>245.44658955185244</v>
      </c>
      <c r="P745" s="36">
        <f>O745/(C745*Inputs!$D$33)</f>
        <v>2.0453882462654369</v>
      </c>
      <c r="Q745" s="38">
        <f>IF(P745&gt;=1,999,P745/(Inputs!$D$33*(1-P745))*60)</f>
        <v>999</v>
      </c>
      <c r="R745" s="37">
        <f>MIN(1,MAX(0,(Q745-Inputs!$D$36)/(Inputs!$D$37-Inputs!$D$36)))</f>
        <v>1</v>
      </c>
      <c r="S745" s="35">
        <f>Inputs!$D$6*E745*Inputs!$D$27*(1-Inputs!$D$38*R745)</f>
        <v>1124.9635354459906</v>
      </c>
      <c r="T745" s="39">
        <f>S745*Inputs!$D$12</f>
        <v>17999.41656713585</v>
      </c>
      <c r="U745" s="39">
        <f>T745*(1-Inputs!$D$18)</f>
        <v>8099.7374552111314</v>
      </c>
      <c r="V745" s="35">
        <f>Inputs!$D$6*F745*Inputs!$D$28*Inputs!$D$31</f>
        <v>769.18257135463637</v>
      </c>
      <c r="W745" s="36">
        <f>V745/(B745*Inputs!$D$34)</f>
        <v>0.70892402889828232</v>
      </c>
      <c r="X745" s="38">
        <f>IF(W745&gt;=1,999,W745/(Inputs!$D$34*(1-W745))*60)</f>
        <v>4.1751929252501148</v>
      </c>
      <c r="Y745" s="37">
        <f>MIN(1,MAX(0,(X745-Inputs!$D$36)/(Inputs!$D$37-Inputs!$D$36)))</f>
        <v>0</v>
      </c>
      <c r="Z745" s="35">
        <f>Inputs!$D$6*F745*Inputs!$D$28*(1-Inputs!$D$38*Y745)</f>
        <v>5916.7890104202797</v>
      </c>
      <c r="AA745" s="39">
        <f>Z745*Inputs!$D$13</f>
        <v>50292.706588572379</v>
      </c>
      <c r="AB745" s="39">
        <f>AA745*(1-Inputs!$D$19)</f>
        <v>30175.623953143426</v>
      </c>
      <c r="AC745" s="39">
        <f t="shared" si="44"/>
        <v>368139.14265570825</v>
      </c>
      <c r="AD745" s="39">
        <f t="shared" si="45"/>
        <v>143221.81823335457</v>
      </c>
      <c r="AE745" s="36">
        <f t="shared" si="46"/>
        <v>2.0453882462654369</v>
      </c>
      <c r="AF745" s="35">
        <f>IF(AND(AE745&lt;=Inputs!$D$35,C745&gt;=Inputs!$D$48*(A745+B745+C745),B745*Inputs!$D$22&lt;=Inputs!$D$50*Inputs!$D$8,B745*Inputs!$D$22&gt;=Inputs!$D$49*Inputs!$D$8,A745*Inputs!$D$20&lt;=Inputs!$D$47*Inputs!$D$8,C745&gt;=1),1,0)</f>
        <v>0</v>
      </c>
      <c r="AG745" s="39">
        <f t="shared" si="47"/>
        <v>-1</v>
      </c>
    </row>
    <row r="746" spans="1:33" x14ac:dyDescent="0.25">
      <c r="A746" s="35">
        <v>55</v>
      </c>
      <c r="B746" s="35">
        <v>32</v>
      </c>
      <c r="C746" s="35">
        <f>Inputs!$D$8-A746-Inputs!$D$22*B746</f>
        <v>1</v>
      </c>
      <c r="D746" s="35">
        <f>A746*Inputs!$D$20+C746*Inputs!$D$21+B746*Inputs!$D$22</f>
        <v>120</v>
      </c>
      <c r="E746" s="36">
        <f>MIN(Inputs!$E$15,Inputs!$D$15*(C746/Inputs!$D$43)^Inputs!$D$44)</f>
        <v>0.12373750601653212</v>
      </c>
      <c r="F746" s="36">
        <f>MIN(Inputs!$E$16,Inputs!$D$16*(B746/Inputs!$D$42)^Inputs!$D$44)</f>
        <v>0.46057036065052986</v>
      </c>
      <c r="G746" s="37">
        <f>Inputs!$D$26*(1+Inputs!$D$41*(B746-Inputs!$D$42))</f>
        <v>1.6800000000000002</v>
      </c>
      <c r="H746" s="35">
        <f>Inputs!$D$6*Inputs!$D$14*G746*Inputs!$D$29</f>
        <v>2110.8024000000005</v>
      </c>
      <c r="I746" s="36">
        <f>H746/(A746*Inputs!$D$32)</f>
        <v>0.6977859173553721</v>
      </c>
      <c r="J746" s="38">
        <f>IF(I746&gt;=1,999,I746/(Inputs!$D$32*(1-I746))*60)</f>
        <v>2.5188137961341504</v>
      </c>
      <c r="K746" s="37">
        <f>MIN(1,MAX(0,(J746-Inputs!$D$36)/(Inputs!$D$37-Inputs!$D$36)))</f>
        <v>0</v>
      </c>
      <c r="L746" s="35">
        <f>Inputs!$D$6*Inputs!$D$14*G746*(1-Inputs!$D$38*K746)</f>
        <v>14072.016000000003</v>
      </c>
      <c r="M746" s="39">
        <f>L746*Inputs!$D$11</f>
        <v>302548.34400000004</v>
      </c>
      <c r="N746" s="39">
        <f>M746*(1-Inputs!$D$17)</f>
        <v>105891.9204</v>
      </c>
      <c r="O746" s="35">
        <f>Inputs!$D$6*E746*Inputs!$D$27*Inputs!$D$30</f>
        <v>176.53085538352164</v>
      </c>
      <c r="P746" s="36">
        <f>O746/(C746*Inputs!$D$33)</f>
        <v>4.4132713845880414</v>
      </c>
      <c r="Q746" s="38">
        <f>IF(P746&gt;=1,999,P746/(Inputs!$D$33*(1-P746))*60)</f>
        <v>999</v>
      </c>
      <c r="R746" s="37">
        <f>MIN(1,MAX(0,(Q746-Inputs!$D$36)/(Inputs!$D$37-Inputs!$D$36)))</f>
        <v>1</v>
      </c>
      <c r="S746" s="35">
        <f>Inputs!$D$6*E746*Inputs!$D$27*(1-Inputs!$D$38*R746)</f>
        <v>809.09975384114091</v>
      </c>
      <c r="T746" s="39">
        <f>S746*Inputs!$D$12</f>
        <v>12945.596061458255</v>
      </c>
      <c r="U746" s="39">
        <f>T746*(1-Inputs!$D$18)</f>
        <v>5825.5182276562136</v>
      </c>
      <c r="V746" s="35">
        <f>Inputs!$D$6*F746*Inputs!$D$28*Inputs!$D$31</f>
        <v>776.54373543410452</v>
      </c>
      <c r="W746" s="36">
        <f>V746/(B746*Inputs!$D$34)</f>
        <v>0.69334262092330756</v>
      </c>
      <c r="X746" s="38">
        <f>IF(W746&gt;=1,999,W746/(Inputs!$D$34*(1-W746))*60)</f>
        <v>3.8759457011369869</v>
      </c>
      <c r="Y746" s="37">
        <f>MIN(1,MAX(0,(X746-Inputs!$D$36)/(Inputs!$D$37-Inputs!$D$36)))</f>
        <v>0</v>
      </c>
      <c r="Z746" s="35">
        <f>Inputs!$D$6*F746*Inputs!$D$28*(1-Inputs!$D$38*Y746)</f>
        <v>5973.4133494931111</v>
      </c>
      <c r="AA746" s="39">
        <f>Z746*Inputs!$D$13</f>
        <v>50774.013470691447</v>
      </c>
      <c r="AB746" s="39">
        <f>AA746*(1-Inputs!$D$19)</f>
        <v>30464.408082414866</v>
      </c>
      <c r="AC746" s="39">
        <f t="shared" si="44"/>
        <v>366267.95353214972</v>
      </c>
      <c r="AD746" s="39">
        <f t="shared" si="45"/>
        <v>142181.84671007108</v>
      </c>
      <c r="AE746" s="36">
        <f t="shared" si="46"/>
        <v>4.4132713845880414</v>
      </c>
      <c r="AF746" s="35">
        <f>IF(AND(AE746&lt;=Inputs!$D$35,C746&gt;=Inputs!$D$48*(A746+B746+C746),B746*Inputs!$D$22&lt;=Inputs!$D$50*Inputs!$D$8,B746*Inputs!$D$22&gt;=Inputs!$D$49*Inputs!$D$8,A746*Inputs!$D$20&lt;=Inputs!$D$47*Inputs!$D$8,C746&gt;=1),1,0)</f>
        <v>0</v>
      </c>
      <c r="AG746" s="39">
        <f t="shared" si="47"/>
        <v>-1</v>
      </c>
    </row>
    <row r="747" spans="1:33" x14ac:dyDescent="0.25">
      <c r="A747" s="35">
        <v>56</v>
      </c>
      <c r="B747" s="35">
        <v>10</v>
      </c>
      <c r="C747" s="35">
        <f>Inputs!$D$8-A747-Inputs!$D$22*B747</f>
        <v>44</v>
      </c>
      <c r="D747" s="35">
        <f>A747*Inputs!$D$20+C747*Inputs!$D$21+B747*Inputs!$D$22</f>
        <v>120</v>
      </c>
      <c r="E747" s="36">
        <f>MIN(Inputs!$E$15,Inputs!$D$15*(C747/Inputs!$D$43)^Inputs!$D$44)</f>
        <v>0.38506776240403751</v>
      </c>
      <c r="F747" s="36">
        <f>MIN(Inputs!$E$16,Inputs!$D$16*(B747/Inputs!$D$42)^Inputs!$D$44)</f>
        <v>0.32490095854249423</v>
      </c>
      <c r="G747" s="37">
        <f>Inputs!$D$26*(1+Inputs!$D$41*(B747-Inputs!$D$42))</f>
        <v>1.35</v>
      </c>
      <c r="H747" s="35">
        <f>Inputs!$D$6*Inputs!$D$14*G747*Inputs!$D$29</f>
        <v>1696.1805000000004</v>
      </c>
      <c r="I747" s="36">
        <f>H747/(A747*Inputs!$D$32)</f>
        <v>0.55070795454545463</v>
      </c>
      <c r="J747" s="38">
        <f>IF(I747&gt;=1,999,I747/(Inputs!$D$32*(1-I747))*60)</f>
        <v>1.3371532394743157</v>
      </c>
      <c r="K747" s="37">
        <f>MIN(1,MAX(0,(J747-Inputs!$D$36)/(Inputs!$D$37-Inputs!$D$36)))</f>
        <v>0</v>
      </c>
      <c r="L747" s="35">
        <f>Inputs!$D$6*Inputs!$D$14*G747*(1-Inputs!$D$38*K747)</f>
        <v>11307.870000000003</v>
      </c>
      <c r="M747" s="39">
        <f>L747*Inputs!$D$11</f>
        <v>243119.20500000005</v>
      </c>
      <c r="N747" s="39">
        <f>M747*(1-Inputs!$D$17)</f>
        <v>85091.721750000012</v>
      </c>
      <c r="O747" s="35">
        <f>Inputs!$D$6*E747*Inputs!$D$27*Inputs!$D$30</f>
        <v>549.35923364029463</v>
      </c>
      <c r="P747" s="36">
        <f>O747/(C747*Inputs!$D$33)</f>
        <v>0.31213592820471286</v>
      </c>
      <c r="Q747" s="38">
        <f>IF(P747&gt;=1,999,P747/(Inputs!$D$33*(1-P747))*60)</f>
        <v>0.6806633919476025</v>
      </c>
      <c r="R747" s="37">
        <f>MIN(1,MAX(0,(Q747-Inputs!$D$36)/(Inputs!$D$37-Inputs!$D$36)))</f>
        <v>0</v>
      </c>
      <c r="S747" s="35">
        <f>Inputs!$D$6*E747*Inputs!$D$27*(1-Inputs!$D$38*R747)</f>
        <v>4577.9936136691222</v>
      </c>
      <c r="T747" s="39">
        <f>S747*Inputs!$D$12</f>
        <v>73247.897818705955</v>
      </c>
      <c r="U747" s="39">
        <f>T747*(1-Inputs!$D$18)</f>
        <v>32961.554018417679</v>
      </c>
      <c r="V747" s="35">
        <f>Inputs!$D$6*F747*Inputs!$D$28*Inputs!$D$31</f>
        <v>547.7986113486553</v>
      </c>
      <c r="W747" s="36">
        <f>V747/(B747*Inputs!$D$34)</f>
        <v>1.5651388895675866</v>
      </c>
      <c r="X747" s="38">
        <f>IF(W747&gt;=1,999,W747/(Inputs!$D$34*(1-W747))*60)</f>
        <v>999</v>
      </c>
      <c r="Y747" s="37">
        <f>MIN(1,MAX(0,(X747-Inputs!$D$36)/(Inputs!$D$37-Inputs!$D$36)))</f>
        <v>1</v>
      </c>
      <c r="Z747" s="35">
        <f>Inputs!$D$6*F747*Inputs!$D$28*(1-Inputs!$D$38*Y747)</f>
        <v>2317.6095095520031</v>
      </c>
      <c r="AA747" s="39">
        <f>Z747*Inputs!$D$13</f>
        <v>19699.680831192025</v>
      </c>
      <c r="AB747" s="39">
        <f>AA747*(1-Inputs!$D$19)</f>
        <v>11819.808498715214</v>
      </c>
      <c r="AC747" s="39">
        <f t="shared" si="44"/>
        <v>336066.78364989802</v>
      </c>
      <c r="AD747" s="39">
        <f t="shared" si="45"/>
        <v>129873.0842671329</v>
      </c>
      <c r="AE747" s="36">
        <f t="shared" si="46"/>
        <v>1.5651388895675866</v>
      </c>
      <c r="AF747" s="35">
        <f>IF(AND(AE747&lt;=Inputs!$D$35,C747&gt;=Inputs!$D$48*(A747+B747+C747),B747*Inputs!$D$22&lt;=Inputs!$D$50*Inputs!$D$8,B747*Inputs!$D$22&gt;=Inputs!$D$49*Inputs!$D$8,A747*Inputs!$D$20&lt;=Inputs!$D$47*Inputs!$D$8,C747&gt;=1),1,0)</f>
        <v>0</v>
      </c>
      <c r="AG747" s="39">
        <f t="shared" si="47"/>
        <v>-1</v>
      </c>
    </row>
    <row r="748" spans="1:33" x14ac:dyDescent="0.25">
      <c r="A748" s="35">
        <v>56</v>
      </c>
      <c r="B748" s="35">
        <v>11</v>
      </c>
      <c r="C748" s="35">
        <f>Inputs!$D$8-A748-Inputs!$D$22*B748</f>
        <v>42</v>
      </c>
      <c r="D748" s="35">
        <f>A748*Inputs!$D$20+C748*Inputs!$D$21+B748*Inputs!$D$22</f>
        <v>120</v>
      </c>
      <c r="E748" s="36">
        <f>MIN(Inputs!$E$15,Inputs!$D$15*(C748/Inputs!$D$43)^Inputs!$D$44)</f>
        <v>0.37973108090036384</v>
      </c>
      <c r="F748" s="36">
        <f>MIN(Inputs!$E$16,Inputs!$D$16*(B748/Inputs!$D$42)^Inputs!$D$44)</f>
        <v>0.33432495758166098</v>
      </c>
      <c r="G748" s="37">
        <f>Inputs!$D$26*(1+Inputs!$D$41*(B748-Inputs!$D$42))</f>
        <v>1.365</v>
      </c>
      <c r="H748" s="35">
        <f>Inputs!$D$6*Inputs!$D$14*G748*Inputs!$D$29</f>
        <v>1715.0269500000002</v>
      </c>
      <c r="I748" s="36">
        <f>H748/(A748*Inputs!$D$32)</f>
        <v>0.55682693181818188</v>
      </c>
      <c r="J748" s="38">
        <f>IF(I748&gt;=1,999,I748/(Inputs!$D$32*(1-I748))*60)</f>
        <v>1.3706779711944432</v>
      </c>
      <c r="K748" s="37">
        <f>MIN(1,MAX(0,(J748-Inputs!$D$36)/(Inputs!$D$37-Inputs!$D$36)))</f>
        <v>0</v>
      </c>
      <c r="L748" s="35">
        <f>Inputs!$D$6*Inputs!$D$14*G748*(1-Inputs!$D$38*K748)</f>
        <v>11433.513000000001</v>
      </c>
      <c r="M748" s="39">
        <f>L748*Inputs!$D$11</f>
        <v>245820.5295</v>
      </c>
      <c r="N748" s="39">
        <f>M748*(1-Inputs!$D$17)</f>
        <v>86037.185324999999</v>
      </c>
      <c r="O748" s="35">
        <f>Inputs!$D$6*E748*Inputs!$D$27*Inputs!$D$30</f>
        <v>541.74562495298949</v>
      </c>
      <c r="P748" s="36">
        <f>O748/(C748*Inputs!$D$33)</f>
        <v>0.32246763390058897</v>
      </c>
      <c r="Q748" s="38">
        <f>IF(P748&gt;=1,999,P748/(Inputs!$D$33*(1-P748))*60)</f>
        <v>0.71391637514762252</v>
      </c>
      <c r="R748" s="37">
        <f>MIN(1,MAX(0,(Q748-Inputs!$D$36)/(Inputs!$D$37-Inputs!$D$36)))</f>
        <v>0</v>
      </c>
      <c r="S748" s="35">
        <f>Inputs!$D$6*E748*Inputs!$D$27*(1-Inputs!$D$38*R748)</f>
        <v>4514.5468746082461</v>
      </c>
      <c r="T748" s="39">
        <f>S748*Inputs!$D$12</f>
        <v>72232.749993731937</v>
      </c>
      <c r="U748" s="39">
        <f>T748*(1-Inputs!$D$18)</f>
        <v>32504.737497179369</v>
      </c>
      <c r="V748" s="35">
        <f>Inputs!$D$6*F748*Inputs!$D$28*Inputs!$D$31</f>
        <v>563.68792608064427</v>
      </c>
      <c r="W748" s="36">
        <f>V748/(B748*Inputs!$D$34)</f>
        <v>1.4641244833263487</v>
      </c>
      <c r="X748" s="38">
        <f>IF(W748&gt;=1,999,W748/(Inputs!$D$34*(1-W748))*60)</f>
        <v>999</v>
      </c>
      <c r="Y748" s="37">
        <f>MIN(1,MAX(0,(X748-Inputs!$D$36)/(Inputs!$D$37-Inputs!$D$36)))</f>
        <v>1</v>
      </c>
      <c r="Z748" s="35">
        <f>Inputs!$D$6*F748*Inputs!$D$28*(1-Inputs!$D$38*Y748)</f>
        <v>2384.8335334181106</v>
      </c>
      <c r="AA748" s="39">
        <f>Z748*Inputs!$D$13</f>
        <v>20271.08503405394</v>
      </c>
      <c r="AB748" s="39">
        <f>AA748*(1-Inputs!$D$19)</f>
        <v>12162.651020432364</v>
      </c>
      <c r="AC748" s="39">
        <f t="shared" si="44"/>
        <v>338324.36452778586</v>
      </c>
      <c r="AD748" s="39">
        <f t="shared" si="45"/>
        <v>130704.57384261172</v>
      </c>
      <c r="AE748" s="36">
        <f t="shared" si="46"/>
        <v>1.4641244833263487</v>
      </c>
      <c r="AF748" s="35">
        <f>IF(AND(AE748&lt;=Inputs!$D$35,C748&gt;=Inputs!$D$48*(A748+B748+C748),B748*Inputs!$D$22&lt;=Inputs!$D$50*Inputs!$D$8,B748*Inputs!$D$22&gt;=Inputs!$D$49*Inputs!$D$8,A748*Inputs!$D$20&lt;=Inputs!$D$47*Inputs!$D$8,C748&gt;=1),1,0)</f>
        <v>0</v>
      </c>
      <c r="AG748" s="39">
        <f t="shared" si="47"/>
        <v>-1</v>
      </c>
    </row>
    <row r="749" spans="1:33" x14ac:dyDescent="0.25">
      <c r="A749" s="35">
        <v>56</v>
      </c>
      <c r="B749" s="35">
        <v>12</v>
      </c>
      <c r="C749" s="35">
        <f>Inputs!$D$8-A749-Inputs!$D$22*B749</f>
        <v>40</v>
      </c>
      <c r="D749" s="35">
        <f>A749*Inputs!$D$20+C749*Inputs!$D$21+B749*Inputs!$D$22</f>
        <v>120</v>
      </c>
      <c r="E749" s="36">
        <f>MIN(Inputs!$E$15,Inputs!$D$15*(C749/Inputs!$D$43)^Inputs!$D$44)</f>
        <v>0.37421341802855551</v>
      </c>
      <c r="F749" s="36">
        <f>MIN(Inputs!$E$16,Inputs!$D$16*(B749/Inputs!$D$42)^Inputs!$D$44)</f>
        <v>0.34316688017763797</v>
      </c>
      <c r="G749" s="37">
        <f>Inputs!$D$26*(1+Inputs!$D$41*(B749-Inputs!$D$42))</f>
        <v>1.3800000000000001</v>
      </c>
      <c r="H749" s="35">
        <f>Inputs!$D$6*Inputs!$D$14*G749*Inputs!$D$29</f>
        <v>1733.8734000000004</v>
      </c>
      <c r="I749" s="36">
        <f>H749/(A749*Inputs!$D$32)</f>
        <v>0.56294590909090925</v>
      </c>
      <c r="J749" s="38">
        <f>IF(I749&gt;=1,999,I749/(Inputs!$D$32*(1-I749))*60)</f>
        <v>1.4051414291534359</v>
      </c>
      <c r="K749" s="37">
        <f>MIN(1,MAX(0,(J749-Inputs!$D$36)/(Inputs!$D$37-Inputs!$D$36)))</f>
        <v>0</v>
      </c>
      <c r="L749" s="35">
        <f>Inputs!$D$6*Inputs!$D$14*G749*(1-Inputs!$D$38*K749)</f>
        <v>11559.156000000003</v>
      </c>
      <c r="M749" s="39">
        <f>L749*Inputs!$D$11</f>
        <v>248521.85400000005</v>
      </c>
      <c r="N749" s="39">
        <f>M749*(1-Inputs!$D$17)</f>
        <v>86982.648900000015</v>
      </c>
      <c r="O749" s="35">
        <f>Inputs!$D$6*E749*Inputs!$D$27*Inputs!$D$30</f>
        <v>533.8738181109469</v>
      </c>
      <c r="P749" s="36">
        <f>O749/(C749*Inputs!$D$33)</f>
        <v>0.33367113631934181</v>
      </c>
      <c r="Q749" s="38">
        <f>IF(P749&gt;=1,999,P749/(Inputs!$D$33*(1-P749))*60)</f>
        <v>0.75114066305685867</v>
      </c>
      <c r="R749" s="37">
        <f>MIN(1,MAX(0,(Q749-Inputs!$D$36)/(Inputs!$D$37-Inputs!$D$36)))</f>
        <v>0</v>
      </c>
      <c r="S749" s="35">
        <f>Inputs!$D$6*E749*Inputs!$D$27*(1-Inputs!$D$38*R749)</f>
        <v>4448.9484842578913</v>
      </c>
      <c r="T749" s="39">
        <f>S749*Inputs!$D$12</f>
        <v>71183.175748126261</v>
      </c>
      <c r="U749" s="39">
        <f>T749*(1-Inputs!$D$18)</f>
        <v>32032.429086656815</v>
      </c>
      <c r="V749" s="35">
        <f>Inputs!$D$6*F749*Inputs!$D$28*Inputs!$D$31</f>
        <v>578.5958319897461</v>
      </c>
      <c r="W749" s="36">
        <f>V749/(B749*Inputs!$D$34)</f>
        <v>1.3776091237851098</v>
      </c>
      <c r="X749" s="38">
        <f>IF(W749&gt;=1,999,W749/(Inputs!$D$34*(1-W749))*60)</f>
        <v>999</v>
      </c>
      <c r="Y749" s="37">
        <f>MIN(1,MAX(0,(X749-Inputs!$D$36)/(Inputs!$D$37-Inputs!$D$36)))</f>
        <v>1</v>
      </c>
      <c r="Z749" s="35">
        <f>Inputs!$D$6*F749*Inputs!$D$28*(1-Inputs!$D$38*Y749)</f>
        <v>2447.9054430335414</v>
      </c>
      <c r="AA749" s="39">
        <f>Z749*Inputs!$D$13</f>
        <v>20807.1962657851</v>
      </c>
      <c r="AB749" s="39">
        <f>AA749*(1-Inputs!$D$19)</f>
        <v>12484.31775947106</v>
      </c>
      <c r="AC749" s="39">
        <f t="shared" si="44"/>
        <v>340512.22601391136</v>
      </c>
      <c r="AD749" s="39">
        <f t="shared" si="45"/>
        <v>131499.39574612791</v>
      </c>
      <c r="AE749" s="36">
        <f t="shared" si="46"/>
        <v>1.3776091237851098</v>
      </c>
      <c r="AF749" s="35">
        <f>IF(AND(AE749&lt;=Inputs!$D$35,C749&gt;=Inputs!$D$48*(A749+B749+C749),B749*Inputs!$D$22&lt;=Inputs!$D$50*Inputs!$D$8,B749*Inputs!$D$22&gt;=Inputs!$D$49*Inputs!$D$8,A749*Inputs!$D$20&lt;=Inputs!$D$47*Inputs!$D$8,C749&gt;=1),1,0)</f>
        <v>0</v>
      </c>
      <c r="AG749" s="39">
        <f t="shared" si="47"/>
        <v>-1</v>
      </c>
    </row>
    <row r="750" spans="1:33" x14ac:dyDescent="0.25">
      <c r="A750" s="35">
        <v>56</v>
      </c>
      <c r="B750" s="35">
        <v>13</v>
      </c>
      <c r="C750" s="35">
        <f>Inputs!$D$8-A750-Inputs!$D$22*B750</f>
        <v>38</v>
      </c>
      <c r="D750" s="35">
        <f>A750*Inputs!$D$20+C750*Inputs!$D$21+B750*Inputs!$D$22</f>
        <v>120</v>
      </c>
      <c r="E750" s="36">
        <f>MIN(Inputs!$E$15,Inputs!$D$15*(C750/Inputs!$D$43)^Inputs!$D$44)</f>
        <v>0.36849910497273691</v>
      </c>
      <c r="F750" s="36">
        <f>MIN(Inputs!$E$16,Inputs!$D$16*(B750/Inputs!$D$42)^Inputs!$D$44)</f>
        <v>0.35150701637190523</v>
      </c>
      <c r="G750" s="37">
        <f>Inputs!$D$26*(1+Inputs!$D$41*(B750-Inputs!$D$42))</f>
        <v>1.395</v>
      </c>
      <c r="H750" s="35">
        <f>Inputs!$D$6*Inputs!$D$14*G750*Inputs!$D$29</f>
        <v>1752.7198500000002</v>
      </c>
      <c r="I750" s="36">
        <f>H750/(A750*Inputs!$D$32)</f>
        <v>0.56906488636363639</v>
      </c>
      <c r="J750" s="38">
        <f>IF(I750&gt;=1,999,I750/(Inputs!$D$32*(1-I750))*60)</f>
        <v>1.4405836011197926</v>
      </c>
      <c r="K750" s="37">
        <f>MIN(1,MAX(0,(J750-Inputs!$D$36)/(Inputs!$D$37-Inputs!$D$36)))</f>
        <v>0</v>
      </c>
      <c r="L750" s="35">
        <f>Inputs!$D$6*Inputs!$D$14*G750*(1-Inputs!$D$38*K750)</f>
        <v>11684.799000000001</v>
      </c>
      <c r="M750" s="39">
        <f>L750*Inputs!$D$11</f>
        <v>251223.17850000001</v>
      </c>
      <c r="N750" s="39">
        <f>M750*(1-Inputs!$D$17)</f>
        <v>87928.112475000002</v>
      </c>
      <c r="O750" s="35">
        <f>Inputs!$D$6*E750*Inputs!$D$27*Inputs!$D$30</f>
        <v>525.72145910398501</v>
      </c>
      <c r="P750" s="36">
        <f>O750/(C750*Inputs!$D$33)</f>
        <v>0.34586938098946385</v>
      </c>
      <c r="Q750" s="38">
        <f>IF(P750&gt;=1,999,P750/(Inputs!$D$33*(1-P750))*60)</f>
        <v>0.79311999225622454</v>
      </c>
      <c r="R750" s="37">
        <f>MIN(1,MAX(0,(Q750-Inputs!$D$36)/(Inputs!$D$37-Inputs!$D$36)))</f>
        <v>0</v>
      </c>
      <c r="S750" s="35">
        <f>Inputs!$D$6*E750*Inputs!$D$27*(1-Inputs!$D$38*R750)</f>
        <v>4381.012159199875</v>
      </c>
      <c r="T750" s="39">
        <f>S750*Inputs!$D$12</f>
        <v>70096.194547198</v>
      </c>
      <c r="U750" s="39">
        <f>T750*(1-Inputs!$D$18)</f>
        <v>31543.287546239098</v>
      </c>
      <c r="V750" s="35">
        <f>Inputs!$D$6*F750*Inputs!$D$28*Inputs!$D$31</f>
        <v>592.65770193981814</v>
      </c>
      <c r="W750" s="36">
        <f>V750/(B750*Inputs!$D$34)</f>
        <v>1.3025443998677322</v>
      </c>
      <c r="X750" s="38">
        <f>IF(W750&gt;=1,999,W750/(Inputs!$D$34*(1-W750))*60)</f>
        <v>999</v>
      </c>
      <c r="Y750" s="37">
        <f>MIN(1,MAX(0,(X750-Inputs!$D$36)/(Inputs!$D$37-Inputs!$D$36)))</f>
        <v>1</v>
      </c>
      <c r="Z750" s="35">
        <f>Inputs!$D$6*F750*Inputs!$D$28*(1-Inputs!$D$38*Y750)</f>
        <v>2507.3979697453847</v>
      </c>
      <c r="AA750" s="39">
        <f>Z750*Inputs!$D$13</f>
        <v>21312.882742835769</v>
      </c>
      <c r="AB750" s="39">
        <f>AA750*(1-Inputs!$D$19)</f>
        <v>12787.729645701462</v>
      </c>
      <c r="AC750" s="39">
        <f t="shared" si="44"/>
        <v>342632.25579003379</v>
      </c>
      <c r="AD750" s="39">
        <f t="shared" si="45"/>
        <v>132259.12966694057</v>
      </c>
      <c r="AE750" s="36">
        <f t="shared" si="46"/>
        <v>1.3025443998677322</v>
      </c>
      <c r="AF750" s="35">
        <f>IF(AND(AE750&lt;=Inputs!$D$35,C750&gt;=Inputs!$D$48*(A750+B750+C750),B750*Inputs!$D$22&lt;=Inputs!$D$50*Inputs!$D$8,B750*Inputs!$D$22&gt;=Inputs!$D$49*Inputs!$D$8,A750*Inputs!$D$20&lt;=Inputs!$D$47*Inputs!$D$8,C750&gt;=1),1,0)</f>
        <v>0</v>
      </c>
      <c r="AG750" s="39">
        <f t="shared" si="47"/>
        <v>-1</v>
      </c>
    </row>
    <row r="751" spans="1:33" x14ac:dyDescent="0.25">
      <c r="A751" s="35">
        <v>56</v>
      </c>
      <c r="B751" s="35">
        <v>14</v>
      </c>
      <c r="C751" s="35">
        <f>Inputs!$D$8-A751-Inputs!$D$22*B751</f>
        <v>36</v>
      </c>
      <c r="D751" s="35">
        <f>A751*Inputs!$D$20+C751*Inputs!$D$21+B751*Inputs!$D$22</f>
        <v>120</v>
      </c>
      <c r="E751" s="36">
        <f>MIN(Inputs!$E$15,Inputs!$D$15*(C751/Inputs!$D$43)^Inputs!$D$44)</f>
        <v>0.36257020206219398</v>
      </c>
      <c r="F751" s="36">
        <f>MIN(Inputs!$E$16,Inputs!$D$16*(B751/Inputs!$D$42)^Inputs!$D$44)</f>
        <v>0.35940937671625589</v>
      </c>
      <c r="G751" s="37">
        <f>Inputs!$D$26*(1+Inputs!$D$41*(B751-Inputs!$D$42))</f>
        <v>1.41</v>
      </c>
      <c r="H751" s="35">
        <f>Inputs!$D$6*Inputs!$D$14*G751*Inputs!$D$29</f>
        <v>1771.5663000000002</v>
      </c>
      <c r="I751" s="36">
        <f>H751/(A751*Inputs!$D$32)</f>
        <v>0.57518386363636365</v>
      </c>
      <c r="J751" s="38">
        <f>IF(I751&gt;=1,999,I751/(Inputs!$D$32*(1-I751))*60)</f>
        <v>1.4770467787692889</v>
      </c>
      <c r="K751" s="37">
        <f>MIN(1,MAX(0,(J751-Inputs!$D$36)/(Inputs!$D$37-Inputs!$D$36)))</f>
        <v>0</v>
      </c>
      <c r="L751" s="35">
        <f>Inputs!$D$6*Inputs!$D$14*G751*(1-Inputs!$D$38*K751)</f>
        <v>11810.442000000001</v>
      </c>
      <c r="M751" s="39">
        <f>L751*Inputs!$D$11</f>
        <v>253924.50300000003</v>
      </c>
      <c r="N751" s="39">
        <f>M751*(1-Inputs!$D$17)</f>
        <v>88873.576050000003</v>
      </c>
      <c r="O751" s="35">
        <f>Inputs!$D$6*E751*Inputs!$D$27*Inputs!$D$30</f>
        <v>517.26295419324151</v>
      </c>
      <c r="P751" s="36">
        <f>O751/(C751*Inputs!$D$33)</f>
        <v>0.35921038485641771</v>
      </c>
      <c r="Q751" s="38">
        <f>IF(P751&gt;=1,999,P751/(Inputs!$D$33*(1-P751))*60)</f>
        <v>0.84086190623406665</v>
      </c>
      <c r="R751" s="37">
        <f>MIN(1,MAX(0,(Q751-Inputs!$D$36)/(Inputs!$D$37-Inputs!$D$36)))</f>
        <v>0</v>
      </c>
      <c r="S751" s="35">
        <f>Inputs!$D$6*E751*Inputs!$D$27*(1-Inputs!$D$38*R751)</f>
        <v>4310.5246182770125</v>
      </c>
      <c r="T751" s="39">
        <f>S751*Inputs!$D$12</f>
        <v>68968.393892432199</v>
      </c>
      <c r="U751" s="39">
        <f>T751*(1-Inputs!$D$18)</f>
        <v>31035.777251594485</v>
      </c>
      <c r="V751" s="35">
        <f>Inputs!$D$6*F751*Inputs!$D$28*Inputs!$D$31</f>
        <v>605.98146079368973</v>
      </c>
      <c r="W751" s="36">
        <f>V751/(B751*Inputs!$D$34)</f>
        <v>1.2366968587626321</v>
      </c>
      <c r="X751" s="38">
        <f>IF(W751&gt;=1,999,W751/(Inputs!$D$34*(1-W751))*60)</f>
        <v>999</v>
      </c>
      <c r="Y751" s="37">
        <f>MIN(1,MAX(0,(X751-Inputs!$D$36)/(Inputs!$D$37-Inputs!$D$36)))</f>
        <v>1</v>
      </c>
      <c r="Z751" s="35">
        <f>Inputs!$D$6*F751*Inputs!$D$28*(1-Inputs!$D$38*Y751)</f>
        <v>2563.7677187425338</v>
      </c>
      <c r="AA751" s="39">
        <f>Z751*Inputs!$D$13</f>
        <v>21792.025609311539</v>
      </c>
      <c r="AB751" s="39">
        <f>AA751*(1-Inputs!$D$19)</f>
        <v>13075.215365586922</v>
      </c>
      <c r="AC751" s="39">
        <f t="shared" si="44"/>
        <v>344684.92250174377</v>
      </c>
      <c r="AD751" s="39">
        <f t="shared" si="45"/>
        <v>132984.56866718142</v>
      </c>
      <c r="AE751" s="36">
        <f t="shared" si="46"/>
        <v>1.2366968587626321</v>
      </c>
      <c r="AF751" s="35">
        <f>IF(AND(AE751&lt;=Inputs!$D$35,C751&gt;=Inputs!$D$48*(A751+B751+C751),B751*Inputs!$D$22&lt;=Inputs!$D$50*Inputs!$D$8,B751*Inputs!$D$22&gt;=Inputs!$D$49*Inputs!$D$8,A751*Inputs!$D$20&lt;=Inputs!$D$47*Inputs!$D$8,C751&gt;=1),1,0)</f>
        <v>0</v>
      </c>
      <c r="AG751" s="39">
        <f t="shared" si="47"/>
        <v>-1</v>
      </c>
    </row>
    <row r="752" spans="1:33" x14ac:dyDescent="0.25">
      <c r="A752" s="35">
        <v>56</v>
      </c>
      <c r="B752" s="35">
        <v>15</v>
      </c>
      <c r="C752" s="35">
        <f>Inputs!$D$8-A752-Inputs!$D$22*B752</f>
        <v>34</v>
      </c>
      <c r="D752" s="35">
        <f>A752*Inputs!$D$20+C752*Inputs!$D$21+B752*Inputs!$D$22</f>
        <v>120</v>
      </c>
      <c r="E752" s="36">
        <f>MIN(Inputs!$E$15,Inputs!$D$15*(C752/Inputs!$D$43)^Inputs!$D$44)</f>
        <v>0.35640602201959876</v>
      </c>
      <c r="F752" s="36">
        <f>MIN(Inputs!$E$16,Inputs!$D$16*(B752/Inputs!$D$42)^Inputs!$D$44)</f>
        <v>0.36692590185696072</v>
      </c>
      <c r="G752" s="37">
        <f>Inputs!$D$26*(1+Inputs!$D$41*(B752-Inputs!$D$42))</f>
        <v>1.4249999999999998</v>
      </c>
      <c r="H752" s="35">
        <f>Inputs!$D$6*Inputs!$D$14*G752*Inputs!$D$29</f>
        <v>1790.4127499999997</v>
      </c>
      <c r="I752" s="36">
        <f>H752/(A752*Inputs!$D$32)</f>
        <v>0.58130284090909079</v>
      </c>
      <c r="J752" s="38">
        <f>IF(I752&gt;=1,999,I752/(Inputs!$D$32*(1-I752))*60)</f>
        <v>1.5145757260352446</v>
      </c>
      <c r="K752" s="37">
        <f>MIN(1,MAX(0,(J752-Inputs!$D$36)/(Inputs!$D$37-Inputs!$D$36)))</f>
        <v>0</v>
      </c>
      <c r="L752" s="35">
        <f>Inputs!$D$6*Inputs!$D$14*G752*(1-Inputs!$D$38*K752)</f>
        <v>11936.084999999999</v>
      </c>
      <c r="M752" s="39">
        <f>L752*Inputs!$D$11</f>
        <v>256625.82749999998</v>
      </c>
      <c r="N752" s="39">
        <f>M752*(1-Inputs!$D$17)</f>
        <v>89819.03962499999</v>
      </c>
      <c r="O752" s="35">
        <f>Inputs!$D$6*E752*Inputs!$D$27*Inputs!$D$30</f>
        <v>508.46878975039266</v>
      </c>
      <c r="P752" s="36">
        <f>O752/(C752*Inputs!$D$33)</f>
        <v>0.37387411011058286</v>
      </c>
      <c r="Q752" s="38">
        <f>IF(P752&gt;=1,999,P752/(Inputs!$D$33*(1-P752))*60)</f>
        <v>0.89568435712652228</v>
      </c>
      <c r="R752" s="37">
        <f>MIN(1,MAX(0,(Q752-Inputs!$D$36)/(Inputs!$D$37-Inputs!$D$36)))</f>
        <v>0</v>
      </c>
      <c r="S752" s="35">
        <f>Inputs!$D$6*E752*Inputs!$D$27*(1-Inputs!$D$38*R752)</f>
        <v>4237.2399145866057</v>
      </c>
      <c r="T752" s="39">
        <f>S752*Inputs!$D$12</f>
        <v>67795.838633385691</v>
      </c>
      <c r="U752" s="39">
        <f>T752*(1-Inputs!$D$18)</f>
        <v>30508.127385023559</v>
      </c>
      <c r="V752" s="35">
        <f>Inputs!$D$6*F752*Inputs!$D$28*Inputs!$D$31</f>
        <v>618.65468297412497</v>
      </c>
      <c r="W752" s="36">
        <f>V752/(B752*Inputs!$D$34)</f>
        <v>1.1783898723316666</v>
      </c>
      <c r="X752" s="38">
        <f>IF(W752&gt;=1,999,W752/(Inputs!$D$34*(1-W752))*60)</f>
        <v>999</v>
      </c>
      <c r="Y752" s="37">
        <f>MIN(1,MAX(0,(X752-Inputs!$D$36)/(Inputs!$D$37-Inputs!$D$36)))</f>
        <v>1</v>
      </c>
      <c r="Z752" s="35">
        <f>Inputs!$D$6*F752*Inputs!$D$28*(1-Inputs!$D$38*Y752)</f>
        <v>2617.3851971982212</v>
      </c>
      <c r="AA752" s="39">
        <f>Z752*Inputs!$D$13</f>
        <v>22247.774176184881</v>
      </c>
      <c r="AB752" s="39">
        <f>AA752*(1-Inputs!$D$19)</f>
        <v>13348.664505710929</v>
      </c>
      <c r="AC752" s="39">
        <f t="shared" si="44"/>
        <v>346669.44030957058</v>
      </c>
      <c r="AD752" s="39">
        <f t="shared" si="45"/>
        <v>133675.83151573449</v>
      </c>
      <c r="AE752" s="36">
        <f t="shared" si="46"/>
        <v>1.1783898723316666</v>
      </c>
      <c r="AF752" s="35">
        <f>IF(AND(AE752&lt;=Inputs!$D$35,C752&gt;=Inputs!$D$48*(A752+B752+C752),B752*Inputs!$D$22&lt;=Inputs!$D$50*Inputs!$D$8,B752*Inputs!$D$22&gt;=Inputs!$D$49*Inputs!$D$8,A752*Inputs!$D$20&lt;=Inputs!$D$47*Inputs!$D$8,C752&gt;=1),1,0)</f>
        <v>0</v>
      </c>
      <c r="AG752" s="39">
        <f t="shared" si="47"/>
        <v>-1</v>
      </c>
    </row>
    <row r="753" spans="1:33" x14ac:dyDescent="0.25">
      <c r="A753" s="35">
        <v>56</v>
      </c>
      <c r="B753" s="35">
        <v>16</v>
      </c>
      <c r="C753" s="35">
        <f>Inputs!$D$8-A753-Inputs!$D$22*B753</f>
        <v>32</v>
      </c>
      <c r="D753" s="35">
        <f>A753*Inputs!$D$20+C753*Inputs!$D$21+B753*Inputs!$D$22</f>
        <v>120</v>
      </c>
      <c r="E753" s="36">
        <f>MIN(Inputs!$E$15,Inputs!$D$15*(C753/Inputs!$D$43)^Inputs!$D$44)</f>
        <v>0.34998251836560429</v>
      </c>
      <c r="F753" s="36">
        <f>MIN(Inputs!$E$16,Inputs!$D$16*(B753/Inputs!$D$42)^Inputs!$D$44)</f>
        <v>0.37409937912904856</v>
      </c>
      <c r="G753" s="37">
        <f>Inputs!$D$26*(1+Inputs!$D$41*(B753-Inputs!$D$42))</f>
        <v>1.44</v>
      </c>
      <c r="H753" s="35">
        <f>Inputs!$D$6*Inputs!$D$14*G753*Inputs!$D$29</f>
        <v>1809.2592000000002</v>
      </c>
      <c r="I753" s="36">
        <f>H753/(A753*Inputs!$D$32)</f>
        <v>0.58742181818181827</v>
      </c>
      <c r="J753" s="38">
        <f>IF(I753&gt;=1,999,I753/(Inputs!$D$32*(1-I753))*60)</f>
        <v>1.5532178624396964</v>
      </c>
      <c r="K753" s="37">
        <f>MIN(1,MAX(0,(J753-Inputs!$D$36)/(Inputs!$D$37-Inputs!$D$36)))</f>
        <v>0</v>
      </c>
      <c r="L753" s="35">
        <f>Inputs!$D$6*Inputs!$D$14*G753*(1-Inputs!$D$38*K753)</f>
        <v>12061.728000000001</v>
      </c>
      <c r="M753" s="39">
        <f>L753*Inputs!$D$11</f>
        <v>259327.15200000003</v>
      </c>
      <c r="N753" s="39">
        <f>M753*(1-Inputs!$D$17)</f>
        <v>90764.503200000006</v>
      </c>
      <c r="O753" s="35">
        <f>Inputs!$D$6*E753*Inputs!$D$27*Inputs!$D$30</f>
        <v>499.30465972139962</v>
      </c>
      <c r="P753" s="36">
        <f>O753/(C753*Inputs!$D$33)</f>
        <v>0.39008176540734346</v>
      </c>
      <c r="Q753" s="38">
        <f>IF(P753&gt;=1,999,P753/(Inputs!$D$33*(1-P753))*60)</f>
        <v>0.95934604824825165</v>
      </c>
      <c r="R753" s="37">
        <f>MIN(1,MAX(0,(Q753-Inputs!$D$36)/(Inputs!$D$37-Inputs!$D$36)))</f>
        <v>0</v>
      </c>
      <c r="S753" s="35">
        <f>Inputs!$D$6*E753*Inputs!$D$27*(1-Inputs!$D$38*R753)</f>
        <v>4160.8721643449971</v>
      </c>
      <c r="T753" s="39">
        <f>S753*Inputs!$D$12</f>
        <v>66573.954629519954</v>
      </c>
      <c r="U753" s="39">
        <f>T753*(1-Inputs!$D$18)</f>
        <v>29958.279583283977</v>
      </c>
      <c r="V753" s="35">
        <f>Inputs!$D$6*F753*Inputs!$D$28*Inputs!$D$31</f>
        <v>630.74950998177405</v>
      </c>
      <c r="W753" s="36">
        <f>V753/(B753*Inputs!$D$34)</f>
        <v>1.1263384106817393</v>
      </c>
      <c r="X753" s="38">
        <f>IF(W753&gt;=1,999,W753/(Inputs!$D$34*(1-W753))*60)</f>
        <v>999</v>
      </c>
      <c r="Y753" s="37">
        <f>MIN(1,MAX(0,(X753-Inputs!$D$36)/(Inputs!$D$37-Inputs!$D$36)))</f>
        <v>1</v>
      </c>
      <c r="Z753" s="35">
        <f>Inputs!$D$6*F753*Inputs!$D$28*(1-Inputs!$D$38*Y753)</f>
        <v>2668.5556191536598</v>
      </c>
      <c r="AA753" s="39">
        <f>Z753*Inputs!$D$13</f>
        <v>22682.722762806108</v>
      </c>
      <c r="AB753" s="39">
        <f>AA753*(1-Inputs!$D$19)</f>
        <v>13609.633657683664</v>
      </c>
      <c r="AC753" s="39">
        <f t="shared" si="44"/>
        <v>348583.82939232606</v>
      </c>
      <c r="AD753" s="39">
        <f t="shared" si="45"/>
        <v>134332.41644096765</v>
      </c>
      <c r="AE753" s="36">
        <f t="shared" si="46"/>
        <v>1.1263384106817393</v>
      </c>
      <c r="AF753" s="35">
        <f>IF(AND(AE753&lt;=Inputs!$D$35,C753&gt;=Inputs!$D$48*(A753+B753+C753),B753*Inputs!$D$22&lt;=Inputs!$D$50*Inputs!$D$8,B753*Inputs!$D$22&gt;=Inputs!$D$49*Inputs!$D$8,A753*Inputs!$D$20&lt;=Inputs!$D$47*Inputs!$D$8,C753&gt;=1),1,0)</f>
        <v>0</v>
      </c>
      <c r="AG753" s="39">
        <f t="shared" si="47"/>
        <v>-1</v>
      </c>
    </row>
    <row r="754" spans="1:33" x14ac:dyDescent="0.25">
      <c r="A754" s="35">
        <v>56</v>
      </c>
      <c r="B754" s="35">
        <v>17</v>
      </c>
      <c r="C754" s="35">
        <f>Inputs!$D$8-A754-Inputs!$D$22*B754</f>
        <v>30</v>
      </c>
      <c r="D754" s="35">
        <f>A754*Inputs!$D$20+C754*Inputs!$D$21+B754*Inputs!$D$22</f>
        <v>120</v>
      </c>
      <c r="E754" s="36">
        <f>MIN(Inputs!$E$15,Inputs!$D$15*(C754/Inputs!$D$43)^Inputs!$D$44)</f>
        <v>0.3432714897427589</v>
      </c>
      <c r="F754" s="36">
        <f>MIN(Inputs!$E$16,Inputs!$D$16*(B754/Inputs!$D$42)^Inputs!$D$44)</f>
        <v>0.3809655184437048</v>
      </c>
      <c r="G754" s="37">
        <f>Inputs!$D$26*(1+Inputs!$D$41*(B754-Inputs!$D$42))</f>
        <v>1.4550000000000001</v>
      </c>
      <c r="H754" s="35">
        <f>Inputs!$D$6*Inputs!$D$14*G754*Inputs!$D$29</f>
        <v>1828.1056500000002</v>
      </c>
      <c r="I754" s="36">
        <f>H754/(A754*Inputs!$D$32)</f>
        <v>0.59354079545454552</v>
      </c>
      <c r="J754" s="38">
        <f>IF(I754&gt;=1,999,I754/(Inputs!$D$32*(1-I754))*60)</f>
        <v>1.5930234629841353</v>
      </c>
      <c r="K754" s="37">
        <f>MIN(1,MAX(0,(J754-Inputs!$D$36)/(Inputs!$D$37-Inputs!$D$36)))</f>
        <v>0</v>
      </c>
      <c r="L754" s="35">
        <f>Inputs!$D$6*Inputs!$D$14*G754*(1-Inputs!$D$38*K754)</f>
        <v>12187.371000000001</v>
      </c>
      <c r="M754" s="39">
        <f>L754*Inputs!$D$11</f>
        <v>262028.47650000002</v>
      </c>
      <c r="N754" s="39">
        <f>M754*(1-Inputs!$D$17)</f>
        <v>91709.966775000008</v>
      </c>
      <c r="O754" s="35">
        <f>Inputs!$D$6*E754*Inputs!$D$27*Inputs!$D$30</f>
        <v>489.73033047044544</v>
      </c>
      <c r="P754" s="36">
        <f>O754/(C754*Inputs!$D$33)</f>
        <v>0.40810860872537119</v>
      </c>
      <c r="Q754" s="38">
        <f>IF(P754&gt;=1,999,P754/(Inputs!$D$33*(1-P754))*60)</f>
        <v>1.0342487187890559</v>
      </c>
      <c r="R754" s="37">
        <f>MIN(1,MAX(0,(Q754-Inputs!$D$36)/(Inputs!$D$37-Inputs!$D$36)))</f>
        <v>0</v>
      </c>
      <c r="S754" s="35">
        <f>Inputs!$D$6*E754*Inputs!$D$27*(1-Inputs!$D$38*R754)</f>
        <v>4081.0860872537123</v>
      </c>
      <c r="T754" s="39">
        <f>S754*Inputs!$D$12</f>
        <v>65297.377396059397</v>
      </c>
      <c r="U754" s="39">
        <f>T754*(1-Inputs!$D$18)</f>
        <v>29383.819828226726</v>
      </c>
      <c r="V754" s="35">
        <f>Inputs!$D$6*F754*Inputs!$D$28*Inputs!$D$31</f>
        <v>642.32615044097156</v>
      </c>
      <c r="W754" s="36">
        <f>V754/(B754*Inputs!$D$34)</f>
        <v>1.0795397486402882</v>
      </c>
      <c r="X754" s="38">
        <f>IF(W754&gt;=1,999,W754/(Inputs!$D$34*(1-W754))*60)</f>
        <v>999</v>
      </c>
      <c r="Y754" s="37">
        <f>MIN(1,MAX(0,(X754-Inputs!$D$36)/(Inputs!$D$37-Inputs!$D$36)))</f>
        <v>1</v>
      </c>
      <c r="Z754" s="35">
        <f>Inputs!$D$6*F754*Inputs!$D$28*(1-Inputs!$D$38*Y754)</f>
        <v>2717.5337134041106</v>
      </c>
      <c r="AA754" s="39">
        <f>Z754*Inputs!$D$13</f>
        <v>23099.03656393494</v>
      </c>
      <c r="AB754" s="39">
        <f>AA754*(1-Inputs!$D$19)</f>
        <v>13859.421938360963</v>
      </c>
      <c r="AC754" s="39">
        <f t="shared" si="44"/>
        <v>350424.89045999438</v>
      </c>
      <c r="AD754" s="39">
        <f t="shared" si="45"/>
        <v>134953.20854158769</v>
      </c>
      <c r="AE754" s="36">
        <f t="shared" si="46"/>
        <v>1.0795397486402882</v>
      </c>
      <c r="AF754" s="35">
        <f>IF(AND(AE754&lt;=Inputs!$D$35,C754&gt;=Inputs!$D$48*(A754+B754+C754),B754*Inputs!$D$22&lt;=Inputs!$D$50*Inputs!$D$8,B754*Inputs!$D$22&gt;=Inputs!$D$49*Inputs!$D$8,A754*Inputs!$D$20&lt;=Inputs!$D$47*Inputs!$D$8,C754&gt;=1),1,0)</f>
        <v>0</v>
      </c>
      <c r="AG754" s="39">
        <f t="shared" si="47"/>
        <v>-1</v>
      </c>
    </row>
    <row r="755" spans="1:33" x14ac:dyDescent="0.25">
      <c r="A755" s="35">
        <v>56</v>
      </c>
      <c r="B755" s="35">
        <v>18</v>
      </c>
      <c r="C755" s="35">
        <f>Inputs!$D$8-A755-Inputs!$D$22*B755</f>
        <v>28</v>
      </c>
      <c r="D755" s="35">
        <f>A755*Inputs!$D$20+C755*Inputs!$D$21+B755*Inputs!$D$22</f>
        <v>120</v>
      </c>
      <c r="E755" s="36">
        <f>MIN(Inputs!$E$15,Inputs!$D$15*(C755/Inputs!$D$43)^Inputs!$D$44)</f>
        <v>0.33623952833125714</v>
      </c>
      <c r="F755" s="36">
        <f>MIN(Inputs!$E$16,Inputs!$D$16*(B755/Inputs!$D$42)^Inputs!$D$44)</f>
        <v>0.38755446447890535</v>
      </c>
      <c r="G755" s="37">
        <f>Inputs!$D$26*(1+Inputs!$D$41*(B755-Inputs!$D$42))</f>
        <v>1.47</v>
      </c>
      <c r="H755" s="35">
        <f>Inputs!$D$6*Inputs!$D$14*G755*Inputs!$D$29</f>
        <v>1846.9521</v>
      </c>
      <c r="I755" s="36">
        <f>H755/(A755*Inputs!$D$32)</f>
        <v>0.59965977272727267</v>
      </c>
      <c r="J755" s="38">
        <f>IF(I755&gt;=1,999,I755/(Inputs!$D$32*(1-I755))*60)</f>
        <v>1.6340458763715797</v>
      </c>
      <c r="K755" s="37">
        <f>MIN(1,MAX(0,(J755-Inputs!$D$36)/(Inputs!$D$37-Inputs!$D$36)))</f>
        <v>0</v>
      </c>
      <c r="L755" s="35">
        <f>Inputs!$D$6*Inputs!$D$14*G755*(1-Inputs!$D$38*K755)</f>
        <v>12313.014000000001</v>
      </c>
      <c r="M755" s="39">
        <f>L755*Inputs!$D$11</f>
        <v>264729.80100000004</v>
      </c>
      <c r="N755" s="39">
        <f>M755*(1-Inputs!$D$17)</f>
        <v>92655.43035000001</v>
      </c>
      <c r="O755" s="35">
        <f>Inputs!$D$6*E755*Inputs!$D$27*Inputs!$D$30</f>
        <v>479.69814053095797</v>
      </c>
      <c r="P755" s="36">
        <f>O755/(C755*Inputs!$D$33)</f>
        <v>0.42830191118835531</v>
      </c>
      <c r="Q755" s="38">
        <f>IF(P755&gt;=1,999,P755/(Inputs!$D$33*(1-P755))*60)</f>
        <v>1.1237624882006552</v>
      </c>
      <c r="R755" s="37">
        <f>MIN(1,MAX(0,(Q755-Inputs!$D$36)/(Inputs!$D$37-Inputs!$D$36)))</f>
        <v>0</v>
      </c>
      <c r="S755" s="35">
        <f>Inputs!$D$6*E755*Inputs!$D$27*(1-Inputs!$D$38*R755)</f>
        <v>3997.4845044246499</v>
      </c>
      <c r="T755" s="39">
        <f>S755*Inputs!$D$12</f>
        <v>63959.752070794399</v>
      </c>
      <c r="U755" s="39">
        <f>T755*(1-Inputs!$D$18)</f>
        <v>28781.888431857478</v>
      </c>
      <c r="V755" s="35">
        <f>Inputs!$D$6*F755*Inputs!$D$28*Inputs!$D$31</f>
        <v>653.43542972572936</v>
      </c>
      <c r="W755" s="36">
        <f>V755/(B755*Inputs!$D$34)</f>
        <v>1.037199094802745</v>
      </c>
      <c r="X755" s="38">
        <f>IF(W755&gt;=1,999,W755/(Inputs!$D$34*(1-W755))*60)</f>
        <v>999</v>
      </c>
      <c r="Y755" s="37">
        <f>MIN(1,MAX(0,(X755-Inputs!$D$36)/(Inputs!$D$37-Inputs!$D$36)))</f>
        <v>1</v>
      </c>
      <c r="Z755" s="35">
        <f>Inputs!$D$6*F755*Inputs!$D$28*(1-Inputs!$D$38*Y755)</f>
        <v>2764.534510378086</v>
      </c>
      <c r="AA755" s="39">
        <f>Z755*Inputs!$D$13</f>
        <v>23498.543338213731</v>
      </c>
      <c r="AB755" s="39">
        <f>AA755*(1-Inputs!$D$19)</f>
        <v>14099.126002928238</v>
      </c>
      <c r="AC755" s="39">
        <f t="shared" si="44"/>
        <v>352188.0964090082</v>
      </c>
      <c r="AD755" s="39">
        <f t="shared" si="45"/>
        <v>135536.44478478574</v>
      </c>
      <c r="AE755" s="36">
        <f t="shared" si="46"/>
        <v>1.037199094802745</v>
      </c>
      <c r="AF755" s="35">
        <f>IF(AND(AE755&lt;=Inputs!$D$35,C755&gt;=Inputs!$D$48*(A755+B755+C755),B755*Inputs!$D$22&lt;=Inputs!$D$50*Inputs!$D$8,B755*Inputs!$D$22&gt;=Inputs!$D$49*Inputs!$D$8,A755*Inputs!$D$20&lt;=Inputs!$D$47*Inputs!$D$8,C755&gt;=1),1,0)</f>
        <v>0</v>
      </c>
      <c r="AG755" s="39">
        <f t="shared" si="47"/>
        <v>-1</v>
      </c>
    </row>
    <row r="756" spans="1:33" x14ac:dyDescent="0.25">
      <c r="A756" s="35">
        <v>56</v>
      </c>
      <c r="B756" s="35">
        <v>19</v>
      </c>
      <c r="C756" s="35">
        <f>Inputs!$D$8-A756-Inputs!$D$22*B756</f>
        <v>26</v>
      </c>
      <c r="D756" s="35">
        <f>A756*Inputs!$D$20+C756*Inputs!$D$21+B756*Inputs!$D$22</f>
        <v>120</v>
      </c>
      <c r="E756" s="36">
        <f>MIN(Inputs!$E$15,Inputs!$D$15*(C756/Inputs!$D$43)^Inputs!$D$44)</f>
        <v>0.32884660514387515</v>
      </c>
      <c r="F756" s="36">
        <f>MIN(Inputs!$E$16,Inputs!$D$16*(B756/Inputs!$D$42)^Inputs!$D$44)</f>
        <v>0.39389192072703005</v>
      </c>
      <c r="G756" s="37">
        <f>Inputs!$D$26*(1+Inputs!$D$41*(B756-Inputs!$D$42))</f>
        <v>1.4849999999999999</v>
      </c>
      <c r="H756" s="35">
        <f>Inputs!$D$6*Inputs!$D$14*G756*Inputs!$D$29</f>
        <v>1865.7985499999998</v>
      </c>
      <c r="I756" s="36">
        <f>H756/(A756*Inputs!$D$32)</f>
        <v>0.60577874999999992</v>
      </c>
      <c r="J756" s="38">
        <f>IF(I756&gt;=1,999,I756/(Inputs!$D$32*(1-I756))*60)</f>
        <v>1.6763417635516735</v>
      </c>
      <c r="K756" s="37">
        <f>MIN(1,MAX(0,(J756-Inputs!$D$36)/(Inputs!$D$37-Inputs!$D$36)))</f>
        <v>0</v>
      </c>
      <c r="L756" s="35">
        <f>Inputs!$D$6*Inputs!$D$14*G756*(1-Inputs!$D$38*K756)</f>
        <v>12438.656999999999</v>
      </c>
      <c r="M756" s="39">
        <f>L756*Inputs!$D$11</f>
        <v>267431.12549999997</v>
      </c>
      <c r="N756" s="39">
        <f>M756*(1-Inputs!$D$17)</f>
        <v>93600.893924999982</v>
      </c>
      <c r="O756" s="35">
        <f>Inputs!$D$6*E756*Inputs!$D$27*Inputs!$D$30</f>
        <v>469.15098230814039</v>
      </c>
      <c r="P756" s="36">
        <f>O756/(C756*Inputs!$D$33)</f>
        <v>0.45110671375782729</v>
      </c>
      <c r="Q756" s="38">
        <f>IF(P756&gt;=1,999,P756/(Inputs!$D$33*(1-P756))*60)</f>
        <v>1.2327716290160586</v>
      </c>
      <c r="R756" s="37">
        <f>MIN(1,MAX(0,(Q756-Inputs!$D$36)/(Inputs!$D$37-Inputs!$D$36)))</f>
        <v>0</v>
      </c>
      <c r="S756" s="35">
        <f>Inputs!$D$6*E756*Inputs!$D$27*(1-Inputs!$D$38*R756)</f>
        <v>3909.5915192345033</v>
      </c>
      <c r="T756" s="39">
        <f>S756*Inputs!$D$12</f>
        <v>62553.464307752052</v>
      </c>
      <c r="U756" s="39">
        <f>T756*(1-Inputs!$D$18)</f>
        <v>28149.058938488422</v>
      </c>
      <c r="V756" s="35">
        <f>Inputs!$D$6*F756*Inputs!$D$28*Inputs!$D$31</f>
        <v>664.12068515796761</v>
      </c>
      <c r="W756" s="36">
        <f>V756/(B756*Inputs!$D$34)</f>
        <v>0.99867772204205651</v>
      </c>
      <c r="X756" s="38">
        <f>IF(W756&gt;=1,999,W756/(Inputs!$D$34*(1-W756))*60)</f>
        <v>1294.749671797274</v>
      </c>
      <c r="Y756" s="37">
        <f>MIN(1,MAX(0,(X756-Inputs!$D$36)/(Inputs!$D$37-Inputs!$D$36)))</f>
        <v>1</v>
      </c>
      <c r="Z756" s="35">
        <f>Inputs!$D$6*F756*Inputs!$D$28*(1-Inputs!$D$38*Y756)</f>
        <v>2809.7413602837091</v>
      </c>
      <c r="AA756" s="39">
        <f>Z756*Inputs!$D$13</f>
        <v>23882.801562411529</v>
      </c>
      <c r="AB756" s="39">
        <f>AA756*(1-Inputs!$D$19)</f>
        <v>14329.680937446918</v>
      </c>
      <c r="AC756" s="39">
        <f t="shared" si="44"/>
        <v>353867.39137016353</v>
      </c>
      <c r="AD756" s="39">
        <f t="shared" si="45"/>
        <v>136079.63380093532</v>
      </c>
      <c r="AE756" s="36">
        <f t="shared" si="46"/>
        <v>0.99867772204205651</v>
      </c>
      <c r="AF756" s="35">
        <f>IF(AND(AE756&lt;=Inputs!$D$35,C756&gt;=Inputs!$D$48*(A756+B756+C756),B756*Inputs!$D$22&lt;=Inputs!$D$50*Inputs!$D$8,B756*Inputs!$D$22&gt;=Inputs!$D$49*Inputs!$D$8,A756*Inputs!$D$20&lt;=Inputs!$D$47*Inputs!$D$8,C756&gt;=1),1,0)</f>
        <v>0</v>
      </c>
      <c r="AG756" s="39">
        <f t="shared" si="47"/>
        <v>-1</v>
      </c>
    </row>
    <row r="757" spans="1:33" x14ac:dyDescent="0.25">
      <c r="A757" s="35">
        <v>56</v>
      </c>
      <c r="B757" s="35">
        <v>20</v>
      </c>
      <c r="C757" s="35">
        <f>Inputs!$D$8-A757-Inputs!$D$22*B757</f>
        <v>24</v>
      </c>
      <c r="D757" s="35">
        <f>A757*Inputs!$D$20+C757*Inputs!$D$21+B757*Inputs!$D$22</f>
        <v>120</v>
      </c>
      <c r="E757" s="36">
        <f>MIN(Inputs!$E$15,Inputs!$D$15*(C757/Inputs!$D$43)^Inputs!$D$44)</f>
        <v>0.32104412796367415</v>
      </c>
      <c r="F757" s="36">
        <f>MIN(Inputs!$E$16,Inputs!$D$16*(B757/Inputs!$D$42)^Inputs!$D$44)</f>
        <v>0.4</v>
      </c>
      <c r="G757" s="37">
        <f>Inputs!$D$26*(1+Inputs!$D$41*(B757-Inputs!$D$42))</f>
        <v>1.5</v>
      </c>
      <c r="H757" s="35">
        <f>Inputs!$D$6*Inputs!$D$14*G757*Inputs!$D$29</f>
        <v>1884.645</v>
      </c>
      <c r="I757" s="36">
        <f>H757/(A757*Inputs!$D$32)</f>
        <v>0.61189772727272729</v>
      </c>
      <c r="J757" s="38">
        <f>IF(I757&gt;=1,999,I757/(Inputs!$D$32*(1-I757))*60)</f>
        <v>1.7199713588317813</v>
      </c>
      <c r="K757" s="37">
        <f>MIN(1,MAX(0,(J757-Inputs!$D$36)/(Inputs!$D$37-Inputs!$D$36)))</f>
        <v>0</v>
      </c>
      <c r="L757" s="35">
        <f>Inputs!$D$6*Inputs!$D$14*G757*(1-Inputs!$D$38*K757)</f>
        <v>12564.300000000001</v>
      </c>
      <c r="M757" s="39">
        <f>L757*Inputs!$D$11</f>
        <v>270132.45</v>
      </c>
      <c r="N757" s="39">
        <f>M757*(1-Inputs!$D$17)</f>
        <v>94546.357499999998</v>
      </c>
      <c r="O757" s="35">
        <f>Inputs!$D$6*E757*Inputs!$D$27*Inputs!$D$30</f>
        <v>458.01953142414351</v>
      </c>
      <c r="P757" s="36">
        <f>O757/(C757*Inputs!$D$33)</f>
        <v>0.47710367856681618</v>
      </c>
      <c r="Q757" s="38">
        <f>IF(P757&gt;=1,999,P757/(Inputs!$D$33*(1-P757))*60)</f>
        <v>1.3686375071232384</v>
      </c>
      <c r="R757" s="37">
        <f>MIN(1,MAX(0,(Q757-Inputs!$D$36)/(Inputs!$D$37-Inputs!$D$36)))</f>
        <v>0</v>
      </c>
      <c r="S757" s="35">
        <f>Inputs!$D$6*E757*Inputs!$D$27*(1-Inputs!$D$38*R757)</f>
        <v>3816.8294285345296</v>
      </c>
      <c r="T757" s="39">
        <f>S757*Inputs!$D$12</f>
        <v>61069.270856552474</v>
      </c>
      <c r="U757" s="39">
        <f>T757*(1-Inputs!$D$18)</f>
        <v>27481.17188544861</v>
      </c>
      <c r="V757" s="35">
        <f>Inputs!$D$6*F757*Inputs!$D$28*Inputs!$D$31</f>
        <v>674.41919999999993</v>
      </c>
      <c r="W757" s="36">
        <f>V757/(B757*Inputs!$D$34)</f>
        <v>0.96345599999999987</v>
      </c>
      <c r="X757" s="38">
        <f>IF(W757&gt;=1,999,W757/(Inputs!$D$34*(1-W757))*60)</f>
        <v>45.195896922691851</v>
      </c>
      <c r="Y757" s="37">
        <f>MIN(1,MAX(0,(X757-Inputs!$D$36)/(Inputs!$D$37-Inputs!$D$36)))</f>
        <v>1</v>
      </c>
      <c r="Z757" s="35">
        <f>Inputs!$D$6*F757*Inputs!$D$28*(1-Inputs!$D$38*Y757)</f>
        <v>2853.3119999999999</v>
      </c>
      <c r="AA757" s="39">
        <f>Z757*Inputs!$D$13</f>
        <v>24253.151999999998</v>
      </c>
      <c r="AB757" s="39">
        <f>AA757*(1-Inputs!$D$19)</f>
        <v>14551.891199999998</v>
      </c>
      <c r="AC757" s="39">
        <f t="shared" si="44"/>
        <v>355454.87285655248</v>
      </c>
      <c r="AD757" s="39">
        <f t="shared" si="45"/>
        <v>136579.42058544862</v>
      </c>
      <c r="AE757" s="36">
        <f t="shared" si="46"/>
        <v>0.96345599999999987</v>
      </c>
      <c r="AF757" s="35">
        <f>IF(AND(AE757&lt;=Inputs!$D$35,C757&gt;=Inputs!$D$48*(A757+B757+C757),B757*Inputs!$D$22&lt;=Inputs!$D$50*Inputs!$D$8,B757*Inputs!$D$22&gt;=Inputs!$D$49*Inputs!$D$8,A757*Inputs!$D$20&lt;=Inputs!$D$47*Inputs!$D$8,C757&gt;=1),1,0)</f>
        <v>0</v>
      </c>
      <c r="AG757" s="39">
        <f t="shared" si="47"/>
        <v>-1</v>
      </c>
    </row>
    <row r="758" spans="1:33" x14ac:dyDescent="0.25">
      <c r="A758" s="35">
        <v>56</v>
      </c>
      <c r="B758" s="35">
        <v>21</v>
      </c>
      <c r="C758" s="35">
        <f>Inputs!$D$8-A758-Inputs!$D$22*B758</f>
        <v>22</v>
      </c>
      <c r="D758" s="35">
        <f>A758*Inputs!$D$20+C758*Inputs!$D$21+B758*Inputs!$D$22</f>
        <v>120</v>
      </c>
      <c r="E758" s="36">
        <f>MIN(Inputs!$E$15,Inputs!$D$15*(C758/Inputs!$D$43)^Inputs!$D$44)</f>
        <v>0.31277221277221301</v>
      </c>
      <c r="F758" s="36">
        <f>MIN(Inputs!$E$16,Inputs!$D$16*(B758/Inputs!$D$42)^Inputs!$D$44)</f>
        <v>0.40589787816896217</v>
      </c>
      <c r="G758" s="37">
        <f>Inputs!$D$26*(1+Inputs!$D$41*(B758-Inputs!$D$42))</f>
        <v>1.5150000000000001</v>
      </c>
      <c r="H758" s="35">
        <f>Inputs!$D$6*Inputs!$D$14*G758*Inputs!$D$29</f>
        <v>1903.4914500000004</v>
      </c>
      <c r="I758" s="36">
        <f>H758/(A758*Inputs!$D$32)</f>
        <v>0.61801670454545465</v>
      </c>
      <c r="J758" s="38">
        <f>IF(I758&gt;=1,999,I758/(Inputs!$D$32*(1-I758))*60)</f>
        <v>1.7649987560844569</v>
      </c>
      <c r="K758" s="37">
        <f>MIN(1,MAX(0,(J758-Inputs!$D$36)/(Inputs!$D$37-Inputs!$D$36)))</f>
        <v>0</v>
      </c>
      <c r="L758" s="35">
        <f>Inputs!$D$6*Inputs!$D$14*G758*(1-Inputs!$D$38*K758)</f>
        <v>12689.943000000003</v>
      </c>
      <c r="M758" s="39">
        <f>L758*Inputs!$D$11</f>
        <v>272833.77450000006</v>
      </c>
      <c r="N758" s="39">
        <f>M758*(1-Inputs!$D$17)</f>
        <v>95491.821075000014</v>
      </c>
      <c r="O758" s="35">
        <f>Inputs!$D$6*E758*Inputs!$D$27*Inputs!$D$30</f>
        <v>446.21835398475434</v>
      </c>
      <c r="P758" s="36">
        <f>O758/(C758*Inputs!$D$33)</f>
        <v>0.50706631134631175</v>
      </c>
      <c r="Q758" s="38">
        <f>IF(P758&gt;=1,999,P758/(Inputs!$D$33*(1-P758))*60)</f>
        <v>1.543005650713049</v>
      </c>
      <c r="R758" s="37">
        <f>MIN(1,MAX(0,(Q758-Inputs!$D$36)/(Inputs!$D$37-Inputs!$D$36)))</f>
        <v>0</v>
      </c>
      <c r="S758" s="35">
        <f>Inputs!$D$6*E758*Inputs!$D$27*(1-Inputs!$D$38*R758)</f>
        <v>3718.4862832062863</v>
      </c>
      <c r="T758" s="39">
        <f>S758*Inputs!$D$12</f>
        <v>59495.780531300581</v>
      </c>
      <c r="U758" s="39">
        <f>T758*(1-Inputs!$D$18)</f>
        <v>26773.101239085259</v>
      </c>
      <c r="V758" s="35">
        <f>Inputs!$D$6*F758*Inputs!$D$28*Inputs!$D$31</f>
        <v>684.36330569102222</v>
      </c>
      <c r="W758" s="36">
        <f>V758/(B758*Inputs!$D$34)</f>
        <v>0.93110653835513224</v>
      </c>
      <c r="X758" s="38">
        <f>IF(W758&gt;=1,999,W758/(Inputs!$D$34*(1-W758))*60)</f>
        <v>23.16885520150278</v>
      </c>
      <c r="Y758" s="37">
        <f>MIN(1,MAX(0,(X758-Inputs!$D$36)/(Inputs!$D$37-Inputs!$D$36)))</f>
        <v>1</v>
      </c>
      <c r="Z758" s="35">
        <f>Inputs!$D$6*F758*Inputs!$D$28*(1-Inputs!$D$38*Y758)</f>
        <v>2895.3832163850943</v>
      </c>
      <c r="AA758" s="39">
        <f>Z758*Inputs!$D$13</f>
        <v>24610.757339273303</v>
      </c>
      <c r="AB758" s="39">
        <f>AA758*(1-Inputs!$D$19)</f>
        <v>14766.454403563981</v>
      </c>
      <c r="AC758" s="39">
        <f t="shared" si="44"/>
        <v>356940.31237057393</v>
      </c>
      <c r="AD758" s="39">
        <f t="shared" si="45"/>
        <v>137031.37671764925</v>
      </c>
      <c r="AE758" s="36">
        <f t="shared" si="46"/>
        <v>0.93110653835513224</v>
      </c>
      <c r="AF758" s="35">
        <f>IF(AND(AE758&lt;=Inputs!$D$35,C758&gt;=Inputs!$D$48*(A758+B758+C758),B758*Inputs!$D$22&lt;=Inputs!$D$50*Inputs!$D$8,B758*Inputs!$D$22&gt;=Inputs!$D$49*Inputs!$D$8,A758*Inputs!$D$20&lt;=Inputs!$D$47*Inputs!$D$8,C758&gt;=1),1,0)</f>
        <v>0</v>
      </c>
      <c r="AG758" s="39">
        <f t="shared" si="47"/>
        <v>-1</v>
      </c>
    </row>
    <row r="759" spans="1:33" x14ac:dyDescent="0.25">
      <c r="A759" s="35">
        <v>56</v>
      </c>
      <c r="B759" s="35">
        <v>22</v>
      </c>
      <c r="C759" s="35">
        <f>Inputs!$D$8-A759-Inputs!$D$22*B759</f>
        <v>20</v>
      </c>
      <c r="D759" s="35">
        <f>A759*Inputs!$D$20+C759*Inputs!$D$21+B759*Inputs!$D$22</f>
        <v>120</v>
      </c>
      <c r="E759" s="36">
        <f>MIN(Inputs!$E$15,Inputs!$D$15*(C759/Inputs!$D$43)^Inputs!$D$44)</f>
        <v>0.30395574554235194</v>
      </c>
      <c r="F759" s="36">
        <f>MIN(Inputs!$E$16,Inputs!$D$16*(B759/Inputs!$D$42)^Inputs!$D$44)</f>
        <v>0.41160230376843804</v>
      </c>
      <c r="G759" s="37">
        <f>Inputs!$D$26*(1+Inputs!$D$41*(B759-Inputs!$D$42))</f>
        <v>1.53</v>
      </c>
      <c r="H759" s="35">
        <f>Inputs!$D$6*Inputs!$D$14*G759*Inputs!$D$29</f>
        <v>1922.3379</v>
      </c>
      <c r="I759" s="36">
        <f>H759/(A759*Inputs!$D$32)</f>
        <v>0.6241356818181818</v>
      </c>
      <c r="J759" s="38">
        <f>IF(I759&gt;=1,999,I759/(Inputs!$D$32*(1-I759))*60)</f>
        <v>1.8114922229112369</v>
      </c>
      <c r="K759" s="37">
        <f>MIN(1,MAX(0,(J759-Inputs!$D$36)/(Inputs!$D$37-Inputs!$D$36)))</f>
        <v>0</v>
      </c>
      <c r="L759" s="35">
        <f>Inputs!$D$6*Inputs!$D$14*G759*(1-Inputs!$D$38*K759)</f>
        <v>12815.586000000001</v>
      </c>
      <c r="M759" s="39">
        <f>L759*Inputs!$D$11</f>
        <v>275535.09900000005</v>
      </c>
      <c r="N759" s="39">
        <f>M759*(1-Inputs!$D$17)</f>
        <v>96437.284650000016</v>
      </c>
      <c r="O759" s="35">
        <f>Inputs!$D$6*E759*Inputs!$D$27*Inputs!$D$30</f>
        <v>433.64028811246965</v>
      </c>
      <c r="P759" s="36">
        <f>O759/(C759*Inputs!$D$33)</f>
        <v>0.54205036014058705</v>
      </c>
      <c r="Q759" s="38">
        <f>IF(P759&gt;=1,999,P759/(Inputs!$D$33*(1-P759))*60)</f>
        <v>1.7754693299038049</v>
      </c>
      <c r="R759" s="37">
        <f>MIN(1,MAX(0,(Q759-Inputs!$D$36)/(Inputs!$D$37-Inputs!$D$36)))</f>
        <v>0</v>
      </c>
      <c r="S759" s="35">
        <f>Inputs!$D$6*E759*Inputs!$D$27*(1-Inputs!$D$38*R759)</f>
        <v>3613.6690676039138</v>
      </c>
      <c r="T759" s="39">
        <f>S759*Inputs!$D$12</f>
        <v>57818.705081662622</v>
      </c>
      <c r="U759" s="39">
        <f>T759*(1-Inputs!$D$18)</f>
        <v>26018.417286748176</v>
      </c>
      <c r="V759" s="35">
        <f>Inputs!$D$6*F759*Inputs!$D$28*Inputs!$D$31</f>
        <v>693.98124106416742</v>
      </c>
      <c r="W759" s="36">
        <f>V759/(B759*Inputs!$D$34)</f>
        <v>0.90127433904437326</v>
      </c>
      <c r="X759" s="38">
        <f>IF(W759&gt;=1,999,W759/(Inputs!$D$34*(1-W759))*60)</f>
        <v>15.649849381818807</v>
      </c>
      <c r="Y759" s="37">
        <f>MIN(1,MAX(0,(X759-Inputs!$D$36)/(Inputs!$D$37-Inputs!$D$36)))</f>
        <v>0.70998995878792048</v>
      </c>
      <c r="Z759" s="35">
        <f>Inputs!$D$6*F759*Inputs!$D$28*(1-Inputs!$D$38*Y759)</f>
        <v>3632.749002537963</v>
      </c>
      <c r="AA759" s="39">
        <f>Z759*Inputs!$D$13</f>
        <v>30878.366521572687</v>
      </c>
      <c r="AB759" s="39">
        <f>AA759*(1-Inputs!$D$19)</f>
        <v>18527.019912943611</v>
      </c>
      <c r="AC759" s="39">
        <f t="shared" si="44"/>
        <v>364232.17060323537</v>
      </c>
      <c r="AD759" s="39">
        <f t="shared" si="45"/>
        <v>140982.72184969182</v>
      </c>
      <c r="AE759" s="36">
        <f t="shared" si="46"/>
        <v>0.90127433904437326</v>
      </c>
      <c r="AF759" s="35">
        <f>IF(AND(AE759&lt;=Inputs!$D$35,C759&gt;=Inputs!$D$48*(A759+B759+C759),B759*Inputs!$D$22&lt;=Inputs!$D$50*Inputs!$D$8,B759*Inputs!$D$22&gt;=Inputs!$D$49*Inputs!$D$8,A759*Inputs!$D$20&lt;=Inputs!$D$47*Inputs!$D$8,C759&gt;=1),1,0)</f>
        <v>0</v>
      </c>
      <c r="AG759" s="39">
        <f t="shared" si="47"/>
        <v>-1</v>
      </c>
    </row>
    <row r="760" spans="1:33" x14ac:dyDescent="0.25">
      <c r="A760" s="35">
        <v>56</v>
      </c>
      <c r="B760" s="35">
        <v>23</v>
      </c>
      <c r="C760" s="35">
        <f>Inputs!$D$8-A760-Inputs!$D$22*B760</f>
        <v>18</v>
      </c>
      <c r="D760" s="35">
        <f>A760*Inputs!$D$20+C760*Inputs!$D$21+B760*Inputs!$D$22</f>
        <v>120</v>
      </c>
      <c r="E760" s="36">
        <f>MIN(Inputs!$E$15,Inputs!$D$15*(C760/Inputs!$D$43)^Inputs!$D$44)</f>
        <v>0.29449851547238159</v>
      </c>
      <c r="F760" s="36">
        <f>MIN(Inputs!$E$16,Inputs!$D$16*(B760/Inputs!$D$42)^Inputs!$D$44)</f>
        <v>0.41712800028621322</v>
      </c>
      <c r="G760" s="37">
        <f>Inputs!$D$26*(1+Inputs!$D$41*(B760-Inputs!$D$42))</f>
        <v>1.5449999999999999</v>
      </c>
      <c r="H760" s="35">
        <f>Inputs!$D$6*Inputs!$D$14*G760*Inputs!$D$29</f>
        <v>1941.18435</v>
      </c>
      <c r="I760" s="36">
        <f>H760/(A760*Inputs!$D$32)</f>
        <v>0.63025465909090905</v>
      </c>
      <c r="J760" s="38">
        <f>IF(I760&gt;=1,999,I760/(Inputs!$D$32*(1-I760))*60)</f>
        <v>1.859524546001325</v>
      </c>
      <c r="K760" s="37">
        <f>MIN(1,MAX(0,(J760-Inputs!$D$36)/(Inputs!$D$37-Inputs!$D$36)))</f>
        <v>0</v>
      </c>
      <c r="L760" s="35">
        <f>Inputs!$D$6*Inputs!$D$14*G760*(1-Inputs!$D$38*K760)</f>
        <v>12941.229000000001</v>
      </c>
      <c r="M760" s="39">
        <f>L760*Inputs!$D$11</f>
        <v>278236.42350000003</v>
      </c>
      <c r="N760" s="39">
        <f>M760*(1-Inputs!$D$17)</f>
        <v>97382.748225000003</v>
      </c>
      <c r="O760" s="35">
        <f>Inputs!$D$6*E760*Inputs!$D$27*Inputs!$D$30</f>
        <v>420.14807408976606</v>
      </c>
      <c r="P760" s="36">
        <f>O760/(C760*Inputs!$D$33)</f>
        <v>0.58353899179134172</v>
      </c>
      <c r="Q760" s="38">
        <f>IF(P760&gt;=1,999,P760/(Inputs!$D$33*(1-P760))*60)</f>
        <v>2.1017777665477375</v>
      </c>
      <c r="R760" s="37">
        <f>MIN(1,MAX(0,(Q760-Inputs!$D$36)/(Inputs!$D$37-Inputs!$D$36)))</f>
        <v>0</v>
      </c>
      <c r="S760" s="35">
        <f>Inputs!$D$6*E760*Inputs!$D$27*(1-Inputs!$D$38*R760)</f>
        <v>3501.2339507480506</v>
      </c>
      <c r="T760" s="39">
        <f>S760*Inputs!$D$12</f>
        <v>56019.743211968809</v>
      </c>
      <c r="U760" s="39">
        <f>T760*(1-Inputs!$D$18)</f>
        <v>25208.88444538596</v>
      </c>
      <c r="V760" s="35">
        <f>Inputs!$D$6*F760*Inputs!$D$28*Inputs!$D$31</f>
        <v>703.29783062656929</v>
      </c>
      <c r="W760" s="36">
        <f>V760/(B760*Inputs!$D$34)</f>
        <v>0.87366190139946498</v>
      </c>
      <c r="X760" s="38">
        <f>IF(W760&gt;=1,999,W760/(Inputs!$D$34*(1-W760))*60)</f>
        <v>11.854746377182334</v>
      </c>
      <c r="Y760" s="37">
        <f>MIN(1,MAX(0,(X760-Inputs!$D$36)/(Inputs!$D$37-Inputs!$D$36)))</f>
        <v>0.45698309181215557</v>
      </c>
      <c r="Z760" s="35">
        <f>Inputs!$D$6*F760*Inputs!$D$28*(1-Inputs!$D$38*Y760)</f>
        <v>4297.4614071503011</v>
      </c>
      <c r="AA760" s="39">
        <f>Z760*Inputs!$D$13</f>
        <v>36528.421960777559</v>
      </c>
      <c r="AB760" s="39">
        <f>AA760*(1-Inputs!$D$19)</f>
        <v>21917.053176466536</v>
      </c>
      <c r="AC760" s="39">
        <f t="shared" si="44"/>
        <v>370784.58867274638</v>
      </c>
      <c r="AD760" s="39">
        <f t="shared" si="45"/>
        <v>144508.68584685249</v>
      </c>
      <c r="AE760" s="36">
        <f t="shared" si="46"/>
        <v>0.87366190139946498</v>
      </c>
      <c r="AF760" s="35">
        <f>IF(AND(AE760&lt;=Inputs!$D$35,C760&gt;=Inputs!$D$48*(A760+B760+C760),B760*Inputs!$D$22&lt;=Inputs!$D$50*Inputs!$D$8,B760*Inputs!$D$22&gt;=Inputs!$D$49*Inputs!$D$8,A760*Inputs!$D$20&lt;=Inputs!$D$47*Inputs!$D$8,C760&gt;=1),1,0)</f>
        <v>0</v>
      </c>
      <c r="AG760" s="39">
        <f t="shared" si="47"/>
        <v>-1</v>
      </c>
    </row>
    <row r="761" spans="1:33" x14ac:dyDescent="0.25">
      <c r="A761" s="35">
        <v>56</v>
      </c>
      <c r="B761" s="35">
        <v>24</v>
      </c>
      <c r="C761" s="35">
        <f>Inputs!$D$8-A761-Inputs!$D$22*B761</f>
        <v>16</v>
      </c>
      <c r="D761" s="35">
        <f>A761*Inputs!$D$20+C761*Inputs!$D$21+B761*Inputs!$D$22</f>
        <v>120</v>
      </c>
      <c r="E761" s="36">
        <f>MIN(Inputs!$E$15,Inputs!$D$15*(C761/Inputs!$D$43)^Inputs!$D$44)</f>
        <v>0.2842741392252523</v>
      </c>
      <c r="F761" s="36">
        <f>MIN(Inputs!$E$16,Inputs!$D$16*(B761/Inputs!$D$42)^Inputs!$D$44)</f>
        <v>0.42248798737570326</v>
      </c>
      <c r="G761" s="37">
        <f>Inputs!$D$26*(1+Inputs!$D$41*(B761-Inputs!$D$42))</f>
        <v>1.56</v>
      </c>
      <c r="H761" s="35">
        <f>Inputs!$D$6*Inputs!$D$14*G761*Inputs!$D$29</f>
        <v>1960.0308</v>
      </c>
      <c r="I761" s="36">
        <f>H761/(A761*Inputs!$D$32)</f>
        <v>0.63637363636363631</v>
      </c>
      <c r="J761" s="38">
        <f>IF(I761&gt;=1,999,I761/(Inputs!$D$32*(1-I761))*60)</f>
        <v>1.909173411359721</v>
      </c>
      <c r="K761" s="37">
        <f>MIN(1,MAX(0,(J761-Inputs!$D$36)/(Inputs!$D$37-Inputs!$D$36)))</f>
        <v>0</v>
      </c>
      <c r="L761" s="35">
        <f>Inputs!$D$6*Inputs!$D$14*G761*(1-Inputs!$D$38*K761)</f>
        <v>13066.872000000001</v>
      </c>
      <c r="M761" s="39">
        <f>L761*Inputs!$D$11</f>
        <v>280937.74800000002</v>
      </c>
      <c r="N761" s="39">
        <f>M761*(1-Inputs!$D$17)</f>
        <v>98328.211800000005</v>
      </c>
      <c r="O761" s="35">
        <f>Inputs!$D$6*E761*Inputs!$D$27*Inputs!$D$30</f>
        <v>405.56140637054153</v>
      </c>
      <c r="P761" s="36">
        <f>O761/(C761*Inputs!$D$33)</f>
        <v>0.63368969745397119</v>
      </c>
      <c r="Q761" s="38">
        <f>IF(P761&gt;=1,999,P761/(Inputs!$D$33*(1-P761))*60)</f>
        <v>2.5948889222451426</v>
      </c>
      <c r="R761" s="37">
        <f>MIN(1,MAX(0,(Q761-Inputs!$D$36)/(Inputs!$D$37-Inputs!$D$36)))</f>
        <v>0</v>
      </c>
      <c r="S761" s="35">
        <f>Inputs!$D$6*E761*Inputs!$D$27*(1-Inputs!$D$38*R761)</f>
        <v>3379.6783864211798</v>
      </c>
      <c r="T761" s="39">
        <f>S761*Inputs!$D$12</f>
        <v>54074.854182738876</v>
      </c>
      <c r="U761" s="39">
        <f>T761*(1-Inputs!$D$18)</f>
        <v>24333.684382232492</v>
      </c>
      <c r="V761" s="35">
        <f>Inputs!$D$6*F761*Inputs!$D$28*Inputs!$D$31</f>
        <v>712.33502613882979</v>
      </c>
      <c r="W761" s="36">
        <f>V761/(B761*Inputs!$D$34)</f>
        <v>0.84801788826051161</v>
      </c>
      <c r="X761" s="38">
        <f>IF(W761&gt;=1,999,W761/(Inputs!$D$34*(1-W761))*60)</f>
        <v>9.5652372155190832</v>
      </c>
      <c r="Y761" s="37">
        <f>MIN(1,MAX(0,(X761-Inputs!$D$36)/(Inputs!$D$37-Inputs!$D$36)))</f>
        <v>0.30434914770127219</v>
      </c>
      <c r="Z761" s="35">
        <f>Inputs!$D$6*F761*Inputs!$D$28*(1-Inputs!$D$38*Y761)</f>
        <v>4729.0436538571339</v>
      </c>
      <c r="AA761" s="39">
        <f>Z761*Inputs!$D$13</f>
        <v>40196.87105778564</v>
      </c>
      <c r="AB761" s="39">
        <f>AA761*(1-Inputs!$D$19)</f>
        <v>24118.122634671385</v>
      </c>
      <c r="AC761" s="39">
        <f t="shared" si="44"/>
        <v>375209.47324052453</v>
      </c>
      <c r="AD761" s="39">
        <f t="shared" si="45"/>
        <v>146780.01881690387</v>
      </c>
      <c r="AE761" s="36">
        <f t="shared" si="46"/>
        <v>0.84801788826051161</v>
      </c>
      <c r="AF761" s="35">
        <f>IF(AND(AE761&lt;=Inputs!$D$35,C761&gt;=Inputs!$D$48*(A761+B761+C761),B761*Inputs!$D$22&lt;=Inputs!$D$50*Inputs!$D$8,B761*Inputs!$D$22&gt;=Inputs!$D$49*Inputs!$D$8,A761*Inputs!$D$20&lt;=Inputs!$D$47*Inputs!$D$8,C761&gt;=1),1,0)</f>
        <v>1</v>
      </c>
      <c r="AG761" s="39">
        <f t="shared" si="47"/>
        <v>146780.01881690387</v>
      </c>
    </row>
    <row r="762" spans="1:33" x14ac:dyDescent="0.25">
      <c r="A762" s="35">
        <v>56</v>
      </c>
      <c r="B762" s="35">
        <v>25</v>
      </c>
      <c r="C762" s="35">
        <f>Inputs!$D$8-A762-Inputs!$D$22*B762</f>
        <v>14</v>
      </c>
      <c r="D762" s="35">
        <f>A762*Inputs!$D$20+C762*Inputs!$D$21+B762*Inputs!$D$22</f>
        <v>120</v>
      </c>
      <c r="E762" s="36">
        <f>MIN(Inputs!$E$15,Inputs!$D$15*(C762/Inputs!$D$43)^Inputs!$D$44)</f>
        <v>0.27311136263675401</v>
      </c>
      <c r="F762" s="36">
        <f>MIN(Inputs!$E$16,Inputs!$D$16*(B762/Inputs!$D$42)^Inputs!$D$44)</f>
        <v>0.42769383999647526</v>
      </c>
      <c r="G762" s="37">
        <f>Inputs!$D$26*(1+Inputs!$D$41*(B762-Inputs!$D$42))</f>
        <v>1.5750000000000002</v>
      </c>
      <c r="H762" s="35">
        <f>Inputs!$D$6*Inputs!$D$14*G762*Inputs!$D$29</f>
        <v>1978.8772500000005</v>
      </c>
      <c r="I762" s="36">
        <f>H762/(A762*Inputs!$D$32)</f>
        <v>0.64249261363636379</v>
      </c>
      <c r="J762" s="38">
        <f>IF(I762&gt;=1,999,I762/(Inputs!$D$32*(1-I762))*60)</f>
        <v>1.9605218235825055</v>
      </c>
      <c r="K762" s="37">
        <f>MIN(1,MAX(0,(J762-Inputs!$D$36)/(Inputs!$D$37-Inputs!$D$36)))</f>
        <v>0</v>
      </c>
      <c r="L762" s="35">
        <f>Inputs!$D$6*Inputs!$D$14*G762*(1-Inputs!$D$38*K762)</f>
        <v>13192.515000000003</v>
      </c>
      <c r="M762" s="39">
        <f>L762*Inputs!$D$11</f>
        <v>283639.07250000007</v>
      </c>
      <c r="N762" s="39">
        <f>M762*(1-Inputs!$D$17)</f>
        <v>99273.675375000021</v>
      </c>
      <c r="O762" s="35">
        <f>Inputs!$D$6*E762*Inputs!$D$27*Inputs!$D$30</f>
        <v>389.63596417390096</v>
      </c>
      <c r="P762" s="36">
        <f>O762/(C762*Inputs!$D$33)</f>
        <v>0.69577850745339453</v>
      </c>
      <c r="Q762" s="38">
        <f>IF(P762&gt;=1,999,P762/(Inputs!$D$33*(1-P762))*60)</f>
        <v>3.4306181080227471</v>
      </c>
      <c r="R762" s="37">
        <f>MIN(1,MAX(0,(Q762-Inputs!$D$36)/(Inputs!$D$37-Inputs!$D$36)))</f>
        <v>0</v>
      </c>
      <c r="S762" s="35">
        <f>Inputs!$D$6*E762*Inputs!$D$27*(1-Inputs!$D$38*R762)</f>
        <v>3246.9663681158413</v>
      </c>
      <c r="T762" s="39">
        <f>S762*Inputs!$D$12</f>
        <v>51951.461889853461</v>
      </c>
      <c r="U762" s="39">
        <f>T762*(1-Inputs!$D$18)</f>
        <v>23378.157850434054</v>
      </c>
      <c r="V762" s="35">
        <f>Inputs!$D$6*F762*Inputs!$D$28*Inputs!$D$31</f>
        <v>721.1123435383771</v>
      </c>
      <c r="W762" s="36">
        <f>V762/(B762*Inputs!$D$34)</f>
        <v>0.82412839261528814</v>
      </c>
      <c r="X762" s="38">
        <f>IF(W762&gt;=1,999,W762/(Inputs!$D$34*(1-W762))*60)</f>
        <v>8.0330847668163621</v>
      </c>
      <c r="Y762" s="37">
        <f>MIN(1,MAX(0,(X762-Inputs!$D$36)/(Inputs!$D$37-Inputs!$D$36)))</f>
        <v>0.20220565112109082</v>
      </c>
      <c r="Z762" s="35">
        <f>Inputs!$D$6*F762*Inputs!$D$28*(1-Inputs!$D$38*Y762)</f>
        <v>5042.2807508299393</v>
      </c>
      <c r="AA762" s="39">
        <f>Z762*Inputs!$D$13</f>
        <v>42859.386382054487</v>
      </c>
      <c r="AB762" s="39">
        <f>AA762*(1-Inputs!$D$19)</f>
        <v>25715.631829232691</v>
      </c>
      <c r="AC762" s="39">
        <f t="shared" si="44"/>
        <v>378449.92077190802</v>
      </c>
      <c r="AD762" s="39">
        <f t="shared" si="45"/>
        <v>148367.46505466677</v>
      </c>
      <c r="AE762" s="36">
        <f t="shared" si="46"/>
        <v>0.82412839261528814</v>
      </c>
      <c r="AF762" s="35">
        <f>IF(AND(AE762&lt;=Inputs!$D$35,C762&gt;=Inputs!$D$48*(A762+B762+C762),B762*Inputs!$D$22&lt;=Inputs!$D$50*Inputs!$D$8,B762*Inputs!$D$22&gt;=Inputs!$D$49*Inputs!$D$8,A762*Inputs!$D$20&lt;=Inputs!$D$47*Inputs!$D$8,C762&gt;=1),1,0)</f>
        <v>0</v>
      </c>
      <c r="AG762" s="39">
        <f t="shared" si="47"/>
        <v>-1</v>
      </c>
    </row>
    <row r="763" spans="1:33" x14ac:dyDescent="0.25">
      <c r="A763" s="35">
        <v>56</v>
      </c>
      <c r="B763" s="35">
        <v>26</v>
      </c>
      <c r="C763" s="35">
        <f>Inputs!$D$8-A763-Inputs!$D$22*B763</f>
        <v>12</v>
      </c>
      <c r="D763" s="35">
        <f>A763*Inputs!$D$20+C763*Inputs!$D$21+B763*Inputs!$D$22</f>
        <v>120</v>
      </c>
      <c r="E763" s="36">
        <f>MIN(Inputs!$E$15,Inputs!$D$15*(C763/Inputs!$D$43)^Inputs!$D$44)</f>
        <v>0.26076886227459228</v>
      </c>
      <c r="F763" s="36">
        <f>MIN(Inputs!$E$16,Inputs!$D$16*(B763/Inputs!$D$42)^Inputs!$D$44)</f>
        <v>0.43275589945781112</v>
      </c>
      <c r="G763" s="37">
        <f>Inputs!$D$26*(1+Inputs!$D$41*(B763-Inputs!$D$42))</f>
        <v>1.59</v>
      </c>
      <c r="H763" s="35">
        <f>Inputs!$D$6*Inputs!$D$14*G763*Inputs!$D$29</f>
        <v>1997.7237</v>
      </c>
      <c r="I763" s="36">
        <f>H763/(A763*Inputs!$D$32)</f>
        <v>0.64861159090909093</v>
      </c>
      <c r="J763" s="38">
        <f>IF(I763&gt;=1,999,I763/(Inputs!$D$32*(1-I763))*60)</f>
        <v>2.0136585689389537</v>
      </c>
      <c r="K763" s="37">
        <f>MIN(1,MAX(0,(J763-Inputs!$D$36)/(Inputs!$D$37-Inputs!$D$36)))</f>
        <v>0</v>
      </c>
      <c r="L763" s="35">
        <f>Inputs!$D$6*Inputs!$D$14*G763*(1-Inputs!$D$38*K763)</f>
        <v>13318.158000000001</v>
      </c>
      <c r="M763" s="39">
        <f>L763*Inputs!$D$11</f>
        <v>286340.39700000006</v>
      </c>
      <c r="N763" s="39">
        <f>M763*(1-Inputs!$D$17)</f>
        <v>100219.13895000001</v>
      </c>
      <c r="O763" s="35">
        <f>Inputs!$D$6*E763*Inputs!$D$27*Inputs!$D$30</f>
        <v>372.02746197722075</v>
      </c>
      <c r="P763" s="36">
        <f>O763/(C763*Inputs!$D$33)</f>
        <v>0.77505721245254322</v>
      </c>
      <c r="Q763" s="38">
        <f>IF(P763&gt;=1,999,P763/(Inputs!$D$33*(1-P763))*60)</f>
        <v>5.1683622816025654</v>
      </c>
      <c r="R763" s="37">
        <f>MIN(1,MAX(0,(Q763-Inputs!$D$36)/(Inputs!$D$37-Inputs!$D$36)))</f>
        <v>1.1224152106837693E-2</v>
      </c>
      <c r="S763" s="35">
        <f>Inputs!$D$6*E763*Inputs!$D$27*(1-Inputs!$D$38*R763)</f>
        <v>3084.5700017308486</v>
      </c>
      <c r="T763" s="39">
        <f>S763*Inputs!$D$12</f>
        <v>49353.120027693578</v>
      </c>
      <c r="U763" s="39">
        <f>T763*(1-Inputs!$D$18)</f>
        <v>22208.904012462106</v>
      </c>
      <c r="V763" s="35">
        <f>Inputs!$D$6*F763*Inputs!$D$28*Inputs!$D$31</f>
        <v>729.64721876904355</v>
      </c>
      <c r="W763" s="36">
        <f>V763/(B763*Inputs!$D$34)</f>
        <v>0.80181013051543248</v>
      </c>
      <c r="X763" s="38">
        <f>IF(W763&gt;=1,999,W763/(Inputs!$D$34*(1-W763))*60)</f>
        <v>6.9354284146153136</v>
      </c>
      <c r="Y763" s="37">
        <f>MIN(1,MAX(0,(X763-Inputs!$D$36)/(Inputs!$D$37-Inputs!$D$36)))</f>
        <v>0.12902856097435425</v>
      </c>
      <c r="Z763" s="35">
        <f>Inputs!$D$6*F763*Inputs!$D$28*(1-Inputs!$D$38*Y763)</f>
        <v>5286.7832305655711</v>
      </c>
      <c r="AA763" s="39">
        <f>Z763*Inputs!$D$13</f>
        <v>44937.657459807357</v>
      </c>
      <c r="AB763" s="39">
        <f>AA763*(1-Inputs!$D$19)</f>
        <v>26962.594475884413</v>
      </c>
      <c r="AC763" s="39">
        <f t="shared" si="44"/>
        <v>380631.17448750098</v>
      </c>
      <c r="AD763" s="39">
        <f t="shared" si="45"/>
        <v>149390.63743834652</v>
      </c>
      <c r="AE763" s="36">
        <f t="shared" si="46"/>
        <v>0.80181013051543248</v>
      </c>
      <c r="AF763" s="35">
        <f>IF(AND(AE763&lt;=Inputs!$D$35,C763&gt;=Inputs!$D$48*(A763+B763+C763),B763*Inputs!$D$22&lt;=Inputs!$D$50*Inputs!$D$8,B763*Inputs!$D$22&gt;=Inputs!$D$49*Inputs!$D$8,A763*Inputs!$D$20&lt;=Inputs!$D$47*Inputs!$D$8,C763&gt;=1),1,0)</f>
        <v>0</v>
      </c>
      <c r="AG763" s="39">
        <f t="shared" si="47"/>
        <v>-1</v>
      </c>
    </row>
    <row r="764" spans="1:33" x14ac:dyDescent="0.25">
      <c r="A764" s="35">
        <v>56</v>
      </c>
      <c r="B764" s="35">
        <v>27</v>
      </c>
      <c r="C764" s="35">
        <f>Inputs!$D$8-A764-Inputs!$D$22*B764</f>
        <v>10</v>
      </c>
      <c r="D764" s="35">
        <f>A764*Inputs!$D$20+C764*Inputs!$D$21+B764*Inputs!$D$22</f>
        <v>120</v>
      </c>
      <c r="E764" s="36">
        <f>MIN(Inputs!$E$15,Inputs!$D$15*(C764/Inputs!$D$43)^Inputs!$D$44)</f>
        <v>0.24688878270302153</v>
      </c>
      <c r="F764" s="36">
        <f>MIN(Inputs!$E$16,Inputs!$D$16*(B764/Inputs!$D$42)^Inputs!$D$44)</f>
        <v>0.43768344678187454</v>
      </c>
      <c r="G764" s="37">
        <f>Inputs!$D$26*(1+Inputs!$D$41*(B764-Inputs!$D$42))</f>
        <v>1.605</v>
      </c>
      <c r="H764" s="35">
        <f>Inputs!$D$6*Inputs!$D$14*G764*Inputs!$D$29</f>
        <v>2016.57015</v>
      </c>
      <c r="I764" s="36">
        <f>H764/(A764*Inputs!$D$32)</f>
        <v>0.65473056818181818</v>
      </c>
      <c r="J764" s="38">
        <f>IF(I764&gt;=1,999,I764/(Inputs!$D$32*(1-I764))*60)</f>
        <v>2.0686787276950227</v>
      </c>
      <c r="K764" s="37">
        <f>MIN(1,MAX(0,(J764-Inputs!$D$36)/(Inputs!$D$37-Inputs!$D$36)))</f>
        <v>0</v>
      </c>
      <c r="L764" s="35">
        <f>Inputs!$D$6*Inputs!$D$14*G764*(1-Inputs!$D$38*K764)</f>
        <v>13443.801000000001</v>
      </c>
      <c r="M764" s="39">
        <f>L764*Inputs!$D$11</f>
        <v>289041.72150000004</v>
      </c>
      <c r="N764" s="39">
        <f>M764*(1-Inputs!$D$17)</f>
        <v>101164.60252500001</v>
      </c>
      <c r="O764" s="35">
        <f>Inputs!$D$6*E764*Inputs!$D$27*Inputs!$D$30</f>
        <v>352.22536317596189</v>
      </c>
      <c r="P764" s="36">
        <f>O764/(C764*Inputs!$D$33)</f>
        <v>0.88056340793990473</v>
      </c>
      <c r="Q764" s="38">
        <f>IF(P764&gt;=1,999,P764/(Inputs!$D$33*(1-P764))*60)</f>
        <v>11.05896517245959</v>
      </c>
      <c r="R764" s="37">
        <f>MIN(1,MAX(0,(Q764-Inputs!$D$36)/(Inputs!$D$37-Inputs!$D$36)))</f>
        <v>0.40393101149730604</v>
      </c>
      <c r="S764" s="35">
        <f>Inputs!$D$6*E764*Inputs!$D$27*(1-Inputs!$D$38*R764)</f>
        <v>2401.6810577146616</v>
      </c>
      <c r="T764" s="39">
        <f>S764*Inputs!$D$12</f>
        <v>38426.896923434586</v>
      </c>
      <c r="U764" s="39">
        <f>T764*(1-Inputs!$D$18)</f>
        <v>17292.103615545562</v>
      </c>
      <c r="V764" s="35">
        <f>Inputs!$D$6*F764*Inputs!$D$28*Inputs!$D$31</f>
        <v>737.95530007968603</v>
      </c>
      <c r="W764" s="36">
        <f>V764/(B764*Inputs!$D$34)</f>
        <v>0.78090507944940324</v>
      </c>
      <c r="X764" s="38">
        <f>IF(W764&gt;=1,999,W764/(Inputs!$D$34*(1-W764))*60)</f>
        <v>6.1101116290101798</v>
      </c>
      <c r="Y764" s="37">
        <f>MIN(1,MAX(0,(X764-Inputs!$D$36)/(Inputs!$D$37-Inputs!$D$36)))</f>
        <v>7.4007441934011986E-2</v>
      </c>
      <c r="Z764" s="35">
        <f>Inputs!$D$6*F764*Inputs!$D$28*(1-Inputs!$D$38*Y764)</f>
        <v>5487.5301328495489</v>
      </c>
      <c r="AA764" s="39">
        <f>Z764*Inputs!$D$13</f>
        <v>46644.006129221169</v>
      </c>
      <c r="AB764" s="39">
        <f>AA764*(1-Inputs!$D$19)</f>
        <v>27986.4036775327</v>
      </c>
      <c r="AC764" s="39">
        <f t="shared" si="44"/>
        <v>374112.62455265579</v>
      </c>
      <c r="AD764" s="39">
        <f t="shared" si="45"/>
        <v>146443.10981807829</v>
      </c>
      <c r="AE764" s="36">
        <f t="shared" si="46"/>
        <v>0.88056340793990473</v>
      </c>
      <c r="AF764" s="35">
        <f>IF(AND(AE764&lt;=Inputs!$D$35,C764&gt;=Inputs!$D$48*(A764+B764+C764),B764*Inputs!$D$22&lt;=Inputs!$D$50*Inputs!$D$8,B764*Inputs!$D$22&gt;=Inputs!$D$49*Inputs!$D$8,A764*Inputs!$D$20&lt;=Inputs!$D$47*Inputs!$D$8,C764&gt;=1),1,0)</f>
        <v>0</v>
      </c>
      <c r="AG764" s="39">
        <f t="shared" si="47"/>
        <v>-1</v>
      </c>
    </row>
    <row r="765" spans="1:33" x14ac:dyDescent="0.25">
      <c r="A765" s="35">
        <v>56</v>
      </c>
      <c r="B765" s="35">
        <v>28</v>
      </c>
      <c r="C765" s="35">
        <f>Inputs!$D$8-A765-Inputs!$D$22*B765</f>
        <v>8</v>
      </c>
      <c r="D765" s="35">
        <f>A765*Inputs!$D$20+C765*Inputs!$D$21+B765*Inputs!$D$22</f>
        <v>120</v>
      </c>
      <c r="E765" s="36">
        <f>MIN(Inputs!$E$15,Inputs!$D$15*(C765/Inputs!$D$43)^Inputs!$D$44)</f>
        <v>0.23090235080781729</v>
      </c>
      <c r="F765" s="36">
        <f>MIN(Inputs!$E$16,Inputs!$D$16*(B765/Inputs!$D$42)^Inputs!$D$44)</f>
        <v>0.44248484624799689</v>
      </c>
      <c r="G765" s="37">
        <f>Inputs!$D$26*(1+Inputs!$D$41*(B765-Inputs!$D$42))</f>
        <v>1.62</v>
      </c>
      <c r="H765" s="35">
        <f>Inputs!$D$6*Inputs!$D$14*G765*Inputs!$D$29</f>
        <v>2035.4166</v>
      </c>
      <c r="I765" s="36">
        <f>H765/(A765*Inputs!$D$32)</f>
        <v>0.66084954545454544</v>
      </c>
      <c r="J765" s="38">
        <f>IF(I765&gt;=1,999,I765/(Inputs!$D$32*(1-I765))*60)</f>
        <v>2.1256842418970781</v>
      </c>
      <c r="K765" s="37">
        <f>MIN(1,MAX(0,(J765-Inputs!$D$36)/(Inputs!$D$37-Inputs!$D$36)))</f>
        <v>0</v>
      </c>
      <c r="L765" s="35">
        <f>Inputs!$D$6*Inputs!$D$14*G765*(1-Inputs!$D$38*K765)</f>
        <v>13569.444000000001</v>
      </c>
      <c r="M765" s="39">
        <f>L765*Inputs!$D$11</f>
        <v>291743.04600000003</v>
      </c>
      <c r="N765" s="39">
        <f>M765*(1-Inputs!$D$17)</f>
        <v>102110.06610000001</v>
      </c>
      <c r="O765" s="35">
        <f>Inputs!$D$6*E765*Inputs!$D$27*Inputs!$D$30</f>
        <v>329.41822419407742</v>
      </c>
      <c r="P765" s="36">
        <f>O765/(C765*Inputs!$D$33)</f>
        <v>1.029431950606492</v>
      </c>
      <c r="Q765" s="38">
        <f>IF(P765&gt;=1,999,P765/(Inputs!$D$33*(1-P765))*60)</f>
        <v>999</v>
      </c>
      <c r="R765" s="37">
        <f>MIN(1,MAX(0,(Q765-Inputs!$D$36)/(Inputs!$D$37-Inputs!$D$36)))</f>
        <v>1</v>
      </c>
      <c r="S765" s="35">
        <f>Inputs!$D$6*E765*Inputs!$D$27*(1-Inputs!$D$38*R765)</f>
        <v>1509.8335275561885</v>
      </c>
      <c r="T765" s="39">
        <f>S765*Inputs!$D$12</f>
        <v>24157.336440899016</v>
      </c>
      <c r="U765" s="39">
        <f>T765*(1-Inputs!$D$18)</f>
        <v>10870.801398404556</v>
      </c>
      <c r="V765" s="35">
        <f>Inputs!$D$6*F765*Inputs!$D$28*Inputs!$D$31</f>
        <v>746.05069004674272</v>
      </c>
      <c r="W765" s="36">
        <f>V765/(B765*Inputs!$D$34)</f>
        <v>0.76127621433341097</v>
      </c>
      <c r="X765" s="38">
        <f>IF(W765&gt;=1,999,W765/(Inputs!$D$34*(1-W765))*60)</f>
        <v>5.4667570523531852</v>
      </c>
      <c r="Y765" s="37">
        <f>MIN(1,MAX(0,(X765-Inputs!$D$36)/(Inputs!$D$37-Inputs!$D$36)))</f>
        <v>3.111713682354568E-2</v>
      </c>
      <c r="Z765" s="35">
        <f>Inputs!$D$6*F765*Inputs!$D$28*(1-Inputs!$D$38*Y765)</f>
        <v>5658.4919801305723</v>
      </c>
      <c r="AA765" s="39">
        <f>Z765*Inputs!$D$13</f>
        <v>48097.181831109861</v>
      </c>
      <c r="AB765" s="39">
        <f>AA765*(1-Inputs!$D$19)</f>
        <v>28858.309098665915</v>
      </c>
      <c r="AC765" s="39">
        <f t="shared" si="44"/>
        <v>363997.56427200889</v>
      </c>
      <c r="AD765" s="39">
        <f t="shared" si="45"/>
        <v>141839.17659707047</v>
      </c>
      <c r="AE765" s="36">
        <f t="shared" si="46"/>
        <v>1.029431950606492</v>
      </c>
      <c r="AF765" s="35">
        <f>IF(AND(AE765&lt;=Inputs!$D$35,C765&gt;=Inputs!$D$48*(A765+B765+C765),B765*Inputs!$D$22&lt;=Inputs!$D$50*Inputs!$D$8,B765*Inputs!$D$22&gt;=Inputs!$D$49*Inputs!$D$8,A765*Inputs!$D$20&lt;=Inputs!$D$47*Inputs!$D$8,C765&gt;=1),1,0)</f>
        <v>0</v>
      </c>
      <c r="AG765" s="39">
        <f t="shared" si="47"/>
        <v>-1</v>
      </c>
    </row>
    <row r="766" spans="1:33" x14ac:dyDescent="0.25">
      <c r="A766" s="35">
        <v>56</v>
      </c>
      <c r="B766" s="35">
        <v>29</v>
      </c>
      <c r="C766" s="35">
        <f>Inputs!$D$8-A766-Inputs!$D$22*B766</f>
        <v>6</v>
      </c>
      <c r="D766" s="35">
        <f>A766*Inputs!$D$20+C766*Inputs!$D$21+B766*Inputs!$D$22</f>
        <v>120</v>
      </c>
      <c r="E766" s="36">
        <f>MIN(Inputs!$E$15,Inputs!$D$15*(C766/Inputs!$D$43)^Inputs!$D$44)</f>
        <v>0.21181013327762671</v>
      </c>
      <c r="F766" s="36">
        <f>MIN(Inputs!$E$16,Inputs!$D$16*(B766/Inputs!$D$42)^Inputs!$D$44)</f>
        <v>0.44716766511947192</v>
      </c>
      <c r="G766" s="37">
        <f>Inputs!$D$26*(1+Inputs!$D$41*(B766-Inputs!$D$42))</f>
        <v>1.6350000000000002</v>
      </c>
      <c r="H766" s="35">
        <f>Inputs!$D$6*Inputs!$D$14*G766*Inputs!$D$29</f>
        <v>2054.2630500000005</v>
      </c>
      <c r="I766" s="36">
        <f>H766/(A766*Inputs!$D$32)</f>
        <v>0.66696852272727292</v>
      </c>
      <c r="J766" s="38">
        <f>IF(I766&gt;=1,999,I766/(Inputs!$D$32*(1-I766))*60)</f>
        <v>2.1847845457489257</v>
      </c>
      <c r="K766" s="37">
        <f>MIN(1,MAX(0,(J766-Inputs!$D$36)/(Inputs!$D$37-Inputs!$D$36)))</f>
        <v>0</v>
      </c>
      <c r="L766" s="35">
        <f>Inputs!$D$6*Inputs!$D$14*G766*(1-Inputs!$D$38*K766)</f>
        <v>13695.087000000003</v>
      </c>
      <c r="M766" s="39">
        <f>L766*Inputs!$D$11</f>
        <v>294444.37050000008</v>
      </c>
      <c r="N766" s="39">
        <f>M766*(1-Inputs!$D$17)</f>
        <v>103055.52967500003</v>
      </c>
      <c r="O766" s="35">
        <f>Inputs!$D$6*E766*Inputs!$D$27*Inputs!$D$30</f>
        <v>302.18019750132584</v>
      </c>
      <c r="P766" s="36">
        <f>O766/(C766*Inputs!$D$33)</f>
        <v>1.2590841562555244</v>
      </c>
      <c r="Q766" s="38">
        <f>IF(P766&gt;=1,999,P766/(Inputs!$D$33*(1-P766))*60)</f>
        <v>999</v>
      </c>
      <c r="R766" s="37">
        <f>MIN(1,MAX(0,(Q766-Inputs!$D$36)/(Inputs!$D$37-Inputs!$D$36)))</f>
        <v>1</v>
      </c>
      <c r="S766" s="35">
        <f>Inputs!$D$6*E766*Inputs!$D$27*(1-Inputs!$D$38*R766)</f>
        <v>1384.9925718810769</v>
      </c>
      <c r="T766" s="39">
        <f>S766*Inputs!$D$12</f>
        <v>22159.88115009723</v>
      </c>
      <c r="U766" s="39">
        <f>T766*(1-Inputs!$D$18)</f>
        <v>9971.9465175437526</v>
      </c>
      <c r="V766" s="35">
        <f>Inputs!$D$6*F766*Inputs!$D$28*Inputs!$D$31</f>
        <v>753.9461474393554</v>
      </c>
      <c r="W766" s="36">
        <f>V766/(B766*Inputs!$D$34)</f>
        <v>0.74280408614714821</v>
      </c>
      <c r="X766" s="38">
        <f>IF(W766&gt;=1,999,W766/(Inputs!$D$34*(1-W766))*60)</f>
        <v>4.9510056918075414</v>
      </c>
      <c r="Y766" s="37">
        <f>MIN(1,MAX(0,(X766-Inputs!$D$36)/(Inputs!$D$37-Inputs!$D$36)))</f>
        <v>0</v>
      </c>
      <c r="Z766" s="35">
        <f>Inputs!$D$6*F766*Inputs!$D$28*(1-Inputs!$D$38*Y766)</f>
        <v>5799.5857495335031</v>
      </c>
      <c r="AA766" s="39">
        <f>Z766*Inputs!$D$13</f>
        <v>49296.478871034778</v>
      </c>
      <c r="AB766" s="39">
        <f>AA766*(1-Inputs!$D$19)</f>
        <v>29577.887322620867</v>
      </c>
      <c r="AC766" s="39">
        <f t="shared" si="44"/>
        <v>365900.73052113212</v>
      </c>
      <c r="AD766" s="39">
        <f t="shared" si="45"/>
        <v>142605.36351516464</v>
      </c>
      <c r="AE766" s="36">
        <f t="shared" si="46"/>
        <v>1.2590841562555244</v>
      </c>
      <c r="AF766" s="35">
        <f>IF(AND(AE766&lt;=Inputs!$D$35,C766&gt;=Inputs!$D$48*(A766+B766+C766),B766*Inputs!$D$22&lt;=Inputs!$D$50*Inputs!$D$8,B766*Inputs!$D$22&gt;=Inputs!$D$49*Inputs!$D$8,A766*Inputs!$D$20&lt;=Inputs!$D$47*Inputs!$D$8,C766&gt;=1),1,0)</f>
        <v>0</v>
      </c>
      <c r="AG766" s="39">
        <f t="shared" si="47"/>
        <v>-1</v>
      </c>
    </row>
    <row r="767" spans="1:33" x14ac:dyDescent="0.25">
      <c r="A767" s="35">
        <v>56</v>
      </c>
      <c r="B767" s="35">
        <v>30</v>
      </c>
      <c r="C767" s="35">
        <f>Inputs!$D$8-A767-Inputs!$D$22*B767</f>
        <v>4</v>
      </c>
      <c r="D767" s="35">
        <f>A767*Inputs!$D$20+C767*Inputs!$D$21+B767*Inputs!$D$22</f>
        <v>120</v>
      </c>
      <c r="E767" s="36">
        <f>MIN(Inputs!$E$15,Inputs!$D$15*(C767/Inputs!$D$43)^Inputs!$D$44)</f>
        <v>0.18755098776793777</v>
      </c>
      <c r="F767" s="36">
        <f>MIN(Inputs!$E$16,Inputs!$D$16*(B767/Inputs!$D$42)^Inputs!$D$44)</f>
        <v>0.45173877418274222</v>
      </c>
      <c r="G767" s="37">
        <f>Inputs!$D$26*(1+Inputs!$D$41*(B767-Inputs!$D$42))</f>
        <v>1.6500000000000001</v>
      </c>
      <c r="H767" s="35">
        <f>Inputs!$D$6*Inputs!$D$14*G767*Inputs!$D$29</f>
        <v>2073.1095000000005</v>
      </c>
      <c r="I767" s="36">
        <f>H767/(A767*Inputs!$D$32)</f>
        <v>0.67308750000000017</v>
      </c>
      <c r="J767" s="38">
        <f>IF(I767&gt;=1,999,I767/(Inputs!$D$32*(1-I767))*60)</f>
        <v>2.2460972667832322</v>
      </c>
      <c r="K767" s="37">
        <f>MIN(1,MAX(0,(J767-Inputs!$D$36)/(Inputs!$D$37-Inputs!$D$36)))</f>
        <v>0</v>
      </c>
      <c r="L767" s="35">
        <f>Inputs!$D$6*Inputs!$D$14*G767*(1-Inputs!$D$38*K767)</f>
        <v>13820.730000000003</v>
      </c>
      <c r="M767" s="39">
        <f>L767*Inputs!$D$11</f>
        <v>297145.69500000007</v>
      </c>
      <c r="N767" s="39">
        <f>M767*(1-Inputs!$D$17)</f>
        <v>104000.99325000001</v>
      </c>
      <c r="O767" s="35">
        <f>Inputs!$D$6*E767*Inputs!$D$27*Inputs!$D$30</f>
        <v>267.57074200505502</v>
      </c>
      <c r="P767" s="36">
        <f>O767/(C767*Inputs!$D$33)</f>
        <v>1.6723171375315939</v>
      </c>
      <c r="Q767" s="38">
        <f>IF(P767&gt;=1,999,P767/(Inputs!$D$33*(1-P767))*60)</f>
        <v>999</v>
      </c>
      <c r="R767" s="37">
        <f>MIN(1,MAX(0,(Q767-Inputs!$D$36)/(Inputs!$D$37-Inputs!$D$36)))</f>
        <v>1</v>
      </c>
      <c r="S767" s="35">
        <f>Inputs!$D$6*E767*Inputs!$D$27*(1-Inputs!$D$38*R767)</f>
        <v>1226.3659008565023</v>
      </c>
      <c r="T767" s="39">
        <f>S767*Inputs!$D$12</f>
        <v>19621.854413704037</v>
      </c>
      <c r="U767" s="39">
        <f>T767*(1-Inputs!$D$18)</f>
        <v>8829.8344861668156</v>
      </c>
      <c r="V767" s="35">
        <f>Inputs!$D$6*F767*Inputs!$D$28*Inputs!$D$31</f>
        <v>761.65325673326424</v>
      </c>
      <c r="W767" s="36">
        <f>V767/(B767*Inputs!$D$34)</f>
        <v>0.72538405403168027</v>
      </c>
      <c r="X767" s="38">
        <f>IF(W767&gt;=1,999,W767/(Inputs!$D$34*(1-W767))*60)</f>
        <v>4.5281985239874629</v>
      </c>
      <c r="Y767" s="37">
        <f>MIN(1,MAX(0,(X767-Inputs!$D$36)/(Inputs!$D$37-Inputs!$D$36)))</f>
        <v>0</v>
      </c>
      <c r="Z767" s="35">
        <f>Inputs!$D$6*F767*Inputs!$D$28*(1-Inputs!$D$38*Y767)</f>
        <v>5858.8712056404938</v>
      </c>
      <c r="AA767" s="39">
        <f>Z767*Inputs!$D$13</f>
        <v>49800.405247944196</v>
      </c>
      <c r="AB767" s="39">
        <f>AA767*(1-Inputs!$D$19)</f>
        <v>29880.243148766516</v>
      </c>
      <c r="AC767" s="39">
        <f t="shared" si="44"/>
        <v>366567.95466164825</v>
      </c>
      <c r="AD767" s="39">
        <f t="shared" si="45"/>
        <v>142711.07088493335</v>
      </c>
      <c r="AE767" s="36">
        <f t="shared" si="46"/>
        <v>1.6723171375315939</v>
      </c>
      <c r="AF767" s="35">
        <f>IF(AND(AE767&lt;=Inputs!$D$35,C767&gt;=Inputs!$D$48*(A767+B767+C767),B767*Inputs!$D$22&lt;=Inputs!$D$50*Inputs!$D$8,B767*Inputs!$D$22&gt;=Inputs!$D$49*Inputs!$D$8,A767*Inputs!$D$20&lt;=Inputs!$D$47*Inputs!$D$8,C767&gt;=1),1,0)</f>
        <v>0</v>
      </c>
      <c r="AG767" s="39">
        <f t="shared" si="47"/>
        <v>-1</v>
      </c>
    </row>
    <row r="768" spans="1:33" x14ac:dyDescent="0.25">
      <c r="A768" s="35">
        <v>56</v>
      </c>
      <c r="B768" s="35">
        <v>31</v>
      </c>
      <c r="C768" s="35">
        <f>Inputs!$D$8-A768-Inputs!$D$22*B768</f>
        <v>2</v>
      </c>
      <c r="D768" s="35">
        <f>A768*Inputs!$D$20+C768*Inputs!$D$21+B768*Inputs!$D$22</f>
        <v>120</v>
      </c>
      <c r="E768" s="36">
        <f>MIN(Inputs!$E$15,Inputs!$D$15*(C768/Inputs!$D$43)^Inputs!$D$44)</f>
        <v>0.15233873925348645</v>
      </c>
      <c r="F768" s="36">
        <f>MIN(Inputs!$E$16,Inputs!$D$16*(B768/Inputs!$D$42)^Inputs!$D$44)</f>
        <v>0.45620443270573335</v>
      </c>
      <c r="G768" s="37">
        <f>Inputs!$D$26*(1+Inputs!$D$41*(B768-Inputs!$D$42))</f>
        <v>1.665</v>
      </c>
      <c r="H768" s="35">
        <f>Inputs!$D$6*Inputs!$D$14*G768*Inputs!$D$29</f>
        <v>2091.95595</v>
      </c>
      <c r="I768" s="36">
        <f>H768/(A768*Inputs!$D$32)</f>
        <v>0.67920647727272732</v>
      </c>
      <c r="J768" s="38">
        <f>IF(I768&gt;=1,999,I768/(Inputs!$D$32*(1-I768))*60)</f>
        <v>2.3097490072799527</v>
      </c>
      <c r="K768" s="37">
        <f>MIN(1,MAX(0,(J768-Inputs!$D$36)/(Inputs!$D$37-Inputs!$D$36)))</f>
        <v>0</v>
      </c>
      <c r="L768" s="35">
        <f>Inputs!$D$6*Inputs!$D$14*G768*(1-Inputs!$D$38*K768)</f>
        <v>13946.373000000001</v>
      </c>
      <c r="M768" s="39">
        <f>L768*Inputs!$D$11</f>
        <v>299847.01950000005</v>
      </c>
      <c r="N768" s="39">
        <f>M768*(1-Inputs!$D$17)</f>
        <v>104946.45682500002</v>
      </c>
      <c r="O768" s="35">
        <f>Inputs!$D$6*E768*Inputs!$D$27*Inputs!$D$30</f>
        <v>217.33497638842198</v>
      </c>
      <c r="P768" s="36">
        <f>O768/(C768*Inputs!$D$33)</f>
        <v>2.7166872048552748</v>
      </c>
      <c r="Q768" s="38">
        <f>IF(P768&gt;=1,999,P768/(Inputs!$D$33*(1-P768))*60)</f>
        <v>999</v>
      </c>
      <c r="R768" s="37">
        <f>MIN(1,MAX(0,(Q768-Inputs!$D$36)/(Inputs!$D$37-Inputs!$D$36)))</f>
        <v>1</v>
      </c>
      <c r="S768" s="35">
        <f>Inputs!$D$6*E768*Inputs!$D$27*(1-Inputs!$D$38*R768)</f>
        <v>996.11864178026747</v>
      </c>
      <c r="T768" s="39">
        <f>S768*Inputs!$D$12</f>
        <v>15937.898268484279</v>
      </c>
      <c r="U768" s="39">
        <f>T768*(1-Inputs!$D$18)</f>
        <v>7172.0542208179249</v>
      </c>
      <c r="V768" s="35">
        <f>Inputs!$D$6*F768*Inputs!$D$28*Inputs!$D$31</f>
        <v>769.18257135463637</v>
      </c>
      <c r="W768" s="36">
        <f>V768/(B768*Inputs!$D$34)</f>
        <v>0.70892402889828232</v>
      </c>
      <c r="X768" s="38">
        <f>IF(W768&gt;=1,999,W768/(Inputs!$D$34*(1-W768))*60)</f>
        <v>4.1751929252501148</v>
      </c>
      <c r="Y768" s="37">
        <f>MIN(1,MAX(0,(X768-Inputs!$D$36)/(Inputs!$D$37-Inputs!$D$36)))</f>
        <v>0</v>
      </c>
      <c r="Z768" s="35">
        <f>Inputs!$D$6*F768*Inputs!$D$28*(1-Inputs!$D$38*Y768)</f>
        <v>5916.7890104202797</v>
      </c>
      <c r="AA768" s="39">
        <f>Z768*Inputs!$D$13</f>
        <v>50292.706588572379</v>
      </c>
      <c r="AB768" s="39">
        <f>AA768*(1-Inputs!$D$19)</f>
        <v>30175.623953143426</v>
      </c>
      <c r="AC768" s="39">
        <f t="shared" si="44"/>
        <v>366077.62435705669</v>
      </c>
      <c r="AD768" s="39">
        <f t="shared" si="45"/>
        <v>142294.13499896135</v>
      </c>
      <c r="AE768" s="36">
        <f t="shared" si="46"/>
        <v>2.7166872048552748</v>
      </c>
      <c r="AF768" s="35">
        <f>IF(AND(AE768&lt;=Inputs!$D$35,C768&gt;=Inputs!$D$48*(A768+B768+C768),B768*Inputs!$D$22&lt;=Inputs!$D$50*Inputs!$D$8,B768*Inputs!$D$22&gt;=Inputs!$D$49*Inputs!$D$8,A768*Inputs!$D$20&lt;=Inputs!$D$47*Inputs!$D$8,C768&gt;=1),1,0)</f>
        <v>0</v>
      </c>
      <c r="AG768" s="39">
        <f t="shared" si="47"/>
        <v>-1</v>
      </c>
    </row>
    <row r="769" spans="1:33" x14ac:dyDescent="0.25">
      <c r="A769" s="35">
        <v>57</v>
      </c>
      <c r="B769" s="35">
        <v>10</v>
      </c>
      <c r="C769" s="35">
        <f>Inputs!$D$8-A769-Inputs!$D$22*B769</f>
        <v>43</v>
      </c>
      <c r="D769" s="35">
        <f>A769*Inputs!$D$20+C769*Inputs!$D$21+B769*Inputs!$D$22</f>
        <v>120</v>
      </c>
      <c r="E769" s="36">
        <f>MIN(Inputs!$E$15,Inputs!$D$15*(C769/Inputs!$D$43)^Inputs!$D$44)</f>
        <v>0.38242114286867052</v>
      </c>
      <c r="F769" s="36">
        <f>MIN(Inputs!$E$16,Inputs!$D$16*(B769/Inputs!$D$42)^Inputs!$D$44)</f>
        <v>0.32490095854249423</v>
      </c>
      <c r="G769" s="37">
        <f>Inputs!$D$26*(1+Inputs!$D$41*(B769-Inputs!$D$42))</f>
        <v>1.35</v>
      </c>
      <c r="H769" s="35">
        <f>Inputs!$D$6*Inputs!$D$14*G769*Inputs!$D$29</f>
        <v>1696.1805000000004</v>
      </c>
      <c r="I769" s="36">
        <f>H769/(A769*Inputs!$D$32)</f>
        <v>0.54104641148325372</v>
      </c>
      <c r="J769" s="38">
        <f>IF(I769&gt;=1,999,I769/(Inputs!$D$32*(1-I769))*60)</f>
        <v>1.2860395117474626</v>
      </c>
      <c r="K769" s="37">
        <f>MIN(1,MAX(0,(J769-Inputs!$D$36)/(Inputs!$D$37-Inputs!$D$36)))</f>
        <v>0</v>
      </c>
      <c r="L769" s="35">
        <f>Inputs!$D$6*Inputs!$D$14*G769*(1-Inputs!$D$38*K769)</f>
        <v>11307.870000000003</v>
      </c>
      <c r="M769" s="39">
        <f>L769*Inputs!$D$11</f>
        <v>243119.20500000005</v>
      </c>
      <c r="N769" s="39">
        <f>M769*(1-Inputs!$D$17)</f>
        <v>85091.721750000012</v>
      </c>
      <c r="O769" s="35">
        <f>Inputs!$D$6*E769*Inputs!$D$27*Inputs!$D$30</f>
        <v>545.58341800044604</v>
      </c>
      <c r="P769" s="36">
        <f>O769/(C769*Inputs!$D$33)</f>
        <v>0.31719966162816632</v>
      </c>
      <c r="Q769" s="38">
        <f>IF(P769&gt;=1,999,P769/(Inputs!$D$33*(1-P769))*60)</f>
        <v>0.69683546668534679</v>
      </c>
      <c r="R769" s="37">
        <f>MIN(1,MAX(0,(Q769-Inputs!$D$36)/(Inputs!$D$37-Inputs!$D$36)))</f>
        <v>0</v>
      </c>
      <c r="S769" s="35">
        <f>Inputs!$D$6*E769*Inputs!$D$27*(1-Inputs!$D$38*R769)</f>
        <v>4546.5284833370506</v>
      </c>
      <c r="T769" s="39">
        <f>S769*Inputs!$D$12</f>
        <v>72744.45573339281</v>
      </c>
      <c r="U769" s="39">
        <f>T769*(1-Inputs!$D$18)</f>
        <v>32735.00508002676</v>
      </c>
      <c r="V769" s="35">
        <f>Inputs!$D$6*F769*Inputs!$D$28*Inputs!$D$31</f>
        <v>547.7986113486553</v>
      </c>
      <c r="W769" s="36">
        <f>V769/(B769*Inputs!$D$34)</f>
        <v>1.5651388895675866</v>
      </c>
      <c r="X769" s="38">
        <f>IF(W769&gt;=1,999,W769/(Inputs!$D$34*(1-W769))*60)</f>
        <v>999</v>
      </c>
      <c r="Y769" s="37">
        <f>MIN(1,MAX(0,(X769-Inputs!$D$36)/(Inputs!$D$37-Inputs!$D$36)))</f>
        <v>1</v>
      </c>
      <c r="Z769" s="35">
        <f>Inputs!$D$6*F769*Inputs!$D$28*(1-Inputs!$D$38*Y769)</f>
        <v>2317.6095095520031</v>
      </c>
      <c r="AA769" s="39">
        <f>Z769*Inputs!$D$13</f>
        <v>19699.680831192025</v>
      </c>
      <c r="AB769" s="39">
        <f>AA769*(1-Inputs!$D$19)</f>
        <v>11819.808498715214</v>
      </c>
      <c r="AC769" s="39">
        <f t="shared" si="44"/>
        <v>335563.34156458487</v>
      </c>
      <c r="AD769" s="39">
        <f t="shared" si="45"/>
        <v>129646.53532874199</v>
      </c>
      <c r="AE769" s="36">
        <f t="shared" si="46"/>
        <v>1.5651388895675866</v>
      </c>
      <c r="AF769" s="35">
        <f>IF(AND(AE769&lt;=Inputs!$D$35,C769&gt;=Inputs!$D$48*(A769+B769+C769),B769*Inputs!$D$22&lt;=Inputs!$D$50*Inputs!$D$8,B769*Inputs!$D$22&gt;=Inputs!$D$49*Inputs!$D$8,A769*Inputs!$D$20&lt;=Inputs!$D$47*Inputs!$D$8,C769&gt;=1),1,0)</f>
        <v>0</v>
      </c>
      <c r="AG769" s="39">
        <f t="shared" si="47"/>
        <v>-1</v>
      </c>
    </row>
    <row r="770" spans="1:33" x14ac:dyDescent="0.25">
      <c r="A770" s="35">
        <v>57</v>
      </c>
      <c r="B770" s="35">
        <v>11</v>
      </c>
      <c r="C770" s="35">
        <f>Inputs!$D$8-A770-Inputs!$D$22*B770</f>
        <v>41</v>
      </c>
      <c r="D770" s="35">
        <f>A770*Inputs!$D$20+C770*Inputs!$D$21+B770*Inputs!$D$22</f>
        <v>120</v>
      </c>
      <c r="E770" s="36">
        <f>MIN(Inputs!$E$15,Inputs!$D$15*(C770/Inputs!$D$43)^Inputs!$D$44)</f>
        <v>0.37699580304543617</v>
      </c>
      <c r="F770" s="36">
        <f>MIN(Inputs!$E$16,Inputs!$D$16*(B770/Inputs!$D$42)^Inputs!$D$44)</f>
        <v>0.33432495758166098</v>
      </c>
      <c r="G770" s="37">
        <f>Inputs!$D$26*(1+Inputs!$D$41*(B770-Inputs!$D$42))</f>
        <v>1.365</v>
      </c>
      <c r="H770" s="35">
        <f>Inputs!$D$6*Inputs!$D$14*G770*Inputs!$D$29</f>
        <v>1715.0269500000002</v>
      </c>
      <c r="I770" s="36">
        <f>H770/(A770*Inputs!$D$32)</f>
        <v>0.54705803827751198</v>
      </c>
      <c r="J770" s="38">
        <f>IF(I770&gt;=1,999,I770/(Inputs!$D$32*(1-I770))*60)</f>
        <v>1.3175873238644149</v>
      </c>
      <c r="K770" s="37">
        <f>MIN(1,MAX(0,(J770-Inputs!$D$36)/(Inputs!$D$37-Inputs!$D$36)))</f>
        <v>0</v>
      </c>
      <c r="L770" s="35">
        <f>Inputs!$D$6*Inputs!$D$14*G770*(1-Inputs!$D$38*K770)</f>
        <v>11433.513000000001</v>
      </c>
      <c r="M770" s="39">
        <f>L770*Inputs!$D$11</f>
        <v>245820.5295</v>
      </c>
      <c r="N770" s="39">
        <f>M770*(1-Inputs!$D$17)</f>
        <v>86037.185324999999</v>
      </c>
      <c r="O770" s="35">
        <f>Inputs!$D$6*E770*Inputs!$D$27*Inputs!$D$30</f>
        <v>537.84332438958984</v>
      </c>
      <c r="P770" s="36">
        <f>O770/(C770*Inputs!$D$33)</f>
        <v>0.3279532465790182</v>
      </c>
      <c r="Q770" s="38">
        <f>IF(P770&gt;=1,999,P770/(Inputs!$D$33*(1-P770))*60)</f>
        <v>0.73198756985940516</v>
      </c>
      <c r="R770" s="37">
        <f>MIN(1,MAX(0,(Q770-Inputs!$D$36)/(Inputs!$D$37-Inputs!$D$36)))</f>
        <v>0</v>
      </c>
      <c r="S770" s="35">
        <f>Inputs!$D$6*E770*Inputs!$D$27*(1-Inputs!$D$38*R770)</f>
        <v>4482.027703246582</v>
      </c>
      <c r="T770" s="39">
        <f>S770*Inputs!$D$12</f>
        <v>71712.443251945311</v>
      </c>
      <c r="U770" s="39">
        <f>T770*(1-Inputs!$D$18)</f>
        <v>32270.599463375387</v>
      </c>
      <c r="V770" s="35">
        <f>Inputs!$D$6*F770*Inputs!$D$28*Inputs!$D$31</f>
        <v>563.68792608064427</v>
      </c>
      <c r="W770" s="36">
        <f>V770/(B770*Inputs!$D$34)</f>
        <v>1.4641244833263487</v>
      </c>
      <c r="X770" s="38">
        <f>IF(W770&gt;=1,999,W770/(Inputs!$D$34*(1-W770))*60)</f>
        <v>999</v>
      </c>
      <c r="Y770" s="37">
        <f>MIN(1,MAX(0,(X770-Inputs!$D$36)/(Inputs!$D$37-Inputs!$D$36)))</f>
        <v>1</v>
      </c>
      <c r="Z770" s="35">
        <f>Inputs!$D$6*F770*Inputs!$D$28*(1-Inputs!$D$38*Y770)</f>
        <v>2384.8335334181106</v>
      </c>
      <c r="AA770" s="39">
        <f>Z770*Inputs!$D$13</f>
        <v>20271.08503405394</v>
      </c>
      <c r="AB770" s="39">
        <f>AA770*(1-Inputs!$D$19)</f>
        <v>12162.651020432364</v>
      </c>
      <c r="AC770" s="39">
        <f t="shared" si="44"/>
        <v>337804.05778599926</v>
      </c>
      <c r="AD770" s="39">
        <f t="shared" si="45"/>
        <v>130470.43580880776</v>
      </c>
      <c r="AE770" s="36">
        <f t="shared" si="46"/>
        <v>1.4641244833263487</v>
      </c>
      <c r="AF770" s="35">
        <f>IF(AND(AE770&lt;=Inputs!$D$35,C770&gt;=Inputs!$D$48*(A770+B770+C770),B770*Inputs!$D$22&lt;=Inputs!$D$50*Inputs!$D$8,B770*Inputs!$D$22&gt;=Inputs!$D$49*Inputs!$D$8,A770*Inputs!$D$20&lt;=Inputs!$D$47*Inputs!$D$8,C770&gt;=1),1,0)</f>
        <v>0</v>
      </c>
      <c r="AG770" s="39">
        <f t="shared" si="47"/>
        <v>-1</v>
      </c>
    </row>
    <row r="771" spans="1:33" x14ac:dyDescent="0.25">
      <c r="A771" s="35">
        <v>57</v>
      </c>
      <c r="B771" s="35">
        <v>12</v>
      </c>
      <c r="C771" s="35">
        <f>Inputs!$D$8-A771-Inputs!$D$22*B771</f>
        <v>39</v>
      </c>
      <c r="D771" s="35">
        <f>A771*Inputs!$D$20+C771*Inputs!$D$21+B771*Inputs!$D$22</f>
        <v>120</v>
      </c>
      <c r="E771" s="36">
        <f>MIN(Inputs!$E$15,Inputs!$D$15*(C771/Inputs!$D$43)^Inputs!$D$44)</f>
        <v>0.37138190575462604</v>
      </c>
      <c r="F771" s="36">
        <f>MIN(Inputs!$E$16,Inputs!$D$16*(B771/Inputs!$D$42)^Inputs!$D$44)</f>
        <v>0.34316688017763797</v>
      </c>
      <c r="G771" s="37">
        <f>Inputs!$D$26*(1+Inputs!$D$41*(B771-Inputs!$D$42))</f>
        <v>1.3800000000000001</v>
      </c>
      <c r="H771" s="35">
        <f>Inputs!$D$6*Inputs!$D$14*G771*Inputs!$D$29</f>
        <v>1733.8734000000004</v>
      </c>
      <c r="I771" s="36">
        <f>H771/(A771*Inputs!$D$32)</f>
        <v>0.55306966507177047</v>
      </c>
      <c r="J771" s="38">
        <f>IF(I771&gt;=1,999,I771/(Inputs!$D$32*(1-I771))*60)</f>
        <v>1.3499838305442604</v>
      </c>
      <c r="K771" s="37">
        <f>MIN(1,MAX(0,(J771-Inputs!$D$36)/(Inputs!$D$37-Inputs!$D$36)))</f>
        <v>0</v>
      </c>
      <c r="L771" s="35">
        <f>Inputs!$D$6*Inputs!$D$14*G771*(1-Inputs!$D$38*K771)</f>
        <v>11559.156000000003</v>
      </c>
      <c r="M771" s="39">
        <f>L771*Inputs!$D$11</f>
        <v>248521.85400000005</v>
      </c>
      <c r="N771" s="39">
        <f>M771*(1-Inputs!$D$17)</f>
        <v>86982.648900000015</v>
      </c>
      <c r="O771" s="35">
        <f>Inputs!$D$6*E771*Inputs!$D$27*Inputs!$D$30</f>
        <v>529.8342241362717</v>
      </c>
      <c r="P771" s="36">
        <f>O771/(C771*Inputs!$D$33)</f>
        <v>0.33963732316427675</v>
      </c>
      <c r="Q771" s="38">
        <f>IF(P771&gt;=1,999,P771/(Inputs!$D$33*(1-P771))*60)</f>
        <v>0.77147907145144612</v>
      </c>
      <c r="R771" s="37">
        <f>MIN(1,MAX(0,(Q771-Inputs!$D$36)/(Inputs!$D$37-Inputs!$D$36)))</f>
        <v>0</v>
      </c>
      <c r="S771" s="35">
        <f>Inputs!$D$6*E771*Inputs!$D$27*(1-Inputs!$D$38*R771)</f>
        <v>4415.2852011355981</v>
      </c>
      <c r="T771" s="39">
        <f>S771*Inputs!$D$12</f>
        <v>70644.563218169569</v>
      </c>
      <c r="U771" s="39">
        <f>T771*(1-Inputs!$D$18)</f>
        <v>31790.053448176302</v>
      </c>
      <c r="V771" s="35">
        <f>Inputs!$D$6*F771*Inputs!$D$28*Inputs!$D$31</f>
        <v>578.5958319897461</v>
      </c>
      <c r="W771" s="36">
        <f>V771/(B771*Inputs!$D$34)</f>
        <v>1.3776091237851098</v>
      </c>
      <c r="X771" s="38">
        <f>IF(W771&gt;=1,999,W771/(Inputs!$D$34*(1-W771))*60)</f>
        <v>999</v>
      </c>
      <c r="Y771" s="37">
        <f>MIN(1,MAX(0,(X771-Inputs!$D$36)/(Inputs!$D$37-Inputs!$D$36)))</f>
        <v>1</v>
      </c>
      <c r="Z771" s="35">
        <f>Inputs!$D$6*F771*Inputs!$D$28*(1-Inputs!$D$38*Y771)</f>
        <v>2447.9054430335414</v>
      </c>
      <c r="AA771" s="39">
        <f>Z771*Inputs!$D$13</f>
        <v>20807.1962657851</v>
      </c>
      <c r="AB771" s="39">
        <f>AA771*(1-Inputs!$D$19)</f>
        <v>12484.31775947106</v>
      </c>
      <c r="AC771" s="39">
        <f t="shared" si="44"/>
        <v>339973.61348395469</v>
      </c>
      <c r="AD771" s="39">
        <f t="shared" si="45"/>
        <v>131257.02010764737</v>
      </c>
      <c r="AE771" s="36">
        <f t="shared" si="46"/>
        <v>1.3776091237851098</v>
      </c>
      <c r="AF771" s="35">
        <f>IF(AND(AE771&lt;=Inputs!$D$35,C771&gt;=Inputs!$D$48*(A771+B771+C771),B771*Inputs!$D$22&lt;=Inputs!$D$50*Inputs!$D$8,B771*Inputs!$D$22&gt;=Inputs!$D$49*Inputs!$D$8,A771*Inputs!$D$20&lt;=Inputs!$D$47*Inputs!$D$8,C771&gt;=1),1,0)</f>
        <v>0</v>
      </c>
      <c r="AG771" s="39">
        <f t="shared" si="47"/>
        <v>-1</v>
      </c>
    </row>
    <row r="772" spans="1:33" x14ac:dyDescent="0.25">
      <c r="A772" s="35">
        <v>57</v>
      </c>
      <c r="B772" s="35">
        <v>13</v>
      </c>
      <c r="C772" s="35">
        <f>Inputs!$D$8-A772-Inputs!$D$22*B772</f>
        <v>37</v>
      </c>
      <c r="D772" s="35">
        <f>A772*Inputs!$D$20+C772*Inputs!$D$21+B772*Inputs!$D$22</f>
        <v>120</v>
      </c>
      <c r="E772" s="36">
        <f>MIN(Inputs!$E$15,Inputs!$D$15*(C772/Inputs!$D$43)^Inputs!$D$44)</f>
        <v>0.36556269939951974</v>
      </c>
      <c r="F772" s="36">
        <f>MIN(Inputs!$E$16,Inputs!$D$16*(B772/Inputs!$D$42)^Inputs!$D$44)</f>
        <v>0.35150701637190523</v>
      </c>
      <c r="G772" s="37">
        <f>Inputs!$D$26*(1+Inputs!$D$41*(B772-Inputs!$D$42))</f>
        <v>1.395</v>
      </c>
      <c r="H772" s="35">
        <f>Inputs!$D$6*Inputs!$D$14*G772*Inputs!$D$29</f>
        <v>1752.7198500000002</v>
      </c>
      <c r="I772" s="36">
        <f>H772/(A772*Inputs!$D$32)</f>
        <v>0.55908129186602873</v>
      </c>
      <c r="J772" s="38">
        <f>IF(I772&gt;=1,999,I772/(Inputs!$D$32*(1-I772))*60)</f>
        <v>1.3832637459069483</v>
      </c>
      <c r="K772" s="37">
        <f>MIN(1,MAX(0,(J772-Inputs!$D$36)/(Inputs!$D$37-Inputs!$D$36)))</f>
        <v>0</v>
      </c>
      <c r="L772" s="35">
        <f>Inputs!$D$6*Inputs!$D$14*G772*(1-Inputs!$D$38*K772)</f>
        <v>11684.799000000001</v>
      </c>
      <c r="M772" s="39">
        <f>L772*Inputs!$D$11</f>
        <v>251223.17850000001</v>
      </c>
      <c r="N772" s="39">
        <f>M772*(1-Inputs!$D$17)</f>
        <v>87928.112475000002</v>
      </c>
      <c r="O772" s="35">
        <f>Inputs!$D$6*E772*Inputs!$D$27*Inputs!$D$30</f>
        <v>521.5322184745213</v>
      </c>
      <c r="P772" s="36">
        <f>O772/(C772*Inputs!$D$33)</f>
        <v>0.35238663410440629</v>
      </c>
      <c r="Q772" s="38">
        <f>IF(P772&gt;=1,999,P772/(Inputs!$D$33*(1-P772))*60)</f>
        <v>0.81619679116046151</v>
      </c>
      <c r="R772" s="37">
        <f>MIN(1,MAX(0,(Q772-Inputs!$D$36)/(Inputs!$D$37-Inputs!$D$36)))</f>
        <v>0</v>
      </c>
      <c r="S772" s="35">
        <f>Inputs!$D$6*E772*Inputs!$D$27*(1-Inputs!$D$38*R772)</f>
        <v>4346.101820621011</v>
      </c>
      <c r="T772" s="39">
        <f>S772*Inputs!$D$12</f>
        <v>69537.629129936176</v>
      </c>
      <c r="U772" s="39">
        <f>T772*(1-Inputs!$D$18)</f>
        <v>31291.933108471276</v>
      </c>
      <c r="V772" s="35">
        <f>Inputs!$D$6*F772*Inputs!$D$28*Inputs!$D$31</f>
        <v>592.65770193981814</v>
      </c>
      <c r="W772" s="36">
        <f>V772/(B772*Inputs!$D$34)</f>
        <v>1.3025443998677322</v>
      </c>
      <c r="X772" s="38">
        <f>IF(W772&gt;=1,999,W772/(Inputs!$D$34*(1-W772))*60)</f>
        <v>999</v>
      </c>
      <c r="Y772" s="37">
        <f>MIN(1,MAX(0,(X772-Inputs!$D$36)/(Inputs!$D$37-Inputs!$D$36)))</f>
        <v>1</v>
      </c>
      <c r="Z772" s="35">
        <f>Inputs!$D$6*F772*Inputs!$D$28*(1-Inputs!$D$38*Y772)</f>
        <v>2507.3979697453847</v>
      </c>
      <c r="AA772" s="39">
        <f>Z772*Inputs!$D$13</f>
        <v>21312.882742835769</v>
      </c>
      <c r="AB772" s="39">
        <f>AA772*(1-Inputs!$D$19)</f>
        <v>12787.729645701462</v>
      </c>
      <c r="AC772" s="39">
        <f t="shared" si="44"/>
        <v>342073.69037277199</v>
      </c>
      <c r="AD772" s="39">
        <f t="shared" si="45"/>
        <v>132007.77522917275</v>
      </c>
      <c r="AE772" s="36">
        <f t="shared" si="46"/>
        <v>1.3025443998677322</v>
      </c>
      <c r="AF772" s="35">
        <f>IF(AND(AE772&lt;=Inputs!$D$35,C772&gt;=Inputs!$D$48*(A772+B772+C772),B772*Inputs!$D$22&lt;=Inputs!$D$50*Inputs!$D$8,B772*Inputs!$D$22&gt;=Inputs!$D$49*Inputs!$D$8,A772*Inputs!$D$20&lt;=Inputs!$D$47*Inputs!$D$8,C772&gt;=1),1,0)</f>
        <v>0</v>
      </c>
      <c r="AG772" s="39">
        <f t="shared" si="47"/>
        <v>-1</v>
      </c>
    </row>
    <row r="773" spans="1:33" x14ac:dyDescent="0.25">
      <c r="A773" s="35">
        <v>57</v>
      </c>
      <c r="B773" s="35">
        <v>14</v>
      </c>
      <c r="C773" s="35">
        <f>Inputs!$D$8-A773-Inputs!$D$22*B773</f>
        <v>35</v>
      </c>
      <c r="D773" s="35">
        <f>A773*Inputs!$D$20+C773*Inputs!$D$21+B773*Inputs!$D$22</f>
        <v>120</v>
      </c>
      <c r="E773" s="36">
        <f>MIN(Inputs!$E$15,Inputs!$D$15*(C773/Inputs!$D$43)^Inputs!$D$44)</f>
        <v>0.3595189375764975</v>
      </c>
      <c r="F773" s="36">
        <f>MIN(Inputs!$E$16,Inputs!$D$16*(B773/Inputs!$D$42)^Inputs!$D$44)</f>
        <v>0.35940937671625589</v>
      </c>
      <c r="G773" s="37">
        <f>Inputs!$D$26*(1+Inputs!$D$41*(B773-Inputs!$D$42))</f>
        <v>1.41</v>
      </c>
      <c r="H773" s="35">
        <f>Inputs!$D$6*Inputs!$D$14*G773*Inputs!$D$29</f>
        <v>1771.5663000000002</v>
      </c>
      <c r="I773" s="36">
        <f>H773/(A773*Inputs!$D$32)</f>
        <v>0.5650929186602871</v>
      </c>
      <c r="J773" s="38">
        <f>IF(I773&gt;=1,999,I773/(Inputs!$D$32*(1-I773))*60)</f>
        <v>1.4174637034556079</v>
      </c>
      <c r="K773" s="37">
        <f>MIN(1,MAX(0,(J773-Inputs!$D$36)/(Inputs!$D$37-Inputs!$D$36)))</f>
        <v>0</v>
      </c>
      <c r="L773" s="35">
        <f>Inputs!$D$6*Inputs!$D$14*G773*(1-Inputs!$D$38*K773)</f>
        <v>11810.442000000001</v>
      </c>
      <c r="M773" s="39">
        <f>L773*Inputs!$D$11</f>
        <v>253924.50300000003</v>
      </c>
      <c r="N773" s="39">
        <f>M773*(1-Inputs!$D$17)</f>
        <v>88873.576050000003</v>
      </c>
      <c r="O773" s="35">
        <f>Inputs!$D$6*E773*Inputs!$D$27*Inputs!$D$30</f>
        <v>512.90984940713565</v>
      </c>
      <c r="P773" s="36">
        <f>O773/(C773*Inputs!$D$33)</f>
        <v>0.36636417814795402</v>
      </c>
      <c r="Q773" s="38">
        <f>IF(P773&gt;=1,999,P773/(Inputs!$D$33*(1-P773))*60)</f>
        <v>0.86729040289368331</v>
      </c>
      <c r="R773" s="37">
        <f>MIN(1,MAX(0,(Q773-Inputs!$D$36)/(Inputs!$D$37-Inputs!$D$36)))</f>
        <v>0</v>
      </c>
      <c r="S773" s="35">
        <f>Inputs!$D$6*E773*Inputs!$D$27*(1-Inputs!$D$38*R773)</f>
        <v>4274.2487450594635</v>
      </c>
      <c r="T773" s="39">
        <f>S773*Inputs!$D$12</f>
        <v>68387.979920951417</v>
      </c>
      <c r="U773" s="39">
        <f>T773*(1-Inputs!$D$18)</f>
        <v>30774.590964428135</v>
      </c>
      <c r="V773" s="35">
        <f>Inputs!$D$6*F773*Inputs!$D$28*Inputs!$D$31</f>
        <v>605.98146079368973</v>
      </c>
      <c r="W773" s="36">
        <f>V773/(B773*Inputs!$D$34)</f>
        <v>1.2366968587626321</v>
      </c>
      <c r="X773" s="38">
        <f>IF(W773&gt;=1,999,W773/(Inputs!$D$34*(1-W773))*60)</f>
        <v>999</v>
      </c>
      <c r="Y773" s="37">
        <f>MIN(1,MAX(0,(X773-Inputs!$D$36)/(Inputs!$D$37-Inputs!$D$36)))</f>
        <v>1</v>
      </c>
      <c r="Z773" s="35">
        <f>Inputs!$D$6*F773*Inputs!$D$28*(1-Inputs!$D$38*Y773)</f>
        <v>2563.7677187425338</v>
      </c>
      <c r="AA773" s="39">
        <f>Z773*Inputs!$D$13</f>
        <v>21792.025609311539</v>
      </c>
      <c r="AB773" s="39">
        <f>AA773*(1-Inputs!$D$19)</f>
        <v>13075.215365586922</v>
      </c>
      <c r="AC773" s="39">
        <f t="shared" ref="AC773:AC836" si="48">M773+T773+AA773</f>
        <v>344104.50853026297</v>
      </c>
      <c r="AD773" s="39">
        <f t="shared" ref="AD773:AD836" si="49">N773+U773+AB773</f>
        <v>132723.38238001507</v>
      </c>
      <c r="AE773" s="36">
        <f t="shared" ref="AE773:AE836" si="50">MAX(I773,P773,W773)</f>
        <v>1.2366968587626321</v>
      </c>
      <c r="AF773" s="35">
        <f>IF(AND(AE773&lt;=Inputs!$D$35,C773&gt;=Inputs!$D$48*(A773+B773+C773),B773*Inputs!$D$22&lt;=Inputs!$D$50*Inputs!$D$8,B773*Inputs!$D$22&gt;=Inputs!$D$49*Inputs!$D$8,A773*Inputs!$D$20&lt;=Inputs!$D$47*Inputs!$D$8,C773&gt;=1),1,0)</f>
        <v>0</v>
      </c>
      <c r="AG773" s="39">
        <f t="shared" ref="AG773:AG836" si="51">IF(AF773=1,AD773,-1)</f>
        <v>-1</v>
      </c>
    </row>
    <row r="774" spans="1:33" x14ac:dyDescent="0.25">
      <c r="A774" s="35">
        <v>57</v>
      </c>
      <c r="B774" s="35">
        <v>15</v>
      </c>
      <c r="C774" s="35">
        <f>Inputs!$D$8-A774-Inputs!$D$22*B774</f>
        <v>33</v>
      </c>
      <c r="D774" s="35">
        <f>A774*Inputs!$D$20+C774*Inputs!$D$21+B774*Inputs!$D$22</f>
        <v>120</v>
      </c>
      <c r="E774" s="36">
        <f>MIN(Inputs!$E$15,Inputs!$D$15*(C774/Inputs!$D$43)^Inputs!$D$44)</f>
        <v>0.35322833999035824</v>
      </c>
      <c r="F774" s="36">
        <f>MIN(Inputs!$E$16,Inputs!$D$16*(B774/Inputs!$D$42)^Inputs!$D$44)</f>
        <v>0.36692590185696072</v>
      </c>
      <c r="G774" s="37">
        <f>Inputs!$D$26*(1+Inputs!$D$41*(B774-Inputs!$D$42))</f>
        <v>1.4249999999999998</v>
      </c>
      <c r="H774" s="35">
        <f>Inputs!$D$6*Inputs!$D$14*G774*Inputs!$D$29</f>
        <v>1790.4127499999997</v>
      </c>
      <c r="I774" s="36">
        <f>H774/(A774*Inputs!$D$32)</f>
        <v>0.57110454545454536</v>
      </c>
      <c r="J774" s="38">
        <f>IF(I774&gt;=1,999,I774/(Inputs!$D$32*(1-I774))*60)</f>
        <v>1.4526223905920161</v>
      </c>
      <c r="K774" s="37">
        <f>MIN(1,MAX(0,(J774-Inputs!$D$36)/(Inputs!$D$37-Inputs!$D$36)))</f>
        <v>0</v>
      </c>
      <c r="L774" s="35">
        <f>Inputs!$D$6*Inputs!$D$14*G774*(1-Inputs!$D$38*K774)</f>
        <v>11936.084999999999</v>
      </c>
      <c r="M774" s="39">
        <f>L774*Inputs!$D$11</f>
        <v>256625.82749999998</v>
      </c>
      <c r="N774" s="39">
        <f>M774*(1-Inputs!$D$17)</f>
        <v>89819.03962499999</v>
      </c>
      <c r="O774" s="35">
        <f>Inputs!$D$6*E774*Inputs!$D$27*Inputs!$D$30</f>
        <v>503.93533061728459</v>
      </c>
      <c r="P774" s="36">
        <f>O774/(C774*Inputs!$D$33)</f>
        <v>0.38176918986157926</v>
      </c>
      <c r="Q774" s="38">
        <f>IF(P774&gt;=1,999,P774/(Inputs!$D$33*(1-P774))*60)</f>
        <v>0.92627830156855617</v>
      </c>
      <c r="R774" s="37">
        <f>MIN(1,MAX(0,(Q774-Inputs!$D$36)/(Inputs!$D$37-Inputs!$D$36)))</f>
        <v>0</v>
      </c>
      <c r="S774" s="35">
        <f>Inputs!$D$6*E774*Inputs!$D$27*(1-Inputs!$D$38*R774)</f>
        <v>4199.461088477372</v>
      </c>
      <c r="T774" s="39">
        <f>S774*Inputs!$D$12</f>
        <v>67191.377415637951</v>
      </c>
      <c r="U774" s="39">
        <f>T774*(1-Inputs!$D$18)</f>
        <v>30236.119837037077</v>
      </c>
      <c r="V774" s="35">
        <f>Inputs!$D$6*F774*Inputs!$D$28*Inputs!$D$31</f>
        <v>618.65468297412497</v>
      </c>
      <c r="W774" s="36">
        <f>V774/(B774*Inputs!$D$34)</f>
        <v>1.1783898723316666</v>
      </c>
      <c r="X774" s="38">
        <f>IF(W774&gt;=1,999,W774/(Inputs!$D$34*(1-W774))*60)</f>
        <v>999</v>
      </c>
      <c r="Y774" s="37">
        <f>MIN(1,MAX(0,(X774-Inputs!$D$36)/(Inputs!$D$37-Inputs!$D$36)))</f>
        <v>1</v>
      </c>
      <c r="Z774" s="35">
        <f>Inputs!$D$6*F774*Inputs!$D$28*(1-Inputs!$D$38*Y774)</f>
        <v>2617.3851971982212</v>
      </c>
      <c r="AA774" s="39">
        <f>Z774*Inputs!$D$13</f>
        <v>22247.774176184881</v>
      </c>
      <c r="AB774" s="39">
        <f>AA774*(1-Inputs!$D$19)</f>
        <v>13348.664505710929</v>
      </c>
      <c r="AC774" s="39">
        <f t="shared" si="48"/>
        <v>346064.97909182287</v>
      </c>
      <c r="AD774" s="39">
        <f t="shared" si="49"/>
        <v>133403.823967748</v>
      </c>
      <c r="AE774" s="36">
        <f t="shared" si="50"/>
        <v>1.1783898723316666</v>
      </c>
      <c r="AF774" s="35">
        <f>IF(AND(AE774&lt;=Inputs!$D$35,C774&gt;=Inputs!$D$48*(A774+B774+C774),B774*Inputs!$D$22&lt;=Inputs!$D$50*Inputs!$D$8,B774*Inputs!$D$22&gt;=Inputs!$D$49*Inputs!$D$8,A774*Inputs!$D$20&lt;=Inputs!$D$47*Inputs!$D$8,C774&gt;=1),1,0)</f>
        <v>0</v>
      </c>
      <c r="AG774" s="39">
        <f t="shared" si="51"/>
        <v>-1</v>
      </c>
    </row>
    <row r="775" spans="1:33" x14ac:dyDescent="0.25">
      <c r="A775" s="35">
        <v>57</v>
      </c>
      <c r="B775" s="35">
        <v>16</v>
      </c>
      <c r="C775" s="35">
        <f>Inputs!$D$8-A775-Inputs!$D$22*B775</f>
        <v>31</v>
      </c>
      <c r="D775" s="35">
        <f>A775*Inputs!$D$20+C775*Inputs!$D$21+B775*Inputs!$D$22</f>
        <v>120</v>
      </c>
      <c r="E775" s="36">
        <f>MIN(Inputs!$E$15,Inputs!$D$15*(C775/Inputs!$D$43)^Inputs!$D$44)</f>
        <v>0.34666489615699225</v>
      </c>
      <c r="F775" s="36">
        <f>MIN(Inputs!$E$16,Inputs!$D$16*(B775/Inputs!$D$42)^Inputs!$D$44)</f>
        <v>0.37409937912904856</v>
      </c>
      <c r="G775" s="37">
        <f>Inputs!$D$26*(1+Inputs!$D$41*(B775-Inputs!$D$42))</f>
        <v>1.44</v>
      </c>
      <c r="H775" s="35">
        <f>Inputs!$D$6*Inputs!$D$14*G775*Inputs!$D$29</f>
        <v>1809.2592000000002</v>
      </c>
      <c r="I775" s="36">
        <f>H775/(A775*Inputs!$D$32)</f>
        <v>0.57711617224880385</v>
      </c>
      <c r="J775" s="38">
        <f>IF(I775&gt;=1,999,I775/(Inputs!$D$32*(1-I775))*60)</f>
        <v>1.4887806946055437</v>
      </c>
      <c r="K775" s="37">
        <f>MIN(1,MAX(0,(J775-Inputs!$D$36)/(Inputs!$D$37-Inputs!$D$36)))</f>
        <v>0</v>
      </c>
      <c r="L775" s="35">
        <f>Inputs!$D$6*Inputs!$D$14*G775*(1-Inputs!$D$38*K775)</f>
        <v>12061.728000000001</v>
      </c>
      <c r="M775" s="39">
        <f>L775*Inputs!$D$11</f>
        <v>259327.15200000003</v>
      </c>
      <c r="N775" s="39">
        <f>M775*(1-Inputs!$D$17)</f>
        <v>90764.503200000006</v>
      </c>
      <c r="O775" s="35">
        <f>Inputs!$D$6*E775*Inputs!$D$27*Inputs!$D$30</f>
        <v>494.57155409174993</v>
      </c>
      <c r="P775" s="36">
        <f>O775/(C775*Inputs!$D$33)</f>
        <v>0.39884802749334675</v>
      </c>
      <c r="Q775" s="38">
        <f>IF(P775&gt;=1,999,P775/(Inputs!$D$33*(1-P775))*60)</f>
        <v>0.9952093124561755</v>
      </c>
      <c r="R775" s="37">
        <f>MIN(1,MAX(0,(Q775-Inputs!$D$36)/(Inputs!$D$37-Inputs!$D$36)))</f>
        <v>0</v>
      </c>
      <c r="S775" s="35">
        <f>Inputs!$D$6*E775*Inputs!$D$27*(1-Inputs!$D$38*R775)</f>
        <v>4121.4296174312494</v>
      </c>
      <c r="T775" s="39">
        <f>S775*Inputs!$D$12</f>
        <v>65942.873878899991</v>
      </c>
      <c r="U775" s="39">
        <f>T775*(1-Inputs!$D$18)</f>
        <v>29674.293245504992</v>
      </c>
      <c r="V775" s="35">
        <f>Inputs!$D$6*F775*Inputs!$D$28*Inputs!$D$31</f>
        <v>630.74950998177405</v>
      </c>
      <c r="W775" s="36">
        <f>V775/(B775*Inputs!$D$34)</f>
        <v>1.1263384106817393</v>
      </c>
      <c r="X775" s="38">
        <f>IF(W775&gt;=1,999,W775/(Inputs!$D$34*(1-W775))*60)</f>
        <v>999</v>
      </c>
      <c r="Y775" s="37">
        <f>MIN(1,MAX(0,(X775-Inputs!$D$36)/(Inputs!$D$37-Inputs!$D$36)))</f>
        <v>1</v>
      </c>
      <c r="Z775" s="35">
        <f>Inputs!$D$6*F775*Inputs!$D$28*(1-Inputs!$D$38*Y775)</f>
        <v>2668.5556191536598</v>
      </c>
      <c r="AA775" s="39">
        <f>Z775*Inputs!$D$13</f>
        <v>22682.722762806108</v>
      </c>
      <c r="AB775" s="39">
        <f>AA775*(1-Inputs!$D$19)</f>
        <v>13609.633657683664</v>
      </c>
      <c r="AC775" s="39">
        <f t="shared" si="48"/>
        <v>347952.74864170613</v>
      </c>
      <c r="AD775" s="39">
        <f t="shared" si="49"/>
        <v>134048.43010318867</v>
      </c>
      <c r="AE775" s="36">
        <f t="shared" si="50"/>
        <v>1.1263384106817393</v>
      </c>
      <c r="AF775" s="35">
        <f>IF(AND(AE775&lt;=Inputs!$D$35,C775&gt;=Inputs!$D$48*(A775+B775+C775),B775*Inputs!$D$22&lt;=Inputs!$D$50*Inputs!$D$8,B775*Inputs!$D$22&gt;=Inputs!$D$49*Inputs!$D$8,A775*Inputs!$D$20&lt;=Inputs!$D$47*Inputs!$D$8,C775&gt;=1),1,0)</f>
        <v>0</v>
      </c>
      <c r="AG775" s="39">
        <f t="shared" si="51"/>
        <v>-1</v>
      </c>
    </row>
    <row r="776" spans="1:33" x14ac:dyDescent="0.25">
      <c r="A776" s="35">
        <v>57</v>
      </c>
      <c r="B776" s="35">
        <v>17</v>
      </c>
      <c r="C776" s="35">
        <f>Inputs!$D$8-A776-Inputs!$D$22*B776</f>
        <v>29</v>
      </c>
      <c r="D776" s="35">
        <f>A776*Inputs!$D$20+C776*Inputs!$D$21+B776*Inputs!$D$22</f>
        <v>120</v>
      </c>
      <c r="E776" s="36">
        <f>MIN(Inputs!$E$15,Inputs!$D$15*(C776/Inputs!$D$43)^Inputs!$D$44)</f>
        <v>0.33979795258455459</v>
      </c>
      <c r="F776" s="36">
        <f>MIN(Inputs!$E$16,Inputs!$D$16*(B776/Inputs!$D$42)^Inputs!$D$44)</f>
        <v>0.3809655184437048</v>
      </c>
      <c r="G776" s="37">
        <f>Inputs!$D$26*(1+Inputs!$D$41*(B776-Inputs!$D$42))</f>
        <v>1.4550000000000001</v>
      </c>
      <c r="H776" s="35">
        <f>Inputs!$D$6*Inputs!$D$14*G776*Inputs!$D$29</f>
        <v>1828.1056500000002</v>
      </c>
      <c r="I776" s="36">
        <f>H776/(A776*Inputs!$D$32)</f>
        <v>0.58312779904306222</v>
      </c>
      <c r="J776" s="38">
        <f>IF(I776&gt;=1,999,I776/(Inputs!$D$32*(1-I776))*60)</f>
        <v>1.5259818612937404</v>
      </c>
      <c r="K776" s="37">
        <f>MIN(1,MAX(0,(J776-Inputs!$D$36)/(Inputs!$D$37-Inputs!$D$36)))</f>
        <v>0</v>
      </c>
      <c r="L776" s="35">
        <f>Inputs!$D$6*Inputs!$D$14*G776*(1-Inputs!$D$38*K776)</f>
        <v>12187.371000000001</v>
      </c>
      <c r="M776" s="39">
        <f>L776*Inputs!$D$11</f>
        <v>262028.47650000002</v>
      </c>
      <c r="N776" s="39">
        <f>M776*(1-Inputs!$D$17)</f>
        <v>91709.966775000008</v>
      </c>
      <c r="O776" s="35">
        <f>Inputs!$D$6*E776*Inputs!$D$27*Inputs!$D$30</f>
        <v>484.77478784247035</v>
      </c>
      <c r="P776" s="36">
        <f>O776/(C776*Inputs!$D$33)</f>
        <v>0.41790929986419856</v>
      </c>
      <c r="Q776" s="38">
        <f>IF(P776&gt;=1,999,P776/(Inputs!$D$33*(1-P776))*60)</f>
        <v>1.0769179951681944</v>
      </c>
      <c r="R776" s="37">
        <f>MIN(1,MAX(0,(Q776-Inputs!$D$36)/(Inputs!$D$37-Inputs!$D$36)))</f>
        <v>0</v>
      </c>
      <c r="S776" s="35">
        <f>Inputs!$D$6*E776*Inputs!$D$27*(1-Inputs!$D$38*R776)</f>
        <v>4039.7898986872528</v>
      </c>
      <c r="T776" s="39">
        <f>S776*Inputs!$D$12</f>
        <v>64636.638378996046</v>
      </c>
      <c r="U776" s="39">
        <f>T776*(1-Inputs!$D$18)</f>
        <v>29086.487270548219</v>
      </c>
      <c r="V776" s="35">
        <f>Inputs!$D$6*F776*Inputs!$D$28*Inputs!$D$31</f>
        <v>642.32615044097156</v>
      </c>
      <c r="W776" s="36">
        <f>V776/(B776*Inputs!$D$34)</f>
        <v>1.0795397486402882</v>
      </c>
      <c r="X776" s="38">
        <f>IF(W776&gt;=1,999,W776/(Inputs!$D$34*(1-W776))*60)</f>
        <v>999</v>
      </c>
      <c r="Y776" s="37">
        <f>MIN(1,MAX(0,(X776-Inputs!$D$36)/(Inputs!$D$37-Inputs!$D$36)))</f>
        <v>1</v>
      </c>
      <c r="Z776" s="35">
        <f>Inputs!$D$6*F776*Inputs!$D$28*(1-Inputs!$D$38*Y776)</f>
        <v>2717.5337134041106</v>
      </c>
      <c r="AA776" s="39">
        <f>Z776*Inputs!$D$13</f>
        <v>23099.03656393494</v>
      </c>
      <c r="AB776" s="39">
        <f>AA776*(1-Inputs!$D$19)</f>
        <v>13859.421938360963</v>
      </c>
      <c r="AC776" s="39">
        <f t="shared" si="48"/>
        <v>349764.15144293098</v>
      </c>
      <c r="AD776" s="39">
        <f t="shared" si="49"/>
        <v>134655.87598390918</v>
      </c>
      <c r="AE776" s="36">
        <f t="shared" si="50"/>
        <v>1.0795397486402882</v>
      </c>
      <c r="AF776" s="35">
        <f>IF(AND(AE776&lt;=Inputs!$D$35,C776&gt;=Inputs!$D$48*(A776+B776+C776),B776*Inputs!$D$22&lt;=Inputs!$D$50*Inputs!$D$8,B776*Inputs!$D$22&gt;=Inputs!$D$49*Inputs!$D$8,A776*Inputs!$D$20&lt;=Inputs!$D$47*Inputs!$D$8,C776&gt;=1),1,0)</f>
        <v>0</v>
      </c>
      <c r="AG776" s="39">
        <f t="shared" si="51"/>
        <v>-1</v>
      </c>
    </row>
    <row r="777" spans="1:33" x14ac:dyDescent="0.25">
      <c r="A777" s="35">
        <v>57</v>
      </c>
      <c r="B777" s="35">
        <v>18</v>
      </c>
      <c r="C777" s="35">
        <f>Inputs!$D$8-A777-Inputs!$D$22*B777</f>
        <v>27</v>
      </c>
      <c r="D777" s="35">
        <f>A777*Inputs!$D$20+C777*Inputs!$D$21+B777*Inputs!$D$22</f>
        <v>120</v>
      </c>
      <c r="E777" s="36">
        <f>MIN(Inputs!$E$15,Inputs!$D$15*(C777/Inputs!$D$43)^Inputs!$D$44)</f>
        <v>0.33259099594532748</v>
      </c>
      <c r="F777" s="36">
        <f>MIN(Inputs!$E$16,Inputs!$D$16*(B777/Inputs!$D$42)^Inputs!$D$44)</f>
        <v>0.38755446447890535</v>
      </c>
      <c r="G777" s="37">
        <f>Inputs!$D$26*(1+Inputs!$D$41*(B777-Inputs!$D$42))</f>
        <v>1.47</v>
      </c>
      <c r="H777" s="35">
        <f>Inputs!$D$6*Inputs!$D$14*G777*Inputs!$D$29</f>
        <v>1846.9521</v>
      </c>
      <c r="I777" s="36">
        <f>H777/(A777*Inputs!$D$32)</f>
        <v>0.5891394258373206</v>
      </c>
      <c r="J777" s="38">
        <f>IF(I777&gt;=1,999,I777/(Inputs!$D$32*(1-I777))*60)</f>
        <v>1.5642716675083561</v>
      </c>
      <c r="K777" s="37">
        <f>MIN(1,MAX(0,(J777-Inputs!$D$36)/(Inputs!$D$37-Inputs!$D$36)))</f>
        <v>0</v>
      </c>
      <c r="L777" s="35">
        <f>Inputs!$D$6*Inputs!$D$14*G777*(1-Inputs!$D$38*K777)</f>
        <v>12313.014000000001</v>
      </c>
      <c r="M777" s="39">
        <f>L777*Inputs!$D$11</f>
        <v>264729.80100000004</v>
      </c>
      <c r="N777" s="39">
        <f>M777*(1-Inputs!$D$17)</f>
        <v>92655.43035000001</v>
      </c>
      <c r="O777" s="35">
        <f>Inputs!$D$6*E777*Inputs!$D$27*Inputs!$D$30</f>
        <v>474.49293991137716</v>
      </c>
      <c r="P777" s="36">
        <f>O777/(C777*Inputs!$D$33)</f>
        <v>0.43934531473275662</v>
      </c>
      <c r="Q777" s="38">
        <f>IF(P777&gt;=1,999,P777/(Inputs!$D$33*(1-P777))*60)</f>
        <v>1.1754436187133714</v>
      </c>
      <c r="R777" s="37">
        <f>MIN(1,MAX(0,(Q777-Inputs!$D$36)/(Inputs!$D$37-Inputs!$D$36)))</f>
        <v>0</v>
      </c>
      <c r="S777" s="35">
        <f>Inputs!$D$6*E777*Inputs!$D$27*(1-Inputs!$D$38*R777)</f>
        <v>3954.1078325948097</v>
      </c>
      <c r="T777" s="39">
        <f>S777*Inputs!$D$12</f>
        <v>63265.725321516955</v>
      </c>
      <c r="U777" s="39">
        <f>T777*(1-Inputs!$D$18)</f>
        <v>28469.576394682626</v>
      </c>
      <c r="V777" s="35">
        <f>Inputs!$D$6*F777*Inputs!$D$28*Inputs!$D$31</f>
        <v>653.43542972572936</v>
      </c>
      <c r="W777" s="36">
        <f>V777/(B777*Inputs!$D$34)</f>
        <v>1.037199094802745</v>
      </c>
      <c r="X777" s="38">
        <f>IF(W777&gt;=1,999,W777/(Inputs!$D$34*(1-W777))*60)</f>
        <v>999</v>
      </c>
      <c r="Y777" s="37">
        <f>MIN(1,MAX(0,(X777-Inputs!$D$36)/(Inputs!$D$37-Inputs!$D$36)))</f>
        <v>1</v>
      </c>
      <c r="Z777" s="35">
        <f>Inputs!$D$6*F777*Inputs!$D$28*(1-Inputs!$D$38*Y777)</f>
        <v>2764.534510378086</v>
      </c>
      <c r="AA777" s="39">
        <f>Z777*Inputs!$D$13</f>
        <v>23498.543338213731</v>
      </c>
      <c r="AB777" s="39">
        <f>AA777*(1-Inputs!$D$19)</f>
        <v>14099.126002928238</v>
      </c>
      <c r="AC777" s="39">
        <f t="shared" si="48"/>
        <v>351494.06965973077</v>
      </c>
      <c r="AD777" s="39">
        <f t="shared" si="49"/>
        <v>135224.13274761089</v>
      </c>
      <c r="AE777" s="36">
        <f t="shared" si="50"/>
        <v>1.037199094802745</v>
      </c>
      <c r="AF777" s="35">
        <f>IF(AND(AE777&lt;=Inputs!$D$35,C777&gt;=Inputs!$D$48*(A777+B777+C777),B777*Inputs!$D$22&lt;=Inputs!$D$50*Inputs!$D$8,B777*Inputs!$D$22&gt;=Inputs!$D$49*Inputs!$D$8,A777*Inputs!$D$20&lt;=Inputs!$D$47*Inputs!$D$8,C777&gt;=1),1,0)</f>
        <v>0</v>
      </c>
      <c r="AG777" s="39">
        <f t="shared" si="51"/>
        <v>-1</v>
      </c>
    </row>
    <row r="778" spans="1:33" x14ac:dyDescent="0.25">
      <c r="A778" s="35">
        <v>57</v>
      </c>
      <c r="B778" s="35">
        <v>19</v>
      </c>
      <c r="C778" s="35">
        <f>Inputs!$D$8-A778-Inputs!$D$22*B778</f>
        <v>25</v>
      </c>
      <c r="D778" s="35">
        <f>A778*Inputs!$D$20+C778*Inputs!$D$21+B778*Inputs!$D$22</f>
        <v>120</v>
      </c>
      <c r="E778" s="36">
        <f>MIN(Inputs!$E$15,Inputs!$D$15*(C778/Inputs!$D$43)^Inputs!$D$44)</f>
        <v>0.32500000000000001</v>
      </c>
      <c r="F778" s="36">
        <f>MIN(Inputs!$E$16,Inputs!$D$16*(B778/Inputs!$D$42)^Inputs!$D$44)</f>
        <v>0.39389192072703005</v>
      </c>
      <c r="G778" s="37">
        <f>Inputs!$D$26*(1+Inputs!$D$41*(B778-Inputs!$D$42))</f>
        <v>1.4849999999999999</v>
      </c>
      <c r="H778" s="35">
        <f>Inputs!$D$6*Inputs!$D$14*G778*Inputs!$D$29</f>
        <v>1865.7985499999998</v>
      </c>
      <c r="I778" s="36">
        <f>H778/(A778*Inputs!$D$32)</f>
        <v>0.59515105263157886</v>
      </c>
      <c r="J778" s="38">
        <f>IF(I778&gt;=1,999,I778/(Inputs!$D$32*(1-I778))*60)</f>
        <v>1.6036986090742325</v>
      </c>
      <c r="K778" s="37">
        <f>MIN(1,MAX(0,(J778-Inputs!$D$36)/(Inputs!$D$37-Inputs!$D$36)))</f>
        <v>0</v>
      </c>
      <c r="L778" s="35">
        <f>Inputs!$D$6*Inputs!$D$14*G778*(1-Inputs!$D$38*K778)</f>
        <v>12438.656999999999</v>
      </c>
      <c r="M778" s="39">
        <f>L778*Inputs!$D$11</f>
        <v>267431.12549999997</v>
      </c>
      <c r="N778" s="39">
        <f>M778*(1-Inputs!$D$17)</f>
        <v>93600.893924999982</v>
      </c>
      <c r="O778" s="35">
        <f>Inputs!$D$6*E778*Inputs!$D$27*Inputs!$D$30</f>
        <v>463.66320000000002</v>
      </c>
      <c r="P778" s="36">
        <f>O778/(C778*Inputs!$D$33)</f>
        <v>0.4636632</v>
      </c>
      <c r="Q778" s="38">
        <f>IF(P778&gt;=1,999,P778/(Inputs!$D$33*(1-P778))*60)</f>
        <v>1.296750101801704</v>
      </c>
      <c r="R778" s="37">
        <f>MIN(1,MAX(0,(Q778-Inputs!$D$36)/(Inputs!$D$37-Inputs!$D$36)))</f>
        <v>0</v>
      </c>
      <c r="S778" s="35">
        <f>Inputs!$D$6*E778*Inputs!$D$27*(1-Inputs!$D$38*R778)</f>
        <v>3863.86</v>
      </c>
      <c r="T778" s="39">
        <f>S778*Inputs!$D$12</f>
        <v>61821.760000000002</v>
      </c>
      <c r="U778" s="39">
        <f>T778*(1-Inputs!$D$18)</f>
        <v>27819.791999999998</v>
      </c>
      <c r="V778" s="35">
        <f>Inputs!$D$6*F778*Inputs!$D$28*Inputs!$D$31</f>
        <v>664.12068515796761</v>
      </c>
      <c r="W778" s="36">
        <f>V778/(B778*Inputs!$D$34)</f>
        <v>0.99867772204205651</v>
      </c>
      <c r="X778" s="38">
        <f>IF(W778&gt;=1,999,W778/(Inputs!$D$34*(1-W778))*60)</f>
        <v>1294.749671797274</v>
      </c>
      <c r="Y778" s="37">
        <f>MIN(1,MAX(0,(X778-Inputs!$D$36)/(Inputs!$D$37-Inputs!$D$36)))</f>
        <v>1</v>
      </c>
      <c r="Z778" s="35">
        <f>Inputs!$D$6*F778*Inputs!$D$28*(1-Inputs!$D$38*Y778)</f>
        <v>2809.7413602837091</v>
      </c>
      <c r="AA778" s="39">
        <f>Z778*Inputs!$D$13</f>
        <v>23882.801562411529</v>
      </c>
      <c r="AB778" s="39">
        <f>AA778*(1-Inputs!$D$19)</f>
        <v>14329.680937446918</v>
      </c>
      <c r="AC778" s="39">
        <f t="shared" si="48"/>
        <v>353135.68706241151</v>
      </c>
      <c r="AD778" s="39">
        <f t="shared" si="49"/>
        <v>135750.36686244691</v>
      </c>
      <c r="AE778" s="36">
        <f t="shared" si="50"/>
        <v>0.99867772204205651</v>
      </c>
      <c r="AF778" s="35">
        <f>IF(AND(AE778&lt;=Inputs!$D$35,C778&gt;=Inputs!$D$48*(A778+B778+C778),B778*Inputs!$D$22&lt;=Inputs!$D$50*Inputs!$D$8,B778*Inputs!$D$22&gt;=Inputs!$D$49*Inputs!$D$8,A778*Inputs!$D$20&lt;=Inputs!$D$47*Inputs!$D$8,C778&gt;=1),1,0)</f>
        <v>0</v>
      </c>
      <c r="AG778" s="39">
        <f t="shared" si="51"/>
        <v>-1</v>
      </c>
    </row>
    <row r="779" spans="1:33" x14ac:dyDescent="0.25">
      <c r="A779" s="35">
        <v>57</v>
      </c>
      <c r="B779" s="35">
        <v>20</v>
      </c>
      <c r="C779" s="35">
        <f>Inputs!$D$8-A779-Inputs!$D$22*B779</f>
        <v>23</v>
      </c>
      <c r="D779" s="35">
        <f>A779*Inputs!$D$20+C779*Inputs!$D$21+B779*Inputs!$D$22</f>
        <v>120</v>
      </c>
      <c r="E779" s="36">
        <f>MIN(Inputs!$E$15,Inputs!$D$15*(C779/Inputs!$D$43)^Inputs!$D$44)</f>
        <v>0.31697113078396583</v>
      </c>
      <c r="F779" s="36">
        <f>MIN(Inputs!$E$16,Inputs!$D$16*(B779/Inputs!$D$42)^Inputs!$D$44)</f>
        <v>0.4</v>
      </c>
      <c r="G779" s="37">
        <f>Inputs!$D$26*(1+Inputs!$D$41*(B779-Inputs!$D$42))</f>
        <v>1.5</v>
      </c>
      <c r="H779" s="35">
        <f>Inputs!$D$6*Inputs!$D$14*G779*Inputs!$D$29</f>
        <v>1884.645</v>
      </c>
      <c r="I779" s="36">
        <f>H779/(A779*Inputs!$D$32)</f>
        <v>0.60116267942583734</v>
      </c>
      <c r="J779" s="38">
        <f>IF(I779&gt;=1,999,I779/(Inputs!$D$32*(1-I779))*60)</f>
        <v>1.6443141057030712</v>
      </c>
      <c r="K779" s="37">
        <f>MIN(1,MAX(0,(J779-Inputs!$D$36)/(Inputs!$D$37-Inputs!$D$36)))</f>
        <v>0</v>
      </c>
      <c r="L779" s="35">
        <f>Inputs!$D$6*Inputs!$D$14*G779*(1-Inputs!$D$38*K779)</f>
        <v>12564.300000000001</v>
      </c>
      <c r="M779" s="39">
        <f>L779*Inputs!$D$11</f>
        <v>270132.45</v>
      </c>
      <c r="N779" s="39">
        <f>M779*(1-Inputs!$D$17)</f>
        <v>94546.357499999998</v>
      </c>
      <c r="O779" s="35">
        <f>Inputs!$D$6*E779*Inputs!$D$27*Inputs!$D$30</f>
        <v>452.20876555972956</v>
      </c>
      <c r="P779" s="36">
        <f>O779/(C779*Inputs!$D$33)</f>
        <v>0.49153126691274951</v>
      </c>
      <c r="Q779" s="38">
        <f>IF(P779&gt;=1,999,P779/(Inputs!$D$33*(1-P779))*60)</f>
        <v>1.4500339005950402</v>
      </c>
      <c r="R779" s="37">
        <f>MIN(1,MAX(0,(Q779-Inputs!$D$36)/(Inputs!$D$37-Inputs!$D$36)))</f>
        <v>0</v>
      </c>
      <c r="S779" s="35">
        <f>Inputs!$D$6*E779*Inputs!$D$27*(1-Inputs!$D$38*R779)</f>
        <v>3768.4063796644132</v>
      </c>
      <c r="T779" s="39">
        <f>S779*Inputs!$D$12</f>
        <v>60294.502074630611</v>
      </c>
      <c r="U779" s="39">
        <f>T779*(1-Inputs!$D$18)</f>
        <v>27132.525933583773</v>
      </c>
      <c r="V779" s="35">
        <f>Inputs!$D$6*F779*Inputs!$D$28*Inputs!$D$31</f>
        <v>674.41919999999993</v>
      </c>
      <c r="W779" s="36">
        <f>V779/(B779*Inputs!$D$34)</f>
        <v>0.96345599999999987</v>
      </c>
      <c r="X779" s="38">
        <f>IF(W779&gt;=1,999,W779/(Inputs!$D$34*(1-W779))*60)</f>
        <v>45.195896922691851</v>
      </c>
      <c r="Y779" s="37">
        <f>MIN(1,MAX(0,(X779-Inputs!$D$36)/(Inputs!$D$37-Inputs!$D$36)))</f>
        <v>1</v>
      </c>
      <c r="Z779" s="35">
        <f>Inputs!$D$6*F779*Inputs!$D$28*(1-Inputs!$D$38*Y779)</f>
        <v>2853.3119999999999</v>
      </c>
      <c r="AA779" s="39">
        <f>Z779*Inputs!$D$13</f>
        <v>24253.151999999998</v>
      </c>
      <c r="AB779" s="39">
        <f>AA779*(1-Inputs!$D$19)</f>
        <v>14551.891199999998</v>
      </c>
      <c r="AC779" s="39">
        <f t="shared" si="48"/>
        <v>354680.10407463065</v>
      </c>
      <c r="AD779" s="39">
        <f t="shared" si="49"/>
        <v>136230.77463358379</v>
      </c>
      <c r="AE779" s="36">
        <f t="shared" si="50"/>
        <v>0.96345599999999987</v>
      </c>
      <c r="AF779" s="35">
        <f>IF(AND(AE779&lt;=Inputs!$D$35,C779&gt;=Inputs!$D$48*(A779+B779+C779),B779*Inputs!$D$22&lt;=Inputs!$D$50*Inputs!$D$8,B779*Inputs!$D$22&gt;=Inputs!$D$49*Inputs!$D$8,A779*Inputs!$D$20&lt;=Inputs!$D$47*Inputs!$D$8,C779&gt;=1),1,0)</f>
        <v>0</v>
      </c>
      <c r="AG779" s="39">
        <f t="shared" si="51"/>
        <v>-1</v>
      </c>
    </row>
    <row r="780" spans="1:33" x14ac:dyDescent="0.25">
      <c r="A780" s="35">
        <v>57</v>
      </c>
      <c r="B780" s="35">
        <v>21</v>
      </c>
      <c r="C780" s="35">
        <f>Inputs!$D$8-A780-Inputs!$D$22*B780</f>
        <v>21</v>
      </c>
      <c r="D780" s="35">
        <f>A780*Inputs!$D$20+C780*Inputs!$D$21+B780*Inputs!$D$22</f>
        <v>120</v>
      </c>
      <c r="E780" s="36">
        <f>MIN(Inputs!$E$15,Inputs!$D$15*(C780/Inputs!$D$43)^Inputs!$D$44)</f>
        <v>0.30843748043226404</v>
      </c>
      <c r="F780" s="36">
        <f>MIN(Inputs!$E$16,Inputs!$D$16*(B780/Inputs!$D$42)^Inputs!$D$44)</f>
        <v>0.40589787816896217</v>
      </c>
      <c r="G780" s="37">
        <f>Inputs!$D$26*(1+Inputs!$D$41*(B780-Inputs!$D$42))</f>
        <v>1.5150000000000001</v>
      </c>
      <c r="H780" s="35">
        <f>Inputs!$D$6*Inputs!$D$14*G780*Inputs!$D$29</f>
        <v>1903.4914500000004</v>
      </c>
      <c r="I780" s="36">
        <f>H780/(A780*Inputs!$D$32)</f>
        <v>0.60717430622009583</v>
      </c>
      <c r="J780" s="38">
        <f>IF(I780&gt;=1,999,I780/(Inputs!$D$32*(1-I780))*60)</f>
        <v>1.6861727247226406</v>
      </c>
      <c r="K780" s="37">
        <f>MIN(1,MAX(0,(J780-Inputs!$D$36)/(Inputs!$D$37-Inputs!$D$36)))</f>
        <v>0</v>
      </c>
      <c r="L780" s="35">
        <f>Inputs!$D$6*Inputs!$D$14*G780*(1-Inputs!$D$38*K780)</f>
        <v>12689.943000000003</v>
      </c>
      <c r="M780" s="39">
        <f>L780*Inputs!$D$11</f>
        <v>272833.77450000006</v>
      </c>
      <c r="N780" s="39">
        <f>M780*(1-Inputs!$D$17)</f>
        <v>95491.821075000014</v>
      </c>
      <c r="O780" s="35">
        <f>Inputs!$D$6*E780*Inputs!$D$27*Inputs!$D$30</f>
        <v>440.03418208357215</v>
      </c>
      <c r="P780" s="36">
        <f>O780/(C780*Inputs!$D$33)</f>
        <v>0.52385021676615728</v>
      </c>
      <c r="Q780" s="38">
        <f>IF(P780&gt;=1,999,P780/(Inputs!$D$33*(1-P780))*60)</f>
        <v>1.6502692069132636</v>
      </c>
      <c r="R780" s="37">
        <f>MIN(1,MAX(0,(Q780-Inputs!$D$36)/(Inputs!$D$37-Inputs!$D$36)))</f>
        <v>0</v>
      </c>
      <c r="S780" s="35">
        <f>Inputs!$D$6*E780*Inputs!$D$27*(1-Inputs!$D$38*R780)</f>
        <v>3666.9515173631012</v>
      </c>
      <c r="T780" s="39">
        <f>S780*Inputs!$D$12</f>
        <v>58671.224277809619</v>
      </c>
      <c r="U780" s="39">
        <f>T780*(1-Inputs!$D$18)</f>
        <v>26402.050925014326</v>
      </c>
      <c r="V780" s="35">
        <f>Inputs!$D$6*F780*Inputs!$D$28*Inputs!$D$31</f>
        <v>684.36330569102222</v>
      </c>
      <c r="W780" s="36">
        <f>V780/(B780*Inputs!$D$34)</f>
        <v>0.93110653835513224</v>
      </c>
      <c r="X780" s="38">
        <f>IF(W780&gt;=1,999,W780/(Inputs!$D$34*(1-W780))*60)</f>
        <v>23.16885520150278</v>
      </c>
      <c r="Y780" s="37">
        <f>MIN(1,MAX(0,(X780-Inputs!$D$36)/(Inputs!$D$37-Inputs!$D$36)))</f>
        <v>1</v>
      </c>
      <c r="Z780" s="35">
        <f>Inputs!$D$6*F780*Inputs!$D$28*(1-Inputs!$D$38*Y780)</f>
        <v>2895.3832163850943</v>
      </c>
      <c r="AA780" s="39">
        <f>Z780*Inputs!$D$13</f>
        <v>24610.757339273303</v>
      </c>
      <c r="AB780" s="39">
        <f>AA780*(1-Inputs!$D$19)</f>
        <v>14766.454403563981</v>
      </c>
      <c r="AC780" s="39">
        <f t="shared" si="48"/>
        <v>356115.75611708296</v>
      </c>
      <c r="AD780" s="39">
        <f t="shared" si="49"/>
        <v>136660.32640357831</v>
      </c>
      <c r="AE780" s="36">
        <f t="shared" si="50"/>
        <v>0.93110653835513224</v>
      </c>
      <c r="AF780" s="35">
        <f>IF(AND(AE780&lt;=Inputs!$D$35,C780&gt;=Inputs!$D$48*(A780+B780+C780),B780*Inputs!$D$22&lt;=Inputs!$D$50*Inputs!$D$8,B780*Inputs!$D$22&gt;=Inputs!$D$49*Inputs!$D$8,A780*Inputs!$D$20&lt;=Inputs!$D$47*Inputs!$D$8,C780&gt;=1),1,0)</f>
        <v>0</v>
      </c>
      <c r="AG780" s="39">
        <f t="shared" si="51"/>
        <v>-1</v>
      </c>
    </row>
    <row r="781" spans="1:33" x14ac:dyDescent="0.25">
      <c r="A781" s="35">
        <v>57</v>
      </c>
      <c r="B781" s="35">
        <v>22</v>
      </c>
      <c r="C781" s="35">
        <f>Inputs!$D$8-A781-Inputs!$D$22*B781</f>
        <v>19</v>
      </c>
      <c r="D781" s="35">
        <f>A781*Inputs!$D$20+C781*Inputs!$D$21+B781*Inputs!$D$22</f>
        <v>120</v>
      </c>
      <c r="E781" s="36">
        <f>MIN(Inputs!$E$15,Inputs!$D$15*(C781/Inputs!$D$43)^Inputs!$D$44)</f>
        <v>0.29931428106923352</v>
      </c>
      <c r="F781" s="36">
        <f>MIN(Inputs!$E$16,Inputs!$D$16*(B781/Inputs!$D$42)^Inputs!$D$44)</f>
        <v>0.41160230376843804</v>
      </c>
      <c r="G781" s="37">
        <f>Inputs!$D$26*(1+Inputs!$D$41*(B781-Inputs!$D$42))</f>
        <v>1.53</v>
      </c>
      <c r="H781" s="35">
        <f>Inputs!$D$6*Inputs!$D$14*G781*Inputs!$D$29</f>
        <v>1922.3379</v>
      </c>
      <c r="I781" s="36">
        <f>H781/(A781*Inputs!$D$32)</f>
        <v>0.61318593301435409</v>
      </c>
      <c r="J781" s="38">
        <f>IF(I781&gt;=1,999,I781/(Inputs!$D$32*(1-I781))*60)</f>
        <v>1.7293324256683631</v>
      </c>
      <c r="K781" s="37">
        <f>MIN(1,MAX(0,(J781-Inputs!$D$36)/(Inputs!$D$37-Inputs!$D$36)))</f>
        <v>0</v>
      </c>
      <c r="L781" s="35">
        <f>Inputs!$D$6*Inputs!$D$14*G781*(1-Inputs!$D$38*K781)</f>
        <v>12815.586000000001</v>
      </c>
      <c r="M781" s="39">
        <f>L781*Inputs!$D$11</f>
        <v>275535.09900000005</v>
      </c>
      <c r="N781" s="39">
        <f>M781*(1-Inputs!$D$17)</f>
        <v>96437.284650000016</v>
      </c>
      <c r="O781" s="35">
        <f>Inputs!$D$6*E781*Inputs!$D$27*Inputs!$D$30</f>
        <v>427.01851497310844</v>
      </c>
      <c r="P781" s="36">
        <f>O781/(C781*Inputs!$D$33)</f>
        <v>0.56186646706987953</v>
      </c>
      <c r="Q781" s="38">
        <f>IF(P781&gt;=1,999,P781/(Inputs!$D$33*(1-P781))*60)</f>
        <v>1.9236137781292366</v>
      </c>
      <c r="R781" s="37">
        <f>MIN(1,MAX(0,(Q781-Inputs!$D$36)/(Inputs!$D$37-Inputs!$D$36)))</f>
        <v>0</v>
      </c>
      <c r="S781" s="35">
        <f>Inputs!$D$6*E781*Inputs!$D$27*(1-Inputs!$D$38*R781)</f>
        <v>3558.4876247759039</v>
      </c>
      <c r="T781" s="39">
        <f>S781*Inputs!$D$12</f>
        <v>56935.801996414462</v>
      </c>
      <c r="U781" s="39">
        <f>T781*(1-Inputs!$D$18)</f>
        <v>25621.110898386505</v>
      </c>
      <c r="V781" s="35">
        <f>Inputs!$D$6*F781*Inputs!$D$28*Inputs!$D$31</f>
        <v>693.98124106416742</v>
      </c>
      <c r="W781" s="36">
        <f>V781/(B781*Inputs!$D$34)</f>
        <v>0.90127433904437326</v>
      </c>
      <c r="X781" s="38">
        <f>IF(W781&gt;=1,999,W781/(Inputs!$D$34*(1-W781))*60)</f>
        <v>15.649849381818807</v>
      </c>
      <c r="Y781" s="37">
        <f>MIN(1,MAX(0,(X781-Inputs!$D$36)/(Inputs!$D$37-Inputs!$D$36)))</f>
        <v>0.70998995878792048</v>
      </c>
      <c r="Z781" s="35">
        <f>Inputs!$D$6*F781*Inputs!$D$28*(1-Inputs!$D$38*Y781)</f>
        <v>3632.749002537963</v>
      </c>
      <c r="AA781" s="39">
        <f>Z781*Inputs!$D$13</f>
        <v>30878.366521572687</v>
      </c>
      <c r="AB781" s="39">
        <f>AA781*(1-Inputs!$D$19)</f>
        <v>18527.019912943611</v>
      </c>
      <c r="AC781" s="39">
        <f t="shared" si="48"/>
        <v>363349.26751798717</v>
      </c>
      <c r="AD781" s="39">
        <f t="shared" si="49"/>
        <v>140585.41546133015</v>
      </c>
      <c r="AE781" s="36">
        <f t="shared" si="50"/>
        <v>0.90127433904437326</v>
      </c>
      <c r="AF781" s="35">
        <f>IF(AND(AE781&lt;=Inputs!$D$35,C781&gt;=Inputs!$D$48*(A781+B781+C781),B781*Inputs!$D$22&lt;=Inputs!$D$50*Inputs!$D$8,B781*Inputs!$D$22&gt;=Inputs!$D$49*Inputs!$D$8,A781*Inputs!$D$20&lt;=Inputs!$D$47*Inputs!$D$8,C781&gt;=1),1,0)</f>
        <v>0</v>
      </c>
      <c r="AG781" s="39">
        <f t="shared" si="51"/>
        <v>-1</v>
      </c>
    </row>
    <row r="782" spans="1:33" x14ac:dyDescent="0.25">
      <c r="A782" s="35">
        <v>57</v>
      </c>
      <c r="B782" s="35">
        <v>23</v>
      </c>
      <c r="C782" s="35">
        <f>Inputs!$D$8-A782-Inputs!$D$22*B782</f>
        <v>17</v>
      </c>
      <c r="D782" s="35">
        <f>A782*Inputs!$D$20+C782*Inputs!$D$21+B782*Inputs!$D$22</f>
        <v>120</v>
      </c>
      <c r="E782" s="36">
        <f>MIN(Inputs!$E$15,Inputs!$D$15*(C782/Inputs!$D$43)^Inputs!$D$44)</f>
        <v>0.28949164546121231</v>
      </c>
      <c r="F782" s="36">
        <f>MIN(Inputs!$E$16,Inputs!$D$16*(B782/Inputs!$D$42)^Inputs!$D$44)</f>
        <v>0.41712800028621322</v>
      </c>
      <c r="G782" s="37">
        <f>Inputs!$D$26*(1+Inputs!$D$41*(B782-Inputs!$D$42))</f>
        <v>1.5449999999999999</v>
      </c>
      <c r="H782" s="35">
        <f>Inputs!$D$6*Inputs!$D$14*G782*Inputs!$D$29</f>
        <v>1941.18435</v>
      </c>
      <c r="I782" s="36">
        <f>H782/(A782*Inputs!$D$32)</f>
        <v>0.61919755980861246</v>
      </c>
      <c r="J782" s="38">
        <f>IF(I782&gt;=1,999,I782/(Inputs!$D$32*(1-I782))*60)</f>
        <v>1.7738548280427173</v>
      </c>
      <c r="K782" s="37">
        <f>MIN(1,MAX(0,(J782-Inputs!$D$36)/(Inputs!$D$37-Inputs!$D$36)))</f>
        <v>0</v>
      </c>
      <c r="L782" s="35">
        <f>Inputs!$D$6*Inputs!$D$14*G782*(1-Inputs!$D$38*K782)</f>
        <v>12941.229000000001</v>
      </c>
      <c r="M782" s="39">
        <f>L782*Inputs!$D$11</f>
        <v>278236.42350000003</v>
      </c>
      <c r="N782" s="39">
        <f>M782*(1-Inputs!$D$17)</f>
        <v>97382.748225000003</v>
      </c>
      <c r="O782" s="35">
        <f>Inputs!$D$6*E782*Inputs!$D$27*Inputs!$D$30</f>
        <v>413.00499294711136</v>
      </c>
      <c r="P782" s="36">
        <f>O782/(C782*Inputs!$D$33)</f>
        <v>0.60736028374575202</v>
      </c>
      <c r="Q782" s="38">
        <f>IF(P782&gt;=1,999,P782/(Inputs!$D$33*(1-P782))*60)</f>
        <v>2.3202961593133828</v>
      </c>
      <c r="R782" s="37">
        <f>MIN(1,MAX(0,(Q782-Inputs!$D$36)/(Inputs!$D$37-Inputs!$D$36)))</f>
        <v>0</v>
      </c>
      <c r="S782" s="35">
        <f>Inputs!$D$6*E782*Inputs!$D$27*(1-Inputs!$D$38*R782)</f>
        <v>3441.7082745592616</v>
      </c>
      <c r="T782" s="39">
        <f>S782*Inputs!$D$12</f>
        <v>55067.332392948185</v>
      </c>
      <c r="U782" s="39">
        <f>T782*(1-Inputs!$D$18)</f>
        <v>24780.299576826681</v>
      </c>
      <c r="V782" s="35">
        <f>Inputs!$D$6*F782*Inputs!$D$28*Inputs!$D$31</f>
        <v>703.29783062656929</v>
      </c>
      <c r="W782" s="36">
        <f>V782/(B782*Inputs!$D$34)</f>
        <v>0.87366190139946498</v>
      </c>
      <c r="X782" s="38">
        <f>IF(W782&gt;=1,999,W782/(Inputs!$D$34*(1-W782))*60)</f>
        <v>11.854746377182334</v>
      </c>
      <c r="Y782" s="37">
        <f>MIN(1,MAX(0,(X782-Inputs!$D$36)/(Inputs!$D$37-Inputs!$D$36)))</f>
        <v>0.45698309181215557</v>
      </c>
      <c r="Z782" s="35">
        <f>Inputs!$D$6*F782*Inputs!$D$28*(1-Inputs!$D$38*Y782)</f>
        <v>4297.4614071503011</v>
      </c>
      <c r="AA782" s="39">
        <f>Z782*Inputs!$D$13</f>
        <v>36528.421960777559</v>
      </c>
      <c r="AB782" s="39">
        <f>AA782*(1-Inputs!$D$19)</f>
        <v>21917.053176466536</v>
      </c>
      <c r="AC782" s="39">
        <f t="shared" si="48"/>
        <v>369832.17785372579</v>
      </c>
      <c r="AD782" s="39">
        <f t="shared" si="49"/>
        <v>144080.10097829322</v>
      </c>
      <c r="AE782" s="36">
        <f t="shared" si="50"/>
        <v>0.87366190139946498</v>
      </c>
      <c r="AF782" s="35">
        <f>IF(AND(AE782&lt;=Inputs!$D$35,C782&gt;=Inputs!$D$48*(A782+B782+C782),B782*Inputs!$D$22&lt;=Inputs!$D$50*Inputs!$D$8,B782*Inputs!$D$22&gt;=Inputs!$D$49*Inputs!$D$8,A782*Inputs!$D$20&lt;=Inputs!$D$47*Inputs!$D$8,C782&gt;=1),1,0)</f>
        <v>0</v>
      </c>
      <c r="AG782" s="39">
        <f t="shared" si="51"/>
        <v>-1</v>
      </c>
    </row>
    <row r="783" spans="1:33" x14ac:dyDescent="0.25">
      <c r="A783" s="35">
        <v>57</v>
      </c>
      <c r="B783" s="35">
        <v>24</v>
      </c>
      <c r="C783" s="35">
        <f>Inputs!$D$8-A783-Inputs!$D$22*B783</f>
        <v>15</v>
      </c>
      <c r="D783" s="35">
        <f>A783*Inputs!$D$20+C783*Inputs!$D$21+B783*Inputs!$D$22</f>
        <v>120</v>
      </c>
      <c r="E783" s="36">
        <f>MIN(Inputs!$E$15,Inputs!$D$15*(C783/Inputs!$D$43)^Inputs!$D$44)</f>
        <v>0.27882309014433088</v>
      </c>
      <c r="F783" s="36">
        <f>MIN(Inputs!$E$16,Inputs!$D$16*(B783/Inputs!$D$42)^Inputs!$D$44)</f>
        <v>0.42248798737570326</v>
      </c>
      <c r="G783" s="37">
        <f>Inputs!$D$26*(1+Inputs!$D$41*(B783-Inputs!$D$42))</f>
        <v>1.56</v>
      </c>
      <c r="H783" s="35">
        <f>Inputs!$D$6*Inputs!$D$14*G783*Inputs!$D$29</f>
        <v>1960.0308</v>
      </c>
      <c r="I783" s="36">
        <f>H783/(A783*Inputs!$D$32)</f>
        <v>0.62520918660287084</v>
      </c>
      <c r="J783" s="38">
        <f>IF(I783&gt;=1,999,I783/(Inputs!$D$32*(1-I783))*60)</f>
        <v>1.8198055048437172</v>
      </c>
      <c r="K783" s="37">
        <f>MIN(1,MAX(0,(J783-Inputs!$D$36)/(Inputs!$D$37-Inputs!$D$36)))</f>
        <v>0</v>
      </c>
      <c r="L783" s="35">
        <f>Inputs!$D$6*Inputs!$D$14*G783*(1-Inputs!$D$38*K783)</f>
        <v>13066.872000000001</v>
      </c>
      <c r="M783" s="39">
        <f>L783*Inputs!$D$11</f>
        <v>280937.74800000002</v>
      </c>
      <c r="N783" s="39">
        <f>M783*(1-Inputs!$D$17)</f>
        <v>98328.211800000005</v>
      </c>
      <c r="O783" s="35">
        <f>Inputs!$D$6*E783*Inputs!$D$27*Inputs!$D$30</f>
        <v>397.78463449295054</v>
      </c>
      <c r="P783" s="36">
        <f>O783/(C783*Inputs!$D$33)</f>
        <v>0.66297439082158427</v>
      </c>
      <c r="Q783" s="38">
        <f>IF(P783&gt;=1,999,P783/(Inputs!$D$33*(1-P783))*60)</f>
        <v>2.9507003597044905</v>
      </c>
      <c r="R783" s="37">
        <f>MIN(1,MAX(0,(Q783-Inputs!$D$36)/(Inputs!$D$37-Inputs!$D$36)))</f>
        <v>0</v>
      </c>
      <c r="S783" s="35">
        <f>Inputs!$D$6*E783*Inputs!$D$27*(1-Inputs!$D$38*R783)</f>
        <v>3314.8719541079213</v>
      </c>
      <c r="T783" s="39">
        <f>S783*Inputs!$D$12</f>
        <v>53037.951265726741</v>
      </c>
      <c r="U783" s="39">
        <f>T783*(1-Inputs!$D$18)</f>
        <v>23867.07806957703</v>
      </c>
      <c r="V783" s="35">
        <f>Inputs!$D$6*F783*Inputs!$D$28*Inputs!$D$31</f>
        <v>712.33502613882979</v>
      </c>
      <c r="W783" s="36">
        <f>V783/(B783*Inputs!$D$34)</f>
        <v>0.84801788826051161</v>
      </c>
      <c r="X783" s="38">
        <f>IF(W783&gt;=1,999,W783/(Inputs!$D$34*(1-W783))*60)</f>
        <v>9.5652372155190832</v>
      </c>
      <c r="Y783" s="37">
        <f>MIN(1,MAX(0,(X783-Inputs!$D$36)/(Inputs!$D$37-Inputs!$D$36)))</f>
        <v>0.30434914770127219</v>
      </c>
      <c r="Z783" s="35">
        <f>Inputs!$D$6*F783*Inputs!$D$28*(1-Inputs!$D$38*Y783)</f>
        <v>4729.0436538571339</v>
      </c>
      <c r="AA783" s="39">
        <f>Z783*Inputs!$D$13</f>
        <v>40196.87105778564</v>
      </c>
      <c r="AB783" s="39">
        <f>AA783*(1-Inputs!$D$19)</f>
        <v>24118.122634671385</v>
      </c>
      <c r="AC783" s="39">
        <f t="shared" si="48"/>
        <v>374172.57032351242</v>
      </c>
      <c r="AD783" s="39">
        <f t="shared" si="49"/>
        <v>146313.41250424844</v>
      </c>
      <c r="AE783" s="36">
        <f t="shared" si="50"/>
        <v>0.84801788826051161</v>
      </c>
      <c r="AF783" s="35">
        <f>IF(AND(AE783&lt;=Inputs!$D$35,C783&gt;=Inputs!$D$48*(A783+B783+C783),B783*Inputs!$D$22&lt;=Inputs!$D$50*Inputs!$D$8,B783*Inputs!$D$22&gt;=Inputs!$D$49*Inputs!$D$8,A783*Inputs!$D$20&lt;=Inputs!$D$47*Inputs!$D$8,C783&gt;=1),1,0)</f>
        <v>1</v>
      </c>
      <c r="AG783" s="39">
        <f t="shared" si="51"/>
        <v>146313.41250424844</v>
      </c>
    </row>
    <row r="784" spans="1:33" x14ac:dyDescent="0.25">
      <c r="A784" s="35">
        <v>57</v>
      </c>
      <c r="B784" s="35">
        <v>25</v>
      </c>
      <c r="C784" s="35">
        <f>Inputs!$D$8-A784-Inputs!$D$22*B784</f>
        <v>13</v>
      </c>
      <c r="D784" s="35">
        <f>A784*Inputs!$D$20+C784*Inputs!$D$21+B784*Inputs!$D$22</f>
        <v>120</v>
      </c>
      <c r="E784" s="36">
        <f>MIN(Inputs!$E$15,Inputs!$D$15*(C784/Inputs!$D$43)^Inputs!$D$44)</f>
        <v>0.26710644306172537</v>
      </c>
      <c r="F784" s="36">
        <f>MIN(Inputs!$E$16,Inputs!$D$16*(B784/Inputs!$D$42)^Inputs!$D$44)</f>
        <v>0.42769383999647526</v>
      </c>
      <c r="G784" s="37">
        <f>Inputs!$D$26*(1+Inputs!$D$41*(B784-Inputs!$D$42))</f>
        <v>1.5750000000000002</v>
      </c>
      <c r="H784" s="35">
        <f>Inputs!$D$6*Inputs!$D$14*G784*Inputs!$D$29</f>
        <v>1978.8772500000005</v>
      </c>
      <c r="I784" s="36">
        <f>H784/(A784*Inputs!$D$32)</f>
        <v>0.63122081339712932</v>
      </c>
      <c r="J784" s="38">
        <f>IF(I784&gt;=1,999,I784/(Inputs!$D$32*(1-I784))*60)</f>
        <v>1.8672543048030004</v>
      </c>
      <c r="K784" s="37">
        <f>MIN(1,MAX(0,(J784-Inputs!$D$36)/(Inputs!$D$37-Inputs!$D$36)))</f>
        <v>0</v>
      </c>
      <c r="L784" s="35">
        <f>Inputs!$D$6*Inputs!$D$14*G784*(1-Inputs!$D$38*K784)</f>
        <v>13192.515000000003</v>
      </c>
      <c r="M784" s="39">
        <f>L784*Inputs!$D$11</f>
        <v>283639.07250000007</v>
      </c>
      <c r="N784" s="39">
        <f>M784*(1-Inputs!$D$17)</f>
        <v>99273.675375000021</v>
      </c>
      <c r="O784" s="35">
        <f>Inputs!$D$6*E784*Inputs!$D$27*Inputs!$D$30</f>
        <v>381.06900963266889</v>
      </c>
      <c r="P784" s="36">
        <f>O784/(C784*Inputs!$D$33)</f>
        <v>0.73282501852436321</v>
      </c>
      <c r="Q784" s="38">
        <f>IF(P784&gt;=1,999,P784/(Inputs!$D$33*(1-P784))*60)</f>
        <v>4.1142981341865736</v>
      </c>
      <c r="R784" s="37">
        <f>MIN(1,MAX(0,(Q784-Inputs!$D$36)/(Inputs!$D$37-Inputs!$D$36)))</f>
        <v>0</v>
      </c>
      <c r="S784" s="35">
        <f>Inputs!$D$6*E784*Inputs!$D$27*(1-Inputs!$D$38*R784)</f>
        <v>3175.5750802722409</v>
      </c>
      <c r="T784" s="39">
        <f>S784*Inputs!$D$12</f>
        <v>50809.201284355855</v>
      </c>
      <c r="U784" s="39">
        <f>T784*(1-Inputs!$D$18)</f>
        <v>22864.140577960134</v>
      </c>
      <c r="V784" s="35">
        <f>Inputs!$D$6*F784*Inputs!$D$28*Inputs!$D$31</f>
        <v>721.1123435383771</v>
      </c>
      <c r="W784" s="36">
        <f>V784/(B784*Inputs!$D$34)</f>
        <v>0.82412839261528814</v>
      </c>
      <c r="X784" s="38">
        <f>IF(W784&gt;=1,999,W784/(Inputs!$D$34*(1-W784))*60)</f>
        <v>8.0330847668163621</v>
      </c>
      <c r="Y784" s="37">
        <f>MIN(1,MAX(0,(X784-Inputs!$D$36)/(Inputs!$D$37-Inputs!$D$36)))</f>
        <v>0.20220565112109082</v>
      </c>
      <c r="Z784" s="35">
        <f>Inputs!$D$6*F784*Inputs!$D$28*(1-Inputs!$D$38*Y784)</f>
        <v>5042.2807508299393</v>
      </c>
      <c r="AA784" s="39">
        <f>Z784*Inputs!$D$13</f>
        <v>42859.386382054487</v>
      </c>
      <c r="AB784" s="39">
        <f>AA784*(1-Inputs!$D$19)</f>
        <v>25715.631829232691</v>
      </c>
      <c r="AC784" s="39">
        <f t="shared" si="48"/>
        <v>377307.66016641038</v>
      </c>
      <c r="AD784" s="39">
        <f t="shared" si="49"/>
        <v>147853.44778219284</v>
      </c>
      <c r="AE784" s="36">
        <f t="shared" si="50"/>
        <v>0.82412839261528814</v>
      </c>
      <c r="AF784" s="35">
        <f>IF(AND(AE784&lt;=Inputs!$D$35,C784&gt;=Inputs!$D$48*(A784+B784+C784),B784*Inputs!$D$22&lt;=Inputs!$D$50*Inputs!$D$8,B784*Inputs!$D$22&gt;=Inputs!$D$49*Inputs!$D$8,A784*Inputs!$D$20&lt;=Inputs!$D$47*Inputs!$D$8,C784&gt;=1),1,0)</f>
        <v>0</v>
      </c>
      <c r="AG784" s="39">
        <f t="shared" si="51"/>
        <v>-1</v>
      </c>
    </row>
    <row r="785" spans="1:33" x14ac:dyDescent="0.25">
      <c r="A785" s="35">
        <v>57</v>
      </c>
      <c r="B785" s="35">
        <v>26</v>
      </c>
      <c r="C785" s="35">
        <f>Inputs!$D$8-A785-Inputs!$D$22*B785</f>
        <v>11</v>
      </c>
      <c r="D785" s="35">
        <f>A785*Inputs!$D$20+C785*Inputs!$D$21+B785*Inputs!$D$22</f>
        <v>120</v>
      </c>
      <c r="E785" s="36">
        <f>MIN(Inputs!$E$15,Inputs!$D$15*(C785/Inputs!$D$43)^Inputs!$D$44)</f>
        <v>0.25404997933787238</v>
      </c>
      <c r="F785" s="36">
        <f>MIN(Inputs!$E$16,Inputs!$D$16*(B785/Inputs!$D$42)^Inputs!$D$44)</f>
        <v>0.43275589945781112</v>
      </c>
      <c r="G785" s="37">
        <f>Inputs!$D$26*(1+Inputs!$D$41*(B785-Inputs!$D$42))</f>
        <v>1.59</v>
      </c>
      <c r="H785" s="35">
        <f>Inputs!$D$6*Inputs!$D$14*G785*Inputs!$D$29</f>
        <v>1997.7237</v>
      </c>
      <c r="I785" s="36">
        <f>H785/(A785*Inputs!$D$32)</f>
        <v>0.63723244019138758</v>
      </c>
      <c r="J785" s="38">
        <f>IF(I785&gt;=1,999,I785/(Inputs!$D$32*(1-I785))*60)</f>
        <v>1.9162757066638472</v>
      </c>
      <c r="K785" s="37">
        <f>MIN(1,MAX(0,(J785-Inputs!$D$36)/(Inputs!$D$37-Inputs!$D$36)))</f>
        <v>0</v>
      </c>
      <c r="L785" s="35">
        <f>Inputs!$D$6*Inputs!$D$14*G785*(1-Inputs!$D$38*K785)</f>
        <v>13318.158000000001</v>
      </c>
      <c r="M785" s="39">
        <f>L785*Inputs!$D$11</f>
        <v>286340.39700000006</v>
      </c>
      <c r="N785" s="39">
        <f>M785*(1-Inputs!$D$17)</f>
        <v>100219.13895000001</v>
      </c>
      <c r="O785" s="35">
        <f>Inputs!$D$6*E785*Inputs!$D$27*Inputs!$D$30</f>
        <v>362.44192732225167</v>
      </c>
      <c r="P785" s="36">
        <f>O785/(C785*Inputs!$D$33)</f>
        <v>0.82373165300511741</v>
      </c>
      <c r="Q785" s="38">
        <f>IF(P785&gt;=1,999,P785/(Inputs!$D$33*(1-P785))*60)</f>
        <v>7.0097524630644434</v>
      </c>
      <c r="R785" s="37">
        <f>MIN(1,MAX(0,(Q785-Inputs!$D$36)/(Inputs!$D$37-Inputs!$D$36)))</f>
        <v>0.13398349753762956</v>
      </c>
      <c r="S785" s="35">
        <f>Inputs!$D$6*E785*Inputs!$D$27*(1-Inputs!$D$38*R785)</f>
        <v>2838.2447553136676</v>
      </c>
      <c r="T785" s="39">
        <f>S785*Inputs!$D$12</f>
        <v>45411.916085018682</v>
      </c>
      <c r="U785" s="39">
        <f>T785*(1-Inputs!$D$18)</f>
        <v>20435.362238258404</v>
      </c>
      <c r="V785" s="35">
        <f>Inputs!$D$6*F785*Inputs!$D$28*Inputs!$D$31</f>
        <v>729.64721876904355</v>
      </c>
      <c r="W785" s="36">
        <f>V785/(B785*Inputs!$D$34)</f>
        <v>0.80181013051543248</v>
      </c>
      <c r="X785" s="38">
        <f>IF(W785&gt;=1,999,W785/(Inputs!$D$34*(1-W785))*60)</f>
        <v>6.9354284146153136</v>
      </c>
      <c r="Y785" s="37">
        <f>MIN(1,MAX(0,(X785-Inputs!$D$36)/(Inputs!$D$37-Inputs!$D$36)))</f>
        <v>0.12902856097435425</v>
      </c>
      <c r="Z785" s="35">
        <f>Inputs!$D$6*F785*Inputs!$D$28*(1-Inputs!$D$38*Y785)</f>
        <v>5286.7832305655711</v>
      </c>
      <c r="AA785" s="39">
        <f>Z785*Inputs!$D$13</f>
        <v>44937.657459807357</v>
      </c>
      <c r="AB785" s="39">
        <f>AA785*(1-Inputs!$D$19)</f>
        <v>26962.594475884413</v>
      </c>
      <c r="AC785" s="39">
        <f t="shared" si="48"/>
        <v>376689.97054482606</v>
      </c>
      <c r="AD785" s="39">
        <f t="shared" si="49"/>
        <v>147617.09566414281</v>
      </c>
      <c r="AE785" s="36">
        <f t="shared" si="50"/>
        <v>0.82373165300511741</v>
      </c>
      <c r="AF785" s="35">
        <f>IF(AND(AE785&lt;=Inputs!$D$35,C785&gt;=Inputs!$D$48*(A785+B785+C785),B785*Inputs!$D$22&lt;=Inputs!$D$50*Inputs!$D$8,B785*Inputs!$D$22&gt;=Inputs!$D$49*Inputs!$D$8,A785*Inputs!$D$20&lt;=Inputs!$D$47*Inputs!$D$8,C785&gt;=1),1,0)</f>
        <v>0</v>
      </c>
      <c r="AG785" s="39">
        <f t="shared" si="51"/>
        <v>-1</v>
      </c>
    </row>
    <row r="786" spans="1:33" x14ac:dyDescent="0.25">
      <c r="A786" s="35">
        <v>57</v>
      </c>
      <c r="B786" s="35">
        <v>27</v>
      </c>
      <c r="C786" s="35">
        <f>Inputs!$D$8-A786-Inputs!$D$22*B786</f>
        <v>9</v>
      </c>
      <c r="D786" s="35">
        <f>A786*Inputs!$D$20+C786*Inputs!$D$21+B786*Inputs!$D$22</f>
        <v>120</v>
      </c>
      <c r="E786" s="36">
        <f>MIN(Inputs!$E$15,Inputs!$D$15*(C786/Inputs!$D$43)^Inputs!$D$44)</f>
        <v>0.23920712491579582</v>
      </c>
      <c r="F786" s="36">
        <f>MIN(Inputs!$E$16,Inputs!$D$16*(B786/Inputs!$D$42)^Inputs!$D$44)</f>
        <v>0.43768344678187454</v>
      </c>
      <c r="G786" s="37">
        <f>Inputs!$D$26*(1+Inputs!$D$41*(B786-Inputs!$D$42))</f>
        <v>1.605</v>
      </c>
      <c r="H786" s="35">
        <f>Inputs!$D$6*Inputs!$D$14*G786*Inputs!$D$29</f>
        <v>2016.57015</v>
      </c>
      <c r="I786" s="36">
        <f>H786/(A786*Inputs!$D$32)</f>
        <v>0.64324406698564596</v>
      </c>
      <c r="J786" s="38">
        <f>IF(I786&gt;=1,999,I786/(Inputs!$D$32*(1-I786))*60)</f>
        <v>1.9669492092784446</v>
      </c>
      <c r="K786" s="37">
        <f>MIN(1,MAX(0,(J786-Inputs!$D$36)/(Inputs!$D$37-Inputs!$D$36)))</f>
        <v>0</v>
      </c>
      <c r="L786" s="35">
        <f>Inputs!$D$6*Inputs!$D$14*G786*(1-Inputs!$D$38*K786)</f>
        <v>13443.801000000001</v>
      </c>
      <c r="M786" s="39">
        <f>L786*Inputs!$D$11</f>
        <v>289041.72150000004</v>
      </c>
      <c r="N786" s="39">
        <f>M786*(1-Inputs!$D$17)</f>
        <v>101164.60252500001</v>
      </c>
      <c r="O786" s="35">
        <f>Inputs!$D$6*E786*Inputs!$D$27*Inputs!$D$30</f>
        <v>341.26628000386961</v>
      </c>
      <c r="P786" s="36">
        <f>O786/(C786*Inputs!$D$33)</f>
        <v>0.94796188889963784</v>
      </c>
      <c r="Q786" s="38">
        <f>IF(P786&gt;=1,999,P786/(Inputs!$D$33*(1-P786))*60)</f>
        <v>27.325027816767943</v>
      </c>
      <c r="R786" s="37">
        <f>MIN(1,MAX(0,(Q786-Inputs!$D$36)/(Inputs!$D$37-Inputs!$D$36)))</f>
        <v>1</v>
      </c>
      <c r="S786" s="35">
        <f>Inputs!$D$6*E786*Inputs!$D$27*(1-Inputs!$D$38*R786)</f>
        <v>1564.1371166844026</v>
      </c>
      <c r="T786" s="39">
        <f>S786*Inputs!$D$12</f>
        <v>25026.193866950442</v>
      </c>
      <c r="U786" s="39">
        <f>T786*(1-Inputs!$D$18)</f>
        <v>11261.787240127698</v>
      </c>
      <c r="V786" s="35">
        <f>Inputs!$D$6*F786*Inputs!$D$28*Inputs!$D$31</f>
        <v>737.95530007968603</v>
      </c>
      <c r="W786" s="36">
        <f>V786/(B786*Inputs!$D$34)</f>
        <v>0.78090507944940324</v>
      </c>
      <c r="X786" s="38">
        <f>IF(W786&gt;=1,999,W786/(Inputs!$D$34*(1-W786))*60)</f>
        <v>6.1101116290101798</v>
      </c>
      <c r="Y786" s="37">
        <f>MIN(1,MAX(0,(X786-Inputs!$D$36)/(Inputs!$D$37-Inputs!$D$36)))</f>
        <v>7.4007441934011986E-2</v>
      </c>
      <c r="Z786" s="35">
        <f>Inputs!$D$6*F786*Inputs!$D$28*(1-Inputs!$D$38*Y786)</f>
        <v>5487.5301328495489</v>
      </c>
      <c r="AA786" s="39">
        <f>Z786*Inputs!$D$13</f>
        <v>46644.006129221169</v>
      </c>
      <c r="AB786" s="39">
        <f>AA786*(1-Inputs!$D$19)</f>
        <v>27986.4036775327</v>
      </c>
      <c r="AC786" s="39">
        <f t="shared" si="48"/>
        <v>360711.92149617168</v>
      </c>
      <c r="AD786" s="39">
        <f t="shared" si="49"/>
        <v>140412.79344266042</v>
      </c>
      <c r="AE786" s="36">
        <f t="shared" si="50"/>
        <v>0.94796188889963784</v>
      </c>
      <c r="AF786" s="35">
        <f>IF(AND(AE786&lt;=Inputs!$D$35,C786&gt;=Inputs!$D$48*(A786+B786+C786),B786*Inputs!$D$22&lt;=Inputs!$D$50*Inputs!$D$8,B786*Inputs!$D$22&gt;=Inputs!$D$49*Inputs!$D$8,A786*Inputs!$D$20&lt;=Inputs!$D$47*Inputs!$D$8,C786&gt;=1),1,0)</f>
        <v>0</v>
      </c>
      <c r="AG786" s="39">
        <f t="shared" si="51"/>
        <v>-1</v>
      </c>
    </row>
    <row r="787" spans="1:33" x14ac:dyDescent="0.25">
      <c r="A787" s="35">
        <v>57</v>
      </c>
      <c r="B787" s="35">
        <v>28</v>
      </c>
      <c r="C787" s="35">
        <f>Inputs!$D$8-A787-Inputs!$D$22*B787</f>
        <v>7</v>
      </c>
      <c r="D787" s="35">
        <f>A787*Inputs!$D$20+C787*Inputs!$D$21+B787*Inputs!$D$22</f>
        <v>120</v>
      </c>
      <c r="E787" s="36">
        <f>MIN(Inputs!$E$15,Inputs!$D$15*(C787/Inputs!$D$43)^Inputs!$D$44)</f>
        <v>0.2218353587738203</v>
      </c>
      <c r="F787" s="36">
        <f>MIN(Inputs!$E$16,Inputs!$D$16*(B787/Inputs!$D$42)^Inputs!$D$44)</f>
        <v>0.44248484624799689</v>
      </c>
      <c r="G787" s="37">
        <f>Inputs!$D$26*(1+Inputs!$D$41*(B787-Inputs!$D$42))</f>
        <v>1.62</v>
      </c>
      <c r="H787" s="35">
        <f>Inputs!$D$6*Inputs!$D$14*G787*Inputs!$D$29</f>
        <v>2035.4166</v>
      </c>
      <c r="I787" s="36">
        <f>H787/(A787*Inputs!$D$32)</f>
        <v>0.64925569377990433</v>
      </c>
      <c r="J787" s="38">
        <f>IF(I787&gt;=1,999,I787/(Inputs!$D$32*(1-I787))*60)</f>
        <v>2.0193597618218617</v>
      </c>
      <c r="K787" s="37">
        <f>MIN(1,MAX(0,(J787-Inputs!$D$36)/(Inputs!$D$37-Inputs!$D$36)))</f>
        <v>0</v>
      </c>
      <c r="L787" s="35">
        <f>Inputs!$D$6*Inputs!$D$14*G787*(1-Inputs!$D$38*K787)</f>
        <v>13569.444000000001</v>
      </c>
      <c r="M787" s="39">
        <f>L787*Inputs!$D$11</f>
        <v>291743.04600000003</v>
      </c>
      <c r="N787" s="39">
        <f>M787*(1-Inputs!$D$17)</f>
        <v>102110.06610000001</v>
      </c>
      <c r="O787" s="35">
        <f>Inputs!$D$6*E787*Inputs!$D$27*Inputs!$D$30</f>
        <v>316.48274560682341</v>
      </c>
      <c r="P787" s="36">
        <f>O787/(C787*Inputs!$D$33)</f>
        <v>1.1302955200243694</v>
      </c>
      <c r="Q787" s="38">
        <f>IF(P787&gt;=1,999,P787/(Inputs!$D$33*(1-P787))*60)</f>
        <v>999</v>
      </c>
      <c r="R787" s="37">
        <f>MIN(1,MAX(0,(Q787-Inputs!$D$36)/(Inputs!$D$37-Inputs!$D$36)))</f>
        <v>1</v>
      </c>
      <c r="S787" s="35">
        <f>Inputs!$D$6*E787*Inputs!$D$27*(1-Inputs!$D$38*R787)</f>
        <v>1450.5459173646075</v>
      </c>
      <c r="T787" s="39">
        <f>S787*Inputs!$D$12</f>
        <v>23208.73467783372</v>
      </c>
      <c r="U787" s="39">
        <f>T787*(1-Inputs!$D$18)</f>
        <v>10443.930605025173</v>
      </c>
      <c r="V787" s="35">
        <f>Inputs!$D$6*F787*Inputs!$D$28*Inputs!$D$31</f>
        <v>746.05069004674272</v>
      </c>
      <c r="W787" s="36">
        <f>V787/(B787*Inputs!$D$34)</f>
        <v>0.76127621433341097</v>
      </c>
      <c r="X787" s="38">
        <f>IF(W787&gt;=1,999,W787/(Inputs!$D$34*(1-W787))*60)</f>
        <v>5.4667570523531852</v>
      </c>
      <c r="Y787" s="37">
        <f>MIN(1,MAX(0,(X787-Inputs!$D$36)/(Inputs!$D$37-Inputs!$D$36)))</f>
        <v>3.111713682354568E-2</v>
      </c>
      <c r="Z787" s="35">
        <f>Inputs!$D$6*F787*Inputs!$D$28*(1-Inputs!$D$38*Y787)</f>
        <v>5658.4919801305723</v>
      </c>
      <c r="AA787" s="39">
        <f>Z787*Inputs!$D$13</f>
        <v>48097.181831109861</v>
      </c>
      <c r="AB787" s="39">
        <f>AA787*(1-Inputs!$D$19)</f>
        <v>28858.309098665915</v>
      </c>
      <c r="AC787" s="39">
        <f t="shared" si="48"/>
        <v>363048.96250894363</v>
      </c>
      <c r="AD787" s="39">
        <f t="shared" si="49"/>
        <v>141412.3058036911</v>
      </c>
      <c r="AE787" s="36">
        <f t="shared" si="50"/>
        <v>1.1302955200243694</v>
      </c>
      <c r="AF787" s="35">
        <f>IF(AND(AE787&lt;=Inputs!$D$35,C787&gt;=Inputs!$D$48*(A787+B787+C787),B787*Inputs!$D$22&lt;=Inputs!$D$50*Inputs!$D$8,B787*Inputs!$D$22&gt;=Inputs!$D$49*Inputs!$D$8,A787*Inputs!$D$20&lt;=Inputs!$D$47*Inputs!$D$8,C787&gt;=1),1,0)</f>
        <v>0</v>
      </c>
      <c r="AG787" s="39">
        <f t="shared" si="51"/>
        <v>-1</v>
      </c>
    </row>
    <row r="788" spans="1:33" x14ac:dyDescent="0.25">
      <c r="A788" s="35">
        <v>57</v>
      </c>
      <c r="B788" s="35">
        <v>29</v>
      </c>
      <c r="C788" s="35">
        <f>Inputs!$D$8-A788-Inputs!$D$22*B788</f>
        <v>5</v>
      </c>
      <c r="D788" s="35">
        <f>A788*Inputs!$D$20+C788*Inputs!$D$21+B788*Inputs!$D$22</f>
        <v>120</v>
      </c>
      <c r="E788" s="36">
        <f>MIN(Inputs!$E$15,Inputs!$D$15*(C788/Inputs!$D$43)^Inputs!$D$44)</f>
        <v>0.20053600538400315</v>
      </c>
      <c r="F788" s="36">
        <f>MIN(Inputs!$E$16,Inputs!$D$16*(B788/Inputs!$D$42)^Inputs!$D$44)</f>
        <v>0.44716766511947192</v>
      </c>
      <c r="G788" s="37">
        <f>Inputs!$D$26*(1+Inputs!$D$41*(B788-Inputs!$D$42))</f>
        <v>1.6350000000000002</v>
      </c>
      <c r="H788" s="35">
        <f>Inputs!$D$6*Inputs!$D$14*G788*Inputs!$D$29</f>
        <v>2054.2630500000005</v>
      </c>
      <c r="I788" s="36">
        <f>H788/(A788*Inputs!$D$32)</f>
        <v>0.65526732057416281</v>
      </c>
      <c r="J788" s="38">
        <f>IF(I788&gt;=1,999,I788/(Inputs!$D$32*(1-I788))*60)</f>
        <v>2.0735982390198076</v>
      </c>
      <c r="K788" s="37">
        <f>MIN(1,MAX(0,(J788-Inputs!$D$36)/(Inputs!$D$37-Inputs!$D$36)))</f>
        <v>0</v>
      </c>
      <c r="L788" s="35">
        <f>Inputs!$D$6*Inputs!$D$14*G788*(1-Inputs!$D$38*K788)</f>
        <v>13695.087000000003</v>
      </c>
      <c r="M788" s="39">
        <f>L788*Inputs!$D$11</f>
        <v>294444.37050000008</v>
      </c>
      <c r="N788" s="39">
        <f>M788*(1-Inputs!$D$17)</f>
        <v>103055.52967500003</v>
      </c>
      <c r="O788" s="35">
        <f>Inputs!$D$6*E788*Inputs!$D$27*Inputs!$D$30</f>
        <v>286.09589529712042</v>
      </c>
      <c r="P788" s="36">
        <f>O788/(C788*Inputs!$D$33)</f>
        <v>1.4304794764856021</v>
      </c>
      <c r="Q788" s="38">
        <f>IF(P788&gt;=1,999,P788/(Inputs!$D$33*(1-P788))*60)</f>
        <v>999</v>
      </c>
      <c r="R788" s="37">
        <f>MIN(1,MAX(0,(Q788-Inputs!$D$36)/(Inputs!$D$37-Inputs!$D$36)))</f>
        <v>1</v>
      </c>
      <c r="S788" s="35">
        <f>Inputs!$D$6*E788*Inputs!$D$27*(1-Inputs!$D$38*R788)</f>
        <v>1311.2728534451353</v>
      </c>
      <c r="T788" s="39">
        <f>S788*Inputs!$D$12</f>
        <v>20980.365655122165</v>
      </c>
      <c r="U788" s="39">
        <f>T788*(1-Inputs!$D$18)</f>
        <v>9441.164544804973</v>
      </c>
      <c r="V788" s="35">
        <f>Inputs!$D$6*F788*Inputs!$D$28*Inputs!$D$31</f>
        <v>753.9461474393554</v>
      </c>
      <c r="W788" s="36">
        <f>V788/(B788*Inputs!$D$34)</f>
        <v>0.74280408614714821</v>
      </c>
      <c r="X788" s="38">
        <f>IF(W788&gt;=1,999,W788/(Inputs!$D$34*(1-W788))*60)</f>
        <v>4.9510056918075414</v>
      </c>
      <c r="Y788" s="37">
        <f>MIN(1,MAX(0,(X788-Inputs!$D$36)/(Inputs!$D$37-Inputs!$D$36)))</f>
        <v>0</v>
      </c>
      <c r="Z788" s="35">
        <f>Inputs!$D$6*F788*Inputs!$D$28*(1-Inputs!$D$38*Y788)</f>
        <v>5799.5857495335031</v>
      </c>
      <c r="AA788" s="39">
        <f>Z788*Inputs!$D$13</f>
        <v>49296.478871034778</v>
      </c>
      <c r="AB788" s="39">
        <f>AA788*(1-Inputs!$D$19)</f>
        <v>29577.887322620867</v>
      </c>
      <c r="AC788" s="39">
        <f t="shared" si="48"/>
        <v>364721.21502615698</v>
      </c>
      <c r="AD788" s="39">
        <f t="shared" si="49"/>
        <v>142074.58154242585</v>
      </c>
      <c r="AE788" s="36">
        <f t="shared" si="50"/>
        <v>1.4304794764856021</v>
      </c>
      <c r="AF788" s="35">
        <f>IF(AND(AE788&lt;=Inputs!$D$35,C788&gt;=Inputs!$D$48*(A788+B788+C788),B788*Inputs!$D$22&lt;=Inputs!$D$50*Inputs!$D$8,B788*Inputs!$D$22&gt;=Inputs!$D$49*Inputs!$D$8,A788*Inputs!$D$20&lt;=Inputs!$D$47*Inputs!$D$8,C788&gt;=1),1,0)</f>
        <v>0</v>
      </c>
      <c r="AG788" s="39">
        <f t="shared" si="51"/>
        <v>-1</v>
      </c>
    </row>
    <row r="789" spans="1:33" x14ac:dyDescent="0.25">
      <c r="A789" s="35">
        <v>57</v>
      </c>
      <c r="B789" s="35">
        <v>30</v>
      </c>
      <c r="C789" s="35">
        <f>Inputs!$D$8-A789-Inputs!$D$22*B789</f>
        <v>3</v>
      </c>
      <c r="D789" s="35">
        <f>A789*Inputs!$D$20+C789*Inputs!$D$21+B789*Inputs!$D$22</f>
        <v>120</v>
      </c>
      <c r="E789" s="36">
        <f>MIN(Inputs!$E$15,Inputs!$D$15*(C789/Inputs!$D$43)^Inputs!$D$44)</f>
        <v>0.17204328832728594</v>
      </c>
      <c r="F789" s="36">
        <f>MIN(Inputs!$E$16,Inputs!$D$16*(B789/Inputs!$D$42)^Inputs!$D$44)</f>
        <v>0.45173877418274222</v>
      </c>
      <c r="G789" s="37">
        <f>Inputs!$D$26*(1+Inputs!$D$41*(B789-Inputs!$D$42))</f>
        <v>1.6500000000000001</v>
      </c>
      <c r="H789" s="35">
        <f>Inputs!$D$6*Inputs!$D$14*G789*Inputs!$D$29</f>
        <v>2073.1095000000005</v>
      </c>
      <c r="I789" s="36">
        <f>H789/(A789*Inputs!$D$32)</f>
        <v>0.66127894736842119</v>
      </c>
      <c r="J789" s="38">
        <f>IF(I789&gt;=1,999,I789/(Inputs!$D$32*(1-I789))*60)</f>
        <v>2.1297619669824726</v>
      </c>
      <c r="K789" s="37">
        <f>MIN(1,MAX(0,(J789-Inputs!$D$36)/(Inputs!$D$37-Inputs!$D$36)))</f>
        <v>0</v>
      </c>
      <c r="L789" s="35">
        <f>Inputs!$D$6*Inputs!$D$14*G789*(1-Inputs!$D$38*K789)</f>
        <v>13820.730000000003</v>
      </c>
      <c r="M789" s="39">
        <f>L789*Inputs!$D$11</f>
        <v>297145.69500000007</v>
      </c>
      <c r="N789" s="39">
        <f>M789*(1-Inputs!$D$17)</f>
        <v>104000.99325000001</v>
      </c>
      <c r="O789" s="35">
        <f>Inputs!$D$6*E789*Inputs!$D$27*Inputs!$D$30</f>
        <v>245.44658955185244</v>
      </c>
      <c r="P789" s="36">
        <f>O789/(C789*Inputs!$D$33)</f>
        <v>2.0453882462654369</v>
      </c>
      <c r="Q789" s="38">
        <f>IF(P789&gt;=1,999,P789/(Inputs!$D$33*(1-P789))*60)</f>
        <v>999</v>
      </c>
      <c r="R789" s="37">
        <f>MIN(1,MAX(0,(Q789-Inputs!$D$36)/(Inputs!$D$37-Inputs!$D$36)))</f>
        <v>1</v>
      </c>
      <c r="S789" s="35">
        <f>Inputs!$D$6*E789*Inputs!$D$27*(1-Inputs!$D$38*R789)</f>
        <v>1124.9635354459906</v>
      </c>
      <c r="T789" s="39">
        <f>S789*Inputs!$D$12</f>
        <v>17999.41656713585</v>
      </c>
      <c r="U789" s="39">
        <f>T789*(1-Inputs!$D$18)</f>
        <v>8099.7374552111314</v>
      </c>
      <c r="V789" s="35">
        <f>Inputs!$D$6*F789*Inputs!$D$28*Inputs!$D$31</f>
        <v>761.65325673326424</v>
      </c>
      <c r="W789" s="36">
        <f>V789/(B789*Inputs!$D$34)</f>
        <v>0.72538405403168027</v>
      </c>
      <c r="X789" s="38">
        <f>IF(W789&gt;=1,999,W789/(Inputs!$D$34*(1-W789))*60)</f>
        <v>4.5281985239874629</v>
      </c>
      <c r="Y789" s="37">
        <f>MIN(1,MAX(0,(X789-Inputs!$D$36)/(Inputs!$D$37-Inputs!$D$36)))</f>
        <v>0</v>
      </c>
      <c r="Z789" s="35">
        <f>Inputs!$D$6*F789*Inputs!$D$28*(1-Inputs!$D$38*Y789)</f>
        <v>5858.8712056404938</v>
      </c>
      <c r="AA789" s="39">
        <f>Z789*Inputs!$D$13</f>
        <v>49800.405247944196</v>
      </c>
      <c r="AB789" s="39">
        <f>AA789*(1-Inputs!$D$19)</f>
        <v>29880.243148766516</v>
      </c>
      <c r="AC789" s="39">
        <f t="shared" si="48"/>
        <v>364945.51681508007</v>
      </c>
      <c r="AD789" s="39">
        <f t="shared" si="49"/>
        <v>141980.97385397766</v>
      </c>
      <c r="AE789" s="36">
        <f t="shared" si="50"/>
        <v>2.0453882462654369</v>
      </c>
      <c r="AF789" s="35">
        <f>IF(AND(AE789&lt;=Inputs!$D$35,C789&gt;=Inputs!$D$48*(A789+B789+C789),B789*Inputs!$D$22&lt;=Inputs!$D$50*Inputs!$D$8,B789*Inputs!$D$22&gt;=Inputs!$D$49*Inputs!$D$8,A789*Inputs!$D$20&lt;=Inputs!$D$47*Inputs!$D$8,C789&gt;=1),1,0)</f>
        <v>0</v>
      </c>
      <c r="AG789" s="39">
        <f t="shared" si="51"/>
        <v>-1</v>
      </c>
    </row>
    <row r="790" spans="1:33" x14ac:dyDescent="0.25">
      <c r="A790" s="35">
        <v>57</v>
      </c>
      <c r="B790" s="35">
        <v>31</v>
      </c>
      <c r="C790" s="35">
        <f>Inputs!$D$8-A790-Inputs!$D$22*B790</f>
        <v>1</v>
      </c>
      <c r="D790" s="35">
        <f>A790*Inputs!$D$20+C790*Inputs!$D$21+B790*Inputs!$D$22</f>
        <v>120</v>
      </c>
      <c r="E790" s="36">
        <f>MIN(Inputs!$E$15,Inputs!$D$15*(C790/Inputs!$D$43)^Inputs!$D$44)</f>
        <v>0.12373750601653212</v>
      </c>
      <c r="F790" s="36">
        <f>MIN(Inputs!$E$16,Inputs!$D$16*(B790/Inputs!$D$42)^Inputs!$D$44)</f>
        <v>0.45620443270573335</v>
      </c>
      <c r="G790" s="37">
        <f>Inputs!$D$26*(1+Inputs!$D$41*(B790-Inputs!$D$42))</f>
        <v>1.665</v>
      </c>
      <c r="H790" s="35">
        <f>Inputs!$D$6*Inputs!$D$14*G790*Inputs!$D$29</f>
        <v>2091.95595</v>
      </c>
      <c r="I790" s="36">
        <f>H790/(A790*Inputs!$D$32)</f>
        <v>0.66729057416267945</v>
      </c>
      <c r="J790" s="38">
        <f>IF(I790&gt;=1,999,I790/(Inputs!$D$32*(1-I790))*60)</f>
        <v>2.1879553060451897</v>
      </c>
      <c r="K790" s="37">
        <f>MIN(1,MAX(0,(J790-Inputs!$D$36)/(Inputs!$D$37-Inputs!$D$36)))</f>
        <v>0</v>
      </c>
      <c r="L790" s="35">
        <f>Inputs!$D$6*Inputs!$D$14*G790*(1-Inputs!$D$38*K790)</f>
        <v>13946.373000000001</v>
      </c>
      <c r="M790" s="39">
        <f>L790*Inputs!$D$11</f>
        <v>299847.01950000005</v>
      </c>
      <c r="N790" s="39">
        <f>M790*(1-Inputs!$D$17)</f>
        <v>104946.45682500002</v>
      </c>
      <c r="O790" s="35">
        <f>Inputs!$D$6*E790*Inputs!$D$27*Inputs!$D$30</f>
        <v>176.53085538352164</v>
      </c>
      <c r="P790" s="36">
        <f>O790/(C790*Inputs!$D$33)</f>
        <v>4.4132713845880414</v>
      </c>
      <c r="Q790" s="38">
        <f>IF(P790&gt;=1,999,P790/(Inputs!$D$33*(1-P790))*60)</f>
        <v>999</v>
      </c>
      <c r="R790" s="37">
        <f>MIN(1,MAX(0,(Q790-Inputs!$D$36)/(Inputs!$D$37-Inputs!$D$36)))</f>
        <v>1</v>
      </c>
      <c r="S790" s="35">
        <f>Inputs!$D$6*E790*Inputs!$D$27*(1-Inputs!$D$38*R790)</f>
        <v>809.09975384114091</v>
      </c>
      <c r="T790" s="39">
        <f>S790*Inputs!$D$12</f>
        <v>12945.596061458255</v>
      </c>
      <c r="U790" s="39">
        <f>T790*(1-Inputs!$D$18)</f>
        <v>5825.5182276562136</v>
      </c>
      <c r="V790" s="35">
        <f>Inputs!$D$6*F790*Inputs!$D$28*Inputs!$D$31</f>
        <v>769.18257135463637</v>
      </c>
      <c r="W790" s="36">
        <f>V790/(B790*Inputs!$D$34)</f>
        <v>0.70892402889828232</v>
      </c>
      <c r="X790" s="38">
        <f>IF(W790&gt;=1,999,W790/(Inputs!$D$34*(1-W790))*60)</f>
        <v>4.1751929252501148</v>
      </c>
      <c r="Y790" s="37">
        <f>MIN(1,MAX(0,(X790-Inputs!$D$36)/(Inputs!$D$37-Inputs!$D$36)))</f>
        <v>0</v>
      </c>
      <c r="Z790" s="35">
        <f>Inputs!$D$6*F790*Inputs!$D$28*(1-Inputs!$D$38*Y790)</f>
        <v>5916.7890104202797</v>
      </c>
      <c r="AA790" s="39">
        <f>Z790*Inputs!$D$13</f>
        <v>50292.706588572379</v>
      </c>
      <c r="AB790" s="39">
        <f>AA790*(1-Inputs!$D$19)</f>
        <v>30175.623953143426</v>
      </c>
      <c r="AC790" s="39">
        <f t="shared" si="48"/>
        <v>363085.32215003064</v>
      </c>
      <c r="AD790" s="39">
        <f t="shared" si="49"/>
        <v>140947.59900579965</v>
      </c>
      <c r="AE790" s="36">
        <f t="shared" si="50"/>
        <v>4.4132713845880414</v>
      </c>
      <c r="AF790" s="35">
        <f>IF(AND(AE790&lt;=Inputs!$D$35,C790&gt;=Inputs!$D$48*(A790+B790+C790),B790*Inputs!$D$22&lt;=Inputs!$D$50*Inputs!$D$8,B790*Inputs!$D$22&gt;=Inputs!$D$49*Inputs!$D$8,A790*Inputs!$D$20&lt;=Inputs!$D$47*Inputs!$D$8,C790&gt;=1),1,0)</f>
        <v>0</v>
      </c>
      <c r="AG790" s="39">
        <f t="shared" si="51"/>
        <v>-1</v>
      </c>
    </row>
    <row r="791" spans="1:33" x14ac:dyDescent="0.25">
      <c r="A791" s="35">
        <v>58</v>
      </c>
      <c r="B791" s="35">
        <v>10</v>
      </c>
      <c r="C791" s="35">
        <f>Inputs!$D$8-A791-Inputs!$D$22*B791</f>
        <v>42</v>
      </c>
      <c r="D791" s="35">
        <f>A791*Inputs!$D$20+C791*Inputs!$D$21+B791*Inputs!$D$22</f>
        <v>120</v>
      </c>
      <c r="E791" s="36">
        <f>MIN(Inputs!$E$15,Inputs!$D$15*(C791/Inputs!$D$43)^Inputs!$D$44)</f>
        <v>0.37973108090036384</v>
      </c>
      <c r="F791" s="36">
        <f>MIN(Inputs!$E$16,Inputs!$D$16*(B791/Inputs!$D$42)^Inputs!$D$44)</f>
        <v>0.32490095854249423</v>
      </c>
      <c r="G791" s="37">
        <f>Inputs!$D$26*(1+Inputs!$D$41*(B791-Inputs!$D$42))</f>
        <v>1.35</v>
      </c>
      <c r="H791" s="35">
        <f>Inputs!$D$6*Inputs!$D$14*G791*Inputs!$D$29</f>
        <v>1696.1805000000004</v>
      </c>
      <c r="I791" s="36">
        <f>H791/(A791*Inputs!$D$32)</f>
        <v>0.53171802507837007</v>
      </c>
      <c r="J791" s="38">
        <f>IF(I791&gt;=1,999,I791/(Inputs!$D$32*(1-I791))*60)</f>
        <v>1.2386896323637016</v>
      </c>
      <c r="K791" s="37">
        <f>MIN(1,MAX(0,(J791-Inputs!$D$36)/(Inputs!$D$37-Inputs!$D$36)))</f>
        <v>0</v>
      </c>
      <c r="L791" s="35">
        <f>Inputs!$D$6*Inputs!$D$14*G791*(1-Inputs!$D$38*K791)</f>
        <v>11307.870000000003</v>
      </c>
      <c r="M791" s="39">
        <f>L791*Inputs!$D$11</f>
        <v>243119.20500000005</v>
      </c>
      <c r="N791" s="39">
        <f>M791*(1-Inputs!$D$17)</f>
        <v>85091.721750000012</v>
      </c>
      <c r="O791" s="35">
        <f>Inputs!$D$6*E791*Inputs!$D$27*Inputs!$D$30</f>
        <v>541.74562495298949</v>
      </c>
      <c r="P791" s="36">
        <f>O791/(C791*Inputs!$D$33)</f>
        <v>0.32246763390058897</v>
      </c>
      <c r="Q791" s="38">
        <f>IF(P791&gt;=1,999,P791/(Inputs!$D$33*(1-P791))*60)</f>
        <v>0.71391637514762252</v>
      </c>
      <c r="R791" s="37">
        <f>MIN(1,MAX(0,(Q791-Inputs!$D$36)/(Inputs!$D$37-Inputs!$D$36)))</f>
        <v>0</v>
      </c>
      <c r="S791" s="35">
        <f>Inputs!$D$6*E791*Inputs!$D$27*(1-Inputs!$D$38*R791)</f>
        <v>4514.5468746082461</v>
      </c>
      <c r="T791" s="39">
        <f>S791*Inputs!$D$12</f>
        <v>72232.749993731937</v>
      </c>
      <c r="U791" s="39">
        <f>T791*(1-Inputs!$D$18)</f>
        <v>32504.737497179369</v>
      </c>
      <c r="V791" s="35">
        <f>Inputs!$D$6*F791*Inputs!$D$28*Inputs!$D$31</f>
        <v>547.7986113486553</v>
      </c>
      <c r="W791" s="36">
        <f>V791/(B791*Inputs!$D$34)</f>
        <v>1.5651388895675866</v>
      </c>
      <c r="X791" s="38">
        <f>IF(W791&gt;=1,999,W791/(Inputs!$D$34*(1-W791))*60)</f>
        <v>999</v>
      </c>
      <c r="Y791" s="37">
        <f>MIN(1,MAX(0,(X791-Inputs!$D$36)/(Inputs!$D$37-Inputs!$D$36)))</f>
        <v>1</v>
      </c>
      <c r="Z791" s="35">
        <f>Inputs!$D$6*F791*Inputs!$D$28*(1-Inputs!$D$38*Y791)</f>
        <v>2317.6095095520031</v>
      </c>
      <c r="AA791" s="39">
        <f>Z791*Inputs!$D$13</f>
        <v>19699.680831192025</v>
      </c>
      <c r="AB791" s="39">
        <f>AA791*(1-Inputs!$D$19)</f>
        <v>11819.808498715214</v>
      </c>
      <c r="AC791" s="39">
        <f t="shared" si="48"/>
        <v>335051.63582492399</v>
      </c>
      <c r="AD791" s="39">
        <f t="shared" si="49"/>
        <v>129416.2677458946</v>
      </c>
      <c r="AE791" s="36">
        <f t="shared" si="50"/>
        <v>1.5651388895675866</v>
      </c>
      <c r="AF791" s="35">
        <f>IF(AND(AE791&lt;=Inputs!$D$35,C791&gt;=Inputs!$D$48*(A791+B791+C791),B791*Inputs!$D$22&lt;=Inputs!$D$50*Inputs!$D$8,B791*Inputs!$D$22&gt;=Inputs!$D$49*Inputs!$D$8,A791*Inputs!$D$20&lt;=Inputs!$D$47*Inputs!$D$8,C791&gt;=1),1,0)</f>
        <v>0</v>
      </c>
      <c r="AG791" s="39">
        <f t="shared" si="51"/>
        <v>-1</v>
      </c>
    </row>
    <row r="792" spans="1:33" x14ac:dyDescent="0.25">
      <c r="A792" s="35">
        <v>58</v>
      </c>
      <c r="B792" s="35">
        <v>11</v>
      </c>
      <c r="C792" s="35">
        <f>Inputs!$D$8-A792-Inputs!$D$22*B792</f>
        <v>40</v>
      </c>
      <c r="D792" s="35">
        <f>A792*Inputs!$D$20+C792*Inputs!$D$21+B792*Inputs!$D$22</f>
        <v>120</v>
      </c>
      <c r="E792" s="36">
        <f>MIN(Inputs!$E$15,Inputs!$D$15*(C792/Inputs!$D$43)^Inputs!$D$44)</f>
        <v>0.37421341802855551</v>
      </c>
      <c r="F792" s="36">
        <f>MIN(Inputs!$E$16,Inputs!$D$16*(B792/Inputs!$D$42)^Inputs!$D$44)</f>
        <v>0.33432495758166098</v>
      </c>
      <c r="G792" s="37">
        <f>Inputs!$D$26*(1+Inputs!$D$41*(B792-Inputs!$D$42))</f>
        <v>1.365</v>
      </c>
      <c r="H792" s="35">
        <f>Inputs!$D$6*Inputs!$D$14*G792*Inputs!$D$29</f>
        <v>1715.0269500000002</v>
      </c>
      <c r="I792" s="36">
        <f>H792/(A792*Inputs!$D$32)</f>
        <v>0.53762600313479625</v>
      </c>
      <c r="J792" s="38">
        <f>IF(I792&gt;=1,999,I792/(Inputs!$D$32*(1-I792))*60)</f>
        <v>1.2684560513896108</v>
      </c>
      <c r="K792" s="37">
        <f>MIN(1,MAX(0,(J792-Inputs!$D$36)/(Inputs!$D$37-Inputs!$D$36)))</f>
        <v>0</v>
      </c>
      <c r="L792" s="35">
        <f>Inputs!$D$6*Inputs!$D$14*G792*(1-Inputs!$D$38*K792)</f>
        <v>11433.513000000001</v>
      </c>
      <c r="M792" s="39">
        <f>L792*Inputs!$D$11</f>
        <v>245820.5295</v>
      </c>
      <c r="N792" s="39">
        <f>M792*(1-Inputs!$D$17)</f>
        <v>86037.185324999999</v>
      </c>
      <c r="O792" s="35">
        <f>Inputs!$D$6*E792*Inputs!$D$27*Inputs!$D$30</f>
        <v>533.8738181109469</v>
      </c>
      <c r="P792" s="36">
        <f>O792/(C792*Inputs!$D$33)</f>
        <v>0.33367113631934181</v>
      </c>
      <c r="Q792" s="38">
        <f>IF(P792&gt;=1,999,P792/(Inputs!$D$33*(1-P792))*60)</f>
        <v>0.75114066305685867</v>
      </c>
      <c r="R792" s="37">
        <f>MIN(1,MAX(0,(Q792-Inputs!$D$36)/(Inputs!$D$37-Inputs!$D$36)))</f>
        <v>0</v>
      </c>
      <c r="S792" s="35">
        <f>Inputs!$D$6*E792*Inputs!$D$27*(1-Inputs!$D$38*R792)</f>
        <v>4448.9484842578913</v>
      </c>
      <c r="T792" s="39">
        <f>S792*Inputs!$D$12</f>
        <v>71183.175748126261</v>
      </c>
      <c r="U792" s="39">
        <f>T792*(1-Inputs!$D$18)</f>
        <v>32032.429086656815</v>
      </c>
      <c r="V792" s="35">
        <f>Inputs!$D$6*F792*Inputs!$D$28*Inputs!$D$31</f>
        <v>563.68792608064427</v>
      </c>
      <c r="W792" s="36">
        <f>V792/(B792*Inputs!$D$34)</f>
        <v>1.4641244833263487</v>
      </c>
      <c r="X792" s="38">
        <f>IF(W792&gt;=1,999,W792/(Inputs!$D$34*(1-W792))*60)</f>
        <v>999</v>
      </c>
      <c r="Y792" s="37">
        <f>MIN(1,MAX(0,(X792-Inputs!$D$36)/(Inputs!$D$37-Inputs!$D$36)))</f>
        <v>1</v>
      </c>
      <c r="Z792" s="35">
        <f>Inputs!$D$6*F792*Inputs!$D$28*(1-Inputs!$D$38*Y792)</f>
        <v>2384.8335334181106</v>
      </c>
      <c r="AA792" s="39">
        <f>Z792*Inputs!$D$13</f>
        <v>20271.08503405394</v>
      </c>
      <c r="AB792" s="39">
        <f>AA792*(1-Inputs!$D$19)</f>
        <v>12162.651020432364</v>
      </c>
      <c r="AC792" s="39">
        <f t="shared" si="48"/>
        <v>337274.79028218024</v>
      </c>
      <c r="AD792" s="39">
        <f t="shared" si="49"/>
        <v>130232.26543208919</v>
      </c>
      <c r="AE792" s="36">
        <f t="shared" si="50"/>
        <v>1.4641244833263487</v>
      </c>
      <c r="AF792" s="35">
        <f>IF(AND(AE792&lt;=Inputs!$D$35,C792&gt;=Inputs!$D$48*(A792+B792+C792),B792*Inputs!$D$22&lt;=Inputs!$D$50*Inputs!$D$8,B792*Inputs!$D$22&gt;=Inputs!$D$49*Inputs!$D$8,A792*Inputs!$D$20&lt;=Inputs!$D$47*Inputs!$D$8,C792&gt;=1),1,0)</f>
        <v>0</v>
      </c>
      <c r="AG792" s="39">
        <f t="shared" si="51"/>
        <v>-1</v>
      </c>
    </row>
    <row r="793" spans="1:33" x14ac:dyDescent="0.25">
      <c r="A793" s="35">
        <v>58</v>
      </c>
      <c r="B793" s="35">
        <v>12</v>
      </c>
      <c r="C793" s="35">
        <f>Inputs!$D$8-A793-Inputs!$D$22*B793</f>
        <v>38</v>
      </c>
      <c r="D793" s="35">
        <f>A793*Inputs!$D$20+C793*Inputs!$D$21+B793*Inputs!$D$22</f>
        <v>120</v>
      </c>
      <c r="E793" s="36">
        <f>MIN(Inputs!$E$15,Inputs!$D$15*(C793/Inputs!$D$43)^Inputs!$D$44)</f>
        <v>0.36849910497273691</v>
      </c>
      <c r="F793" s="36">
        <f>MIN(Inputs!$E$16,Inputs!$D$16*(B793/Inputs!$D$42)^Inputs!$D$44)</f>
        <v>0.34316688017763797</v>
      </c>
      <c r="G793" s="37">
        <f>Inputs!$D$26*(1+Inputs!$D$41*(B793-Inputs!$D$42))</f>
        <v>1.3800000000000001</v>
      </c>
      <c r="H793" s="35">
        <f>Inputs!$D$6*Inputs!$D$14*G793*Inputs!$D$29</f>
        <v>1733.8734000000004</v>
      </c>
      <c r="I793" s="36">
        <f>H793/(A793*Inputs!$D$32)</f>
        <v>0.54353398119122265</v>
      </c>
      <c r="J793" s="38">
        <f>IF(I793&gt;=1,999,I793/(Inputs!$D$32*(1-I793))*60)</f>
        <v>1.2989929959012183</v>
      </c>
      <c r="K793" s="37">
        <f>MIN(1,MAX(0,(J793-Inputs!$D$36)/(Inputs!$D$37-Inputs!$D$36)))</f>
        <v>0</v>
      </c>
      <c r="L793" s="35">
        <f>Inputs!$D$6*Inputs!$D$14*G793*(1-Inputs!$D$38*K793)</f>
        <v>11559.156000000003</v>
      </c>
      <c r="M793" s="39">
        <f>L793*Inputs!$D$11</f>
        <v>248521.85400000005</v>
      </c>
      <c r="N793" s="39">
        <f>M793*(1-Inputs!$D$17)</f>
        <v>86982.648900000015</v>
      </c>
      <c r="O793" s="35">
        <f>Inputs!$D$6*E793*Inputs!$D$27*Inputs!$D$30</f>
        <v>525.72145910398501</v>
      </c>
      <c r="P793" s="36">
        <f>O793/(C793*Inputs!$D$33)</f>
        <v>0.34586938098946385</v>
      </c>
      <c r="Q793" s="38">
        <f>IF(P793&gt;=1,999,P793/(Inputs!$D$33*(1-P793))*60)</f>
        <v>0.79311999225622454</v>
      </c>
      <c r="R793" s="37">
        <f>MIN(1,MAX(0,(Q793-Inputs!$D$36)/(Inputs!$D$37-Inputs!$D$36)))</f>
        <v>0</v>
      </c>
      <c r="S793" s="35">
        <f>Inputs!$D$6*E793*Inputs!$D$27*(1-Inputs!$D$38*R793)</f>
        <v>4381.012159199875</v>
      </c>
      <c r="T793" s="39">
        <f>S793*Inputs!$D$12</f>
        <v>70096.194547198</v>
      </c>
      <c r="U793" s="39">
        <f>T793*(1-Inputs!$D$18)</f>
        <v>31543.287546239098</v>
      </c>
      <c r="V793" s="35">
        <f>Inputs!$D$6*F793*Inputs!$D$28*Inputs!$D$31</f>
        <v>578.5958319897461</v>
      </c>
      <c r="W793" s="36">
        <f>V793/(B793*Inputs!$D$34)</f>
        <v>1.3776091237851098</v>
      </c>
      <c r="X793" s="38">
        <f>IF(W793&gt;=1,999,W793/(Inputs!$D$34*(1-W793))*60)</f>
        <v>999</v>
      </c>
      <c r="Y793" s="37">
        <f>MIN(1,MAX(0,(X793-Inputs!$D$36)/(Inputs!$D$37-Inputs!$D$36)))</f>
        <v>1</v>
      </c>
      <c r="Z793" s="35">
        <f>Inputs!$D$6*F793*Inputs!$D$28*(1-Inputs!$D$38*Y793)</f>
        <v>2447.9054430335414</v>
      </c>
      <c r="AA793" s="39">
        <f>Z793*Inputs!$D$13</f>
        <v>20807.1962657851</v>
      </c>
      <c r="AB793" s="39">
        <f>AA793*(1-Inputs!$D$19)</f>
        <v>12484.31775947106</v>
      </c>
      <c r="AC793" s="39">
        <f t="shared" si="48"/>
        <v>339425.24481298315</v>
      </c>
      <c r="AD793" s="39">
        <f t="shared" si="49"/>
        <v>131010.25420571017</v>
      </c>
      <c r="AE793" s="36">
        <f t="shared" si="50"/>
        <v>1.3776091237851098</v>
      </c>
      <c r="AF793" s="35">
        <f>IF(AND(AE793&lt;=Inputs!$D$35,C793&gt;=Inputs!$D$48*(A793+B793+C793),B793*Inputs!$D$22&lt;=Inputs!$D$50*Inputs!$D$8,B793*Inputs!$D$22&gt;=Inputs!$D$49*Inputs!$D$8,A793*Inputs!$D$20&lt;=Inputs!$D$47*Inputs!$D$8,C793&gt;=1),1,0)</f>
        <v>0</v>
      </c>
      <c r="AG793" s="39">
        <f t="shared" si="51"/>
        <v>-1</v>
      </c>
    </row>
    <row r="794" spans="1:33" x14ac:dyDescent="0.25">
      <c r="A794" s="35">
        <v>58</v>
      </c>
      <c r="B794" s="35">
        <v>13</v>
      </c>
      <c r="C794" s="35">
        <f>Inputs!$D$8-A794-Inputs!$D$22*B794</f>
        <v>36</v>
      </c>
      <c r="D794" s="35">
        <f>A794*Inputs!$D$20+C794*Inputs!$D$21+B794*Inputs!$D$22</f>
        <v>120</v>
      </c>
      <c r="E794" s="36">
        <f>MIN(Inputs!$E$15,Inputs!$D$15*(C794/Inputs!$D$43)^Inputs!$D$44)</f>
        <v>0.36257020206219398</v>
      </c>
      <c r="F794" s="36">
        <f>MIN(Inputs!$E$16,Inputs!$D$16*(B794/Inputs!$D$42)^Inputs!$D$44)</f>
        <v>0.35150701637190523</v>
      </c>
      <c r="G794" s="37">
        <f>Inputs!$D$26*(1+Inputs!$D$41*(B794-Inputs!$D$42))</f>
        <v>1.395</v>
      </c>
      <c r="H794" s="35">
        <f>Inputs!$D$6*Inputs!$D$14*G794*Inputs!$D$29</f>
        <v>1752.7198500000002</v>
      </c>
      <c r="I794" s="36">
        <f>H794/(A794*Inputs!$D$32)</f>
        <v>0.54944195924764894</v>
      </c>
      <c r="J794" s="38">
        <f>IF(I794&gt;=1,999,I794/(Inputs!$D$32*(1-I794))*60)</f>
        <v>1.3303307766282157</v>
      </c>
      <c r="K794" s="37">
        <f>MIN(1,MAX(0,(J794-Inputs!$D$36)/(Inputs!$D$37-Inputs!$D$36)))</f>
        <v>0</v>
      </c>
      <c r="L794" s="35">
        <f>Inputs!$D$6*Inputs!$D$14*G794*(1-Inputs!$D$38*K794)</f>
        <v>11684.799000000001</v>
      </c>
      <c r="M794" s="39">
        <f>L794*Inputs!$D$11</f>
        <v>251223.17850000001</v>
      </c>
      <c r="N794" s="39">
        <f>M794*(1-Inputs!$D$17)</f>
        <v>87928.112475000002</v>
      </c>
      <c r="O794" s="35">
        <f>Inputs!$D$6*E794*Inputs!$D$27*Inputs!$D$30</f>
        <v>517.26295419324151</v>
      </c>
      <c r="P794" s="36">
        <f>O794/(C794*Inputs!$D$33)</f>
        <v>0.35921038485641771</v>
      </c>
      <c r="Q794" s="38">
        <f>IF(P794&gt;=1,999,P794/(Inputs!$D$33*(1-P794))*60)</f>
        <v>0.84086190623406665</v>
      </c>
      <c r="R794" s="37">
        <f>MIN(1,MAX(0,(Q794-Inputs!$D$36)/(Inputs!$D$37-Inputs!$D$36)))</f>
        <v>0</v>
      </c>
      <c r="S794" s="35">
        <f>Inputs!$D$6*E794*Inputs!$D$27*(1-Inputs!$D$38*R794)</f>
        <v>4310.5246182770125</v>
      </c>
      <c r="T794" s="39">
        <f>S794*Inputs!$D$12</f>
        <v>68968.393892432199</v>
      </c>
      <c r="U794" s="39">
        <f>T794*(1-Inputs!$D$18)</f>
        <v>31035.777251594485</v>
      </c>
      <c r="V794" s="35">
        <f>Inputs!$D$6*F794*Inputs!$D$28*Inputs!$D$31</f>
        <v>592.65770193981814</v>
      </c>
      <c r="W794" s="36">
        <f>V794/(B794*Inputs!$D$34)</f>
        <v>1.3025443998677322</v>
      </c>
      <c r="X794" s="38">
        <f>IF(W794&gt;=1,999,W794/(Inputs!$D$34*(1-W794))*60)</f>
        <v>999</v>
      </c>
      <c r="Y794" s="37">
        <f>MIN(1,MAX(0,(X794-Inputs!$D$36)/(Inputs!$D$37-Inputs!$D$36)))</f>
        <v>1</v>
      </c>
      <c r="Z794" s="35">
        <f>Inputs!$D$6*F794*Inputs!$D$28*(1-Inputs!$D$38*Y794)</f>
        <v>2507.3979697453847</v>
      </c>
      <c r="AA794" s="39">
        <f>Z794*Inputs!$D$13</f>
        <v>21312.882742835769</v>
      </c>
      <c r="AB794" s="39">
        <f>AA794*(1-Inputs!$D$19)</f>
        <v>12787.729645701462</v>
      </c>
      <c r="AC794" s="39">
        <f t="shared" si="48"/>
        <v>341504.45513526798</v>
      </c>
      <c r="AD794" s="39">
        <f t="shared" si="49"/>
        <v>131751.61937229594</v>
      </c>
      <c r="AE794" s="36">
        <f t="shared" si="50"/>
        <v>1.3025443998677322</v>
      </c>
      <c r="AF794" s="35">
        <f>IF(AND(AE794&lt;=Inputs!$D$35,C794&gt;=Inputs!$D$48*(A794+B794+C794),B794*Inputs!$D$22&lt;=Inputs!$D$50*Inputs!$D$8,B794*Inputs!$D$22&gt;=Inputs!$D$49*Inputs!$D$8,A794*Inputs!$D$20&lt;=Inputs!$D$47*Inputs!$D$8,C794&gt;=1),1,0)</f>
        <v>0</v>
      </c>
      <c r="AG794" s="39">
        <f t="shared" si="51"/>
        <v>-1</v>
      </c>
    </row>
    <row r="795" spans="1:33" x14ac:dyDescent="0.25">
      <c r="A795" s="35">
        <v>58</v>
      </c>
      <c r="B795" s="35">
        <v>14</v>
      </c>
      <c r="C795" s="35">
        <f>Inputs!$D$8-A795-Inputs!$D$22*B795</f>
        <v>34</v>
      </c>
      <c r="D795" s="35">
        <f>A795*Inputs!$D$20+C795*Inputs!$D$21+B795*Inputs!$D$22</f>
        <v>120</v>
      </c>
      <c r="E795" s="36">
        <f>MIN(Inputs!$E$15,Inputs!$D$15*(C795/Inputs!$D$43)^Inputs!$D$44)</f>
        <v>0.35640602201959876</v>
      </c>
      <c r="F795" s="36">
        <f>MIN(Inputs!$E$16,Inputs!$D$16*(B795/Inputs!$D$42)^Inputs!$D$44)</f>
        <v>0.35940937671625589</v>
      </c>
      <c r="G795" s="37">
        <f>Inputs!$D$26*(1+Inputs!$D$41*(B795-Inputs!$D$42))</f>
        <v>1.41</v>
      </c>
      <c r="H795" s="35">
        <f>Inputs!$D$6*Inputs!$D$14*G795*Inputs!$D$29</f>
        <v>1771.5663000000002</v>
      </c>
      <c r="I795" s="36">
        <f>H795/(A795*Inputs!$D$32)</f>
        <v>0.55534993730407534</v>
      </c>
      <c r="J795" s="38">
        <f>IF(I795&gt;=1,999,I795/(Inputs!$D$32*(1-I795))*60)</f>
        <v>1.3625013152311474</v>
      </c>
      <c r="K795" s="37">
        <f>MIN(1,MAX(0,(J795-Inputs!$D$36)/(Inputs!$D$37-Inputs!$D$36)))</f>
        <v>0</v>
      </c>
      <c r="L795" s="35">
        <f>Inputs!$D$6*Inputs!$D$14*G795*(1-Inputs!$D$38*K795)</f>
        <v>11810.442000000001</v>
      </c>
      <c r="M795" s="39">
        <f>L795*Inputs!$D$11</f>
        <v>253924.50300000003</v>
      </c>
      <c r="N795" s="39">
        <f>M795*(1-Inputs!$D$17)</f>
        <v>88873.576050000003</v>
      </c>
      <c r="O795" s="35">
        <f>Inputs!$D$6*E795*Inputs!$D$27*Inputs!$D$30</f>
        <v>508.46878975039266</v>
      </c>
      <c r="P795" s="36">
        <f>O795/(C795*Inputs!$D$33)</f>
        <v>0.37387411011058286</v>
      </c>
      <c r="Q795" s="38">
        <f>IF(P795&gt;=1,999,P795/(Inputs!$D$33*(1-P795))*60)</f>
        <v>0.89568435712652228</v>
      </c>
      <c r="R795" s="37">
        <f>MIN(1,MAX(0,(Q795-Inputs!$D$36)/(Inputs!$D$37-Inputs!$D$36)))</f>
        <v>0</v>
      </c>
      <c r="S795" s="35">
        <f>Inputs!$D$6*E795*Inputs!$D$27*(1-Inputs!$D$38*R795)</f>
        <v>4237.2399145866057</v>
      </c>
      <c r="T795" s="39">
        <f>S795*Inputs!$D$12</f>
        <v>67795.838633385691</v>
      </c>
      <c r="U795" s="39">
        <f>T795*(1-Inputs!$D$18)</f>
        <v>30508.127385023559</v>
      </c>
      <c r="V795" s="35">
        <f>Inputs!$D$6*F795*Inputs!$D$28*Inputs!$D$31</f>
        <v>605.98146079368973</v>
      </c>
      <c r="W795" s="36">
        <f>V795/(B795*Inputs!$D$34)</f>
        <v>1.2366968587626321</v>
      </c>
      <c r="X795" s="38">
        <f>IF(W795&gt;=1,999,W795/(Inputs!$D$34*(1-W795))*60)</f>
        <v>999</v>
      </c>
      <c r="Y795" s="37">
        <f>MIN(1,MAX(0,(X795-Inputs!$D$36)/(Inputs!$D$37-Inputs!$D$36)))</f>
        <v>1</v>
      </c>
      <c r="Z795" s="35">
        <f>Inputs!$D$6*F795*Inputs!$D$28*(1-Inputs!$D$38*Y795)</f>
        <v>2563.7677187425338</v>
      </c>
      <c r="AA795" s="39">
        <f>Z795*Inputs!$D$13</f>
        <v>21792.025609311539</v>
      </c>
      <c r="AB795" s="39">
        <f>AA795*(1-Inputs!$D$19)</f>
        <v>13075.215365586922</v>
      </c>
      <c r="AC795" s="39">
        <f t="shared" si="48"/>
        <v>343512.36724269728</v>
      </c>
      <c r="AD795" s="39">
        <f t="shared" si="49"/>
        <v>132456.9188006105</v>
      </c>
      <c r="AE795" s="36">
        <f t="shared" si="50"/>
        <v>1.2366968587626321</v>
      </c>
      <c r="AF795" s="35">
        <f>IF(AND(AE795&lt;=Inputs!$D$35,C795&gt;=Inputs!$D$48*(A795+B795+C795),B795*Inputs!$D$22&lt;=Inputs!$D$50*Inputs!$D$8,B795*Inputs!$D$22&gt;=Inputs!$D$49*Inputs!$D$8,A795*Inputs!$D$20&lt;=Inputs!$D$47*Inputs!$D$8,C795&gt;=1),1,0)</f>
        <v>0</v>
      </c>
      <c r="AG795" s="39">
        <f t="shared" si="51"/>
        <v>-1</v>
      </c>
    </row>
    <row r="796" spans="1:33" x14ac:dyDescent="0.25">
      <c r="A796" s="35">
        <v>58</v>
      </c>
      <c r="B796" s="35">
        <v>15</v>
      </c>
      <c r="C796" s="35">
        <f>Inputs!$D$8-A796-Inputs!$D$22*B796</f>
        <v>32</v>
      </c>
      <c r="D796" s="35">
        <f>A796*Inputs!$D$20+C796*Inputs!$D$21+B796*Inputs!$D$22</f>
        <v>120</v>
      </c>
      <c r="E796" s="36">
        <f>MIN(Inputs!$E$15,Inputs!$D$15*(C796/Inputs!$D$43)^Inputs!$D$44)</f>
        <v>0.34998251836560429</v>
      </c>
      <c r="F796" s="36">
        <f>MIN(Inputs!$E$16,Inputs!$D$16*(B796/Inputs!$D$42)^Inputs!$D$44)</f>
        <v>0.36692590185696072</v>
      </c>
      <c r="G796" s="37">
        <f>Inputs!$D$26*(1+Inputs!$D$41*(B796-Inputs!$D$42))</f>
        <v>1.4249999999999998</v>
      </c>
      <c r="H796" s="35">
        <f>Inputs!$D$6*Inputs!$D$14*G796*Inputs!$D$29</f>
        <v>1790.4127499999997</v>
      </c>
      <c r="I796" s="36">
        <f>H796/(A796*Inputs!$D$32)</f>
        <v>0.56125791536050151</v>
      </c>
      <c r="J796" s="38">
        <f>IF(I796&gt;=1,999,I796/(Inputs!$D$32*(1-I796))*60)</f>
        <v>1.3955382527631237</v>
      </c>
      <c r="K796" s="37">
        <f>MIN(1,MAX(0,(J796-Inputs!$D$36)/(Inputs!$D$37-Inputs!$D$36)))</f>
        <v>0</v>
      </c>
      <c r="L796" s="35">
        <f>Inputs!$D$6*Inputs!$D$14*G796*(1-Inputs!$D$38*K796)</f>
        <v>11936.084999999999</v>
      </c>
      <c r="M796" s="39">
        <f>L796*Inputs!$D$11</f>
        <v>256625.82749999998</v>
      </c>
      <c r="N796" s="39">
        <f>M796*(1-Inputs!$D$17)</f>
        <v>89819.03962499999</v>
      </c>
      <c r="O796" s="35">
        <f>Inputs!$D$6*E796*Inputs!$D$27*Inputs!$D$30</f>
        <v>499.30465972139962</v>
      </c>
      <c r="P796" s="36">
        <f>O796/(C796*Inputs!$D$33)</f>
        <v>0.39008176540734346</v>
      </c>
      <c r="Q796" s="38">
        <f>IF(P796&gt;=1,999,P796/(Inputs!$D$33*(1-P796))*60)</f>
        <v>0.95934604824825165</v>
      </c>
      <c r="R796" s="37">
        <f>MIN(1,MAX(0,(Q796-Inputs!$D$36)/(Inputs!$D$37-Inputs!$D$36)))</f>
        <v>0</v>
      </c>
      <c r="S796" s="35">
        <f>Inputs!$D$6*E796*Inputs!$D$27*(1-Inputs!$D$38*R796)</f>
        <v>4160.8721643449971</v>
      </c>
      <c r="T796" s="39">
        <f>S796*Inputs!$D$12</f>
        <v>66573.954629519954</v>
      </c>
      <c r="U796" s="39">
        <f>T796*(1-Inputs!$D$18)</f>
        <v>29958.279583283977</v>
      </c>
      <c r="V796" s="35">
        <f>Inputs!$D$6*F796*Inputs!$D$28*Inputs!$D$31</f>
        <v>618.65468297412497</v>
      </c>
      <c r="W796" s="36">
        <f>V796/(B796*Inputs!$D$34)</f>
        <v>1.1783898723316666</v>
      </c>
      <c r="X796" s="38">
        <f>IF(W796&gt;=1,999,W796/(Inputs!$D$34*(1-W796))*60)</f>
        <v>999</v>
      </c>
      <c r="Y796" s="37">
        <f>MIN(1,MAX(0,(X796-Inputs!$D$36)/(Inputs!$D$37-Inputs!$D$36)))</f>
        <v>1</v>
      </c>
      <c r="Z796" s="35">
        <f>Inputs!$D$6*F796*Inputs!$D$28*(1-Inputs!$D$38*Y796)</f>
        <v>2617.3851971982212</v>
      </c>
      <c r="AA796" s="39">
        <f>Z796*Inputs!$D$13</f>
        <v>22247.774176184881</v>
      </c>
      <c r="AB796" s="39">
        <f>AA796*(1-Inputs!$D$19)</f>
        <v>13348.664505710929</v>
      </c>
      <c r="AC796" s="39">
        <f t="shared" si="48"/>
        <v>345447.55630570487</v>
      </c>
      <c r="AD796" s="39">
        <f t="shared" si="49"/>
        <v>133125.98371399491</v>
      </c>
      <c r="AE796" s="36">
        <f t="shared" si="50"/>
        <v>1.1783898723316666</v>
      </c>
      <c r="AF796" s="35">
        <f>IF(AND(AE796&lt;=Inputs!$D$35,C796&gt;=Inputs!$D$48*(A796+B796+C796),B796*Inputs!$D$22&lt;=Inputs!$D$50*Inputs!$D$8,B796*Inputs!$D$22&gt;=Inputs!$D$49*Inputs!$D$8,A796*Inputs!$D$20&lt;=Inputs!$D$47*Inputs!$D$8,C796&gt;=1),1,0)</f>
        <v>0</v>
      </c>
      <c r="AG796" s="39">
        <f t="shared" si="51"/>
        <v>-1</v>
      </c>
    </row>
    <row r="797" spans="1:33" x14ac:dyDescent="0.25">
      <c r="A797" s="35">
        <v>58</v>
      </c>
      <c r="B797" s="35">
        <v>16</v>
      </c>
      <c r="C797" s="35">
        <f>Inputs!$D$8-A797-Inputs!$D$22*B797</f>
        <v>30</v>
      </c>
      <c r="D797" s="35">
        <f>A797*Inputs!$D$20+C797*Inputs!$D$21+B797*Inputs!$D$22</f>
        <v>120</v>
      </c>
      <c r="E797" s="36">
        <f>MIN(Inputs!$E$15,Inputs!$D$15*(C797/Inputs!$D$43)^Inputs!$D$44)</f>
        <v>0.3432714897427589</v>
      </c>
      <c r="F797" s="36">
        <f>MIN(Inputs!$E$16,Inputs!$D$16*(B797/Inputs!$D$42)^Inputs!$D$44)</f>
        <v>0.37409937912904856</v>
      </c>
      <c r="G797" s="37">
        <f>Inputs!$D$26*(1+Inputs!$D$41*(B797-Inputs!$D$42))</f>
        <v>1.44</v>
      </c>
      <c r="H797" s="35">
        <f>Inputs!$D$6*Inputs!$D$14*G797*Inputs!$D$29</f>
        <v>1809.2592000000002</v>
      </c>
      <c r="I797" s="36">
        <f>H797/(A797*Inputs!$D$32)</f>
        <v>0.56716589341692791</v>
      </c>
      <c r="J797" s="38">
        <f>IF(I797&gt;=1,999,I797/(Inputs!$D$32*(1-I797))*60)</f>
        <v>1.42947706701425</v>
      </c>
      <c r="K797" s="37">
        <f>MIN(1,MAX(0,(J797-Inputs!$D$36)/(Inputs!$D$37-Inputs!$D$36)))</f>
        <v>0</v>
      </c>
      <c r="L797" s="35">
        <f>Inputs!$D$6*Inputs!$D$14*G797*(1-Inputs!$D$38*K797)</f>
        <v>12061.728000000001</v>
      </c>
      <c r="M797" s="39">
        <f>L797*Inputs!$D$11</f>
        <v>259327.15200000003</v>
      </c>
      <c r="N797" s="39">
        <f>M797*(1-Inputs!$D$17)</f>
        <v>90764.503200000006</v>
      </c>
      <c r="O797" s="35">
        <f>Inputs!$D$6*E797*Inputs!$D$27*Inputs!$D$30</f>
        <v>489.73033047044544</v>
      </c>
      <c r="P797" s="36">
        <f>O797/(C797*Inputs!$D$33)</f>
        <v>0.40810860872537119</v>
      </c>
      <c r="Q797" s="38">
        <f>IF(P797&gt;=1,999,P797/(Inputs!$D$33*(1-P797))*60)</f>
        <v>1.0342487187890559</v>
      </c>
      <c r="R797" s="37">
        <f>MIN(1,MAX(0,(Q797-Inputs!$D$36)/(Inputs!$D$37-Inputs!$D$36)))</f>
        <v>0</v>
      </c>
      <c r="S797" s="35">
        <f>Inputs!$D$6*E797*Inputs!$D$27*(1-Inputs!$D$38*R797)</f>
        <v>4081.0860872537123</v>
      </c>
      <c r="T797" s="39">
        <f>S797*Inputs!$D$12</f>
        <v>65297.377396059397</v>
      </c>
      <c r="U797" s="39">
        <f>T797*(1-Inputs!$D$18)</f>
        <v>29383.819828226726</v>
      </c>
      <c r="V797" s="35">
        <f>Inputs!$D$6*F797*Inputs!$D$28*Inputs!$D$31</f>
        <v>630.74950998177405</v>
      </c>
      <c r="W797" s="36">
        <f>V797/(B797*Inputs!$D$34)</f>
        <v>1.1263384106817393</v>
      </c>
      <c r="X797" s="38">
        <f>IF(W797&gt;=1,999,W797/(Inputs!$D$34*(1-W797))*60)</f>
        <v>999</v>
      </c>
      <c r="Y797" s="37">
        <f>MIN(1,MAX(0,(X797-Inputs!$D$36)/(Inputs!$D$37-Inputs!$D$36)))</f>
        <v>1</v>
      </c>
      <c r="Z797" s="35">
        <f>Inputs!$D$6*F797*Inputs!$D$28*(1-Inputs!$D$38*Y797)</f>
        <v>2668.5556191536598</v>
      </c>
      <c r="AA797" s="39">
        <f>Z797*Inputs!$D$13</f>
        <v>22682.722762806108</v>
      </c>
      <c r="AB797" s="39">
        <f>AA797*(1-Inputs!$D$19)</f>
        <v>13609.633657683664</v>
      </c>
      <c r="AC797" s="39">
        <f t="shared" si="48"/>
        <v>347307.25215886557</v>
      </c>
      <c r="AD797" s="39">
        <f t="shared" si="49"/>
        <v>133757.95668591041</v>
      </c>
      <c r="AE797" s="36">
        <f t="shared" si="50"/>
        <v>1.1263384106817393</v>
      </c>
      <c r="AF797" s="35">
        <f>IF(AND(AE797&lt;=Inputs!$D$35,C797&gt;=Inputs!$D$48*(A797+B797+C797),B797*Inputs!$D$22&lt;=Inputs!$D$50*Inputs!$D$8,B797*Inputs!$D$22&gt;=Inputs!$D$49*Inputs!$D$8,A797*Inputs!$D$20&lt;=Inputs!$D$47*Inputs!$D$8,C797&gt;=1),1,0)</f>
        <v>0</v>
      </c>
      <c r="AG797" s="39">
        <f t="shared" si="51"/>
        <v>-1</v>
      </c>
    </row>
    <row r="798" spans="1:33" x14ac:dyDescent="0.25">
      <c r="A798" s="35">
        <v>58</v>
      </c>
      <c r="B798" s="35">
        <v>17</v>
      </c>
      <c r="C798" s="35">
        <f>Inputs!$D$8-A798-Inputs!$D$22*B798</f>
        <v>28</v>
      </c>
      <c r="D798" s="35">
        <f>A798*Inputs!$D$20+C798*Inputs!$D$21+B798*Inputs!$D$22</f>
        <v>120</v>
      </c>
      <c r="E798" s="36">
        <f>MIN(Inputs!$E$15,Inputs!$D$15*(C798/Inputs!$D$43)^Inputs!$D$44)</f>
        <v>0.33623952833125714</v>
      </c>
      <c r="F798" s="36">
        <f>MIN(Inputs!$E$16,Inputs!$D$16*(B798/Inputs!$D$42)^Inputs!$D$44)</f>
        <v>0.3809655184437048</v>
      </c>
      <c r="G798" s="37">
        <f>Inputs!$D$26*(1+Inputs!$D$41*(B798-Inputs!$D$42))</f>
        <v>1.4550000000000001</v>
      </c>
      <c r="H798" s="35">
        <f>Inputs!$D$6*Inputs!$D$14*G798*Inputs!$D$29</f>
        <v>1828.1056500000002</v>
      </c>
      <c r="I798" s="36">
        <f>H798/(A798*Inputs!$D$32)</f>
        <v>0.57307387147335431</v>
      </c>
      <c r="J798" s="38">
        <f>IF(I798&gt;=1,999,I798/(Inputs!$D$32*(1-I798))*60)</f>
        <v>1.4643551995992006</v>
      </c>
      <c r="K798" s="37">
        <f>MIN(1,MAX(0,(J798-Inputs!$D$36)/(Inputs!$D$37-Inputs!$D$36)))</f>
        <v>0</v>
      </c>
      <c r="L798" s="35">
        <f>Inputs!$D$6*Inputs!$D$14*G798*(1-Inputs!$D$38*K798)</f>
        <v>12187.371000000001</v>
      </c>
      <c r="M798" s="39">
        <f>L798*Inputs!$D$11</f>
        <v>262028.47650000002</v>
      </c>
      <c r="N798" s="39">
        <f>M798*(1-Inputs!$D$17)</f>
        <v>91709.966775000008</v>
      </c>
      <c r="O798" s="35">
        <f>Inputs!$D$6*E798*Inputs!$D$27*Inputs!$D$30</f>
        <v>479.69814053095797</v>
      </c>
      <c r="P798" s="36">
        <f>O798/(C798*Inputs!$D$33)</f>
        <v>0.42830191118835531</v>
      </c>
      <c r="Q798" s="38">
        <f>IF(P798&gt;=1,999,P798/(Inputs!$D$33*(1-P798))*60)</f>
        <v>1.1237624882006552</v>
      </c>
      <c r="R798" s="37">
        <f>MIN(1,MAX(0,(Q798-Inputs!$D$36)/(Inputs!$D$37-Inputs!$D$36)))</f>
        <v>0</v>
      </c>
      <c r="S798" s="35">
        <f>Inputs!$D$6*E798*Inputs!$D$27*(1-Inputs!$D$38*R798)</f>
        <v>3997.4845044246499</v>
      </c>
      <c r="T798" s="39">
        <f>S798*Inputs!$D$12</f>
        <v>63959.752070794399</v>
      </c>
      <c r="U798" s="39">
        <f>T798*(1-Inputs!$D$18)</f>
        <v>28781.888431857478</v>
      </c>
      <c r="V798" s="35">
        <f>Inputs!$D$6*F798*Inputs!$D$28*Inputs!$D$31</f>
        <v>642.32615044097156</v>
      </c>
      <c r="W798" s="36">
        <f>V798/(B798*Inputs!$D$34)</f>
        <v>1.0795397486402882</v>
      </c>
      <c r="X798" s="38">
        <f>IF(W798&gt;=1,999,W798/(Inputs!$D$34*(1-W798))*60)</f>
        <v>999</v>
      </c>
      <c r="Y798" s="37">
        <f>MIN(1,MAX(0,(X798-Inputs!$D$36)/(Inputs!$D$37-Inputs!$D$36)))</f>
        <v>1</v>
      </c>
      <c r="Z798" s="35">
        <f>Inputs!$D$6*F798*Inputs!$D$28*(1-Inputs!$D$38*Y798)</f>
        <v>2717.5337134041106</v>
      </c>
      <c r="AA798" s="39">
        <f>Z798*Inputs!$D$13</f>
        <v>23099.03656393494</v>
      </c>
      <c r="AB798" s="39">
        <f>AA798*(1-Inputs!$D$19)</f>
        <v>13859.421938360963</v>
      </c>
      <c r="AC798" s="39">
        <f t="shared" si="48"/>
        <v>349087.26513472933</v>
      </c>
      <c r="AD798" s="39">
        <f t="shared" si="49"/>
        <v>134351.27714521845</v>
      </c>
      <c r="AE798" s="36">
        <f t="shared" si="50"/>
        <v>1.0795397486402882</v>
      </c>
      <c r="AF798" s="35">
        <f>IF(AND(AE798&lt;=Inputs!$D$35,C798&gt;=Inputs!$D$48*(A798+B798+C798),B798*Inputs!$D$22&lt;=Inputs!$D$50*Inputs!$D$8,B798*Inputs!$D$22&gt;=Inputs!$D$49*Inputs!$D$8,A798*Inputs!$D$20&lt;=Inputs!$D$47*Inputs!$D$8,C798&gt;=1),1,0)</f>
        <v>0</v>
      </c>
      <c r="AG798" s="39">
        <f t="shared" si="51"/>
        <v>-1</v>
      </c>
    </row>
    <row r="799" spans="1:33" x14ac:dyDescent="0.25">
      <c r="A799" s="35">
        <v>58</v>
      </c>
      <c r="B799" s="35">
        <v>18</v>
      </c>
      <c r="C799" s="35">
        <f>Inputs!$D$8-A799-Inputs!$D$22*B799</f>
        <v>26</v>
      </c>
      <c r="D799" s="35">
        <f>A799*Inputs!$D$20+C799*Inputs!$D$21+B799*Inputs!$D$22</f>
        <v>120</v>
      </c>
      <c r="E799" s="36">
        <f>MIN(Inputs!$E$15,Inputs!$D$15*(C799/Inputs!$D$43)^Inputs!$D$44)</f>
        <v>0.32884660514387515</v>
      </c>
      <c r="F799" s="36">
        <f>MIN(Inputs!$E$16,Inputs!$D$16*(B799/Inputs!$D$42)^Inputs!$D$44)</f>
        <v>0.38755446447890535</v>
      </c>
      <c r="G799" s="37">
        <f>Inputs!$D$26*(1+Inputs!$D$41*(B799-Inputs!$D$42))</f>
        <v>1.47</v>
      </c>
      <c r="H799" s="35">
        <f>Inputs!$D$6*Inputs!$D$14*G799*Inputs!$D$29</f>
        <v>1846.9521</v>
      </c>
      <c r="I799" s="36">
        <f>H799/(A799*Inputs!$D$32)</f>
        <v>0.5789818495297806</v>
      </c>
      <c r="J799" s="38">
        <f>IF(I799&gt;=1,999,I799/(Inputs!$D$32*(1-I799))*60)</f>
        <v>1.5002121937450157</v>
      </c>
      <c r="K799" s="37">
        <f>MIN(1,MAX(0,(J799-Inputs!$D$36)/(Inputs!$D$37-Inputs!$D$36)))</f>
        <v>0</v>
      </c>
      <c r="L799" s="35">
        <f>Inputs!$D$6*Inputs!$D$14*G799*(1-Inputs!$D$38*K799)</f>
        <v>12313.014000000001</v>
      </c>
      <c r="M799" s="39">
        <f>L799*Inputs!$D$11</f>
        <v>264729.80100000004</v>
      </c>
      <c r="N799" s="39">
        <f>M799*(1-Inputs!$D$17)</f>
        <v>92655.43035000001</v>
      </c>
      <c r="O799" s="35">
        <f>Inputs!$D$6*E799*Inputs!$D$27*Inputs!$D$30</f>
        <v>469.15098230814039</v>
      </c>
      <c r="P799" s="36">
        <f>O799/(C799*Inputs!$D$33)</f>
        <v>0.45110671375782729</v>
      </c>
      <c r="Q799" s="38">
        <f>IF(P799&gt;=1,999,P799/(Inputs!$D$33*(1-P799))*60)</f>
        <v>1.2327716290160586</v>
      </c>
      <c r="R799" s="37">
        <f>MIN(1,MAX(0,(Q799-Inputs!$D$36)/(Inputs!$D$37-Inputs!$D$36)))</f>
        <v>0</v>
      </c>
      <c r="S799" s="35">
        <f>Inputs!$D$6*E799*Inputs!$D$27*(1-Inputs!$D$38*R799)</f>
        <v>3909.5915192345033</v>
      </c>
      <c r="T799" s="39">
        <f>S799*Inputs!$D$12</f>
        <v>62553.464307752052</v>
      </c>
      <c r="U799" s="39">
        <f>T799*(1-Inputs!$D$18)</f>
        <v>28149.058938488422</v>
      </c>
      <c r="V799" s="35">
        <f>Inputs!$D$6*F799*Inputs!$D$28*Inputs!$D$31</f>
        <v>653.43542972572936</v>
      </c>
      <c r="W799" s="36">
        <f>V799/(B799*Inputs!$D$34)</f>
        <v>1.037199094802745</v>
      </c>
      <c r="X799" s="38">
        <f>IF(W799&gt;=1,999,W799/(Inputs!$D$34*(1-W799))*60)</f>
        <v>999</v>
      </c>
      <c r="Y799" s="37">
        <f>MIN(1,MAX(0,(X799-Inputs!$D$36)/(Inputs!$D$37-Inputs!$D$36)))</f>
        <v>1</v>
      </c>
      <c r="Z799" s="35">
        <f>Inputs!$D$6*F799*Inputs!$D$28*(1-Inputs!$D$38*Y799)</f>
        <v>2764.534510378086</v>
      </c>
      <c r="AA799" s="39">
        <f>Z799*Inputs!$D$13</f>
        <v>23498.543338213731</v>
      </c>
      <c r="AB799" s="39">
        <f>AA799*(1-Inputs!$D$19)</f>
        <v>14099.126002928238</v>
      </c>
      <c r="AC799" s="39">
        <f t="shared" si="48"/>
        <v>350781.80864596582</v>
      </c>
      <c r="AD799" s="39">
        <f t="shared" si="49"/>
        <v>134903.61529141667</v>
      </c>
      <c r="AE799" s="36">
        <f t="shared" si="50"/>
        <v>1.037199094802745</v>
      </c>
      <c r="AF799" s="35">
        <f>IF(AND(AE799&lt;=Inputs!$D$35,C799&gt;=Inputs!$D$48*(A799+B799+C799),B799*Inputs!$D$22&lt;=Inputs!$D$50*Inputs!$D$8,B799*Inputs!$D$22&gt;=Inputs!$D$49*Inputs!$D$8,A799*Inputs!$D$20&lt;=Inputs!$D$47*Inputs!$D$8,C799&gt;=1),1,0)</f>
        <v>0</v>
      </c>
      <c r="AG799" s="39">
        <f t="shared" si="51"/>
        <v>-1</v>
      </c>
    </row>
    <row r="800" spans="1:33" x14ac:dyDescent="0.25">
      <c r="A800" s="35">
        <v>58</v>
      </c>
      <c r="B800" s="35">
        <v>19</v>
      </c>
      <c r="C800" s="35">
        <f>Inputs!$D$8-A800-Inputs!$D$22*B800</f>
        <v>24</v>
      </c>
      <c r="D800" s="35">
        <f>A800*Inputs!$D$20+C800*Inputs!$D$21+B800*Inputs!$D$22</f>
        <v>120</v>
      </c>
      <c r="E800" s="36">
        <f>MIN(Inputs!$E$15,Inputs!$D$15*(C800/Inputs!$D$43)^Inputs!$D$44)</f>
        <v>0.32104412796367415</v>
      </c>
      <c r="F800" s="36">
        <f>MIN(Inputs!$E$16,Inputs!$D$16*(B800/Inputs!$D$42)^Inputs!$D$44)</f>
        <v>0.39389192072703005</v>
      </c>
      <c r="G800" s="37">
        <f>Inputs!$D$26*(1+Inputs!$D$41*(B800-Inputs!$D$42))</f>
        <v>1.4849999999999999</v>
      </c>
      <c r="H800" s="35">
        <f>Inputs!$D$6*Inputs!$D$14*G800*Inputs!$D$29</f>
        <v>1865.7985499999998</v>
      </c>
      <c r="I800" s="36">
        <f>H800/(A800*Inputs!$D$32)</f>
        <v>0.58488982758620678</v>
      </c>
      <c r="J800" s="38">
        <f>IF(I800&gt;=1,999,I800/(Inputs!$D$32*(1-I800))*60)</f>
        <v>1.5370898438451333</v>
      </c>
      <c r="K800" s="37">
        <f>MIN(1,MAX(0,(J800-Inputs!$D$36)/(Inputs!$D$37-Inputs!$D$36)))</f>
        <v>0</v>
      </c>
      <c r="L800" s="35">
        <f>Inputs!$D$6*Inputs!$D$14*G800*(1-Inputs!$D$38*K800)</f>
        <v>12438.656999999999</v>
      </c>
      <c r="M800" s="39">
        <f>L800*Inputs!$D$11</f>
        <v>267431.12549999997</v>
      </c>
      <c r="N800" s="39">
        <f>M800*(1-Inputs!$D$17)</f>
        <v>93600.893924999982</v>
      </c>
      <c r="O800" s="35">
        <f>Inputs!$D$6*E800*Inputs!$D$27*Inputs!$D$30</f>
        <v>458.01953142414351</v>
      </c>
      <c r="P800" s="36">
        <f>O800/(C800*Inputs!$D$33)</f>
        <v>0.47710367856681618</v>
      </c>
      <c r="Q800" s="38">
        <f>IF(P800&gt;=1,999,P800/(Inputs!$D$33*(1-P800))*60)</f>
        <v>1.3686375071232384</v>
      </c>
      <c r="R800" s="37">
        <f>MIN(1,MAX(0,(Q800-Inputs!$D$36)/(Inputs!$D$37-Inputs!$D$36)))</f>
        <v>0</v>
      </c>
      <c r="S800" s="35">
        <f>Inputs!$D$6*E800*Inputs!$D$27*(1-Inputs!$D$38*R800)</f>
        <v>3816.8294285345296</v>
      </c>
      <c r="T800" s="39">
        <f>S800*Inputs!$D$12</f>
        <v>61069.270856552474</v>
      </c>
      <c r="U800" s="39">
        <f>T800*(1-Inputs!$D$18)</f>
        <v>27481.17188544861</v>
      </c>
      <c r="V800" s="35">
        <f>Inputs!$D$6*F800*Inputs!$D$28*Inputs!$D$31</f>
        <v>664.12068515796761</v>
      </c>
      <c r="W800" s="36">
        <f>V800/(B800*Inputs!$D$34)</f>
        <v>0.99867772204205651</v>
      </c>
      <c r="X800" s="38">
        <f>IF(W800&gt;=1,999,W800/(Inputs!$D$34*(1-W800))*60)</f>
        <v>1294.749671797274</v>
      </c>
      <c r="Y800" s="37">
        <f>MIN(1,MAX(0,(X800-Inputs!$D$36)/(Inputs!$D$37-Inputs!$D$36)))</f>
        <v>1</v>
      </c>
      <c r="Z800" s="35">
        <f>Inputs!$D$6*F800*Inputs!$D$28*(1-Inputs!$D$38*Y800)</f>
        <v>2809.7413602837091</v>
      </c>
      <c r="AA800" s="39">
        <f>Z800*Inputs!$D$13</f>
        <v>23882.801562411529</v>
      </c>
      <c r="AB800" s="39">
        <f>AA800*(1-Inputs!$D$19)</f>
        <v>14329.680937446918</v>
      </c>
      <c r="AC800" s="39">
        <f t="shared" si="48"/>
        <v>352383.19791896397</v>
      </c>
      <c r="AD800" s="39">
        <f t="shared" si="49"/>
        <v>135411.74674789552</v>
      </c>
      <c r="AE800" s="36">
        <f t="shared" si="50"/>
        <v>0.99867772204205651</v>
      </c>
      <c r="AF800" s="35">
        <f>IF(AND(AE800&lt;=Inputs!$D$35,C800&gt;=Inputs!$D$48*(A800+B800+C800),B800*Inputs!$D$22&lt;=Inputs!$D$50*Inputs!$D$8,B800*Inputs!$D$22&gt;=Inputs!$D$49*Inputs!$D$8,A800*Inputs!$D$20&lt;=Inputs!$D$47*Inputs!$D$8,C800&gt;=1),1,0)</f>
        <v>0</v>
      </c>
      <c r="AG800" s="39">
        <f t="shared" si="51"/>
        <v>-1</v>
      </c>
    </row>
    <row r="801" spans="1:33" x14ac:dyDescent="0.25">
      <c r="A801" s="35">
        <v>58</v>
      </c>
      <c r="B801" s="35">
        <v>20</v>
      </c>
      <c r="C801" s="35">
        <f>Inputs!$D$8-A801-Inputs!$D$22*B801</f>
        <v>22</v>
      </c>
      <c r="D801" s="35">
        <f>A801*Inputs!$D$20+C801*Inputs!$D$21+B801*Inputs!$D$22</f>
        <v>120</v>
      </c>
      <c r="E801" s="36">
        <f>MIN(Inputs!$E$15,Inputs!$D$15*(C801/Inputs!$D$43)^Inputs!$D$44)</f>
        <v>0.31277221277221301</v>
      </c>
      <c r="F801" s="36">
        <f>MIN(Inputs!$E$16,Inputs!$D$16*(B801/Inputs!$D$42)^Inputs!$D$44)</f>
        <v>0.4</v>
      </c>
      <c r="G801" s="37">
        <f>Inputs!$D$26*(1+Inputs!$D$41*(B801-Inputs!$D$42))</f>
        <v>1.5</v>
      </c>
      <c r="H801" s="35">
        <f>Inputs!$D$6*Inputs!$D$14*G801*Inputs!$D$29</f>
        <v>1884.645</v>
      </c>
      <c r="I801" s="36">
        <f>H801/(A801*Inputs!$D$32)</f>
        <v>0.59079780564263318</v>
      </c>
      <c r="J801" s="38">
        <f>IF(I801&gt;=1,999,I801/(Inputs!$D$32*(1-I801))*60)</f>
        <v>1.5750323579688001</v>
      </c>
      <c r="K801" s="37">
        <f>MIN(1,MAX(0,(J801-Inputs!$D$36)/(Inputs!$D$37-Inputs!$D$36)))</f>
        <v>0</v>
      </c>
      <c r="L801" s="35">
        <f>Inputs!$D$6*Inputs!$D$14*G801*(1-Inputs!$D$38*K801)</f>
        <v>12564.300000000001</v>
      </c>
      <c r="M801" s="39">
        <f>L801*Inputs!$D$11</f>
        <v>270132.45</v>
      </c>
      <c r="N801" s="39">
        <f>M801*(1-Inputs!$D$17)</f>
        <v>94546.357499999998</v>
      </c>
      <c r="O801" s="35">
        <f>Inputs!$D$6*E801*Inputs!$D$27*Inputs!$D$30</f>
        <v>446.21835398475434</v>
      </c>
      <c r="P801" s="36">
        <f>O801/(C801*Inputs!$D$33)</f>
        <v>0.50706631134631175</v>
      </c>
      <c r="Q801" s="38">
        <f>IF(P801&gt;=1,999,P801/(Inputs!$D$33*(1-P801))*60)</f>
        <v>1.543005650713049</v>
      </c>
      <c r="R801" s="37">
        <f>MIN(1,MAX(0,(Q801-Inputs!$D$36)/(Inputs!$D$37-Inputs!$D$36)))</f>
        <v>0</v>
      </c>
      <c r="S801" s="35">
        <f>Inputs!$D$6*E801*Inputs!$D$27*(1-Inputs!$D$38*R801)</f>
        <v>3718.4862832062863</v>
      </c>
      <c r="T801" s="39">
        <f>S801*Inputs!$D$12</f>
        <v>59495.780531300581</v>
      </c>
      <c r="U801" s="39">
        <f>T801*(1-Inputs!$D$18)</f>
        <v>26773.101239085259</v>
      </c>
      <c r="V801" s="35">
        <f>Inputs!$D$6*F801*Inputs!$D$28*Inputs!$D$31</f>
        <v>674.41919999999993</v>
      </c>
      <c r="W801" s="36">
        <f>V801/(B801*Inputs!$D$34)</f>
        <v>0.96345599999999987</v>
      </c>
      <c r="X801" s="38">
        <f>IF(W801&gt;=1,999,W801/(Inputs!$D$34*(1-W801))*60)</f>
        <v>45.195896922691851</v>
      </c>
      <c r="Y801" s="37">
        <f>MIN(1,MAX(0,(X801-Inputs!$D$36)/(Inputs!$D$37-Inputs!$D$36)))</f>
        <v>1</v>
      </c>
      <c r="Z801" s="35">
        <f>Inputs!$D$6*F801*Inputs!$D$28*(1-Inputs!$D$38*Y801)</f>
        <v>2853.3119999999999</v>
      </c>
      <c r="AA801" s="39">
        <f>Z801*Inputs!$D$13</f>
        <v>24253.151999999998</v>
      </c>
      <c r="AB801" s="39">
        <f>AA801*(1-Inputs!$D$19)</f>
        <v>14551.891199999998</v>
      </c>
      <c r="AC801" s="39">
        <f t="shared" si="48"/>
        <v>353881.38253130059</v>
      </c>
      <c r="AD801" s="39">
        <f t="shared" si="49"/>
        <v>135871.34993908525</v>
      </c>
      <c r="AE801" s="36">
        <f t="shared" si="50"/>
        <v>0.96345599999999987</v>
      </c>
      <c r="AF801" s="35">
        <f>IF(AND(AE801&lt;=Inputs!$D$35,C801&gt;=Inputs!$D$48*(A801+B801+C801),B801*Inputs!$D$22&lt;=Inputs!$D$50*Inputs!$D$8,B801*Inputs!$D$22&gt;=Inputs!$D$49*Inputs!$D$8,A801*Inputs!$D$20&lt;=Inputs!$D$47*Inputs!$D$8,C801&gt;=1),1,0)</f>
        <v>0</v>
      </c>
      <c r="AG801" s="39">
        <f t="shared" si="51"/>
        <v>-1</v>
      </c>
    </row>
    <row r="802" spans="1:33" x14ac:dyDescent="0.25">
      <c r="A802" s="35">
        <v>58</v>
      </c>
      <c r="B802" s="35">
        <v>21</v>
      </c>
      <c r="C802" s="35">
        <f>Inputs!$D$8-A802-Inputs!$D$22*B802</f>
        <v>20</v>
      </c>
      <c r="D802" s="35">
        <f>A802*Inputs!$D$20+C802*Inputs!$D$21+B802*Inputs!$D$22</f>
        <v>120</v>
      </c>
      <c r="E802" s="36">
        <f>MIN(Inputs!$E$15,Inputs!$D$15*(C802/Inputs!$D$43)^Inputs!$D$44)</f>
        <v>0.30395574554235194</v>
      </c>
      <c r="F802" s="36">
        <f>MIN(Inputs!$E$16,Inputs!$D$16*(B802/Inputs!$D$42)^Inputs!$D$44)</f>
        <v>0.40589787816896217</v>
      </c>
      <c r="G802" s="37">
        <f>Inputs!$D$26*(1+Inputs!$D$41*(B802-Inputs!$D$42))</f>
        <v>1.5150000000000001</v>
      </c>
      <c r="H802" s="35">
        <f>Inputs!$D$6*Inputs!$D$14*G802*Inputs!$D$29</f>
        <v>1903.4914500000004</v>
      </c>
      <c r="I802" s="36">
        <f>H802/(A802*Inputs!$D$32)</f>
        <v>0.59670578369905969</v>
      </c>
      <c r="J802" s="38">
        <f>IF(I802&gt;=1,999,I802/(Inputs!$D$32*(1-I802))*60)</f>
        <v>1.6140865346543778</v>
      </c>
      <c r="K802" s="37">
        <f>MIN(1,MAX(0,(J802-Inputs!$D$36)/(Inputs!$D$37-Inputs!$D$36)))</f>
        <v>0</v>
      </c>
      <c r="L802" s="35">
        <f>Inputs!$D$6*Inputs!$D$14*G802*(1-Inputs!$D$38*K802)</f>
        <v>12689.943000000003</v>
      </c>
      <c r="M802" s="39">
        <f>L802*Inputs!$D$11</f>
        <v>272833.77450000006</v>
      </c>
      <c r="N802" s="39">
        <f>M802*(1-Inputs!$D$17)</f>
        <v>95491.821075000014</v>
      </c>
      <c r="O802" s="35">
        <f>Inputs!$D$6*E802*Inputs!$D$27*Inputs!$D$30</f>
        <v>433.64028811246965</v>
      </c>
      <c r="P802" s="36">
        <f>O802/(C802*Inputs!$D$33)</f>
        <v>0.54205036014058705</v>
      </c>
      <c r="Q802" s="38">
        <f>IF(P802&gt;=1,999,P802/(Inputs!$D$33*(1-P802))*60)</f>
        <v>1.7754693299038049</v>
      </c>
      <c r="R802" s="37">
        <f>MIN(1,MAX(0,(Q802-Inputs!$D$36)/(Inputs!$D$37-Inputs!$D$36)))</f>
        <v>0</v>
      </c>
      <c r="S802" s="35">
        <f>Inputs!$D$6*E802*Inputs!$D$27*(1-Inputs!$D$38*R802)</f>
        <v>3613.6690676039138</v>
      </c>
      <c r="T802" s="39">
        <f>S802*Inputs!$D$12</f>
        <v>57818.705081662622</v>
      </c>
      <c r="U802" s="39">
        <f>T802*(1-Inputs!$D$18)</f>
        <v>26018.417286748176</v>
      </c>
      <c r="V802" s="35">
        <f>Inputs!$D$6*F802*Inputs!$D$28*Inputs!$D$31</f>
        <v>684.36330569102222</v>
      </c>
      <c r="W802" s="36">
        <f>V802/(B802*Inputs!$D$34)</f>
        <v>0.93110653835513224</v>
      </c>
      <c r="X802" s="38">
        <f>IF(W802&gt;=1,999,W802/(Inputs!$D$34*(1-W802))*60)</f>
        <v>23.16885520150278</v>
      </c>
      <c r="Y802" s="37">
        <f>MIN(1,MAX(0,(X802-Inputs!$D$36)/(Inputs!$D$37-Inputs!$D$36)))</f>
        <v>1</v>
      </c>
      <c r="Z802" s="35">
        <f>Inputs!$D$6*F802*Inputs!$D$28*(1-Inputs!$D$38*Y802)</f>
        <v>2895.3832163850943</v>
      </c>
      <c r="AA802" s="39">
        <f>Z802*Inputs!$D$13</f>
        <v>24610.757339273303</v>
      </c>
      <c r="AB802" s="39">
        <f>AA802*(1-Inputs!$D$19)</f>
        <v>14766.454403563981</v>
      </c>
      <c r="AC802" s="39">
        <f t="shared" si="48"/>
        <v>355263.23692093597</v>
      </c>
      <c r="AD802" s="39">
        <f t="shared" si="49"/>
        <v>136276.69276531218</v>
      </c>
      <c r="AE802" s="36">
        <f t="shared" si="50"/>
        <v>0.93110653835513224</v>
      </c>
      <c r="AF802" s="35">
        <f>IF(AND(AE802&lt;=Inputs!$D$35,C802&gt;=Inputs!$D$48*(A802+B802+C802),B802*Inputs!$D$22&lt;=Inputs!$D$50*Inputs!$D$8,B802*Inputs!$D$22&gt;=Inputs!$D$49*Inputs!$D$8,A802*Inputs!$D$20&lt;=Inputs!$D$47*Inputs!$D$8,C802&gt;=1),1,0)</f>
        <v>0</v>
      </c>
      <c r="AG802" s="39">
        <f t="shared" si="51"/>
        <v>-1</v>
      </c>
    </row>
    <row r="803" spans="1:33" x14ac:dyDescent="0.25">
      <c r="A803" s="35">
        <v>58</v>
      </c>
      <c r="B803" s="35">
        <v>22</v>
      </c>
      <c r="C803" s="35">
        <f>Inputs!$D$8-A803-Inputs!$D$22*B803</f>
        <v>18</v>
      </c>
      <c r="D803" s="35">
        <f>A803*Inputs!$D$20+C803*Inputs!$D$21+B803*Inputs!$D$22</f>
        <v>120</v>
      </c>
      <c r="E803" s="36">
        <f>MIN(Inputs!$E$15,Inputs!$D$15*(C803/Inputs!$D$43)^Inputs!$D$44)</f>
        <v>0.29449851547238159</v>
      </c>
      <c r="F803" s="36">
        <f>MIN(Inputs!$E$16,Inputs!$D$16*(B803/Inputs!$D$42)^Inputs!$D$44)</f>
        <v>0.41160230376843804</v>
      </c>
      <c r="G803" s="37">
        <f>Inputs!$D$26*(1+Inputs!$D$41*(B803-Inputs!$D$42))</f>
        <v>1.53</v>
      </c>
      <c r="H803" s="35">
        <f>Inputs!$D$6*Inputs!$D$14*G803*Inputs!$D$29</f>
        <v>1922.3379</v>
      </c>
      <c r="I803" s="36">
        <f>H803/(A803*Inputs!$D$32)</f>
        <v>0.60261376175548587</v>
      </c>
      <c r="J803" s="38">
        <f>IF(I803&gt;=1,999,I803/(Inputs!$D$32*(1-I803))*60)</f>
        <v>1.6543019554730638</v>
      </c>
      <c r="K803" s="37">
        <f>MIN(1,MAX(0,(J803-Inputs!$D$36)/(Inputs!$D$37-Inputs!$D$36)))</f>
        <v>0</v>
      </c>
      <c r="L803" s="35">
        <f>Inputs!$D$6*Inputs!$D$14*G803*(1-Inputs!$D$38*K803)</f>
        <v>12815.586000000001</v>
      </c>
      <c r="M803" s="39">
        <f>L803*Inputs!$D$11</f>
        <v>275535.09900000005</v>
      </c>
      <c r="N803" s="39">
        <f>M803*(1-Inputs!$D$17)</f>
        <v>96437.284650000016</v>
      </c>
      <c r="O803" s="35">
        <f>Inputs!$D$6*E803*Inputs!$D$27*Inputs!$D$30</f>
        <v>420.14807408976606</v>
      </c>
      <c r="P803" s="36">
        <f>O803/(C803*Inputs!$D$33)</f>
        <v>0.58353899179134172</v>
      </c>
      <c r="Q803" s="38">
        <f>IF(P803&gt;=1,999,P803/(Inputs!$D$33*(1-P803))*60)</f>
        <v>2.1017777665477375</v>
      </c>
      <c r="R803" s="37">
        <f>MIN(1,MAX(0,(Q803-Inputs!$D$36)/(Inputs!$D$37-Inputs!$D$36)))</f>
        <v>0</v>
      </c>
      <c r="S803" s="35">
        <f>Inputs!$D$6*E803*Inputs!$D$27*(1-Inputs!$D$38*R803)</f>
        <v>3501.2339507480506</v>
      </c>
      <c r="T803" s="39">
        <f>S803*Inputs!$D$12</f>
        <v>56019.743211968809</v>
      </c>
      <c r="U803" s="39">
        <f>T803*(1-Inputs!$D$18)</f>
        <v>25208.88444538596</v>
      </c>
      <c r="V803" s="35">
        <f>Inputs!$D$6*F803*Inputs!$D$28*Inputs!$D$31</f>
        <v>693.98124106416742</v>
      </c>
      <c r="W803" s="36">
        <f>V803/(B803*Inputs!$D$34)</f>
        <v>0.90127433904437326</v>
      </c>
      <c r="X803" s="38">
        <f>IF(W803&gt;=1,999,W803/(Inputs!$D$34*(1-W803))*60)</f>
        <v>15.649849381818807</v>
      </c>
      <c r="Y803" s="37">
        <f>MIN(1,MAX(0,(X803-Inputs!$D$36)/(Inputs!$D$37-Inputs!$D$36)))</f>
        <v>0.70998995878792048</v>
      </c>
      <c r="Z803" s="35">
        <f>Inputs!$D$6*F803*Inputs!$D$28*(1-Inputs!$D$38*Y803)</f>
        <v>3632.749002537963</v>
      </c>
      <c r="AA803" s="39">
        <f>Z803*Inputs!$D$13</f>
        <v>30878.366521572687</v>
      </c>
      <c r="AB803" s="39">
        <f>AA803*(1-Inputs!$D$19)</f>
        <v>18527.019912943611</v>
      </c>
      <c r="AC803" s="39">
        <f t="shared" si="48"/>
        <v>362433.20873354154</v>
      </c>
      <c r="AD803" s="39">
        <f t="shared" si="49"/>
        <v>140173.18900832959</v>
      </c>
      <c r="AE803" s="36">
        <f t="shared" si="50"/>
        <v>0.90127433904437326</v>
      </c>
      <c r="AF803" s="35">
        <f>IF(AND(AE803&lt;=Inputs!$D$35,C803&gt;=Inputs!$D$48*(A803+B803+C803),B803*Inputs!$D$22&lt;=Inputs!$D$50*Inputs!$D$8,B803*Inputs!$D$22&gt;=Inputs!$D$49*Inputs!$D$8,A803*Inputs!$D$20&lt;=Inputs!$D$47*Inputs!$D$8,C803&gt;=1),1,0)</f>
        <v>0</v>
      </c>
      <c r="AG803" s="39">
        <f t="shared" si="51"/>
        <v>-1</v>
      </c>
    </row>
    <row r="804" spans="1:33" x14ac:dyDescent="0.25">
      <c r="A804" s="35">
        <v>58</v>
      </c>
      <c r="B804" s="35">
        <v>23</v>
      </c>
      <c r="C804" s="35">
        <f>Inputs!$D$8-A804-Inputs!$D$22*B804</f>
        <v>16</v>
      </c>
      <c r="D804" s="35">
        <f>A804*Inputs!$D$20+C804*Inputs!$D$21+B804*Inputs!$D$22</f>
        <v>120</v>
      </c>
      <c r="E804" s="36">
        <f>MIN(Inputs!$E$15,Inputs!$D$15*(C804/Inputs!$D$43)^Inputs!$D$44)</f>
        <v>0.2842741392252523</v>
      </c>
      <c r="F804" s="36">
        <f>MIN(Inputs!$E$16,Inputs!$D$16*(B804/Inputs!$D$42)^Inputs!$D$44)</f>
        <v>0.41712800028621322</v>
      </c>
      <c r="G804" s="37">
        <f>Inputs!$D$26*(1+Inputs!$D$41*(B804-Inputs!$D$42))</f>
        <v>1.5449999999999999</v>
      </c>
      <c r="H804" s="35">
        <f>Inputs!$D$6*Inputs!$D$14*G804*Inputs!$D$29</f>
        <v>1941.18435</v>
      </c>
      <c r="I804" s="36">
        <f>H804/(A804*Inputs!$D$32)</f>
        <v>0.60852173981191227</v>
      </c>
      <c r="J804" s="38">
        <f>IF(I804&gt;=1,999,I804/(Inputs!$D$32*(1-I804))*60)</f>
        <v>1.6957311950290299</v>
      </c>
      <c r="K804" s="37">
        <f>MIN(1,MAX(0,(J804-Inputs!$D$36)/(Inputs!$D$37-Inputs!$D$36)))</f>
        <v>0</v>
      </c>
      <c r="L804" s="35">
        <f>Inputs!$D$6*Inputs!$D$14*G804*(1-Inputs!$D$38*K804)</f>
        <v>12941.229000000001</v>
      </c>
      <c r="M804" s="39">
        <f>L804*Inputs!$D$11</f>
        <v>278236.42350000003</v>
      </c>
      <c r="N804" s="39">
        <f>M804*(1-Inputs!$D$17)</f>
        <v>97382.748225000003</v>
      </c>
      <c r="O804" s="35">
        <f>Inputs!$D$6*E804*Inputs!$D$27*Inputs!$D$30</f>
        <v>405.56140637054153</v>
      </c>
      <c r="P804" s="36">
        <f>O804/(C804*Inputs!$D$33)</f>
        <v>0.63368969745397119</v>
      </c>
      <c r="Q804" s="38">
        <f>IF(P804&gt;=1,999,P804/(Inputs!$D$33*(1-P804))*60)</f>
        <v>2.5948889222451426</v>
      </c>
      <c r="R804" s="37">
        <f>MIN(1,MAX(0,(Q804-Inputs!$D$36)/(Inputs!$D$37-Inputs!$D$36)))</f>
        <v>0</v>
      </c>
      <c r="S804" s="35">
        <f>Inputs!$D$6*E804*Inputs!$D$27*(1-Inputs!$D$38*R804)</f>
        <v>3379.6783864211798</v>
      </c>
      <c r="T804" s="39">
        <f>S804*Inputs!$D$12</f>
        <v>54074.854182738876</v>
      </c>
      <c r="U804" s="39">
        <f>T804*(1-Inputs!$D$18)</f>
        <v>24333.684382232492</v>
      </c>
      <c r="V804" s="35">
        <f>Inputs!$D$6*F804*Inputs!$D$28*Inputs!$D$31</f>
        <v>703.29783062656929</v>
      </c>
      <c r="W804" s="36">
        <f>V804/(B804*Inputs!$D$34)</f>
        <v>0.87366190139946498</v>
      </c>
      <c r="X804" s="38">
        <f>IF(W804&gt;=1,999,W804/(Inputs!$D$34*(1-W804))*60)</f>
        <v>11.854746377182334</v>
      </c>
      <c r="Y804" s="37">
        <f>MIN(1,MAX(0,(X804-Inputs!$D$36)/(Inputs!$D$37-Inputs!$D$36)))</f>
        <v>0.45698309181215557</v>
      </c>
      <c r="Z804" s="35">
        <f>Inputs!$D$6*F804*Inputs!$D$28*(1-Inputs!$D$38*Y804)</f>
        <v>4297.4614071503011</v>
      </c>
      <c r="AA804" s="39">
        <f>Z804*Inputs!$D$13</f>
        <v>36528.421960777559</v>
      </c>
      <c r="AB804" s="39">
        <f>AA804*(1-Inputs!$D$19)</f>
        <v>21917.053176466536</v>
      </c>
      <c r="AC804" s="39">
        <f t="shared" si="48"/>
        <v>368839.69964351645</v>
      </c>
      <c r="AD804" s="39">
        <f t="shared" si="49"/>
        <v>143633.48578369903</v>
      </c>
      <c r="AE804" s="36">
        <f t="shared" si="50"/>
        <v>0.87366190139946498</v>
      </c>
      <c r="AF804" s="35">
        <f>IF(AND(AE804&lt;=Inputs!$D$35,C804&gt;=Inputs!$D$48*(A804+B804+C804),B804*Inputs!$D$22&lt;=Inputs!$D$50*Inputs!$D$8,B804*Inputs!$D$22&gt;=Inputs!$D$49*Inputs!$D$8,A804*Inputs!$D$20&lt;=Inputs!$D$47*Inputs!$D$8,C804&gt;=1),1,0)</f>
        <v>0</v>
      </c>
      <c r="AG804" s="39">
        <f t="shared" si="51"/>
        <v>-1</v>
      </c>
    </row>
    <row r="805" spans="1:33" x14ac:dyDescent="0.25">
      <c r="A805" s="35">
        <v>58</v>
      </c>
      <c r="B805" s="35">
        <v>24</v>
      </c>
      <c r="C805" s="35">
        <f>Inputs!$D$8-A805-Inputs!$D$22*B805</f>
        <v>14</v>
      </c>
      <c r="D805" s="35">
        <f>A805*Inputs!$D$20+C805*Inputs!$D$21+B805*Inputs!$D$22</f>
        <v>120</v>
      </c>
      <c r="E805" s="36">
        <f>MIN(Inputs!$E$15,Inputs!$D$15*(C805/Inputs!$D$43)^Inputs!$D$44)</f>
        <v>0.27311136263675401</v>
      </c>
      <c r="F805" s="36">
        <f>MIN(Inputs!$E$16,Inputs!$D$16*(B805/Inputs!$D$42)^Inputs!$D$44)</f>
        <v>0.42248798737570326</v>
      </c>
      <c r="G805" s="37">
        <f>Inputs!$D$26*(1+Inputs!$D$41*(B805-Inputs!$D$42))</f>
        <v>1.56</v>
      </c>
      <c r="H805" s="35">
        <f>Inputs!$D$6*Inputs!$D$14*G805*Inputs!$D$29</f>
        <v>1960.0308</v>
      </c>
      <c r="I805" s="36">
        <f>H805/(A805*Inputs!$D$32)</f>
        <v>0.61442971786833855</v>
      </c>
      <c r="J805" s="38">
        <f>IF(I805&gt;=1,999,I805/(Inputs!$D$32*(1-I805))*60)</f>
        <v>1.7384300502661514</v>
      </c>
      <c r="K805" s="37">
        <f>MIN(1,MAX(0,(J805-Inputs!$D$36)/(Inputs!$D$37-Inputs!$D$36)))</f>
        <v>0</v>
      </c>
      <c r="L805" s="35">
        <f>Inputs!$D$6*Inputs!$D$14*G805*(1-Inputs!$D$38*K805)</f>
        <v>13066.872000000001</v>
      </c>
      <c r="M805" s="39">
        <f>L805*Inputs!$D$11</f>
        <v>280937.74800000002</v>
      </c>
      <c r="N805" s="39">
        <f>M805*(1-Inputs!$D$17)</f>
        <v>98328.211800000005</v>
      </c>
      <c r="O805" s="35">
        <f>Inputs!$D$6*E805*Inputs!$D$27*Inputs!$D$30</f>
        <v>389.63596417390096</v>
      </c>
      <c r="P805" s="36">
        <f>O805/(C805*Inputs!$D$33)</f>
        <v>0.69577850745339453</v>
      </c>
      <c r="Q805" s="38">
        <f>IF(P805&gt;=1,999,P805/(Inputs!$D$33*(1-P805))*60)</f>
        <v>3.4306181080227471</v>
      </c>
      <c r="R805" s="37">
        <f>MIN(1,MAX(0,(Q805-Inputs!$D$36)/(Inputs!$D$37-Inputs!$D$36)))</f>
        <v>0</v>
      </c>
      <c r="S805" s="35">
        <f>Inputs!$D$6*E805*Inputs!$D$27*(1-Inputs!$D$38*R805)</f>
        <v>3246.9663681158413</v>
      </c>
      <c r="T805" s="39">
        <f>S805*Inputs!$D$12</f>
        <v>51951.461889853461</v>
      </c>
      <c r="U805" s="39">
        <f>T805*(1-Inputs!$D$18)</f>
        <v>23378.157850434054</v>
      </c>
      <c r="V805" s="35">
        <f>Inputs!$D$6*F805*Inputs!$D$28*Inputs!$D$31</f>
        <v>712.33502613882979</v>
      </c>
      <c r="W805" s="36">
        <f>V805/(B805*Inputs!$D$34)</f>
        <v>0.84801788826051161</v>
      </c>
      <c r="X805" s="38">
        <f>IF(W805&gt;=1,999,W805/(Inputs!$D$34*(1-W805))*60)</f>
        <v>9.5652372155190832</v>
      </c>
      <c r="Y805" s="37">
        <f>MIN(1,MAX(0,(X805-Inputs!$D$36)/(Inputs!$D$37-Inputs!$D$36)))</f>
        <v>0.30434914770127219</v>
      </c>
      <c r="Z805" s="35">
        <f>Inputs!$D$6*F805*Inputs!$D$28*(1-Inputs!$D$38*Y805)</f>
        <v>4729.0436538571339</v>
      </c>
      <c r="AA805" s="39">
        <f>Z805*Inputs!$D$13</f>
        <v>40196.87105778564</v>
      </c>
      <c r="AB805" s="39">
        <f>AA805*(1-Inputs!$D$19)</f>
        <v>24118.122634671385</v>
      </c>
      <c r="AC805" s="39">
        <f t="shared" si="48"/>
        <v>373086.08094763913</v>
      </c>
      <c r="AD805" s="39">
        <f t="shared" si="49"/>
        <v>145824.49228510546</v>
      </c>
      <c r="AE805" s="36">
        <f t="shared" si="50"/>
        <v>0.84801788826051161</v>
      </c>
      <c r="AF805" s="35">
        <f>IF(AND(AE805&lt;=Inputs!$D$35,C805&gt;=Inputs!$D$48*(A805+B805+C805),B805*Inputs!$D$22&lt;=Inputs!$D$50*Inputs!$D$8,B805*Inputs!$D$22&gt;=Inputs!$D$49*Inputs!$D$8,A805*Inputs!$D$20&lt;=Inputs!$D$47*Inputs!$D$8,C805&gt;=1),1,0)</f>
        <v>0</v>
      </c>
      <c r="AG805" s="39">
        <f t="shared" si="51"/>
        <v>-1</v>
      </c>
    </row>
    <row r="806" spans="1:33" x14ac:dyDescent="0.25">
      <c r="A806" s="35">
        <v>58</v>
      </c>
      <c r="B806" s="35">
        <v>25</v>
      </c>
      <c r="C806" s="35">
        <f>Inputs!$D$8-A806-Inputs!$D$22*B806</f>
        <v>12</v>
      </c>
      <c r="D806" s="35">
        <f>A806*Inputs!$D$20+C806*Inputs!$D$21+B806*Inputs!$D$22</f>
        <v>120</v>
      </c>
      <c r="E806" s="36">
        <f>MIN(Inputs!$E$15,Inputs!$D$15*(C806/Inputs!$D$43)^Inputs!$D$44)</f>
        <v>0.26076886227459228</v>
      </c>
      <c r="F806" s="36">
        <f>MIN(Inputs!$E$16,Inputs!$D$16*(B806/Inputs!$D$42)^Inputs!$D$44)</f>
        <v>0.42769383999647526</v>
      </c>
      <c r="G806" s="37">
        <f>Inputs!$D$26*(1+Inputs!$D$41*(B806-Inputs!$D$42))</f>
        <v>1.5750000000000002</v>
      </c>
      <c r="H806" s="35">
        <f>Inputs!$D$6*Inputs!$D$14*G806*Inputs!$D$29</f>
        <v>1978.8772500000005</v>
      </c>
      <c r="I806" s="36">
        <f>H806/(A806*Inputs!$D$32)</f>
        <v>0.62033769592476506</v>
      </c>
      <c r="J806" s="38">
        <f>IF(I806&gt;=1,999,I806/(Inputs!$D$32*(1-I806))*60)</f>
        <v>1.7824577911844059</v>
      </c>
      <c r="K806" s="37">
        <f>MIN(1,MAX(0,(J806-Inputs!$D$36)/(Inputs!$D$37-Inputs!$D$36)))</f>
        <v>0</v>
      </c>
      <c r="L806" s="35">
        <f>Inputs!$D$6*Inputs!$D$14*G806*(1-Inputs!$D$38*K806)</f>
        <v>13192.515000000003</v>
      </c>
      <c r="M806" s="39">
        <f>L806*Inputs!$D$11</f>
        <v>283639.07250000007</v>
      </c>
      <c r="N806" s="39">
        <f>M806*(1-Inputs!$D$17)</f>
        <v>99273.675375000021</v>
      </c>
      <c r="O806" s="35">
        <f>Inputs!$D$6*E806*Inputs!$D$27*Inputs!$D$30</f>
        <v>372.02746197722075</v>
      </c>
      <c r="P806" s="36">
        <f>O806/(C806*Inputs!$D$33)</f>
        <v>0.77505721245254322</v>
      </c>
      <c r="Q806" s="38">
        <f>IF(P806&gt;=1,999,P806/(Inputs!$D$33*(1-P806))*60)</f>
        <v>5.1683622816025654</v>
      </c>
      <c r="R806" s="37">
        <f>MIN(1,MAX(0,(Q806-Inputs!$D$36)/(Inputs!$D$37-Inputs!$D$36)))</f>
        <v>1.1224152106837693E-2</v>
      </c>
      <c r="S806" s="35">
        <f>Inputs!$D$6*E806*Inputs!$D$27*(1-Inputs!$D$38*R806)</f>
        <v>3084.5700017308486</v>
      </c>
      <c r="T806" s="39">
        <f>S806*Inputs!$D$12</f>
        <v>49353.120027693578</v>
      </c>
      <c r="U806" s="39">
        <f>T806*(1-Inputs!$D$18)</f>
        <v>22208.904012462106</v>
      </c>
      <c r="V806" s="35">
        <f>Inputs!$D$6*F806*Inputs!$D$28*Inputs!$D$31</f>
        <v>721.1123435383771</v>
      </c>
      <c r="W806" s="36">
        <f>V806/(B806*Inputs!$D$34)</f>
        <v>0.82412839261528814</v>
      </c>
      <c r="X806" s="38">
        <f>IF(W806&gt;=1,999,W806/(Inputs!$D$34*(1-W806))*60)</f>
        <v>8.0330847668163621</v>
      </c>
      <c r="Y806" s="37">
        <f>MIN(1,MAX(0,(X806-Inputs!$D$36)/(Inputs!$D$37-Inputs!$D$36)))</f>
        <v>0.20220565112109082</v>
      </c>
      <c r="Z806" s="35">
        <f>Inputs!$D$6*F806*Inputs!$D$28*(1-Inputs!$D$38*Y806)</f>
        <v>5042.2807508299393</v>
      </c>
      <c r="AA806" s="39">
        <f>Z806*Inputs!$D$13</f>
        <v>42859.386382054487</v>
      </c>
      <c r="AB806" s="39">
        <f>AA806*(1-Inputs!$D$19)</f>
        <v>25715.631829232691</v>
      </c>
      <c r="AC806" s="39">
        <f t="shared" si="48"/>
        <v>375851.57890974812</v>
      </c>
      <c r="AD806" s="39">
        <f t="shared" si="49"/>
        <v>147198.21121669482</v>
      </c>
      <c r="AE806" s="36">
        <f t="shared" si="50"/>
        <v>0.82412839261528814</v>
      </c>
      <c r="AF806" s="35">
        <f>IF(AND(AE806&lt;=Inputs!$D$35,C806&gt;=Inputs!$D$48*(A806+B806+C806),B806*Inputs!$D$22&lt;=Inputs!$D$50*Inputs!$D$8,B806*Inputs!$D$22&gt;=Inputs!$D$49*Inputs!$D$8,A806*Inputs!$D$20&lt;=Inputs!$D$47*Inputs!$D$8,C806&gt;=1),1,0)</f>
        <v>0</v>
      </c>
      <c r="AG806" s="39">
        <f t="shared" si="51"/>
        <v>-1</v>
      </c>
    </row>
    <row r="807" spans="1:33" x14ac:dyDescent="0.25">
      <c r="A807" s="35">
        <v>58</v>
      </c>
      <c r="B807" s="35">
        <v>26</v>
      </c>
      <c r="C807" s="35">
        <f>Inputs!$D$8-A807-Inputs!$D$22*B807</f>
        <v>10</v>
      </c>
      <c r="D807" s="35">
        <f>A807*Inputs!$D$20+C807*Inputs!$D$21+B807*Inputs!$D$22</f>
        <v>120</v>
      </c>
      <c r="E807" s="36">
        <f>MIN(Inputs!$E$15,Inputs!$D$15*(C807/Inputs!$D$43)^Inputs!$D$44)</f>
        <v>0.24688878270302153</v>
      </c>
      <c r="F807" s="36">
        <f>MIN(Inputs!$E$16,Inputs!$D$16*(B807/Inputs!$D$42)^Inputs!$D$44)</f>
        <v>0.43275589945781112</v>
      </c>
      <c r="G807" s="37">
        <f>Inputs!$D$26*(1+Inputs!$D$41*(B807-Inputs!$D$42))</f>
        <v>1.59</v>
      </c>
      <c r="H807" s="35">
        <f>Inputs!$D$6*Inputs!$D$14*G807*Inputs!$D$29</f>
        <v>1997.7237</v>
      </c>
      <c r="I807" s="36">
        <f>H807/(A807*Inputs!$D$32)</f>
        <v>0.62624567398119124</v>
      </c>
      <c r="J807" s="38">
        <f>IF(I807&gt;=1,999,I807/(Inputs!$D$32*(1-I807))*60)</f>
        <v>1.8278774353348679</v>
      </c>
      <c r="K807" s="37">
        <f>MIN(1,MAX(0,(J807-Inputs!$D$36)/(Inputs!$D$37-Inputs!$D$36)))</f>
        <v>0</v>
      </c>
      <c r="L807" s="35">
        <f>Inputs!$D$6*Inputs!$D$14*G807*(1-Inputs!$D$38*K807)</f>
        <v>13318.158000000001</v>
      </c>
      <c r="M807" s="39">
        <f>L807*Inputs!$D$11</f>
        <v>286340.39700000006</v>
      </c>
      <c r="N807" s="39">
        <f>M807*(1-Inputs!$D$17)</f>
        <v>100219.13895000001</v>
      </c>
      <c r="O807" s="35">
        <f>Inputs!$D$6*E807*Inputs!$D$27*Inputs!$D$30</f>
        <v>352.22536317596189</v>
      </c>
      <c r="P807" s="36">
        <f>O807/(C807*Inputs!$D$33)</f>
        <v>0.88056340793990473</v>
      </c>
      <c r="Q807" s="38">
        <f>IF(P807&gt;=1,999,P807/(Inputs!$D$33*(1-P807))*60)</f>
        <v>11.05896517245959</v>
      </c>
      <c r="R807" s="37">
        <f>MIN(1,MAX(0,(Q807-Inputs!$D$36)/(Inputs!$D$37-Inputs!$D$36)))</f>
        <v>0.40393101149730604</v>
      </c>
      <c r="S807" s="35">
        <f>Inputs!$D$6*E807*Inputs!$D$27*(1-Inputs!$D$38*R807)</f>
        <v>2401.6810577146616</v>
      </c>
      <c r="T807" s="39">
        <f>S807*Inputs!$D$12</f>
        <v>38426.896923434586</v>
      </c>
      <c r="U807" s="39">
        <f>T807*(1-Inputs!$D$18)</f>
        <v>17292.103615545562</v>
      </c>
      <c r="V807" s="35">
        <f>Inputs!$D$6*F807*Inputs!$D$28*Inputs!$D$31</f>
        <v>729.64721876904355</v>
      </c>
      <c r="W807" s="36">
        <f>V807/(B807*Inputs!$D$34)</f>
        <v>0.80181013051543248</v>
      </c>
      <c r="X807" s="38">
        <f>IF(W807&gt;=1,999,W807/(Inputs!$D$34*(1-W807))*60)</f>
        <v>6.9354284146153136</v>
      </c>
      <c r="Y807" s="37">
        <f>MIN(1,MAX(0,(X807-Inputs!$D$36)/(Inputs!$D$37-Inputs!$D$36)))</f>
        <v>0.12902856097435425</v>
      </c>
      <c r="Z807" s="35">
        <f>Inputs!$D$6*F807*Inputs!$D$28*(1-Inputs!$D$38*Y807)</f>
        <v>5286.7832305655711</v>
      </c>
      <c r="AA807" s="39">
        <f>Z807*Inputs!$D$13</f>
        <v>44937.657459807357</v>
      </c>
      <c r="AB807" s="39">
        <f>AA807*(1-Inputs!$D$19)</f>
        <v>26962.594475884413</v>
      </c>
      <c r="AC807" s="39">
        <f t="shared" si="48"/>
        <v>369704.95138324198</v>
      </c>
      <c r="AD807" s="39">
        <f t="shared" si="49"/>
        <v>144473.83704143</v>
      </c>
      <c r="AE807" s="36">
        <f t="shared" si="50"/>
        <v>0.88056340793990473</v>
      </c>
      <c r="AF807" s="35">
        <f>IF(AND(AE807&lt;=Inputs!$D$35,C807&gt;=Inputs!$D$48*(A807+B807+C807),B807*Inputs!$D$22&lt;=Inputs!$D$50*Inputs!$D$8,B807*Inputs!$D$22&gt;=Inputs!$D$49*Inputs!$D$8,A807*Inputs!$D$20&lt;=Inputs!$D$47*Inputs!$D$8,C807&gt;=1),1,0)</f>
        <v>0</v>
      </c>
      <c r="AG807" s="39">
        <f t="shared" si="51"/>
        <v>-1</v>
      </c>
    </row>
    <row r="808" spans="1:33" x14ac:dyDescent="0.25">
      <c r="A808" s="35">
        <v>58</v>
      </c>
      <c r="B808" s="35">
        <v>27</v>
      </c>
      <c r="C808" s="35">
        <f>Inputs!$D$8-A808-Inputs!$D$22*B808</f>
        <v>8</v>
      </c>
      <c r="D808" s="35">
        <f>A808*Inputs!$D$20+C808*Inputs!$D$21+B808*Inputs!$D$22</f>
        <v>120</v>
      </c>
      <c r="E808" s="36">
        <f>MIN(Inputs!$E$15,Inputs!$D$15*(C808/Inputs!$D$43)^Inputs!$D$44)</f>
        <v>0.23090235080781729</v>
      </c>
      <c r="F808" s="36">
        <f>MIN(Inputs!$E$16,Inputs!$D$16*(B808/Inputs!$D$42)^Inputs!$D$44)</f>
        <v>0.43768344678187454</v>
      </c>
      <c r="G808" s="37">
        <f>Inputs!$D$26*(1+Inputs!$D$41*(B808-Inputs!$D$42))</f>
        <v>1.605</v>
      </c>
      <c r="H808" s="35">
        <f>Inputs!$D$6*Inputs!$D$14*G808*Inputs!$D$29</f>
        <v>2016.57015</v>
      </c>
      <c r="I808" s="36">
        <f>H808/(A808*Inputs!$D$32)</f>
        <v>0.63215365203761753</v>
      </c>
      <c r="J808" s="38">
        <f>IF(I808&gt;=1,999,I808/(Inputs!$D$32*(1-I808))*60)</f>
        <v>1.8747560487667063</v>
      </c>
      <c r="K808" s="37">
        <f>MIN(1,MAX(0,(J808-Inputs!$D$36)/(Inputs!$D$37-Inputs!$D$36)))</f>
        <v>0</v>
      </c>
      <c r="L808" s="35">
        <f>Inputs!$D$6*Inputs!$D$14*G808*(1-Inputs!$D$38*K808)</f>
        <v>13443.801000000001</v>
      </c>
      <c r="M808" s="39">
        <f>L808*Inputs!$D$11</f>
        <v>289041.72150000004</v>
      </c>
      <c r="N808" s="39">
        <f>M808*(1-Inputs!$D$17)</f>
        <v>101164.60252500001</v>
      </c>
      <c r="O808" s="35">
        <f>Inputs!$D$6*E808*Inputs!$D$27*Inputs!$D$30</f>
        <v>329.41822419407742</v>
      </c>
      <c r="P808" s="36">
        <f>O808/(C808*Inputs!$D$33)</f>
        <v>1.029431950606492</v>
      </c>
      <c r="Q808" s="38">
        <f>IF(P808&gt;=1,999,P808/(Inputs!$D$33*(1-P808))*60)</f>
        <v>999</v>
      </c>
      <c r="R808" s="37">
        <f>MIN(1,MAX(0,(Q808-Inputs!$D$36)/(Inputs!$D$37-Inputs!$D$36)))</f>
        <v>1</v>
      </c>
      <c r="S808" s="35">
        <f>Inputs!$D$6*E808*Inputs!$D$27*(1-Inputs!$D$38*R808)</f>
        <v>1509.8335275561885</v>
      </c>
      <c r="T808" s="39">
        <f>S808*Inputs!$D$12</f>
        <v>24157.336440899016</v>
      </c>
      <c r="U808" s="39">
        <f>T808*(1-Inputs!$D$18)</f>
        <v>10870.801398404556</v>
      </c>
      <c r="V808" s="35">
        <f>Inputs!$D$6*F808*Inputs!$D$28*Inputs!$D$31</f>
        <v>737.95530007968603</v>
      </c>
      <c r="W808" s="36">
        <f>V808/(B808*Inputs!$D$34)</f>
        <v>0.78090507944940324</v>
      </c>
      <c r="X808" s="38">
        <f>IF(W808&gt;=1,999,W808/(Inputs!$D$34*(1-W808))*60)</f>
        <v>6.1101116290101798</v>
      </c>
      <c r="Y808" s="37">
        <f>MIN(1,MAX(0,(X808-Inputs!$D$36)/(Inputs!$D$37-Inputs!$D$36)))</f>
        <v>7.4007441934011986E-2</v>
      </c>
      <c r="Z808" s="35">
        <f>Inputs!$D$6*F808*Inputs!$D$28*(1-Inputs!$D$38*Y808)</f>
        <v>5487.5301328495489</v>
      </c>
      <c r="AA808" s="39">
        <f>Z808*Inputs!$D$13</f>
        <v>46644.006129221169</v>
      </c>
      <c r="AB808" s="39">
        <f>AA808*(1-Inputs!$D$19)</f>
        <v>27986.4036775327</v>
      </c>
      <c r="AC808" s="39">
        <f t="shared" si="48"/>
        <v>359843.06407012022</v>
      </c>
      <c r="AD808" s="39">
        <f t="shared" si="49"/>
        <v>140021.80760093726</v>
      </c>
      <c r="AE808" s="36">
        <f t="shared" si="50"/>
        <v>1.029431950606492</v>
      </c>
      <c r="AF808" s="35">
        <f>IF(AND(AE808&lt;=Inputs!$D$35,C808&gt;=Inputs!$D$48*(A808+B808+C808),B808*Inputs!$D$22&lt;=Inputs!$D$50*Inputs!$D$8,B808*Inputs!$D$22&gt;=Inputs!$D$49*Inputs!$D$8,A808*Inputs!$D$20&lt;=Inputs!$D$47*Inputs!$D$8,C808&gt;=1),1,0)</f>
        <v>0</v>
      </c>
      <c r="AG808" s="39">
        <f t="shared" si="51"/>
        <v>-1</v>
      </c>
    </row>
    <row r="809" spans="1:33" x14ac:dyDescent="0.25">
      <c r="A809" s="35">
        <v>58</v>
      </c>
      <c r="B809" s="35">
        <v>28</v>
      </c>
      <c r="C809" s="35">
        <f>Inputs!$D$8-A809-Inputs!$D$22*B809</f>
        <v>6</v>
      </c>
      <c r="D809" s="35">
        <f>A809*Inputs!$D$20+C809*Inputs!$D$21+B809*Inputs!$D$22</f>
        <v>120</v>
      </c>
      <c r="E809" s="36">
        <f>MIN(Inputs!$E$15,Inputs!$D$15*(C809/Inputs!$D$43)^Inputs!$D$44)</f>
        <v>0.21181013327762671</v>
      </c>
      <c r="F809" s="36">
        <f>MIN(Inputs!$E$16,Inputs!$D$16*(B809/Inputs!$D$42)^Inputs!$D$44)</f>
        <v>0.44248484624799689</v>
      </c>
      <c r="G809" s="37">
        <f>Inputs!$D$26*(1+Inputs!$D$41*(B809-Inputs!$D$42))</f>
        <v>1.62</v>
      </c>
      <c r="H809" s="35">
        <f>Inputs!$D$6*Inputs!$D$14*G809*Inputs!$D$29</f>
        <v>2035.4166</v>
      </c>
      <c r="I809" s="36">
        <f>H809/(A809*Inputs!$D$32)</f>
        <v>0.63806163009404393</v>
      </c>
      <c r="J809" s="38">
        <f>IF(I809&gt;=1,999,I809/(Inputs!$D$32*(1-I809))*60)</f>
        <v>1.9231650764485901</v>
      </c>
      <c r="K809" s="37">
        <f>MIN(1,MAX(0,(J809-Inputs!$D$36)/(Inputs!$D$37-Inputs!$D$36)))</f>
        <v>0</v>
      </c>
      <c r="L809" s="35">
        <f>Inputs!$D$6*Inputs!$D$14*G809*(1-Inputs!$D$38*K809)</f>
        <v>13569.444000000001</v>
      </c>
      <c r="M809" s="39">
        <f>L809*Inputs!$D$11</f>
        <v>291743.04600000003</v>
      </c>
      <c r="N809" s="39">
        <f>M809*(1-Inputs!$D$17)</f>
        <v>102110.06610000001</v>
      </c>
      <c r="O809" s="35">
        <f>Inputs!$D$6*E809*Inputs!$D$27*Inputs!$D$30</f>
        <v>302.18019750132584</v>
      </c>
      <c r="P809" s="36">
        <f>O809/(C809*Inputs!$D$33)</f>
        <v>1.2590841562555244</v>
      </c>
      <c r="Q809" s="38">
        <f>IF(P809&gt;=1,999,P809/(Inputs!$D$33*(1-P809))*60)</f>
        <v>999</v>
      </c>
      <c r="R809" s="37">
        <f>MIN(1,MAX(0,(Q809-Inputs!$D$36)/(Inputs!$D$37-Inputs!$D$36)))</f>
        <v>1</v>
      </c>
      <c r="S809" s="35">
        <f>Inputs!$D$6*E809*Inputs!$D$27*(1-Inputs!$D$38*R809)</f>
        <v>1384.9925718810769</v>
      </c>
      <c r="T809" s="39">
        <f>S809*Inputs!$D$12</f>
        <v>22159.88115009723</v>
      </c>
      <c r="U809" s="39">
        <f>T809*(1-Inputs!$D$18)</f>
        <v>9971.9465175437526</v>
      </c>
      <c r="V809" s="35">
        <f>Inputs!$D$6*F809*Inputs!$D$28*Inputs!$D$31</f>
        <v>746.05069004674272</v>
      </c>
      <c r="W809" s="36">
        <f>V809/(B809*Inputs!$D$34)</f>
        <v>0.76127621433341097</v>
      </c>
      <c r="X809" s="38">
        <f>IF(W809&gt;=1,999,W809/(Inputs!$D$34*(1-W809))*60)</f>
        <v>5.4667570523531852</v>
      </c>
      <c r="Y809" s="37">
        <f>MIN(1,MAX(0,(X809-Inputs!$D$36)/(Inputs!$D$37-Inputs!$D$36)))</f>
        <v>3.111713682354568E-2</v>
      </c>
      <c r="Z809" s="35">
        <f>Inputs!$D$6*F809*Inputs!$D$28*(1-Inputs!$D$38*Y809)</f>
        <v>5658.4919801305723</v>
      </c>
      <c r="AA809" s="39">
        <f>Z809*Inputs!$D$13</f>
        <v>48097.181831109861</v>
      </c>
      <c r="AB809" s="39">
        <f>AA809*(1-Inputs!$D$19)</f>
        <v>28858.309098665915</v>
      </c>
      <c r="AC809" s="39">
        <f t="shared" si="48"/>
        <v>362000.10898120713</v>
      </c>
      <c r="AD809" s="39">
        <f t="shared" si="49"/>
        <v>140940.32171620967</v>
      </c>
      <c r="AE809" s="36">
        <f t="shared" si="50"/>
        <v>1.2590841562555244</v>
      </c>
      <c r="AF809" s="35">
        <f>IF(AND(AE809&lt;=Inputs!$D$35,C809&gt;=Inputs!$D$48*(A809+B809+C809),B809*Inputs!$D$22&lt;=Inputs!$D$50*Inputs!$D$8,B809*Inputs!$D$22&gt;=Inputs!$D$49*Inputs!$D$8,A809*Inputs!$D$20&lt;=Inputs!$D$47*Inputs!$D$8,C809&gt;=1),1,0)</f>
        <v>0</v>
      </c>
      <c r="AG809" s="39">
        <f t="shared" si="51"/>
        <v>-1</v>
      </c>
    </row>
    <row r="810" spans="1:33" x14ac:dyDescent="0.25">
      <c r="A810" s="35">
        <v>58</v>
      </c>
      <c r="B810" s="35">
        <v>29</v>
      </c>
      <c r="C810" s="35">
        <f>Inputs!$D$8-A810-Inputs!$D$22*B810</f>
        <v>4</v>
      </c>
      <c r="D810" s="35">
        <f>A810*Inputs!$D$20+C810*Inputs!$D$21+B810*Inputs!$D$22</f>
        <v>120</v>
      </c>
      <c r="E810" s="36">
        <f>MIN(Inputs!$E$15,Inputs!$D$15*(C810/Inputs!$D$43)^Inputs!$D$44)</f>
        <v>0.18755098776793777</v>
      </c>
      <c r="F810" s="36">
        <f>MIN(Inputs!$E$16,Inputs!$D$16*(B810/Inputs!$D$42)^Inputs!$D$44)</f>
        <v>0.44716766511947192</v>
      </c>
      <c r="G810" s="37">
        <f>Inputs!$D$26*(1+Inputs!$D$41*(B810-Inputs!$D$42))</f>
        <v>1.6350000000000002</v>
      </c>
      <c r="H810" s="35">
        <f>Inputs!$D$6*Inputs!$D$14*G810*Inputs!$D$29</f>
        <v>2054.2630500000005</v>
      </c>
      <c r="I810" s="36">
        <f>H810/(A810*Inputs!$D$32)</f>
        <v>0.64396960815047033</v>
      </c>
      <c r="J810" s="38">
        <f>IF(I810&gt;=1,999,I810/(Inputs!$D$32*(1-I810))*60)</f>
        <v>1.9731807055882418</v>
      </c>
      <c r="K810" s="37">
        <f>MIN(1,MAX(0,(J810-Inputs!$D$36)/(Inputs!$D$37-Inputs!$D$36)))</f>
        <v>0</v>
      </c>
      <c r="L810" s="35">
        <f>Inputs!$D$6*Inputs!$D$14*G810*(1-Inputs!$D$38*K810)</f>
        <v>13695.087000000003</v>
      </c>
      <c r="M810" s="39">
        <f>L810*Inputs!$D$11</f>
        <v>294444.37050000008</v>
      </c>
      <c r="N810" s="39">
        <f>M810*(1-Inputs!$D$17)</f>
        <v>103055.52967500003</v>
      </c>
      <c r="O810" s="35">
        <f>Inputs!$D$6*E810*Inputs!$D$27*Inputs!$D$30</f>
        <v>267.57074200505502</v>
      </c>
      <c r="P810" s="36">
        <f>O810/(C810*Inputs!$D$33)</f>
        <v>1.6723171375315939</v>
      </c>
      <c r="Q810" s="38">
        <f>IF(P810&gt;=1,999,P810/(Inputs!$D$33*(1-P810))*60)</f>
        <v>999</v>
      </c>
      <c r="R810" s="37">
        <f>MIN(1,MAX(0,(Q810-Inputs!$D$36)/(Inputs!$D$37-Inputs!$D$36)))</f>
        <v>1</v>
      </c>
      <c r="S810" s="35">
        <f>Inputs!$D$6*E810*Inputs!$D$27*(1-Inputs!$D$38*R810)</f>
        <v>1226.3659008565023</v>
      </c>
      <c r="T810" s="39">
        <f>S810*Inputs!$D$12</f>
        <v>19621.854413704037</v>
      </c>
      <c r="U810" s="39">
        <f>T810*(1-Inputs!$D$18)</f>
        <v>8829.8344861668156</v>
      </c>
      <c r="V810" s="35">
        <f>Inputs!$D$6*F810*Inputs!$D$28*Inputs!$D$31</f>
        <v>753.9461474393554</v>
      </c>
      <c r="W810" s="36">
        <f>V810/(B810*Inputs!$D$34)</f>
        <v>0.74280408614714821</v>
      </c>
      <c r="X810" s="38">
        <f>IF(W810&gt;=1,999,W810/(Inputs!$D$34*(1-W810))*60)</f>
        <v>4.9510056918075414</v>
      </c>
      <c r="Y810" s="37">
        <f>MIN(1,MAX(0,(X810-Inputs!$D$36)/(Inputs!$D$37-Inputs!$D$36)))</f>
        <v>0</v>
      </c>
      <c r="Z810" s="35">
        <f>Inputs!$D$6*F810*Inputs!$D$28*(1-Inputs!$D$38*Y810)</f>
        <v>5799.5857495335031</v>
      </c>
      <c r="AA810" s="39">
        <f>Z810*Inputs!$D$13</f>
        <v>49296.478871034778</v>
      </c>
      <c r="AB810" s="39">
        <f>AA810*(1-Inputs!$D$19)</f>
        <v>29577.887322620867</v>
      </c>
      <c r="AC810" s="39">
        <f t="shared" si="48"/>
        <v>363362.7037847389</v>
      </c>
      <c r="AD810" s="39">
        <f t="shared" si="49"/>
        <v>141463.25148378772</v>
      </c>
      <c r="AE810" s="36">
        <f t="shared" si="50"/>
        <v>1.6723171375315939</v>
      </c>
      <c r="AF810" s="35">
        <f>IF(AND(AE810&lt;=Inputs!$D$35,C810&gt;=Inputs!$D$48*(A810+B810+C810),B810*Inputs!$D$22&lt;=Inputs!$D$50*Inputs!$D$8,B810*Inputs!$D$22&gt;=Inputs!$D$49*Inputs!$D$8,A810*Inputs!$D$20&lt;=Inputs!$D$47*Inputs!$D$8,C810&gt;=1),1,0)</f>
        <v>0</v>
      </c>
      <c r="AG810" s="39">
        <f t="shared" si="51"/>
        <v>-1</v>
      </c>
    </row>
    <row r="811" spans="1:33" x14ac:dyDescent="0.25">
      <c r="A811" s="35">
        <v>58</v>
      </c>
      <c r="B811" s="35">
        <v>30</v>
      </c>
      <c r="C811" s="35">
        <f>Inputs!$D$8-A811-Inputs!$D$22*B811</f>
        <v>2</v>
      </c>
      <c r="D811" s="35">
        <f>A811*Inputs!$D$20+C811*Inputs!$D$21+B811*Inputs!$D$22</f>
        <v>120</v>
      </c>
      <c r="E811" s="36">
        <f>MIN(Inputs!$E$15,Inputs!$D$15*(C811/Inputs!$D$43)^Inputs!$D$44)</f>
        <v>0.15233873925348645</v>
      </c>
      <c r="F811" s="36">
        <f>MIN(Inputs!$E$16,Inputs!$D$16*(B811/Inputs!$D$42)^Inputs!$D$44)</f>
        <v>0.45173877418274222</v>
      </c>
      <c r="G811" s="37">
        <f>Inputs!$D$26*(1+Inputs!$D$41*(B811-Inputs!$D$42))</f>
        <v>1.6500000000000001</v>
      </c>
      <c r="H811" s="35">
        <f>Inputs!$D$6*Inputs!$D$14*G811*Inputs!$D$29</f>
        <v>2073.1095000000005</v>
      </c>
      <c r="I811" s="36">
        <f>H811/(A811*Inputs!$D$32)</f>
        <v>0.64987758620689673</v>
      </c>
      <c r="J811" s="38">
        <f>IF(I811&gt;=1,999,I811/(Inputs!$D$32*(1-I811))*60)</f>
        <v>2.0248842657359893</v>
      </c>
      <c r="K811" s="37">
        <f>MIN(1,MAX(0,(J811-Inputs!$D$36)/(Inputs!$D$37-Inputs!$D$36)))</f>
        <v>0</v>
      </c>
      <c r="L811" s="35">
        <f>Inputs!$D$6*Inputs!$D$14*G811*(1-Inputs!$D$38*K811)</f>
        <v>13820.730000000003</v>
      </c>
      <c r="M811" s="39">
        <f>L811*Inputs!$D$11</f>
        <v>297145.69500000007</v>
      </c>
      <c r="N811" s="39">
        <f>M811*(1-Inputs!$D$17)</f>
        <v>104000.99325000001</v>
      </c>
      <c r="O811" s="35">
        <f>Inputs!$D$6*E811*Inputs!$D$27*Inputs!$D$30</f>
        <v>217.33497638842198</v>
      </c>
      <c r="P811" s="36">
        <f>O811/(C811*Inputs!$D$33)</f>
        <v>2.7166872048552748</v>
      </c>
      <c r="Q811" s="38">
        <f>IF(P811&gt;=1,999,P811/(Inputs!$D$33*(1-P811))*60)</f>
        <v>999</v>
      </c>
      <c r="R811" s="37">
        <f>MIN(1,MAX(0,(Q811-Inputs!$D$36)/(Inputs!$D$37-Inputs!$D$36)))</f>
        <v>1</v>
      </c>
      <c r="S811" s="35">
        <f>Inputs!$D$6*E811*Inputs!$D$27*(1-Inputs!$D$38*R811)</f>
        <v>996.11864178026747</v>
      </c>
      <c r="T811" s="39">
        <f>S811*Inputs!$D$12</f>
        <v>15937.898268484279</v>
      </c>
      <c r="U811" s="39">
        <f>T811*(1-Inputs!$D$18)</f>
        <v>7172.0542208179249</v>
      </c>
      <c r="V811" s="35">
        <f>Inputs!$D$6*F811*Inputs!$D$28*Inputs!$D$31</f>
        <v>761.65325673326424</v>
      </c>
      <c r="W811" s="36">
        <f>V811/(B811*Inputs!$D$34)</f>
        <v>0.72538405403168027</v>
      </c>
      <c r="X811" s="38">
        <f>IF(W811&gt;=1,999,W811/(Inputs!$D$34*(1-W811))*60)</f>
        <v>4.5281985239874629</v>
      </c>
      <c r="Y811" s="37">
        <f>MIN(1,MAX(0,(X811-Inputs!$D$36)/(Inputs!$D$37-Inputs!$D$36)))</f>
        <v>0</v>
      </c>
      <c r="Z811" s="35">
        <f>Inputs!$D$6*F811*Inputs!$D$28*(1-Inputs!$D$38*Y811)</f>
        <v>5858.8712056404938</v>
      </c>
      <c r="AA811" s="39">
        <f>Z811*Inputs!$D$13</f>
        <v>49800.405247944196</v>
      </c>
      <c r="AB811" s="39">
        <f>AA811*(1-Inputs!$D$19)</f>
        <v>29880.243148766516</v>
      </c>
      <c r="AC811" s="39">
        <f t="shared" si="48"/>
        <v>362883.99851642852</v>
      </c>
      <c r="AD811" s="39">
        <f t="shared" si="49"/>
        <v>141053.29061958444</v>
      </c>
      <c r="AE811" s="36">
        <f t="shared" si="50"/>
        <v>2.7166872048552748</v>
      </c>
      <c r="AF811" s="35">
        <f>IF(AND(AE811&lt;=Inputs!$D$35,C811&gt;=Inputs!$D$48*(A811+B811+C811),B811*Inputs!$D$22&lt;=Inputs!$D$50*Inputs!$D$8,B811*Inputs!$D$22&gt;=Inputs!$D$49*Inputs!$D$8,A811*Inputs!$D$20&lt;=Inputs!$D$47*Inputs!$D$8,C811&gt;=1),1,0)</f>
        <v>0</v>
      </c>
      <c r="AG811" s="39">
        <f t="shared" si="51"/>
        <v>-1</v>
      </c>
    </row>
    <row r="812" spans="1:33" x14ac:dyDescent="0.25">
      <c r="A812" s="35">
        <v>59</v>
      </c>
      <c r="B812" s="35">
        <v>10</v>
      </c>
      <c r="C812" s="35">
        <f>Inputs!$D$8-A812-Inputs!$D$22*B812</f>
        <v>41</v>
      </c>
      <c r="D812" s="35">
        <f>A812*Inputs!$D$20+C812*Inputs!$D$21+B812*Inputs!$D$22</f>
        <v>120</v>
      </c>
      <c r="E812" s="36">
        <f>MIN(Inputs!$E$15,Inputs!$D$15*(C812/Inputs!$D$43)^Inputs!$D$44)</f>
        <v>0.37699580304543617</v>
      </c>
      <c r="F812" s="36">
        <f>MIN(Inputs!$E$16,Inputs!$D$16*(B812/Inputs!$D$42)^Inputs!$D$44)</f>
        <v>0.32490095854249423</v>
      </c>
      <c r="G812" s="37">
        <f>Inputs!$D$26*(1+Inputs!$D$41*(B812-Inputs!$D$42))</f>
        <v>1.35</v>
      </c>
      <c r="H812" s="35">
        <f>Inputs!$D$6*Inputs!$D$14*G812*Inputs!$D$29</f>
        <v>1696.1805000000004</v>
      </c>
      <c r="I812" s="36">
        <f>H812/(A812*Inputs!$D$32)</f>
        <v>0.52270585516178747</v>
      </c>
      <c r="J812" s="38">
        <f>IF(I812&gt;=1,999,I812/(Inputs!$D$32*(1-I812))*60)</f>
        <v>1.1947026282098903</v>
      </c>
      <c r="K812" s="37">
        <f>MIN(1,MAX(0,(J812-Inputs!$D$36)/(Inputs!$D$37-Inputs!$D$36)))</f>
        <v>0</v>
      </c>
      <c r="L812" s="35">
        <f>Inputs!$D$6*Inputs!$D$14*G812*(1-Inputs!$D$38*K812)</f>
        <v>11307.870000000003</v>
      </c>
      <c r="M812" s="39">
        <f>L812*Inputs!$D$11</f>
        <v>243119.20500000005</v>
      </c>
      <c r="N812" s="39">
        <f>M812*(1-Inputs!$D$17)</f>
        <v>85091.721750000012</v>
      </c>
      <c r="O812" s="35">
        <f>Inputs!$D$6*E812*Inputs!$D$27*Inputs!$D$30</f>
        <v>537.84332438958984</v>
      </c>
      <c r="P812" s="36">
        <f>O812/(C812*Inputs!$D$33)</f>
        <v>0.3279532465790182</v>
      </c>
      <c r="Q812" s="38">
        <f>IF(P812&gt;=1,999,P812/(Inputs!$D$33*(1-P812))*60)</f>
        <v>0.73198756985940516</v>
      </c>
      <c r="R812" s="37">
        <f>MIN(1,MAX(0,(Q812-Inputs!$D$36)/(Inputs!$D$37-Inputs!$D$36)))</f>
        <v>0</v>
      </c>
      <c r="S812" s="35">
        <f>Inputs!$D$6*E812*Inputs!$D$27*(1-Inputs!$D$38*R812)</f>
        <v>4482.027703246582</v>
      </c>
      <c r="T812" s="39">
        <f>S812*Inputs!$D$12</f>
        <v>71712.443251945311</v>
      </c>
      <c r="U812" s="39">
        <f>T812*(1-Inputs!$D$18)</f>
        <v>32270.599463375387</v>
      </c>
      <c r="V812" s="35">
        <f>Inputs!$D$6*F812*Inputs!$D$28*Inputs!$D$31</f>
        <v>547.7986113486553</v>
      </c>
      <c r="W812" s="36">
        <f>V812/(B812*Inputs!$D$34)</f>
        <v>1.5651388895675866</v>
      </c>
      <c r="X812" s="38">
        <f>IF(W812&gt;=1,999,W812/(Inputs!$D$34*(1-W812))*60)</f>
        <v>999</v>
      </c>
      <c r="Y812" s="37">
        <f>MIN(1,MAX(0,(X812-Inputs!$D$36)/(Inputs!$D$37-Inputs!$D$36)))</f>
        <v>1</v>
      </c>
      <c r="Z812" s="35">
        <f>Inputs!$D$6*F812*Inputs!$D$28*(1-Inputs!$D$38*Y812)</f>
        <v>2317.6095095520031</v>
      </c>
      <c r="AA812" s="39">
        <f>Z812*Inputs!$D$13</f>
        <v>19699.680831192025</v>
      </c>
      <c r="AB812" s="39">
        <f>AA812*(1-Inputs!$D$19)</f>
        <v>11819.808498715214</v>
      </c>
      <c r="AC812" s="39">
        <f t="shared" si="48"/>
        <v>334531.32908313739</v>
      </c>
      <c r="AD812" s="39">
        <f t="shared" si="49"/>
        <v>129182.12971209061</v>
      </c>
      <c r="AE812" s="36">
        <f t="shared" si="50"/>
        <v>1.5651388895675866</v>
      </c>
      <c r="AF812" s="35">
        <f>IF(AND(AE812&lt;=Inputs!$D$35,C812&gt;=Inputs!$D$48*(A812+B812+C812),B812*Inputs!$D$22&lt;=Inputs!$D$50*Inputs!$D$8,B812*Inputs!$D$22&gt;=Inputs!$D$49*Inputs!$D$8,A812*Inputs!$D$20&lt;=Inputs!$D$47*Inputs!$D$8,C812&gt;=1),1,0)</f>
        <v>0</v>
      </c>
      <c r="AG812" s="39">
        <f t="shared" si="51"/>
        <v>-1</v>
      </c>
    </row>
    <row r="813" spans="1:33" x14ac:dyDescent="0.25">
      <c r="A813" s="35">
        <v>59</v>
      </c>
      <c r="B813" s="35">
        <v>11</v>
      </c>
      <c r="C813" s="35">
        <f>Inputs!$D$8-A813-Inputs!$D$22*B813</f>
        <v>39</v>
      </c>
      <c r="D813" s="35">
        <f>A813*Inputs!$D$20+C813*Inputs!$D$21+B813*Inputs!$D$22</f>
        <v>120</v>
      </c>
      <c r="E813" s="36">
        <f>MIN(Inputs!$E$15,Inputs!$D$15*(C813/Inputs!$D$43)^Inputs!$D$44)</f>
        <v>0.37138190575462604</v>
      </c>
      <c r="F813" s="36">
        <f>MIN(Inputs!$E$16,Inputs!$D$16*(B813/Inputs!$D$42)^Inputs!$D$44)</f>
        <v>0.33432495758166098</v>
      </c>
      <c r="G813" s="37">
        <f>Inputs!$D$26*(1+Inputs!$D$41*(B813-Inputs!$D$42))</f>
        <v>1.365</v>
      </c>
      <c r="H813" s="35">
        <f>Inputs!$D$6*Inputs!$D$14*G813*Inputs!$D$29</f>
        <v>1715.0269500000002</v>
      </c>
      <c r="I813" s="36">
        <f>H813/(A813*Inputs!$D$32)</f>
        <v>0.52851369799691839</v>
      </c>
      <c r="J813" s="38">
        <f>IF(I813&gt;=1,999,I813/(Inputs!$D$32*(1-I813))*60)</f>
        <v>1.2228571548427543</v>
      </c>
      <c r="K813" s="37">
        <f>MIN(1,MAX(0,(J813-Inputs!$D$36)/(Inputs!$D$37-Inputs!$D$36)))</f>
        <v>0</v>
      </c>
      <c r="L813" s="35">
        <f>Inputs!$D$6*Inputs!$D$14*G813*(1-Inputs!$D$38*K813)</f>
        <v>11433.513000000001</v>
      </c>
      <c r="M813" s="39">
        <f>L813*Inputs!$D$11</f>
        <v>245820.5295</v>
      </c>
      <c r="N813" s="39">
        <f>M813*(1-Inputs!$D$17)</f>
        <v>86037.185324999999</v>
      </c>
      <c r="O813" s="35">
        <f>Inputs!$D$6*E813*Inputs!$D$27*Inputs!$D$30</f>
        <v>529.8342241362717</v>
      </c>
      <c r="P813" s="36">
        <f>O813/(C813*Inputs!$D$33)</f>
        <v>0.33963732316427675</v>
      </c>
      <c r="Q813" s="38">
        <f>IF(P813&gt;=1,999,P813/(Inputs!$D$33*(1-P813))*60)</f>
        <v>0.77147907145144612</v>
      </c>
      <c r="R813" s="37">
        <f>MIN(1,MAX(0,(Q813-Inputs!$D$36)/(Inputs!$D$37-Inputs!$D$36)))</f>
        <v>0</v>
      </c>
      <c r="S813" s="35">
        <f>Inputs!$D$6*E813*Inputs!$D$27*(1-Inputs!$D$38*R813)</f>
        <v>4415.2852011355981</v>
      </c>
      <c r="T813" s="39">
        <f>S813*Inputs!$D$12</f>
        <v>70644.563218169569</v>
      </c>
      <c r="U813" s="39">
        <f>T813*(1-Inputs!$D$18)</f>
        <v>31790.053448176302</v>
      </c>
      <c r="V813" s="35">
        <f>Inputs!$D$6*F813*Inputs!$D$28*Inputs!$D$31</f>
        <v>563.68792608064427</v>
      </c>
      <c r="W813" s="36">
        <f>V813/(B813*Inputs!$D$34)</f>
        <v>1.4641244833263487</v>
      </c>
      <c r="X813" s="38">
        <f>IF(W813&gt;=1,999,W813/(Inputs!$D$34*(1-W813))*60)</f>
        <v>999</v>
      </c>
      <c r="Y813" s="37">
        <f>MIN(1,MAX(0,(X813-Inputs!$D$36)/(Inputs!$D$37-Inputs!$D$36)))</f>
        <v>1</v>
      </c>
      <c r="Z813" s="35">
        <f>Inputs!$D$6*F813*Inputs!$D$28*(1-Inputs!$D$38*Y813)</f>
        <v>2384.8335334181106</v>
      </c>
      <c r="AA813" s="39">
        <f>Z813*Inputs!$D$13</f>
        <v>20271.08503405394</v>
      </c>
      <c r="AB813" s="39">
        <f>AA813*(1-Inputs!$D$19)</f>
        <v>12162.651020432364</v>
      </c>
      <c r="AC813" s="39">
        <f t="shared" si="48"/>
        <v>336736.17775222351</v>
      </c>
      <c r="AD813" s="39">
        <f t="shared" si="49"/>
        <v>129989.88979360866</v>
      </c>
      <c r="AE813" s="36">
        <f t="shared" si="50"/>
        <v>1.4641244833263487</v>
      </c>
      <c r="AF813" s="35">
        <f>IF(AND(AE813&lt;=Inputs!$D$35,C813&gt;=Inputs!$D$48*(A813+B813+C813),B813*Inputs!$D$22&lt;=Inputs!$D$50*Inputs!$D$8,B813*Inputs!$D$22&gt;=Inputs!$D$49*Inputs!$D$8,A813*Inputs!$D$20&lt;=Inputs!$D$47*Inputs!$D$8,C813&gt;=1),1,0)</f>
        <v>0</v>
      </c>
      <c r="AG813" s="39">
        <f t="shared" si="51"/>
        <v>-1</v>
      </c>
    </row>
    <row r="814" spans="1:33" x14ac:dyDescent="0.25">
      <c r="A814" s="35">
        <v>59</v>
      </c>
      <c r="B814" s="35">
        <v>12</v>
      </c>
      <c r="C814" s="35">
        <f>Inputs!$D$8-A814-Inputs!$D$22*B814</f>
        <v>37</v>
      </c>
      <c r="D814" s="35">
        <f>A814*Inputs!$D$20+C814*Inputs!$D$21+B814*Inputs!$D$22</f>
        <v>120</v>
      </c>
      <c r="E814" s="36">
        <f>MIN(Inputs!$E$15,Inputs!$D$15*(C814/Inputs!$D$43)^Inputs!$D$44)</f>
        <v>0.36556269939951974</v>
      </c>
      <c r="F814" s="36">
        <f>MIN(Inputs!$E$16,Inputs!$D$16*(B814/Inputs!$D$42)^Inputs!$D$44)</f>
        <v>0.34316688017763797</v>
      </c>
      <c r="G814" s="37">
        <f>Inputs!$D$26*(1+Inputs!$D$41*(B814-Inputs!$D$42))</f>
        <v>1.3800000000000001</v>
      </c>
      <c r="H814" s="35">
        <f>Inputs!$D$6*Inputs!$D$14*G814*Inputs!$D$29</f>
        <v>1733.8734000000004</v>
      </c>
      <c r="I814" s="36">
        <f>H814/(A814*Inputs!$D$32)</f>
        <v>0.53432154083204941</v>
      </c>
      <c r="J814" s="38">
        <f>IF(I814&gt;=1,999,I814/(Inputs!$D$32*(1-I814))*60)</f>
        <v>1.251713956028208</v>
      </c>
      <c r="K814" s="37">
        <f>MIN(1,MAX(0,(J814-Inputs!$D$36)/(Inputs!$D$37-Inputs!$D$36)))</f>
        <v>0</v>
      </c>
      <c r="L814" s="35">
        <f>Inputs!$D$6*Inputs!$D$14*G814*(1-Inputs!$D$38*K814)</f>
        <v>11559.156000000003</v>
      </c>
      <c r="M814" s="39">
        <f>L814*Inputs!$D$11</f>
        <v>248521.85400000005</v>
      </c>
      <c r="N814" s="39">
        <f>M814*(1-Inputs!$D$17)</f>
        <v>86982.648900000015</v>
      </c>
      <c r="O814" s="35">
        <f>Inputs!$D$6*E814*Inputs!$D$27*Inputs!$D$30</f>
        <v>521.5322184745213</v>
      </c>
      <c r="P814" s="36">
        <f>O814/(C814*Inputs!$D$33)</f>
        <v>0.35238663410440629</v>
      </c>
      <c r="Q814" s="38">
        <f>IF(P814&gt;=1,999,P814/(Inputs!$D$33*(1-P814))*60)</f>
        <v>0.81619679116046151</v>
      </c>
      <c r="R814" s="37">
        <f>MIN(1,MAX(0,(Q814-Inputs!$D$36)/(Inputs!$D$37-Inputs!$D$36)))</f>
        <v>0</v>
      </c>
      <c r="S814" s="35">
        <f>Inputs!$D$6*E814*Inputs!$D$27*(1-Inputs!$D$38*R814)</f>
        <v>4346.101820621011</v>
      </c>
      <c r="T814" s="39">
        <f>S814*Inputs!$D$12</f>
        <v>69537.629129936176</v>
      </c>
      <c r="U814" s="39">
        <f>T814*(1-Inputs!$D$18)</f>
        <v>31291.933108471276</v>
      </c>
      <c r="V814" s="35">
        <f>Inputs!$D$6*F814*Inputs!$D$28*Inputs!$D$31</f>
        <v>578.5958319897461</v>
      </c>
      <c r="W814" s="36">
        <f>V814/(B814*Inputs!$D$34)</f>
        <v>1.3776091237851098</v>
      </c>
      <c r="X814" s="38">
        <f>IF(W814&gt;=1,999,W814/(Inputs!$D$34*(1-W814))*60)</f>
        <v>999</v>
      </c>
      <c r="Y814" s="37">
        <f>MIN(1,MAX(0,(X814-Inputs!$D$36)/(Inputs!$D$37-Inputs!$D$36)))</f>
        <v>1</v>
      </c>
      <c r="Z814" s="35">
        <f>Inputs!$D$6*F814*Inputs!$D$28*(1-Inputs!$D$38*Y814)</f>
        <v>2447.9054430335414</v>
      </c>
      <c r="AA814" s="39">
        <f>Z814*Inputs!$D$13</f>
        <v>20807.1962657851</v>
      </c>
      <c r="AB814" s="39">
        <f>AA814*(1-Inputs!$D$19)</f>
        <v>12484.31775947106</v>
      </c>
      <c r="AC814" s="39">
        <f t="shared" si="48"/>
        <v>338866.67939572129</v>
      </c>
      <c r="AD814" s="39">
        <f t="shared" si="49"/>
        <v>130758.89976794235</v>
      </c>
      <c r="AE814" s="36">
        <f t="shared" si="50"/>
        <v>1.3776091237851098</v>
      </c>
      <c r="AF814" s="35">
        <f>IF(AND(AE814&lt;=Inputs!$D$35,C814&gt;=Inputs!$D$48*(A814+B814+C814),B814*Inputs!$D$22&lt;=Inputs!$D$50*Inputs!$D$8,B814*Inputs!$D$22&gt;=Inputs!$D$49*Inputs!$D$8,A814*Inputs!$D$20&lt;=Inputs!$D$47*Inputs!$D$8,C814&gt;=1),1,0)</f>
        <v>0</v>
      </c>
      <c r="AG814" s="39">
        <f t="shared" si="51"/>
        <v>-1</v>
      </c>
    </row>
    <row r="815" spans="1:33" x14ac:dyDescent="0.25">
      <c r="A815" s="35">
        <v>59</v>
      </c>
      <c r="B815" s="35">
        <v>13</v>
      </c>
      <c r="C815" s="35">
        <f>Inputs!$D$8-A815-Inputs!$D$22*B815</f>
        <v>35</v>
      </c>
      <c r="D815" s="35">
        <f>A815*Inputs!$D$20+C815*Inputs!$D$21+B815*Inputs!$D$22</f>
        <v>120</v>
      </c>
      <c r="E815" s="36">
        <f>MIN(Inputs!$E$15,Inputs!$D$15*(C815/Inputs!$D$43)^Inputs!$D$44)</f>
        <v>0.3595189375764975</v>
      </c>
      <c r="F815" s="36">
        <f>MIN(Inputs!$E$16,Inputs!$D$16*(B815/Inputs!$D$42)^Inputs!$D$44)</f>
        <v>0.35150701637190523</v>
      </c>
      <c r="G815" s="37">
        <f>Inputs!$D$26*(1+Inputs!$D$41*(B815-Inputs!$D$42))</f>
        <v>1.395</v>
      </c>
      <c r="H815" s="35">
        <f>Inputs!$D$6*Inputs!$D$14*G815*Inputs!$D$29</f>
        <v>1752.7198500000002</v>
      </c>
      <c r="I815" s="36">
        <f>H815/(A815*Inputs!$D$32)</f>
        <v>0.54012938366718033</v>
      </c>
      <c r="J815" s="38">
        <f>IF(I815&gt;=1,999,I815/(Inputs!$D$32*(1-I815))*60)</f>
        <v>1.2812996394690492</v>
      </c>
      <c r="K815" s="37">
        <f>MIN(1,MAX(0,(J815-Inputs!$D$36)/(Inputs!$D$37-Inputs!$D$36)))</f>
        <v>0</v>
      </c>
      <c r="L815" s="35">
        <f>Inputs!$D$6*Inputs!$D$14*G815*(1-Inputs!$D$38*K815)</f>
        <v>11684.799000000001</v>
      </c>
      <c r="M815" s="39">
        <f>L815*Inputs!$D$11</f>
        <v>251223.17850000001</v>
      </c>
      <c r="N815" s="39">
        <f>M815*(1-Inputs!$D$17)</f>
        <v>87928.112475000002</v>
      </c>
      <c r="O815" s="35">
        <f>Inputs!$D$6*E815*Inputs!$D$27*Inputs!$D$30</f>
        <v>512.90984940713565</v>
      </c>
      <c r="P815" s="36">
        <f>O815/(C815*Inputs!$D$33)</f>
        <v>0.36636417814795402</v>
      </c>
      <c r="Q815" s="38">
        <f>IF(P815&gt;=1,999,P815/(Inputs!$D$33*(1-P815))*60)</f>
        <v>0.86729040289368331</v>
      </c>
      <c r="R815" s="37">
        <f>MIN(1,MAX(0,(Q815-Inputs!$D$36)/(Inputs!$D$37-Inputs!$D$36)))</f>
        <v>0</v>
      </c>
      <c r="S815" s="35">
        <f>Inputs!$D$6*E815*Inputs!$D$27*(1-Inputs!$D$38*R815)</f>
        <v>4274.2487450594635</v>
      </c>
      <c r="T815" s="39">
        <f>S815*Inputs!$D$12</f>
        <v>68387.979920951417</v>
      </c>
      <c r="U815" s="39">
        <f>T815*(1-Inputs!$D$18)</f>
        <v>30774.590964428135</v>
      </c>
      <c r="V815" s="35">
        <f>Inputs!$D$6*F815*Inputs!$D$28*Inputs!$D$31</f>
        <v>592.65770193981814</v>
      </c>
      <c r="W815" s="36">
        <f>V815/(B815*Inputs!$D$34)</f>
        <v>1.3025443998677322</v>
      </c>
      <c r="X815" s="38">
        <f>IF(W815&gt;=1,999,W815/(Inputs!$D$34*(1-W815))*60)</f>
        <v>999</v>
      </c>
      <c r="Y815" s="37">
        <f>MIN(1,MAX(0,(X815-Inputs!$D$36)/(Inputs!$D$37-Inputs!$D$36)))</f>
        <v>1</v>
      </c>
      <c r="Z815" s="35">
        <f>Inputs!$D$6*F815*Inputs!$D$28*(1-Inputs!$D$38*Y815)</f>
        <v>2507.3979697453847</v>
      </c>
      <c r="AA815" s="39">
        <f>Z815*Inputs!$D$13</f>
        <v>21312.882742835769</v>
      </c>
      <c r="AB815" s="39">
        <f>AA815*(1-Inputs!$D$19)</f>
        <v>12787.729645701462</v>
      </c>
      <c r="AC815" s="39">
        <f t="shared" si="48"/>
        <v>340924.04116378725</v>
      </c>
      <c r="AD815" s="39">
        <f t="shared" si="49"/>
        <v>131490.4330851296</v>
      </c>
      <c r="AE815" s="36">
        <f t="shared" si="50"/>
        <v>1.3025443998677322</v>
      </c>
      <c r="AF815" s="35">
        <f>IF(AND(AE815&lt;=Inputs!$D$35,C815&gt;=Inputs!$D$48*(A815+B815+C815),B815*Inputs!$D$22&lt;=Inputs!$D$50*Inputs!$D$8,B815*Inputs!$D$22&gt;=Inputs!$D$49*Inputs!$D$8,A815*Inputs!$D$20&lt;=Inputs!$D$47*Inputs!$D$8,C815&gt;=1),1,0)</f>
        <v>0</v>
      </c>
      <c r="AG815" s="39">
        <f t="shared" si="51"/>
        <v>-1</v>
      </c>
    </row>
    <row r="816" spans="1:33" x14ac:dyDescent="0.25">
      <c r="A816" s="35">
        <v>59</v>
      </c>
      <c r="B816" s="35">
        <v>14</v>
      </c>
      <c r="C816" s="35">
        <f>Inputs!$D$8-A816-Inputs!$D$22*B816</f>
        <v>33</v>
      </c>
      <c r="D816" s="35">
        <f>A816*Inputs!$D$20+C816*Inputs!$D$21+B816*Inputs!$D$22</f>
        <v>120</v>
      </c>
      <c r="E816" s="36">
        <f>MIN(Inputs!$E$15,Inputs!$D$15*(C816/Inputs!$D$43)^Inputs!$D$44)</f>
        <v>0.35322833999035824</v>
      </c>
      <c r="F816" s="36">
        <f>MIN(Inputs!$E$16,Inputs!$D$16*(B816/Inputs!$D$42)^Inputs!$D$44)</f>
        <v>0.35940937671625589</v>
      </c>
      <c r="G816" s="37">
        <f>Inputs!$D$26*(1+Inputs!$D$41*(B816-Inputs!$D$42))</f>
        <v>1.41</v>
      </c>
      <c r="H816" s="35">
        <f>Inputs!$D$6*Inputs!$D$14*G816*Inputs!$D$29</f>
        <v>1771.5663000000002</v>
      </c>
      <c r="I816" s="36">
        <f>H816/(A816*Inputs!$D$32)</f>
        <v>0.54593722650231136</v>
      </c>
      <c r="J816" s="38">
        <f>IF(I816&gt;=1,999,I816/(Inputs!$D$32*(1-I816))*60)</f>
        <v>1.311642174207216</v>
      </c>
      <c r="K816" s="37">
        <f>MIN(1,MAX(0,(J816-Inputs!$D$36)/(Inputs!$D$37-Inputs!$D$36)))</f>
        <v>0</v>
      </c>
      <c r="L816" s="35">
        <f>Inputs!$D$6*Inputs!$D$14*G816*(1-Inputs!$D$38*K816)</f>
        <v>11810.442000000001</v>
      </c>
      <c r="M816" s="39">
        <f>L816*Inputs!$D$11</f>
        <v>253924.50300000003</v>
      </c>
      <c r="N816" s="39">
        <f>M816*(1-Inputs!$D$17)</f>
        <v>88873.576050000003</v>
      </c>
      <c r="O816" s="35">
        <f>Inputs!$D$6*E816*Inputs!$D$27*Inputs!$D$30</f>
        <v>503.93533061728459</v>
      </c>
      <c r="P816" s="36">
        <f>O816/(C816*Inputs!$D$33)</f>
        <v>0.38176918986157926</v>
      </c>
      <c r="Q816" s="38">
        <f>IF(P816&gt;=1,999,P816/(Inputs!$D$33*(1-P816))*60)</f>
        <v>0.92627830156855617</v>
      </c>
      <c r="R816" s="37">
        <f>MIN(1,MAX(0,(Q816-Inputs!$D$36)/(Inputs!$D$37-Inputs!$D$36)))</f>
        <v>0</v>
      </c>
      <c r="S816" s="35">
        <f>Inputs!$D$6*E816*Inputs!$D$27*(1-Inputs!$D$38*R816)</f>
        <v>4199.461088477372</v>
      </c>
      <c r="T816" s="39">
        <f>S816*Inputs!$D$12</f>
        <v>67191.377415637951</v>
      </c>
      <c r="U816" s="39">
        <f>T816*(1-Inputs!$D$18)</f>
        <v>30236.119837037077</v>
      </c>
      <c r="V816" s="35">
        <f>Inputs!$D$6*F816*Inputs!$D$28*Inputs!$D$31</f>
        <v>605.98146079368973</v>
      </c>
      <c r="W816" s="36">
        <f>V816/(B816*Inputs!$D$34)</f>
        <v>1.2366968587626321</v>
      </c>
      <c r="X816" s="38">
        <f>IF(W816&gt;=1,999,W816/(Inputs!$D$34*(1-W816))*60)</f>
        <v>999</v>
      </c>
      <c r="Y816" s="37">
        <f>MIN(1,MAX(0,(X816-Inputs!$D$36)/(Inputs!$D$37-Inputs!$D$36)))</f>
        <v>1</v>
      </c>
      <c r="Z816" s="35">
        <f>Inputs!$D$6*F816*Inputs!$D$28*(1-Inputs!$D$38*Y816)</f>
        <v>2563.7677187425338</v>
      </c>
      <c r="AA816" s="39">
        <f>Z816*Inputs!$D$13</f>
        <v>21792.025609311539</v>
      </c>
      <c r="AB816" s="39">
        <f>AA816*(1-Inputs!$D$19)</f>
        <v>13075.215365586922</v>
      </c>
      <c r="AC816" s="39">
        <f t="shared" si="48"/>
        <v>342907.90602494951</v>
      </c>
      <c r="AD816" s="39">
        <f t="shared" si="49"/>
        <v>132184.91125262401</v>
      </c>
      <c r="AE816" s="36">
        <f t="shared" si="50"/>
        <v>1.2366968587626321</v>
      </c>
      <c r="AF816" s="35">
        <f>IF(AND(AE816&lt;=Inputs!$D$35,C816&gt;=Inputs!$D$48*(A816+B816+C816),B816*Inputs!$D$22&lt;=Inputs!$D$50*Inputs!$D$8,B816*Inputs!$D$22&gt;=Inputs!$D$49*Inputs!$D$8,A816*Inputs!$D$20&lt;=Inputs!$D$47*Inputs!$D$8,C816&gt;=1),1,0)</f>
        <v>0</v>
      </c>
      <c r="AG816" s="39">
        <f t="shared" si="51"/>
        <v>-1</v>
      </c>
    </row>
    <row r="817" spans="1:33" x14ac:dyDescent="0.25">
      <c r="A817" s="35">
        <v>59</v>
      </c>
      <c r="B817" s="35">
        <v>15</v>
      </c>
      <c r="C817" s="35">
        <f>Inputs!$D$8-A817-Inputs!$D$22*B817</f>
        <v>31</v>
      </c>
      <c r="D817" s="35">
        <f>A817*Inputs!$D$20+C817*Inputs!$D$21+B817*Inputs!$D$22</f>
        <v>120</v>
      </c>
      <c r="E817" s="36">
        <f>MIN(Inputs!$E$15,Inputs!$D$15*(C817/Inputs!$D$43)^Inputs!$D$44)</f>
        <v>0.34666489615699225</v>
      </c>
      <c r="F817" s="36">
        <f>MIN(Inputs!$E$16,Inputs!$D$16*(B817/Inputs!$D$42)^Inputs!$D$44)</f>
        <v>0.36692590185696072</v>
      </c>
      <c r="G817" s="37">
        <f>Inputs!$D$26*(1+Inputs!$D$41*(B817-Inputs!$D$42))</f>
        <v>1.4249999999999998</v>
      </c>
      <c r="H817" s="35">
        <f>Inputs!$D$6*Inputs!$D$14*G817*Inputs!$D$29</f>
        <v>1790.4127499999997</v>
      </c>
      <c r="I817" s="36">
        <f>H817/(A817*Inputs!$D$32)</f>
        <v>0.55174506933744216</v>
      </c>
      <c r="J817" s="38">
        <f>IF(I817&gt;=1,999,I817/(Inputs!$D$32*(1-I817))*60)</f>
        <v>1.3427709788151554</v>
      </c>
      <c r="K817" s="37">
        <f>MIN(1,MAX(0,(J817-Inputs!$D$36)/(Inputs!$D$37-Inputs!$D$36)))</f>
        <v>0</v>
      </c>
      <c r="L817" s="35">
        <f>Inputs!$D$6*Inputs!$D$14*G817*(1-Inputs!$D$38*K817)</f>
        <v>11936.084999999999</v>
      </c>
      <c r="M817" s="39">
        <f>L817*Inputs!$D$11</f>
        <v>256625.82749999998</v>
      </c>
      <c r="N817" s="39">
        <f>M817*(1-Inputs!$D$17)</f>
        <v>89819.03962499999</v>
      </c>
      <c r="O817" s="35">
        <f>Inputs!$D$6*E817*Inputs!$D$27*Inputs!$D$30</f>
        <v>494.57155409174993</v>
      </c>
      <c r="P817" s="36">
        <f>O817/(C817*Inputs!$D$33)</f>
        <v>0.39884802749334675</v>
      </c>
      <c r="Q817" s="38">
        <f>IF(P817&gt;=1,999,P817/(Inputs!$D$33*(1-P817))*60)</f>
        <v>0.9952093124561755</v>
      </c>
      <c r="R817" s="37">
        <f>MIN(1,MAX(0,(Q817-Inputs!$D$36)/(Inputs!$D$37-Inputs!$D$36)))</f>
        <v>0</v>
      </c>
      <c r="S817" s="35">
        <f>Inputs!$D$6*E817*Inputs!$D$27*(1-Inputs!$D$38*R817)</f>
        <v>4121.4296174312494</v>
      </c>
      <c r="T817" s="39">
        <f>S817*Inputs!$D$12</f>
        <v>65942.873878899991</v>
      </c>
      <c r="U817" s="39">
        <f>T817*(1-Inputs!$D$18)</f>
        <v>29674.293245504992</v>
      </c>
      <c r="V817" s="35">
        <f>Inputs!$D$6*F817*Inputs!$D$28*Inputs!$D$31</f>
        <v>618.65468297412497</v>
      </c>
      <c r="W817" s="36">
        <f>V817/(B817*Inputs!$D$34)</f>
        <v>1.1783898723316666</v>
      </c>
      <c r="X817" s="38">
        <f>IF(W817&gt;=1,999,W817/(Inputs!$D$34*(1-W817))*60)</f>
        <v>999</v>
      </c>
      <c r="Y817" s="37">
        <f>MIN(1,MAX(0,(X817-Inputs!$D$36)/(Inputs!$D$37-Inputs!$D$36)))</f>
        <v>1</v>
      </c>
      <c r="Z817" s="35">
        <f>Inputs!$D$6*F817*Inputs!$D$28*(1-Inputs!$D$38*Y817)</f>
        <v>2617.3851971982212</v>
      </c>
      <c r="AA817" s="39">
        <f>Z817*Inputs!$D$13</f>
        <v>22247.774176184881</v>
      </c>
      <c r="AB817" s="39">
        <f>AA817*(1-Inputs!$D$19)</f>
        <v>13348.664505710929</v>
      </c>
      <c r="AC817" s="39">
        <f t="shared" si="48"/>
        <v>344816.47555508488</v>
      </c>
      <c r="AD817" s="39">
        <f t="shared" si="49"/>
        <v>132841.99737621591</v>
      </c>
      <c r="AE817" s="36">
        <f t="shared" si="50"/>
        <v>1.1783898723316666</v>
      </c>
      <c r="AF817" s="35">
        <f>IF(AND(AE817&lt;=Inputs!$D$35,C817&gt;=Inputs!$D$48*(A817+B817+C817),B817*Inputs!$D$22&lt;=Inputs!$D$50*Inputs!$D$8,B817*Inputs!$D$22&gt;=Inputs!$D$49*Inputs!$D$8,A817*Inputs!$D$20&lt;=Inputs!$D$47*Inputs!$D$8,C817&gt;=1),1,0)</f>
        <v>0</v>
      </c>
      <c r="AG817" s="39">
        <f t="shared" si="51"/>
        <v>-1</v>
      </c>
    </row>
    <row r="818" spans="1:33" x14ac:dyDescent="0.25">
      <c r="A818" s="35">
        <v>59</v>
      </c>
      <c r="B818" s="35">
        <v>16</v>
      </c>
      <c r="C818" s="35">
        <f>Inputs!$D$8-A818-Inputs!$D$22*B818</f>
        <v>29</v>
      </c>
      <c r="D818" s="35">
        <f>A818*Inputs!$D$20+C818*Inputs!$D$21+B818*Inputs!$D$22</f>
        <v>120</v>
      </c>
      <c r="E818" s="36">
        <f>MIN(Inputs!$E$15,Inputs!$D$15*(C818/Inputs!$D$43)^Inputs!$D$44)</f>
        <v>0.33979795258455459</v>
      </c>
      <c r="F818" s="36">
        <f>MIN(Inputs!$E$16,Inputs!$D$16*(B818/Inputs!$D$42)^Inputs!$D$44)</f>
        <v>0.37409937912904856</v>
      </c>
      <c r="G818" s="37">
        <f>Inputs!$D$26*(1+Inputs!$D$41*(B818-Inputs!$D$42))</f>
        <v>1.44</v>
      </c>
      <c r="H818" s="35">
        <f>Inputs!$D$6*Inputs!$D$14*G818*Inputs!$D$29</f>
        <v>1809.2592000000002</v>
      </c>
      <c r="I818" s="36">
        <f>H818/(A818*Inputs!$D$32)</f>
        <v>0.5575529121725733</v>
      </c>
      <c r="J818" s="38">
        <f>IF(I818&gt;=1,999,I818/(Inputs!$D$32*(1-I818))*60)</f>
        <v>1.3747170165331442</v>
      </c>
      <c r="K818" s="37">
        <f>MIN(1,MAX(0,(J818-Inputs!$D$36)/(Inputs!$D$37-Inputs!$D$36)))</f>
        <v>0</v>
      </c>
      <c r="L818" s="35">
        <f>Inputs!$D$6*Inputs!$D$14*G818*(1-Inputs!$D$38*K818)</f>
        <v>12061.728000000001</v>
      </c>
      <c r="M818" s="39">
        <f>L818*Inputs!$D$11</f>
        <v>259327.15200000003</v>
      </c>
      <c r="N818" s="39">
        <f>M818*(1-Inputs!$D$17)</f>
        <v>90764.503200000006</v>
      </c>
      <c r="O818" s="35">
        <f>Inputs!$D$6*E818*Inputs!$D$27*Inputs!$D$30</f>
        <v>484.77478784247035</v>
      </c>
      <c r="P818" s="36">
        <f>O818/(C818*Inputs!$D$33)</f>
        <v>0.41790929986419856</v>
      </c>
      <c r="Q818" s="38">
        <f>IF(P818&gt;=1,999,P818/(Inputs!$D$33*(1-P818))*60)</f>
        <v>1.0769179951681944</v>
      </c>
      <c r="R818" s="37">
        <f>MIN(1,MAX(0,(Q818-Inputs!$D$36)/(Inputs!$D$37-Inputs!$D$36)))</f>
        <v>0</v>
      </c>
      <c r="S818" s="35">
        <f>Inputs!$D$6*E818*Inputs!$D$27*(1-Inputs!$D$38*R818)</f>
        <v>4039.7898986872528</v>
      </c>
      <c r="T818" s="39">
        <f>S818*Inputs!$D$12</f>
        <v>64636.638378996046</v>
      </c>
      <c r="U818" s="39">
        <f>T818*(1-Inputs!$D$18)</f>
        <v>29086.487270548219</v>
      </c>
      <c r="V818" s="35">
        <f>Inputs!$D$6*F818*Inputs!$D$28*Inputs!$D$31</f>
        <v>630.74950998177405</v>
      </c>
      <c r="W818" s="36">
        <f>V818/(B818*Inputs!$D$34)</f>
        <v>1.1263384106817393</v>
      </c>
      <c r="X818" s="38">
        <f>IF(W818&gt;=1,999,W818/(Inputs!$D$34*(1-W818))*60)</f>
        <v>999</v>
      </c>
      <c r="Y818" s="37">
        <f>MIN(1,MAX(0,(X818-Inputs!$D$36)/(Inputs!$D$37-Inputs!$D$36)))</f>
        <v>1</v>
      </c>
      <c r="Z818" s="35">
        <f>Inputs!$D$6*F818*Inputs!$D$28*(1-Inputs!$D$38*Y818)</f>
        <v>2668.5556191536598</v>
      </c>
      <c r="AA818" s="39">
        <f>Z818*Inputs!$D$13</f>
        <v>22682.722762806108</v>
      </c>
      <c r="AB818" s="39">
        <f>AA818*(1-Inputs!$D$19)</f>
        <v>13609.633657683664</v>
      </c>
      <c r="AC818" s="39">
        <f t="shared" si="48"/>
        <v>346646.51314180216</v>
      </c>
      <c r="AD818" s="39">
        <f t="shared" si="49"/>
        <v>133460.6241282319</v>
      </c>
      <c r="AE818" s="36">
        <f t="shared" si="50"/>
        <v>1.1263384106817393</v>
      </c>
      <c r="AF818" s="35">
        <f>IF(AND(AE818&lt;=Inputs!$D$35,C818&gt;=Inputs!$D$48*(A818+B818+C818),B818*Inputs!$D$22&lt;=Inputs!$D$50*Inputs!$D$8,B818*Inputs!$D$22&gt;=Inputs!$D$49*Inputs!$D$8,A818*Inputs!$D$20&lt;=Inputs!$D$47*Inputs!$D$8,C818&gt;=1),1,0)</f>
        <v>0</v>
      </c>
      <c r="AG818" s="39">
        <f t="shared" si="51"/>
        <v>-1</v>
      </c>
    </row>
    <row r="819" spans="1:33" x14ac:dyDescent="0.25">
      <c r="A819" s="35">
        <v>59</v>
      </c>
      <c r="B819" s="35">
        <v>17</v>
      </c>
      <c r="C819" s="35">
        <f>Inputs!$D$8-A819-Inputs!$D$22*B819</f>
        <v>27</v>
      </c>
      <c r="D819" s="35">
        <f>A819*Inputs!$D$20+C819*Inputs!$D$21+B819*Inputs!$D$22</f>
        <v>120</v>
      </c>
      <c r="E819" s="36">
        <f>MIN(Inputs!$E$15,Inputs!$D$15*(C819/Inputs!$D$43)^Inputs!$D$44)</f>
        <v>0.33259099594532748</v>
      </c>
      <c r="F819" s="36">
        <f>MIN(Inputs!$E$16,Inputs!$D$16*(B819/Inputs!$D$42)^Inputs!$D$44)</f>
        <v>0.3809655184437048</v>
      </c>
      <c r="G819" s="37">
        <f>Inputs!$D$26*(1+Inputs!$D$41*(B819-Inputs!$D$42))</f>
        <v>1.4550000000000001</v>
      </c>
      <c r="H819" s="35">
        <f>Inputs!$D$6*Inputs!$D$14*G819*Inputs!$D$29</f>
        <v>1828.1056500000002</v>
      </c>
      <c r="I819" s="36">
        <f>H819/(A819*Inputs!$D$32)</f>
        <v>0.56336075500770422</v>
      </c>
      <c r="J819" s="38">
        <f>IF(I819&gt;=1,999,I819/(Inputs!$D$32*(1-I819))*60)</f>
        <v>1.4075128979992568</v>
      </c>
      <c r="K819" s="37">
        <f>MIN(1,MAX(0,(J819-Inputs!$D$36)/(Inputs!$D$37-Inputs!$D$36)))</f>
        <v>0</v>
      </c>
      <c r="L819" s="35">
        <f>Inputs!$D$6*Inputs!$D$14*G819*(1-Inputs!$D$38*K819)</f>
        <v>12187.371000000001</v>
      </c>
      <c r="M819" s="39">
        <f>L819*Inputs!$D$11</f>
        <v>262028.47650000002</v>
      </c>
      <c r="N819" s="39">
        <f>M819*(1-Inputs!$D$17)</f>
        <v>91709.966775000008</v>
      </c>
      <c r="O819" s="35">
        <f>Inputs!$D$6*E819*Inputs!$D$27*Inputs!$D$30</f>
        <v>474.49293991137716</v>
      </c>
      <c r="P819" s="36">
        <f>O819/(C819*Inputs!$D$33)</f>
        <v>0.43934531473275662</v>
      </c>
      <c r="Q819" s="38">
        <f>IF(P819&gt;=1,999,P819/(Inputs!$D$33*(1-P819))*60)</f>
        <v>1.1754436187133714</v>
      </c>
      <c r="R819" s="37">
        <f>MIN(1,MAX(0,(Q819-Inputs!$D$36)/(Inputs!$D$37-Inputs!$D$36)))</f>
        <v>0</v>
      </c>
      <c r="S819" s="35">
        <f>Inputs!$D$6*E819*Inputs!$D$27*(1-Inputs!$D$38*R819)</f>
        <v>3954.1078325948097</v>
      </c>
      <c r="T819" s="39">
        <f>S819*Inputs!$D$12</f>
        <v>63265.725321516955</v>
      </c>
      <c r="U819" s="39">
        <f>T819*(1-Inputs!$D$18)</f>
        <v>28469.576394682626</v>
      </c>
      <c r="V819" s="35">
        <f>Inputs!$D$6*F819*Inputs!$D$28*Inputs!$D$31</f>
        <v>642.32615044097156</v>
      </c>
      <c r="W819" s="36">
        <f>V819/(B819*Inputs!$D$34)</f>
        <v>1.0795397486402882</v>
      </c>
      <c r="X819" s="38">
        <f>IF(W819&gt;=1,999,W819/(Inputs!$D$34*(1-W819))*60)</f>
        <v>999</v>
      </c>
      <c r="Y819" s="37">
        <f>MIN(1,MAX(0,(X819-Inputs!$D$36)/(Inputs!$D$37-Inputs!$D$36)))</f>
        <v>1</v>
      </c>
      <c r="Z819" s="35">
        <f>Inputs!$D$6*F819*Inputs!$D$28*(1-Inputs!$D$38*Y819)</f>
        <v>2717.5337134041106</v>
      </c>
      <c r="AA819" s="39">
        <f>Z819*Inputs!$D$13</f>
        <v>23099.03656393494</v>
      </c>
      <c r="AB819" s="39">
        <f>AA819*(1-Inputs!$D$19)</f>
        <v>13859.421938360963</v>
      </c>
      <c r="AC819" s="39">
        <f t="shared" si="48"/>
        <v>348393.2383854519</v>
      </c>
      <c r="AD819" s="39">
        <f t="shared" si="49"/>
        <v>134038.9651080436</v>
      </c>
      <c r="AE819" s="36">
        <f t="shared" si="50"/>
        <v>1.0795397486402882</v>
      </c>
      <c r="AF819" s="35">
        <f>IF(AND(AE819&lt;=Inputs!$D$35,C819&gt;=Inputs!$D$48*(A819+B819+C819),B819*Inputs!$D$22&lt;=Inputs!$D$50*Inputs!$D$8,B819*Inputs!$D$22&gt;=Inputs!$D$49*Inputs!$D$8,A819*Inputs!$D$20&lt;=Inputs!$D$47*Inputs!$D$8,C819&gt;=1),1,0)</f>
        <v>0</v>
      </c>
      <c r="AG819" s="39">
        <f t="shared" si="51"/>
        <v>-1</v>
      </c>
    </row>
    <row r="820" spans="1:33" x14ac:dyDescent="0.25">
      <c r="A820" s="35">
        <v>59</v>
      </c>
      <c r="B820" s="35">
        <v>18</v>
      </c>
      <c r="C820" s="35">
        <f>Inputs!$D$8-A820-Inputs!$D$22*B820</f>
        <v>25</v>
      </c>
      <c r="D820" s="35">
        <f>A820*Inputs!$D$20+C820*Inputs!$D$21+B820*Inputs!$D$22</f>
        <v>120</v>
      </c>
      <c r="E820" s="36">
        <f>MIN(Inputs!$E$15,Inputs!$D$15*(C820/Inputs!$D$43)^Inputs!$D$44)</f>
        <v>0.32500000000000001</v>
      </c>
      <c r="F820" s="36">
        <f>MIN(Inputs!$E$16,Inputs!$D$16*(B820/Inputs!$D$42)^Inputs!$D$44)</f>
        <v>0.38755446447890535</v>
      </c>
      <c r="G820" s="37">
        <f>Inputs!$D$26*(1+Inputs!$D$41*(B820-Inputs!$D$42))</f>
        <v>1.47</v>
      </c>
      <c r="H820" s="35">
        <f>Inputs!$D$6*Inputs!$D$14*G820*Inputs!$D$29</f>
        <v>1846.9521</v>
      </c>
      <c r="I820" s="36">
        <f>H820/(A820*Inputs!$D$32)</f>
        <v>0.56916859784283513</v>
      </c>
      <c r="J820" s="38">
        <f>IF(I820&gt;=1,999,I820/(Inputs!$D$32*(1-I820))*60)</f>
        <v>1.4411929922884876</v>
      </c>
      <c r="K820" s="37">
        <f>MIN(1,MAX(0,(J820-Inputs!$D$36)/(Inputs!$D$37-Inputs!$D$36)))</f>
        <v>0</v>
      </c>
      <c r="L820" s="35">
        <f>Inputs!$D$6*Inputs!$D$14*G820*(1-Inputs!$D$38*K820)</f>
        <v>12313.014000000001</v>
      </c>
      <c r="M820" s="39">
        <f>L820*Inputs!$D$11</f>
        <v>264729.80100000004</v>
      </c>
      <c r="N820" s="39">
        <f>M820*(1-Inputs!$D$17)</f>
        <v>92655.43035000001</v>
      </c>
      <c r="O820" s="35">
        <f>Inputs!$D$6*E820*Inputs!$D$27*Inputs!$D$30</f>
        <v>463.66320000000002</v>
      </c>
      <c r="P820" s="36">
        <f>O820/(C820*Inputs!$D$33)</f>
        <v>0.4636632</v>
      </c>
      <c r="Q820" s="38">
        <f>IF(P820&gt;=1,999,P820/(Inputs!$D$33*(1-P820))*60)</f>
        <v>1.296750101801704</v>
      </c>
      <c r="R820" s="37">
        <f>MIN(1,MAX(0,(Q820-Inputs!$D$36)/(Inputs!$D$37-Inputs!$D$36)))</f>
        <v>0</v>
      </c>
      <c r="S820" s="35">
        <f>Inputs!$D$6*E820*Inputs!$D$27*(1-Inputs!$D$38*R820)</f>
        <v>3863.86</v>
      </c>
      <c r="T820" s="39">
        <f>S820*Inputs!$D$12</f>
        <v>61821.760000000002</v>
      </c>
      <c r="U820" s="39">
        <f>T820*(1-Inputs!$D$18)</f>
        <v>27819.791999999998</v>
      </c>
      <c r="V820" s="35">
        <f>Inputs!$D$6*F820*Inputs!$D$28*Inputs!$D$31</f>
        <v>653.43542972572936</v>
      </c>
      <c r="W820" s="36">
        <f>V820/(B820*Inputs!$D$34)</f>
        <v>1.037199094802745</v>
      </c>
      <c r="X820" s="38">
        <f>IF(W820&gt;=1,999,W820/(Inputs!$D$34*(1-W820))*60)</f>
        <v>999</v>
      </c>
      <c r="Y820" s="37">
        <f>MIN(1,MAX(0,(X820-Inputs!$D$36)/(Inputs!$D$37-Inputs!$D$36)))</f>
        <v>1</v>
      </c>
      <c r="Z820" s="35">
        <f>Inputs!$D$6*F820*Inputs!$D$28*(1-Inputs!$D$38*Y820)</f>
        <v>2764.534510378086</v>
      </c>
      <c r="AA820" s="39">
        <f>Z820*Inputs!$D$13</f>
        <v>23498.543338213731</v>
      </c>
      <c r="AB820" s="39">
        <f>AA820*(1-Inputs!$D$19)</f>
        <v>14099.126002928238</v>
      </c>
      <c r="AC820" s="39">
        <f t="shared" si="48"/>
        <v>350050.1043382138</v>
      </c>
      <c r="AD820" s="39">
        <f t="shared" si="49"/>
        <v>134574.34835292824</v>
      </c>
      <c r="AE820" s="36">
        <f t="shared" si="50"/>
        <v>1.037199094802745</v>
      </c>
      <c r="AF820" s="35">
        <f>IF(AND(AE820&lt;=Inputs!$D$35,C820&gt;=Inputs!$D$48*(A820+B820+C820),B820*Inputs!$D$22&lt;=Inputs!$D$50*Inputs!$D$8,B820*Inputs!$D$22&gt;=Inputs!$D$49*Inputs!$D$8,A820*Inputs!$D$20&lt;=Inputs!$D$47*Inputs!$D$8,C820&gt;=1),1,0)</f>
        <v>0</v>
      </c>
      <c r="AG820" s="39">
        <f t="shared" si="51"/>
        <v>-1</v>
      </c>
    </row>
    <row r="821" spans="1:33" x14ac:dyDescent="0.25">
      <c r="A821" s="35">
        <v>59</v>
      </c>
      <c r="B821" s="35">
        <v>19</v>
      </c>
      <c r="C821" s="35">
        <f>Inputs!$D$8-A821-Inputs!$D$22*B821</f>
        <v>23</v>
      </c>
      <c r="D821" s="35">
        <f>A821*Inputs!$D$20+C821*Inputs!$D$21+B821*Inputs!$D$22</f>
        <v>120</v>
      </c>
      <c r="E821" s="36">
        <f>MIN(Inputs!$E$15,Inputs!$D$15*(C821/Inputs!$D$43)^Inputs!$D$44)</f>
        <v>0.31697113078396583</v>
      </c>
      <c r="F821" s="36">
        <f>MIN(Inputs!$E$16,Inputs!$D$16*(B821/Inputs!$D$42)^Inputs!$D$44)</f>
        <v>0.39389192072703005</v>
      </c>
      <c r="G821" s="37">
        <f>Inputs!$D$26*(1+Inputs!$D$41*(B821-Inputs!$D$42))</f>
        <v>1.4849999999999999</v>
      </c>
      <c r="H821" s="35">
        <f>Inputs!$D$6*Inputs!$D$14*G821*Inputs!$D$29</f>
        <v>1865.7985499999998</v>
      </c>
      <c r="I821" s="36">
        <f>H821/(A821*Inputs!$D$32)</f>
        <v>0.57497644067796605</v>
      </c>
      <c r="J821" s="38">
        <f>IF(I821&gt;=1,999,I821/(Inputs!$D$32*(1-I821))*60)</f>
        <v>1.4757935470557979</v>
      </c>
      <c r="K821" s="37">
        <f>MIN(1,MAX(0,(J821-Inputs!$D$36)/(Inputs!$D$37-Inputs!$D$36)))</f>
        <v>0</v>
      </c>
      <c r="L821" s="35">
        <f>Inputs!$D$6*Inputs!$D$14*G821*(1-Inputs!$D$38*K821)</f>
        <v>12438.656999999999</v>
      </c>
      <c r="M821" s="39">
        <f>L821*Inputs!$D$11</f>
        <v>267431.12549999997</v>
      </c>
      <c r="N821" s="39">
        <f>M821*(1-Inputs!$D$17)</f>
        <v>93600.893924999982</v>
      </c>
      <c r="O821" s="35">
        <f>Inputs!$D$6*E821*Inputs!$D$27*Inputs!$D$30</f>
        <v>452.20876555972956</v>
      </c>
      <c r="P821" s="36">
        <f>O821/(C821*Inputs!$D$33)</f>
        <v>0.49153126691274951</v>
      </c>
      <c r="Q821" s="38">
        <f>IF(P821&gt;=1,999,P821/(Inputs!$D$33*(1-P821))*60)</f>
        <v>1.4500339005950402</v>
      </c>
      <c r="R821" s="37">
        <f>MIN(1,MAX(0,(Q821-Inputs!$D$36)/(Inputs!$D$37-Inputs!$D$36)))</f>
        <v>0</v>
      </c>
      <c r="S821" s="35">
        <f>Inputs!$D$6*E821*Inputs!$D$27*(1-Inputs!$D$38*R821)</f>
        <v>3768.4063796644132</v>
      </c>
      <c r="T821" s="39">
        <f>S821*Inputs!$D$12</f>
        <v>60294.502074630611</v>
      </c>
      <c r="U821" s="39">
        <f>T821*(1-Inputs!$D$18)</f>
        <v>27132.525933583773</v>
      </c>
      <c r="V821" s="35">
        <f>Inputs!$D$6*F821*Inputs!$D$28*Inputs!$D$31</f>
        <v>664.12068515796761</v>
      </c>
      <c r="W821" s="36">
        <f>V821/(B821*Inputs!$D$34)</f>
        <v>0.99867772204205651</v>
      </c>
      <c r="X821" s="38">
        <f>IF(W821&gt;=1,999,W821/(Inputs!$D$34*(1-W821))*60)</f>
        <v>1294.749671797274</v>
      </c>
      <c r="Y821" s="37">
        <f>MIN(1,MAX(0,(X821-Inputs!$D$36)/(Inputs!$D$37-Inputs!$D$36)))</f>
        <v>1</v>
      </c>
      <c r="Z821" s="35">
        <f>Inputs!$D$6*F821*Inputs!$D$28*(1-Inputs!$D$38*Y821)</f>
        <v>2809.7413602837091</v>
      </c>
      <c r="AA821" s="39">
        <f>Z821*Inputs!$D$13</f>
        <v>23882.801562411529</v>
      </c>
      <c r="AB821" s="39">
        <f>AA821*(1-Inputs!$D$19)</f>
        <v>14329.680937446918</v>
      </c>
      <c r="AC821" s="39">
        <f t="shared" si="48"/>
        <v>351608.42913704208</v>
      </c>
      <c r="AD821" s="39">
        <f t="shared" si="49"/>
        <v>135063.10079603069</v>
      </c>
      <c r="AE821" s="36">
        <f t="shared" si="50"/>
        <v>0.99867772204205651</v>
      </c>
      <c r="AF821" s="35">
        <f>IF(AND(AE821&lt;=Inputs!$D$35,C821&gt;=Inputs!$D$48*(A821+B821+C821),B821*Inputs!$D$22&lt;=Inputs!$D$50*Inputs!$D$8,B821*Inputs!$D$22&gt;=Inputs!$D$49*Inputs!$D$8,A821*Inputs!$D$20&lt;=Inputs!$D$47*Inputs!$D$8,C821&gt;=1),1,0)</f>
        <v>0</v>
      </c>
      <c r="AG821" s="39">
        <f t="shared" si="51"/>
        <v>-1</v>
      </c>
    </row>
    <row r="822" spans="1:33" x14ac:dyDescent="0.25">
      <c r="A822" s="35">
        <v>59</v>
      </c>
      <c r="B822" s="35">
        <v>20</v>
      </c>
      <c r="C822" s="35">
        <f>Inputs!$D$8-A822-Inputs!$D$22*B822</f>
        <v>21</v>
      </c>
      <c r="D822" s="35">
        <f>A822*Inputs!$D$20+C822*Inputs!$D$21+B822*Inputs!$D$22</f>
        <v>120</v>
      </c>
      <c r="E822" s="36">
        <f>MIN(Inputs!$E$15,Inputs!$D$15*(C822/Inputs!$D$43)^Inputs!$D$44)</f>
        <v>0.30843748043226404</v>
      </c>
      <c r="F822" s="36">
        <f>MIN(Inputs!$E$16,Inputs!$D$16*(B822/Inputs!$D$42)^Inputs!$D$44)</f>
        <v>0.4</v>
      </c>
      <c r="G822" s="37">
        <f>Inputs!$D$26*(1+Inputs!$D$41*(B822-Inputs!$D$42))</f>
        <v>1.5</v>
      </c>
      <c r="H822" s="35">
        <f>Inputs!$D$6*Inputs!$D$14*G822*Inputs!$D$29</f>
        <v>1884.645</v>
      </c>
      <c r="I822" s="36">
        <f>H822/(A822*Inputs!$D$32)</f>
        <v>0.58078428351309708</v>
      </c>
      <c r="J822" s="38">
        <f>IF(I822&gt;=1,999,I822/(Inputs!$D$32*(1-I822))*60)</f>
        <v>1.5113528186659833</v>
      </c>
      <c r="K822" s="37">
        <f>MIN(1,MAX(0,(J822-Inputs!$D$36)/(Inputs!$D$37-Inputs!$D$36)))</f>
        <v>0</v>
      </c>
      <c r="L822" s="35">
        <f>Inputs!$D$6*Inputs!$D$14*G822*(1-Inputs!$D$38*K822)</f>
        <v>12564.300000000001</v>
      </c>
      <c r="M822" s="39">
        <f>L822*Inputs!$D$11</f>
        <v>270132.45</v>
      </c>
      <c r="N822" s="39">
        <f>M822*(1-Inputs!$D$17)</f>
        <v>94546.357499999998</v>
      </c>
      <c r="O822" s="35">
        <f>Inputs!$D$6*E822*Inputs!$D$27*Inputs!$D$30</f>
        <v>440.03418208357215</v>
      </c>
      <c r="P822" s="36">
        <f>O822/(C822*Inputs!$D$33)</f>
        <v>0.52385021676615728</v>
      </c>
      <c r="Q822" s="38">
        <f>IF(P822&gt;=1,999,P822/(Inputs!$D$33*(1-P822))*60)</f>
        <v>1.6502692069132636</v>
      </c>
      <c r="R822" s="37">
        <f>MIN(1,MAX(0,(Q822-Inputs!$D$36)/(Inputs!$D$37-Inputs!$D$36)))</f>
        <v>0</v>
      </c>
      <c r="S822" s="35">
        <f>Inputs!$D$6*E822*Inputs!$D$27*(1-Inputs!$D$38*R822)</f>
        <v>3666.9515173631012</v>
      </c>
      <c r="T822" s="39">
        <f>S822*Inputs!$D$12</f>
        <v>58671.224277809619</v>
      </c>
      <c r="U822" s="39">
        <f>T822*(1-Inputs!$D$18)</f>
        <v>26402.050925014326</v>
      </c>
      <c r="V822" s="35">
        <f>Inputs!$D$6*F822*Inputs!$D$28*Inputs!$D$31</f>
        <v>674.41919999999993</v>
      </c>
      <c r="W822" s="36">
        <f>V822/(B822*Inputs!$D$34)</f>
        <v>0.96345599999999987</v>
      </c>
      <c r="X822" s="38">
        <f>IF(W822&gt;=1,999,W822/(Inputs!$D$34*(1-W822))*60)</f>
        <v>45.195896922691851</v>
      </c>
      <c r="Y822" s="37">
        <f>MIN(1,MAX(0,(X822-Inputs!$D$36)/(Inputs!$D$37-Inputs!$D$36)))</f>
        <v>1</v>
      </c>
      <c r="Z822" s="35">
        <f>Inputs!$D$6*F822*Inputs!$D$28*(1-Inputs!$D$38*Y822)</f>
        <v>2853.3119999999999</v>
      </c>
      <c r="AA822" s="39">
        <f>Z822*Inputs!$D$13</f>
        <v>24253.151999999998</v>
      </c>
      <c r="AB822" s="39">
        <f>AA822*(1-Inputs!$D$19)</f>
        <v>14551.891199999998</v>
      </c>
      <c r="AC822" s="39">
        <f t="shared" si="48"/>
        <v>353056.82627780963</v>
      </c>
      <c r="AD822" s="39">
        <f t="shared" si="49"/>
        <v>135500.2996250143</v>
      </c>
      <c r="AE822" s="36">
        <f t="shared" si="50"/>
        <v>0.96345599999999987</v>
      </c>
      <c r="AF822" s="35">
        <f>IF(AND(AE822&lt;=Inputs!$D$35,C822&gt;=Inputs!$D$48*(A822+B822+C822),B822*Inputs!$D$22&lt;=Inputs!$D$50*Inputs!$D$8,B822*Inputs!$D$22&gt;=Inputs!$D$49*Inputs!$D$8,A822*Inputs!$D$20&lt;=Inputs!$D$47*Inputs!$D$8,C822&gt;=1),1,0)</f>
        <v>0</v>
      </c>
      <c r="AG822" s="39">
        <f t="shared" si="51"/>
        <v>-1</v>
      </c>
    </row>
    <row r="823" spans="1:33" x14ac:dyDescent="0.25">
      <c r="A823" s="35">
        <v>59</v>
      </c>
      <c r="B823" s="35">
        <v>21</v>
      </c>
      <c r="C823" s="35">
        <f>Inputs!$D$8-A823-Inputs!$D$22*B823</f>
        <v>19</v>
      </c>
      <c r="D823" s="35">
        <f>A823*Inputs!$D$20+C823*Inputs!$D$21+B823*Inputs!$D$22</f>
        <v>120</v>
      </c>
      <c r="E823" s="36">
        <f>MIN(Inputs!$E$15,Inputs!$D$15*(C823/Inputs!$D$43)^Inputs!$D$44)</f>
        <v>0.29931428106923352</v>
      </c>
      <c r="F823" s="36">
        <f>MIN(Inputs!$E$16,Inputs!$D$16*(B823/Inputs!$D$42)^Inputs!$D$44)</f>
        <v>0.40589787816896217</v>
      </c>
      <c r="G823" s="37">
        <f>Inputs!$D$26*(1+Inputs!$D$41*(B823-Inputs!$D$42))</f>
        <v>1.5150000000000001</v>
      </c>
      <c r="H823" s="35">
        <f>Inputs!$D$6*Inputs!$D$14*G823*Inputs!$D$29</f>
        <v>1903.4914500000004</v>
      </c>
      <c r="I823" s="36">
        <f>H823/(A823*Inputs!$D$32)</f>
        <v>0.58659212634822822</v>
      </c>
      <c r="J823" s="38">
        <f>IF(I823&gt;=1,999,I823/(Inputs!$D$32*(1-I823))*60)</f>
        <v>1.5479112132924748</v>
      </c>
      <c r="K823" s="37">
        <f>MIN(1,MAX(0,(J823-Inputs!$D$36)/(Inputs!$D$37-Inputs!$D$36)))</f>
        <v>0</v>
      </c>
      <c r="L823" s="35">
        <f>Inputs!$D$6*Inputs!$D$14*G823*(1-Inputs!$D$38*K823)</f>
        <v>12689.943000000003</v>
      </c>
      <c r="M823" s="39">
        <f>L823*Inputs!$D$11</f>
        <v>272833.77450000006</v>
      </c>
      <c r="N823" s="39">
        <f>M823*(1-Inputs!$D$17)</f>
        <v>95491.821075000014</v>
      </c>
      <c r="O823" s="35">
        <f>Inputs!$D$6*E823*Inputs!$D$27*Inputs!$D$30</f>
        <v>427.01851497310844</v>
      </c>
      <c r="P823" s="36">
        <f>O823/(C823*Inputs!$D$33)</f>
        <v>0.56186646706987953</v>
      </c>
      <c r="Q823" s="38">
        <f>IF(P823&gt;=1,999,P823/(Inputs!$D$33*(1-P823))*60)</f>
        <v>1.9236137781292366</v>
      </c>
      <c r="R823" s="37">
        <f>MIN(1,MAX(0,(Q823-Inputs!$D$36)/(Inputs!$D$37-Inputs!$D$36)))</f>
        <v>0</v>
      </c>
      <c r="S823" s="35">
        <f>Inputs!$D$6*E823*Inputs!$D$27*(1-Inputs!$D$38*R823)</f>
        <v>3558.4876247759039</v>
      </c>
      <c r="T823" s="39">
        <f>S823*Inputs!$D$12</f>
        <v>56935.801996414462</v>
      </c>
      <c r="U823" s="39">
        <f>T823*(1-Inputs!$D$18)</f>
        <v>25621.110898386505</v>
      </c>
      <c r="V823" s="35">
        <f>Inputs!$D$6*F823*Inputs!$D$28*Inputs!$D$31</f>
        <v>684.36330569102222</v>
      </c>
      <c r="W823" s="36">
        <f>V823/(B823*Inputs!$D$34)</f>
        <v>0.93110653835513224</v>
      </c>
      <c r="X823" s="38">
        <f>IF(W823&gt;=1,999,W823/(Inputs!$D$34*(1-W823))*60)</f>
        <v>23.16885520150278</v>
      </c>
      <c r="Y823" s="37">
        <f>MIN(1,MAX(0,(X823-Inputs!$D$36)/(Inputs!$D$37-Inputs!$D$36)))</f>
        <v>1</v>
      </c>
      <c r="Z823" s="35">
        <f>Inputs!$D$6*F823*Inputs!$D$28*(1-Inputs!$D$38*Y823)</f>
        <v>2895.3832163850943</v>
      </c>
      <c r="AA823" s="39">
        <f>Z823*Inputs!$D$13</f>
        <v>24610.757339273303</v>
      </c>
      <c r="AB823" s="39">
        <f>AA823*(1-Inputs!$D$19)</f>
        <v>14766.454403563981</v>
      </c>
      <c r="AC823" s="39">
        <f t="shared" si="48"/>
        <v>354380.33383568778</v>
      </c>
      <c r="AD823" s="39">
        <f t="shared" si="49"/>
        <v>135879.38637695051</v>
      </c>
      <c r="AE823" s="36">
        <f t="shared" si="50"/>
        <v>0.93110653835513224</v>
      </c>
      <c r="AF823" s="35">
        <f>IF(AND(AE823&lt;=Inputs!$D$35,C823&gt;=Inputs!$D$48*(A823+B823+C823),B823*Inputs!$D$22&lt;=Inputs!$D$50*Inputs!$D$8,B823*Inputs!$D$22&gt;=Inputs!$D$49*Inputs!$D$8,A823*Inputs!$D$20&lt;=Inputs!$D$47*Inputs!$D$8,C823&gt;=1),1,0)</f>
        <v>0</v>
      </c>
      <c r="AG823" s="39">
        <f t="shared" si="51"/>
        <v>-1</v>
      </c>
    </row>
    <row r="824" spans="1:33" x14ac:dyDescent="0.25">
      <c r="A824" s="35">
        <v>59</v>
      </c>
      <c r="B824" s="35">
        <v>22</v>
      </c>
      <c r="C824" s="35">
        <f>Inputs!$D$8-A824-Inputs!$D$22*B824</f>
        <v>17</v>
      </c>
      <c r="D824" s="35">
        <f>A824*Inputs!$D$20+C824*Inputs!$D$21+B824*Inputs!$D$22</f>
        <v>120</v>
      </c>
      <c r="E824" s="36">
        <f>MIN(Inputs!$E$15,Inputs!$D$15*(C824/Inputs!$D$43)^Inputs!$D$44)</f>
        <v>0.28949164546121231</v>
      </c>
      <c r="F824" s="36">
        <f>MIN(Inputs!$E$16,Inputs!$D$16*(B824/Inputs!$D$42)^Inputs!$D$44)</f>
        <v>0.41160230376843804</v>
      </c>
      <c r="G824" s="37">
        <f>Inputs!$D$26*(1+Inputs!$D$41*(B824-Inputs!$D$42))</f>
        <v>1.53</v>
      </c>
      <c r="H824" s="35">
        <f>Inputs!$D$6*Inputs!$D$14*G824*Inputs!$D$29</f>
        <v>1922.3379</v>
      </c>
      <c r="I824" s="36">
        <f>H824/(A824*Inputs!$D$32)</f>
        <v>0.59239996918335902</v>
      </c>
      <c r="J824" s="38">
        <f>IF(I824&gt;=1,999,I824/(Inputs!$D$32*(1-I824))*60)</f>
        <v>1.5855114400791335</v>
      </c>
      <c r="K824" s="37">
        <f>MIN(1,MAX(0,(J824-Inputs!$D$36)/(Inputs!$D$37-Inputs!$D$36)))</f>
        <v>0</v>
      </c>
      <c r="L824" s="35">
        <f>Inputs!$D$6*Inputs!$D$14*G824*(1-Inputs!$D$38*K824)</f>
        <v>12815.586000000001</v>
      </c>
      <c r="M824" s="39">
        <f>L824*Inputs!$D$11</f>
        <v>275535.09900000005</v>
      </c>
      <c r="N824" s="39">
        <f>M824*(1-Inputs!$D$17)</f>
        <v>96437.284650000016</v>
      </c>
      <c r="O824" s="35">
        <f>Inputs!$D$6*E824*Inputs!$D$27*Inputs!$D$30</f>
        <v>413.00499294711136</v>
      </c>
      <c r="P824" s="36">
        <f>O824/(C824*Inputs!$D$33)</f>
        <v>0.60736028374575202</v>
      </c>
      <c r="Q824" s="38">
        <f>IF(P824&gt;=1,999,P824/(Inputs!$D$33*(1-P824))*60)</f>
        <v>2.3202961593133828</v>
      </c>
      <c r="R824" s="37">
        <f>MIN(1,MAX(0,(Q824-Inputs!$D$36)/(Inputs!$D$37-Inputs!$D$36)))</f>
        <v>0</v>
      </c>
      <c r="S824" s="35">
        <f>Inputs!$D$6*E824*Inputs!$D$27*(1-Inputs!$D$38*R824)</f>
        <v>3441.7082745592616</v>
      </c>
      <c r="T824" s="39">
        <f>S824*Inputs!$D$12</f>
        <v>55067.332392948185</v>
      </c>
      <c r="U824" s="39">
        <f>T824*(1-Inputs!$D$18)</f>
        <v>24780.299576826681</v>
      </c>
      <c r="V824" s="35">
        <f>Inputs!$D$6*F824*Inputs!$D$28*Inputs!$D$31</f>
        <v>693.98124106416742</v>
      </c>
      <c r="W824" s="36">
        <f>V824/(B824*Inputs!$D$34)</f>
        <v>0.90127433904437326</v>
      </c>
      <c r="X824" s="38">
        <f>IF(W824&gt;=1,999,W824/(Inputs!$D$34*(1-W824))*60)</f>
        <v>15.649849381818807</v>
      </c>
      <c r="Y824" s="37">
        <f>MIN(1,MAX(0,(X824-Inputs!$D$36)/(Inputs!$D$37-Inputs!$D$36)))</f>
        <v>0.70998995878792048</v>
      </c>
      <c r="Z824" s="35">
        <f>Inputs!$D$6*F824*Inputs!$D$28*(1-Inputs!$D$38*Y824)</f>
        <v>3632.749002537963</v>
      </c>
      <c r="AA824" s="39">
        <f>Z824*Inputs!$D$13</f>
        <v>30878.366521572687</v>
      </c>
      <c r="AB824" s="39">
        <f>AA824*(1-Inputs!$D$19)</f>
        <v>18527.019912943611</v>
      </c>
      <c r="AC824" s="39">
        <f t="shared" si="48"/>
        <v>361480.79791452095</v>
      </c>
      <c r="AD824" s="39">
        <f t="shared" si="49"/>
        <v>139744.60413977032</v>
      </c>
      <c r="AE824" s="36">
        <f t="shared" si="50"/>
        <v>0.90127433904437326</v>
      </c>
      <c r="AF824" s="35">
        <f>IF(AND(AE824&lt;=Inputs!$D$35,C824&gt;=Inputs!$D$48*(A824+B824+C824),B824*Inputs!$D$22&lt;=Inputs!$D$50*Inputs!$D$8,B824*Inputs!$D$22&gt;=Inputs!$D$49*Inputs!$D$8,A824*Inputs!$D$20&lt;=Inputs!$D$47*Inputs!$D$8,C824&gt;=1),1,0)</f>
        <v>0</v>
      </c>
      <c r="AG824" s="39">
        <f t="shared" si="51"/>
        <v>-1</v>
      </c>
    </row>
    <row r="825" spans="1:33" x14ac:dyDescent="0.25">
      <c r="A825" s="35">
        <v>59</v>
      </c>
      <c r="B825" s="35">
        <v>23</v>
      </c>
      <c r="C825" s="35">
        <f>Inputs!$D$8-A825-Inputs!$D$22*B825</f>
        <v>15</v>
      </c>
      <c r="D825" s="35">
        <f>A825*Inputs!$D$20+C825*Inputs!$D$21+B825*Inputs!$D$22</f>
        <v>120</v>
      </c>
      <c r="E825" s="36">
        <f>MIN(Inputs!$E$15,Inputs!$D$15*(C825/Inputs!$D$43)^Inputs!$D$44)</f>
        <v>0.27882309014433088</v>
      </c>
      <c r="F825" s="36">
        <f>MIN(Inputs!$E$16,Inputs!$D$16*(B825/Inputs!$D$42)^Inputs!$D$44)</f>
        <v>0.41712800028621322</v>
      </c>
      <c r="G825" s="37">
        <f>Inputs!$D$26*(1+Inputs!$D$41*(B825-Inputs!$D$42))</f>
        <v>1.5449999999999999</v>
      </c>
      <c r="H825" s="35">
        <f>Inputs!$D$6*Inputs!$D$14*G825*Inputs!$D$29</f>
        <v>1941.18435</v>
      </c>
      <c r="I825" s="36">
        <f>H825/(A825*Inputs!$D$32)</f>
        <v>0.59820781201848994</v>
      </c>
      <c r="J825" s="38">
        <f>IF(I825&gt;=1,999,I825/(Inputs!$D$32*(1-I825))*60)</f>
        <v>1.6241986775856343</v>
      </c>
      <c r="K825" s="37">
        <f>MIN(1,MAX(0,(J825-Inputs!$D$36)/(Inputs!$D$37-Inputs!$D$36)))</f>
        <v>0</v>
      </c>
      <c r="L825" s="35">
        <f>Inputs!$D$6*Inputs!$D$14*G825*(1-Inputs!$D$38*K825)</f>
        <v>12941.229000000001</v>
      </c>
      <c r="M825" s="39">
        <f>L825*Inputs!$D$11</f>
        <v>278236.42350000003</v>
      </c>
      <c r="N825" s="39">
        <f>M825*(1-Inputs!$D$17)</f>
        <v>97382.748225000003</v>
      </c>
      <c r="O825" s="35">
        <f>Inputs!$D$6*E825*Inputs!$D$27*Inputs!$D$30</f>
        <v>397.78463449295054</v>
      </c>
      <c r="P825" s="36">
        <f>O825/(C825*Inputs!$D$33)</f>
        <v>0.66297439082158427</v>
      </c>
      <c r="Q825" s="38">
        <f>IF(P825&gt;=1,999,P825/(Inputs!$D$33*(1-P825))*60)</f>
        <v>2.9507003597044905</v>
      </c>
      <c r="R825" s="37">
        <f>MIN(1,MAX(0,(Q825-Inputs!$D$36)/(Inputs!$D$37-Inputs!$D$36)))</f>
        <v>0</v>
      </c>
      <c r="S825" s="35">
        <f>Inputs!$D$6*E825*Inputs!$D$27*(1-Inputs!$D$38*R825)</f>
        <v>3314.8719541079213</v>
      </c>
      <c r="T825" s="39">
        <f>S825*Inputs!$D$12</f>
        <v>53037.951265726741</v>
      </c>
      <c r="U825" s="39">
        <f>T825*(1-Inputs!$D$18)</f>
        <v>23867.07806957703</v>
      </c>
      <c r="V825" s="35">
        <f>Inputs!$D$6*F825*Inputs!$D$28*Inputs!$D$31</f>
        <v>703.29783062656929</v>
      </c>
      <c r="W825" s="36">
        <f>V825/(B825*Inputs!$D$34)</f>
        <v>0.87366190139946498</v>
      </c>
      <c r="X825" s="38">
        <f>IF(W825&gt;=1,999,W825/(Inputs!$D$34*(1-W825))*60)</f>
        <v>11.854746377182334</v>
      </c>
      <c r="Y825" s="37">
        <f>MIN(1,MAX(0,(X825-Inputs!$D$36)/(Inputs!$D$37-Inputs!$D$36)))</f>
        <v>0.45698309181215557</v>
      </c>
      <c r="Z825" s="35">
        <f>Inputs!$D$6*F825*Inputs!$D$28*(1-Inputs!$D$38*Y825)</f>
        <v>4297.4614071503011</v>
      </c>
      <c r="AA825" s="39">
        <f>Z825*Inputs!$D$13</f>
        <v>36528.421960777559</v>
      </c>
      <c r="AB825" s="39">
        <f>AA825*(1-Inputs!$D$19)</f>
        <v>21917.053176466536</v>
      </c>
      <c r="AC825" s="39">
        <f t="shared" si="48"/>
        <v>367802.79672650434</v>
      </c>
      <c r="AD825" s="39">
        <f t="shared" si="49"/>
        <v>143166.87947104359</v>
      </c>
      <c r="AE825" s="36">
        <f t="shared" si="50"/>
        <v>0.87366190139946498</v>
      </c>
      <c r="AF825" s="35">
        <f>IF(AND(AE825&lt;=Inputs!$D$35,C825&gt;=Inputs!$D$48*(A825+B825+C825),B825*Inputs!$D$22&lt;=Inputs!$D$50*Inputs!$D$8,B825*Inputs!$D$22&gt;=Inputs!$D$49*Inputs!$D$8,A825*Inputs!$D$20&lt;=Inputs!$D$47*Inputs!$D$8,C825&gt;=1),1,0)</f>
        <v>0</v>
      </c>
      <c r="AG825" s="39">
        <f t="shared" si="51"/>
        <v>-1</v>
      </c>
    </row>
    <row r="826" spans="1:33" x14ac:dyDescent="0.25">
      <c r="A826" s="35">
        <v>59</v>
      </c>
      <c r="B826" s="35">
        <v>24</v>
      </c>
      <c r="C826" s="35">
        <f>Inputs!$D$8-A826-Inputs!$D$22*B826</f>
        <v>13</v>
      </c>
      <c r="D826" s="35">
        <f>A826*Inputs!$D$20+C826*Inputs!$D$21+B826*Inputs!$D$22</f>
        <v>120</v>
      </c>
      <c r="E826" s="36">
        <f>MIN(Inputs!$E$15,Inputs!$D$15*(C826/Inputs!$D$43)^Inputs!$D$44)</f>
        <v>0.26710644306172537</v>
      </c>
      <c r="F826" s="36">
        <f>MIN(Inputs!$E$16,Inputs!$D$16*(B826/Inputs!$D$42)^Inputs!$D$44)</f>
        <v>0.42248798737570326</v>
      </c>
      <c r="G826" s="37">
        <f>Inputs!$D$26*(1+Inputs!$D$41*(B826-Inputs!$D$42))</f>
        <v>1.56</v>
      </c>
      <c r="H826" s="35">
        <f>Inputs!$D$6*Inputs!$D$14*G826*Inputs!$D$29</f>
        <v>1960.0308</v>
      </c>
      <c r="I826" s="36">
        <f>H826/(A826*Inputs!$D$32)</f>
        <v>0.60401565485362096</v>
      </c>
      <c r="J826" s="38">
        <f>IF(I826&gt;=1,999,I826/(Inputs!$D$32*(1-I826))*60)</f>
        <v>1.6640207548802093</v>
      </c>
      <c r="K826" s="37">
        <f>MIN(1,MAX(0,(J826-Inputs!$D$36)/(Inputs!$D$37-Inputs!$D$36)))</f>
        <v>0</v>
      </c>
      <c r="L826" s="35">
        <f>Inputs!$D$6*Inputs!$D$14*G826*(1-Inputs!$D$38*K826)</f>
        <v>13066.872000000001</v>
      </c>
      <c r="M826" s="39">
        <f>L826*Inputs!$D$11</f>
        <v>280937.74800000002</v>
      </c>
      <c r="N826" s="39">
        <f>M826*(1-Inputs!$D$17)</f>
        <v>98328.211800000005</v>
      </c>
      <c r="O826" s="35">
        <f>Inputs!$D$6*E826*Inputs!$D$27*Inputs!$D$30</f>
        <v>381.06900963266889</v>
      </c>
      <c r="P826" s="36">
        <f>O826/(C826*Inputs!$D$33)</f>
        <v>0.73282501852436321</v>
      </c>
      <c r="Q826" s="38">
        <f>IF(P826&gt;=1,999,P826/(Inputs!$D$33*(1-P826))*60)</f>
        <v>4.1142981341865736</v>
      </c>
      <c r="R826" s="37">
        <f>MIN(1,MAX(0,(Q826-Inputs!$D$36)/(Inputs!$D$37-Inputs!$D$36)))</f>
        <v>0</v>
      </c>
      <c r="S826" s="35">
        <f>Inputs!$D$6*E826*Inputs!$D$27*(1-Inputs!$D$38*R826)</f>
        <v>3175.5750802722409</v>
      </c>
      <c r="T826" s="39">
        <f>S826*Inputs!$D$12</f>
        <v>50809.201284355855</v>
      </c>
      <c r="U826" s="39">
        <f>T826*(1-Inputs!$D$18)</f>
        <v>22864.140577960134</v>
      </c>
      <c r="V826" s="35">
        <f>Inputs!$D$6*F826*Inputs!$D$28*Inputs!$D$31</f>
        <v>712.33502613882979</v>
      </c>
      <c r="W826" s="36">
        <f>V826/(B826*Inputs!$D$34)</f>
        <v>0.84801788826051161</v>
      </c>
      <c r="X826" s="38">
        <f>IF(W826&gt;=1,999,W826/(Inputs!$D$34*(1-W826))*60)</f>
        <v>9.5652372155190832</v>
      </c>
      <c r="Y826" s="37">
        <f>MIN(1,MAX(0,(X826-Inputs!$D$36)/(Inputs!$D$37-Inputs!$D$36)))</f>
        <v>0.30434914770127219</v>
      </c>
      <c r="Z826" s="35">
        <f>Inputs!$D$6*F826*Inputs!$D$28*(1-Inputs!$D$38*Y826)</f>
        <v>4729.0436538571339</v>
      </c>
      <c r="AA826" s="39">
        <f>Z826*Inputs!$D$13</f>
        <v>40196.87105778564</v>
      </c>
      <c r="AB826" s="39">
        <f>AA826*(1-Inputs!$D$19)</f>
        <v>24118.122634671385</v>
      </c>
      <c r="AC826" s="39">
        <f t="shared" si="48"/>
        <v>371943.82034214149</v>
      </c>
      <c r="AD826" s="39">
        <f t="shared" si="49"/>
        <v>145310.47501263153</v>
      </c>
      <c r="AE826" s="36">
        <f t="shared" si="50"/>
        <v>0.84801788826051161</v>
      </c>
      <c r="AF826" s="35">
        <f>IF(AND(AE826&lt;=Inputs!$D$35,C826&gt;=Inputs!$D$48*(A826+B826+C826),B826*Inputs!$D$22&lt;=Inputs!$D$50*Inputs!$D$8,B826*Inputs!$D$22&gt;=Inputs!$D$49*Inputs!$D$8,A826*Inputs!$D$20&lt;=Inputs!$D$47*Inputs!$D$8,C826&gt;=1),1,0)</f>
        <v>0</v>
      </c>
      <c r="AG826" s="39">
        <f t="shared" si="51"/>
        <v>-1</v>
      </c>
    </row>
    <row r="827" spans="1:33" x14ac:dyDescent="0.25">
      <c r="A827" s="35">
        <v>59</v>
      </c>
      <c r="B827" s="35">
        <v>25</v>
      </c>
      <c r="C827" s="35">
        <f>Inputs!$D$8-A827-Inputs!$D$22*B827</f>
        <v>11</v>
      </c>
      <c r="D827" s="35">
        <f>A827*Inputs!$D$20+C827*Inputs!$D$21+B827*Inputs!$D$22</f>
        <v>120</v>
      </c>
      <c r="E827" s="36">
        <f>MIN(Inputs!$E$15,Inputs!$D$15*(C827/Inputs!$D$43)^Inputs!$D$44)</f>
        <v>0.25404997933787238</v>
      </c>
      <c r="F827" s="36">
        <f>MIN(Inputs!$E$16,Inputs!$D$16*(B827/Inputs!$D$42)^Inputs!$D$44)</f>
        <v>0.42769383999647526</v>
      </c>
      <c r="G827" s="37">
        <f>Inputs!$D$26*(1+Inputs!$D$41*(B827-Inputs!$D$42))</f>
        <v>1.5750000000000002</v>
      </c>
      <c r="H827" s="35">
        <f>Inputs!$D$6*Inputs!$D$14*G827*Inputs!$D$29</f>
        <v>1978.8772500000005</v>
      </c>
      <c r="I827" s="36">
        <f>H827/(A827*Inputs!$D$32)</f>
        <v>0.6098234976887521</v>
      </c>
      <c r="J827" s="38">
        <f>IF(I827&gt;=1,999,I827/(Inputs!$D$32*(1-I827))*60)</f>
        <v>1.7050283488059772</v>
      </c>
      <c r="K827" s="37">
        <f>MIN(1,MAX(0,(J827-Inputs!$D$36)/(Inputs!$D$37-Inputs!$D$36)))</f>
        <v>0</v>
      </c>
      <c r="L827" s="35">
        <f>Inputs!$D$6*Inputs!$D$14*G827*(1-Inputs!$D$38*K827)</f>
        <v>13192.515000000003</v>
      </c>
      <c r="M827" s="39">
        <f>L827*Inputs!$D$11</f>
        <v>283639.07250000007</v>
      </c>
      <c r="N827" s="39">
        <f>M827*(1-Inputs!$D$17)</f>
        <v>99273.675375000021</v>
      </c>
      <c r="O827" s="35">
        <f>Inputs!$D$6*E827*Inputs!$D$27*Inputs!$D$30</f>
        <v>362.44192732225167</v>
      </c>
      <c r="P827" s="36">
        <f>O827/(C827*Inputs!$D$33)</f>
        <v>0.82373165300511741</v>
      </c>
      <c r="Q827" s="38">
        <f>IF(P827&gt;=1,999,P827/(Inputs!$D$33*(1-P827))*60)</f>
        <v>7.0097524630644434</v>
      </c>
      <c r="R827" s="37">
        <f>MIN(1,MAX(0,(Q827-Inputs!$D$36)/(Inputs!$D$37-Inputs!$D$36)))</f>
        <v>0.13398349753762956</v>
      </c>
      <c r="S827" s="35">
        <f>Inputs!$D$6*E827*Inputs!$D$27*(1-Inputs!$D$38*R827)</f>
        <v>2838.2447553136676</v>
      </c>
      <c r="T827" s="39">
        <f>S827*Inputs!$D$12</f>
        <v>45411.916085018682</v>
      </c>
      <c r="U827" s="39">
        <f>T827*(1-Inputs!$D$18)</f>
        <v>20435.362238258404</v>
      </c>
      <c r="V827" s="35">
        <f>Inputs!$D$6*F827*Inputs!$D$28*Inputs!$D$31</f>
        <v>721.1123435383771</v>
      </c>
      <c r="W827" s="36">
        <f>V827/(B827*Inputs!$D$34)</f>
        <v>0.82412839261528814</v>
      </c>
      <c r="X827" s="38">
        <f>IF(W827&gt;=1,999,W827/(Inputs!$D$34*(1-W827))*60)</f>
        <v>8.0330847668163621</v>
      </c>
      <c r="Y827" s="37">
        <f>MIN(1,MAX(0,(X827-Inputs!$D$36)/(Inputs!$D$37-Inputs!$D$36)))</f>
        <v>0.20220565112109082</v>
      </c>
      <c r="Z827" s="35">
        <f>Inputs!$D$6*F827*Inputs!$D$28*(1-Inputs!$D$38*Y827)</f>
        <v>5042.2807508299393</v>
      </c>
      <c r="AA827" s="39">
        <f>Z827*Inputs!$D$13</f>
        <v>42859.386382054487</v>
      </c>
      <c r="AB827" s="39">
        <f>AA827*(1-Inputs!$D$19)</f>
        <v>25715.631829232691</v>
      </c>
      <c r="AC827" s="39">
        <f t="shared" si="48"/>
        <v>371910.37496707321</v>
      </c>
      <c r="AD827" s="39">
        <f t="shared" si="49"/>
        <v>145424.66944249111</v>
      </c>
      <c r="AE827" s="36">
        <f t="shared" si="50"/>
        <v>0.82412839261528814</v>
      </c>
      <c r="AF827" s="35">
        <f>IF(AND(AE827&lt;=Inputs!$D$35,C827&gt;=Inputs!$D$48*(A827+B827+C827),B827*Inputs!$D$22&lt;=Inputs!$D$50*Inputs!$D$8,B827*Inputs!$D$22&gt;=Inputs!$D$49*Inputs!$D$8,A827*Inputs!$D$20&lt;=Inputs!$D$47*Inputs!$D$8,C827&gt;=1),1,0)</f>
        <v>0</v>
      </c>
      <c r="AG827" s="39">
        <f t="shared" si="51"/>
        <v>-1</v>
      </c>
    </row>
    <row r="828" spans="1:33" x14ac:dyDescent="0.25">
      <c r="A828" s="35">
        <v>59</v>
      </c>
      <c r="B828" s="35">
        <v>26</v>
      </c>
      <c r="C828" s="35">
        <f>Inputs!$D$8-A828-Inputs!$D$22*B828</f>
        <v>9</v>
      </c>
      <c r="D828" s="35">
        <f>A828*Inputs!$D$20+C828*Inputs!$D$21+B828*Inputs!$D$22</f>
        <v>120</v>
      </c>
      <c r="E828" s="36">
        <f>MIN(Inputs!$E$15,Inputs!$D$15*(C828/Inputs!$D$43)^Inputs!$D$44)</f>
        <v>0.23920712491579582</v>
      </c>
      <c r="F828" s="36">
        <f>MIN(Inputs!$E$16,Inputs!$D$16*(B828/Inputs!$D$42)^Inputs!$D$44)</f>
        <v>0.43275589945781112</v>
      </c>
      <c r="G828" s="37">
        <f>Inputs!$D$26*(1+Inputs!$D$41*(B828-Inputs!$D$42))</f>
        <v>1.59</v>
      </c>
      <c r="H828" s="35">
        <f>Inputs!$D$6*Inputs!$D$14*G828*Inputs!$D$29</f>
        <v>1997.7237</v>
      </c>
      <c r="I828" s="36">
        <f>H828/(A828*Inputs!$D$32)</f>
        <v>0.61563134052388291</v>
      </c>
      <c r="J828" s="38">
        <f>IF(I828&gt;=1,999,I828/(Inputs!$D$32*(1-I828))*60)</f>
        <v>1.7472751991315361</v>
      </c>
      <c r="K828" s="37">
        <f>MIN(1,MAX(0,(J828-Inputs!$D$36)/(Inputs!$D$37-Inputs!$D$36)))</f>
        <v>0</v>
      </c>
      <c r="L828" s="35">
        <f>Inputs!$D$6*Inputs!$D$14*G828*(1-Inputs!$D$38*K828)</f>
        <v>13318.158000000001</v>
      </c>
      <c r="M828" s="39">
        <f>L828*Inputs!$D$11</f>
        <v>286340.39700000006</v>
      </c>
      <c r="N828" s="39">
        <f>M828*(1-Inputs!$D$17)</f>
        <v>100219.13895000001</v>
      </c>
      <c r="O828" s="35">
        <f>Inputs!$D$6*E828*Inputs!$D$27*Inputs!$D$30</f>
        <v>341.26628000386961</v>
      </c>
      <c r="P828" s="36">
        <f>O828/(C828*Inputs!$D$33)</f>
        <v>0.94796188889963784</v>
      </c>
      <c r="Q828" s="38">
        <f>IF(P828&gt;=1,999,P828/(Inputs!$D$33*(1-P828))*60)</f>
        <v>27.325027816767943</v>
      </c>
      <c r="R828" s="37">
        <f>MIN(1,MAX(0,(Q828-Inputs!$D$36)/(Inputs!$D$37-Inputs!$D$36)))</f>
        <v>1</v>
      </c>
      <c r="S828" s="35">
        <f>Inputs!$D$6*E828*Inputs!$D$27*(1-Inputs!$D$38*R828)</f>
        <v>1564.1371166844026</v>
      </c>
      <c r="T828" s="39">
        <f>S828*Inputs!$D$12</f>
        <v>25026.193866950442</v>
      </c>
      <c r="U828" s="39">
        <f>T828*(1-Inputs!$D$18)</f>
        <v>11261.787240127698</v>
      </c>
      <c r="V828" s="35">
        <f>Inputs!$D$6*F828*Inputs!$D$28*Inputs!$D$31</f>
        <v>729.64721876904355</v>
      </c>
      <c r="W828" s="36">
        <f>V828/(B828*Inputs!$D$34)</f>
        <v>0.80181013051543248</v>
      </c>
      <c r="X828" s="38">
        <f>IF(W828&gt;=1,999,W828/(Inputs!$D$34*(1-W828))*60)</f>
        <v>6.9354284146153136</v>
      </c>
      <c r="Y828" s="37">
        <f>MIN(1,MAX(0,(X828-Inputs!$D$36)/(Inputs!$D$37-Inputs!$D$36)))</f>
        <v>0.12902856097435425</v>
      </c>
      <c r="Z828" s="35">
        <f>Inputs!$D$6*F828*Inputs!$D$28*(1-Inputs!$D$38*Y828)</f>
        <v>5286.7832305655711</v>
      </c>
      <c r="AA828" s="39">
        <f>Z828*Inputs!$D$13</f>
        <v>44937.657459807357</v>
      </c>
      <c r="AB828" s="39">
        <f>AA828*(1-Inputs!$D$19)</f>
        <v>26962.594475884413</v>
      </c>
      <c r="AC828" s="39">
        <f t="shared" si="48"/>
        <v>356304.24832675786</v>
      </c>
      <c r="AD828" s="39">
        <f t="shared" si="49"/>
        <v>138443.52066601213</v>
      </c>
      <c r="AE828" s="36">
        <f t="shared" si="50"/>
        <v>0.94796188889963784</v>
      </c>
      <c r="AF828" s="35">
        <f>IF(AND(AE828&lt;=Inputs!$D$35,C828&gt;=Inputs!$D$48*(A828+B828+C828),B828*Inputs!$D$22&lt;=Inputs!$D$50*Inputs!$D$8,B828*Inputs!$D$22&gt;=Inputs!$D$49*Inputs!$D$8,A828*Inputs!$D$20&lt;=Inputs!$D$47*Inputs!$D$8,C828&gt;=1),1,0)</f>
        <v>0</v>
      </c>
      <c r="AG828" s="39">
        <f t="shared" si="51"/>
        <v>-1</v>
      </c>
    </row>
    <row r="829" spans="1:33" x14ac:dyDescent="0.25">
      <c r="A829" s="35">
        <v>59</v>
      </c>
      <c r="B829" s="35">
        <v>27</v>
      </c>
      <c r="C829" s="35">
        <f>Inputs!$D$8-A829-Inputs!$D$22*B829</f>
        <v>7</v>
      </c>
      <c r="D829" s="35">
        <f>A829*Inputs!$D$20+C829*Inputs!$D$21+B829*Inputs!$D$22</f>
        <v>120</v>
      </c>
      <c r="E829" s="36">
        <f>MIN(Inputs!$E$15,Inputs!$D$15*(C829/Inputs!$D$43)^Inputs!$D$44)</f>
        <v>0.2218353587738203</v>
      </c>
      <c r="F829" s="36">
        <f>MIN(Inputs!$E$16,Inputs!$D$16*(B829/Inputs!$D$42)^Inputs!$D$44)</f>
        <v>0.43768344678187454</v>
      </c>
      <c r="G829" s="37">
        <f>Inputs!$D$26*(1+Inputs!$D$41*(B829-Inputs!$D$42))</f>
        <v>1.605</v>
      </c>
      <c r="H829" s="35">
        <f>Inputs!$D$6*Inputs!$D$14*G829*Inputs!$D$29</f>
        <v>2016.57015</v>
      </c>
      <c r="I829" s="36">
        <f>H829/(A829*Inputs!$D$32)</f>
        <v>0.62143918335901382</v>
      </c>
      <c r="J829" s="38">
        <f>IF(I829&gt;=1,999,I829/(Inputs!$D$32*(1-I829))*60)</f>
        <v>1.7908183435064757</v>
      </c>
      <c r="K829" s="37">
        <f>MIN(1,MAX(0,(J829-Inputs!$D$36)/(Inputs!$D$37-Inputs!$D$36)))</f>
        <v>0</v>
      </c>
      <c r="L829" s="35">
        <f>Inputs!$D$6*Inputs!$D$14*G829*(1-Inputs!$D$38*K829)</f>
        <v>13443.801000000001</v>
      </c>
      <c r="M829" s="39">
        <f>L829*Inputs!$D$11</f>
        <v>289041.72150000004</v>
      </c>
      <c r="N829" s="39">
        <f>M829*(1-Inputs!$D$17)</f>
        <v>101164.60252500001</v>
      </c>
      <c r="O829" s="35">
        <f>Inputs!$D$6*E829*Inputs!$D$27*Inputs!$D$30</f>
        <v>316.48274560682341</v>
      </c>
      <c r="P829" s="36">
        <f>O829/(C829*Inputs!$D$33)</f>
        <v>1.1302955200243694</v>
      </c>
      <c r="Q829" s="38">
        <f>IF(P829&gt;=1,999,P829/(Inputs!$D$33*(1-P829))*60)</f>
        <v>999</v>
      </c>
      <c r="R829" s="37">
        <f>MIN(1,MAX(0,(Q829-Inputs!$D$36)/(Inputs!$D$37-Inputs!$D$36)))</f>
        <v>1</v>
      </c>
      <c r="S829" s="35">
        <f>Inputs!$D$6*E829*Inputs!$D$27*(1-Inputs!$D$38*R829)</f>
        <v>1450.5459173646075</v>
      </c>
      <c r="T829" s="39">
        <f>S829*Inputs!$D$12</f>
        <v>23208.73467783372</v>
      </c>
      <c r="U829" s="39">
        <f>T829*(1-Inputs!$D$18)</f>
        <v>10443.930605025173</v>
      </c>
      <c r="V829" s="35">
        <f>Inputs!$D$6*F829*Inputs!$D$28*Inputs!$D$31</f>
        <v>737.95530007968603</v>
      </c>
      <c r="W829" s="36">
        <f>V829/(B829*Inputs!$D$34)</f>
        <v>0.78090507944940324</v>
      </c>
      <c r="X829" s="38">
        <f>IF(W829&gt;=1,999,W829/(Inputs!$D$34*(1-W829))*60)</f>
        <v>6.1101116290101798</v>
      </c>
      <c r="Y829" s="37">
        <f>MIN(1,MAX(0,(X829-Inputs!$D$36)/(Inputs!$D$37-Inputs!$D$36)))</f>
        <v>7.4007441934011986E-2</v>
      </c>
      <c r="Z829" s="35">
        <f>Inputs!$D$6*F829*Inputs!$D$28*(1-Inputs!$D$38*Y829)</f>
        <v>5487.5301328495489</v>
      </c>
      <c r="AA829" s="39">
        <f>Z829*Inputs!$D$13</f>
        <v>46644.006129221169</v>
      </c>
      <c r="AB829" s="39">
        <f>AA829*(1-Inputs!$D$19)</f>
        <v>27986.4036775327</v>
      </c>
      <c r="AC829" s="39">
        <f t="shared" si="48"/>
        <v>358894.46230705496</v>
      </c>
      <c r="AD829" s="39">
        <f t="shared" si="49"/>
        <v>139594.93680755788</v>
      </c>
      <c r="AE829" s="36">
        <f t="shared" si="50"/>
        <v>1.1302955200243694</v>
      </c>
      <c r="AF829" s="35">
        <f>IF(AND(AE829&lt;=Inputs!$D$35,C829&gt;=Inputs!$D$48*(A829+B829+C829),B829*Inputs!$D$22&lt;=Inputs!$D$50*Inputs!$D$8,B829*Inputs!$D$22&gt;=Inputs!$D$49*Inputs!$D$8,A829*Inputs!$D$20&lt;=Inputs!$D$47*Inputs!$D$8,C829&gt;=1),1,0)</f>
        <v>0</v>
      </c>
      <c r="AG829" s="39">
        <f t="shared" si="51"/>
        <v>-1</v>
      </c>
    </row>
    <row r="830" spans="1:33" x14ac:dyDescent="0.25">
      <c r="A830" s="35">
        <v>59</v>
      </c>
      <c r="B830" s="35">
        <v>28</v>
      </c>
      <c r="C830" s="35">
        <f>Inputs!$D$8-A830-Inputs!$D$22*B830</f>
        <v>5</v>
      </c>
      <c r="D830" s="35">
        <f>A830*Inputs!$D$20+C830*Inputs!$D$21+B830*Inputs!$D$22</f>
        <v>120</v>
      </c>
      <c r="E830" s="36">
        <f>MIN(Inputs!$E$15,Inputs!$D$15*(C830/Inputs!$D$43)^Inputs!$D$44)</f>
        <v>0.20053600538400315</v>
      </c>
      <c r="F830" s="36">
        <f>MIN(Inputs!$E$16,Inputs!$D$16*(B830/Inputs!$D$42)^Inputs!$D$44)</f>
        <v>0.44248484624799689</v>
      </c>
      <c r="G830" s="37">
        <f>Inputs!$D$26*(1+Inputs!$D$41*(B830-Inputs!$D$42))</f>
        <v>1.62</v>
      </c>
      <c r="H830" s="35">
        <f>Inputs!$D$6*Inputs!$D$14*G830*Inputs!$D$29</f>
        <v>2035.4166</v>
      </c>
      <c r="I830" s="36">
        <f>H830/(A830*Inputs!$D$32)</f>
        <v>0.62724702619414485</v>
      </c>
      <c r="J830" s="38">
        <f>IF(I830&gt;=1,999,I830/(Inputs!$D$32*(1-I830))*60)</f>
        <v>1.8357183743818517</v>
      </c>
      <c r="K830" s="37">
        <f>MIN(1,MAX(0,(J830-Inputs!$D$36)/(Inputs!$D$37-Inputs!$D$36)))</f>
        <v>0</v>
      </c>
      <c r="L830" s="35">
        <f>Inputs!$D$6*Inputs!$D$14*G830*(1-Inputs!$D$38*K830)</f>
        <v>13569.444000000001</v>
      </c>
      <c r="M830" s="39">
        <f>L830*Inputs!$D$11</f>
        <v>291743.04600000003</v>
      </c>
      <c r="N830" s="39">
        <f>M830*(1-Inputs!$D$17)</f>
        <v>102110.06610000001</v>
      </c>
      <c r="O830" s="35">
        <f>Inputs!$D$6*E830*Inputs!$D$27*Inputs!$D$30</f>
        <v>286.09589529712042</v>
      </c>
      <c r="P830" s="36">
        <f>O830/(C830*Inputs!$D$33)</f>
        <v>1.4304794764856021</v>
      </c>
      <c r="Q830" s="38">
        <f>IF(P830&gt;=1,999,P830/(Inputs!$D$33*(1-P830))*60)</f>
        <v>999</v>
      </c>
      <c r="R830" s="37">
        <f>MIN(1,MAX(0,(Q830-Inputs!$D$36)/(Inputs!$D$37-Inputs!$D$36)))</f>
        <v>1</v>
      </c>
      <c r="S830" s="35">
        <f>Inputs!$D$6*E830*Inputs!$D$27*(1-Inputs!$D$38*R830)</f>
        <v>1311.2728534451353</v>
      </c>
      <c r="T830" s="39">
        <f>S830*Inputs!$D$12</f>
        <v>20980.365655122165</v>
      </c>
      <c r="U830" s="39">
        <f>T830*(1-Inputs!$D$18)</f>
        <v>9441.164544804973</v>
      </c>
      <c r="V830" s="35">
        <f>Inputs!$D$6*F830*Inputs!$D$28*Inputs!$D$31</f>
        <v>746.05069004674272</v>
      </c>
      <c r="W830" s="36">
        <f>V830/(B830*Inputs!$D$34)</f>
        <v>0.76127621433341097</v>
      </c>
      <c r="X830" s="38">
        <f>IF(W830&gt;=1,999,W830/(Inputs!$D$34*(1-W830))*60)</f>
        <v>5.4667570523531852</v>
      </c>
      <c r="Y830" s="37">
        <f>MIN(1,MAX(0,(X830-Inputs!$D$36)/(Inputs!$D$37-Inputs!$D$36)))</f>
        <v>3.111713682354568E-2</v>
      </c>
      <c r="Z830" s="35">
        <f>Inputs!$D$6*F830*Inputs!$D$28*(1-Inputs!$D$38*Y830)</f>
        <v>5658.4919801305723</v>
      </c>
      <c r="AA830" s="39">
        <f>Z830*Inputs!$D$13</f>
        <v>48097.181831109861</v>
      </c>
      <c r="AB830" s="39">
        <f>AA830*(1-Inputs!$D$19)</f>
        <v>28858.309098665915</v>
      </c>
      <c r="AC830" s="39">
        <f t="shared" si="48"/>
        <v>360820.59348623204</v>
      </c>
      <c r="AD830" s="39">
        <f t="shared" si="49"/>
        <v>140409.5397434709</v>
      </c>
      <c r="AE830" s="36">
        <f t="shared" si="50"/>
        <v>1.4304794764856021</v>
      </c>
      <c r="AF830" s="35">
        <f>IF(AND(AE830&lt;=Inputs!$D$35,C830&gt;=Inputs!$D$48*(A830+B830+C830),B830*Inputs!$D$22&lt;=Inputs!$D$50*Inputs!$D$8,B830*Inputs!$D$22&gt;=Inputs!$D$49*Inputs!$D$8,A830*Inputs!$D$20&lt;=Inputs!$D$47*Inputs!$D$8,C830&gt;=1),1,0)</f>
        <v>0</v>
      </c>
      <c r="AG830" s="39">
        <f t="shared" si="51"/>
        <v>-1</v>
      </c>
    </row>
    <row r="831" spans="1:33" x14ac:dyDescent="0.25">
      <c r="A831" s="35">
        <v>59</v>
      </c>
      <c r="B831" s="35">
        <v>29</v>
      </c>
      <c r="C831" s="35">
        <f>Inputs!$D$8-A831-Inputs!$D$22*B831</f>
        <v>3</v>
      </c>
      <c r="D831" s="35">
        <f>A831*Inputs!$D$20+C831*Inputs!$D$21+B831*Inputs!$D$22</f>
        <v>120</v>
      </c>
      <c r="E831" s="36">
        <f>MIN(Inputs!$E$15,Inputs!$D$15*(C831/Inputs!$D$43)^Inputs!$D$44)</f>
        <v>0.17204328832728594</v>
      </c>
      <c r="F831" s="36">
        <f>MIN(Inputs!$E$16,Inputs!$D$16*(B831/Inputs!$D$42)^Inputs!$D$44)</f>
        <v>0.44716766511947192</v>
      </c>
      <c r="G831" s="37">
        <f>Inputs!$D$26*(1+Inputs!$D$41*(B831-Inputs!$D$42))</f>
        <v>1.6350000000000002</v>
      </c>
      <c r="H831" s="35">
        <f>Inputs!$D$6*Inputs!$D$14*G831*Inputs!$D$29</f>
        <v>2054.2630500000005</v>
      </c>
      <c r="I831" s="36">
        <f>H831/(A831*Inputs!$D$32)</f>
        <v>0.63305486902927599</v>
      </c>
      <c r="J831" s="38">
        <f>IF(I831&gt;=1,999,I831/(Inputs!$D$32*(1-I831))*60)</f>
        <v>1.8820397203291945</v>
      </c>
      <c r="K831" s="37">
        <f>MIN(1,MAX(0,(J831-Inputs!$D$36)/(Inputs!$D$37-Inputs!$D$36)))</f>
        <v>0</v>
      </c>
      <c r="L831" s="35">
        <f>Inputs!$D$6*Inputs!$D$14*G831*(1-Inputs!$D$38*K831)</f>
        <v>13695.087000000003</v>
      </c>
      <c r="M831" s="39">
        <f>L831*Inputs!$D$11</f>
        <v>294444.37050000008</v>
      </c>
      <c r="N831" s="39">
        <f>M831*(1-Inputs!$D$17)</f>
        <v>103055.52967500003</v>
      </c>
      <c r="O831" s="35">
        <f>Inputs!$D$6*E831*Inputs!$D$27*Inputs!$D$30</f>
        <v>245.44658955185244</v>
      </c>
      <c r="P831" s="36">
        <f>O831/(C831*Inputs!$D$33)</f>
        <v>2.0453882462654369</v>
      </c>
      <c r="Q831" s="38">
        <f>IF(P831&gt;=1,999,P831/(Inputs!$D$33*(1-P831))*60)</f>
        <v>999</v>
      </c>
      <c r="R831" s="37">
        <f>MIN(1,MAX(0,(Q831-Inputs!$D$36)/(Inputs!$D$37-Inputs!$D$36)))</f>
        <v>1</v>
      </c>
      <c r="S831" s="35">
        <f>Inputs!$D$6*E831*Inputs!$D$27*(1-Inputs!$D$38*R831)</f>
        <v>1124.9635354459906</v>
      </c>
      <c r="T831" s="39">
        <f>S831*Inputs!$D$12</f>
        <v>17999.41656713585</v>
      </c>
      <c r="U831" s="39">
        <f>T831*(1-Inputs!$D$18)</f>
        <v>8099.7374552111314</v>
      </c>
      <c r="V831" s="35">
        <f>Inputs!$D$6*F831*Inputs!$D$28*Inputs!$D$31</f>
        <v>753.9461474393554</v>
      </c>
      <c r="W831" s="36">
        <f>V831/(B831*Inputs!$D$34)</f>
        <v>0.74280408614714821</v>
      </c>
      <c r="X831" s="38">
        <f>IF(W831&gt;=1,999,W831/(Inputs!$D$34*(1-W831))*60)</f>
        <v>4.9510056918075414</v>
      </c>
      <c r="Y831" s="37">
        <f>MIN(1,MAX(0,(X831-Inputs!$D$36)/(Inputs!$D$37-Inputs!$D$36)))</f>
        <v>0</v>
      </c>
      <c r="Z831" s="35">
        <f>Inputs!$D$6*F831*Inputs!$D$28*(1-Inputs!$D$38*Y831)</f>
        <v>5799.5857495335031</v>
      </c>
      <c r="AA831" s="39">
        <f>Z831*Inputs!$D$13</f>
        <v>49296.478871034778</v>
      </c>
      <c r="AB831" s="39">
        <f>AA831*(1-Inputs!$D$19)</f>
        <v>29577.887322620867</v>
      </c>
      <c r="AC831" s="39">
        <f t="shared" si="48"/>
        <v>361740.26593817072</v>
      </c>
      <c r="AD831" s="39">
        <f t="shared" si="49"/>
        <v>140733.15445283201</v>
      </c>
      <c r="AE831" s="36">
        <f t="shared" si="50"/>
        <v>2.0453882462654369</v>
      </c>
      <c r="AF831" s="35">
        <f>IF(AND(AE831&lt;=Inputs!$D$35,C831&gt;=Inputs!$D$48*(A831+B831+C831),B831*Inputs!$D$22&lt;=Inputs!$D$50*Inputs!$D$8,B831*Inputs!$D$22&gt;=Inputs!$D$49*Inputs!$D$8,A831*Inputs!$D$20&lt;=Inputs!$D$47*Inputs!$D$8,C831&gt;=1),1,0)</f>
        <v>0</v>
      </c>
      <c r="AG831" s="39">
        <f t="shared" si="51"/>
        <v>-1</v>
      </c>
    </row>
    <row r="832" spans="1:33" x14ac:dyDescent="0.25">
      <c r="A832" s="35">
        <v>59</v>
      </c>
      <c r="B832" s="35">
        <v>30</v>
      </c>
      <c r="C832" s="35">
        <f>Inputs!$D$8-A832-Inputs!$D$22*B832</f>
        <v>1</v>
      </c>
      <c r="D832" s="35">
        <f>A832*Inputs!$D$20+C832*Inputs!$D$21+B832*Inputs!$D$22</f>
        <v>120</v>
      </c>
      <c r="E832" s="36">
        <f>MIN(Inputs!$E$15,Inputs!$D$15*(C832/Inputs!$D$43)^Inputs!$D$44)</f>
        <v>0.12373750601653212</v>
      </c>
      <c r="F832" s="36">
        <f>MIN(Inputs!$E$16,Inputs!$D$16*(B832/Inputs!$D$42)^Inputs!$D$44)</f>
        <v>0.45173877418274222</v>
      </c>
      <c r="G832" s="37">
        <f>Inputs!$D$26*(1+Inputs!$D$41*(B832-Inputs!$D$42))</f>
        <v>1.6500000000000001</v>
      </c>
      <c r="H832" s="35">
        <f>Inputs!$D$6*Inputs!$D$14*G832*Inputs!$D$29</f>
        <v>2073.1095000000005</v>
      </c>
      <c r="I832" s="36">
        <f>H832/(A832*Inputs!$D$32)</f>
        <v>0.63886271186440691</v>
      </c>
      <c r="J832" s="38">
        <f>IF(I832&gt;=1,999,I832/(Inputs!$D$32*(1-I832))*60)</f>
        <v>1.9298509545047096</v>
      </c>
      <c r="K832" s="37">
        <f>MIN(1,MAX(0,(J832-Inputs!$D$36)/(Inputs!$D$37-Inputs!$D$36)))</f>
        <v>0</v>
      </c>
      <c r="L832" s="35">
        <f>Inputs!$D$6*Inputs!$D$14*G832*(1-Inputs!$D$38*K832)</f>
        <v>13820.730000000003</v>
      </c>
      <c r="M832" s="39">
        <f>L832*Inputs!$D$11</f>
        <v>297145.69500000007</v>
      </c>
      <c r="N832" s="39">
        <f>M832*(1-Inputs!$D$17)</f>
        <v>104000.99325000001</v>
      </c>
      <c r="O832" s="35">
        <f>Inputs!$D$6*E832*Inputs!$D$27*Inputs!$D$30</f>
        <v>176.53085538352164</v>
      </c>
      <c r="P832" s="36">
        <f>O832/(C832*Inputs!$D$33)</f>
        <v>4.4132713845880414</v>
      </c>
      <c r="Q832" s="38">
        <f>IF(P832&gt;=1,999,P832/(Inputs!$D$33*(1-P832))*60)</f>
        <v>999</v>
      </c>
      <c r="R832" s="37">
        <f>MIN(1,MAX(0,(Q832-Inputs!$D$36)/(Inputs!$D$37-Inputs!$D$36)))</f>
        <v>1</v>
      </c>
      <c r="S832" s="35">
        <f>Inputs!$D$6*E832*Inputs!$D$27*(1-Inputs!$D$38*R832)</f>
        <v>809.09975384114091</v>
      </c>
      <c r="T832" s="39">
        <f>S832*Inputs!$D$12</f>
        <v>12945.596061458255</v>
      </c>
      <c r="U832" s="39">
        <f>T832*(1-Inputs!$D$18)</f>
        <v>5825.5182276562136</v>
      </c>
      <c r="V832" s="35">
        <f>Inputs!$D$6*F832*Inputs!$D$28*Inputs!$D$31</f>
        <v>761.65325673326424</v>
      </c>
      <c r="W832" s="36">
        <f>V832/(B832*Inputs!$D$34)</f>
        <v>0.72538405403168027</v>
      </c>
      <c r="X832" s="38">
        <f>IF(W832&gt;=1,999,W832/(Inputs!$D$34*(1-W832))*60)</f>
        <v>4.5281985239874629</v>
      </c>
      <c r="Y832" s="37">
        <f>MIN(1,MAX(0,(X832-Inputs!$D$36)/(Inputs!$D$37-Inputs!$D$36)))</f>
        <v>0</v>
      </c>
      <c r="Z832" s="35">
        <f>Inputs!$D$6*F832*Inputs!$D$28*(1-Inputs!$D$38*Y832)</f>
        <v>5858.8712056404938</v>
      </c>
      <c r="AA832" s="39">
        <f>Z832*Inputs!$D$13</f>
        <v>49800.405247944196</v>
      </c>
      <c r="AB832" s="39">
        <f>AA832*(1-Inputs!$D$19)</f>
        <v>29880.243148766516</v>
      </c>
      <c r="AC832" s="39">
        <f t="shared" si="48"/>
        <v>359891.69630940247</v>
      </c>
      <c r="AD832" s="39">
        <f t="shared" si="49"/>
        <v>139706.75462642274</v>
      </c>
      <c r="AE832" s="36">
        <f t="shared" si="50"/>
        <v>4.4132713845880414</v>
      </c>
      <c r="AF832" s="35">
        <f>IF(AND(AE832&lt;=Inputs!$D$35,C832&gt;=Inputs!$D$48*(A832+B832+C832),B832*Inputs!$D$22&lt;=Inputs!$D$50*Inputs!$D$8,B832*Inputs!$D$22&gt;=Inputs!$D$49*Inputs!$D$8,A832*Inputs!$D$20&lt;=Inputs!$D$47*Inputs!$D$8,C832&gt;=1),1,0)</f>
        <v>0</v>
      </c>
      <c r="AG832" s="39">
        <f t="shared" si="51"/>
        <v>-1</v>
      </c>
    </row>
    <row r="833" spans="1:33" x14ac:dyDescent="0.25">
      <c r="A833" s="35">
        <v>60</v>
      </c>
      <c r="B833" s="35">
        <v>10</v>
      </c>
      <c r="C833" s="35">
        <f>Inputs!$D$8-A833-Inputs!$D$22*B833</f>
        <v>40</v>
      </c>
      <c r="D833" s="35">
        <f>A833*Inputs!$D$20+C833*Inputs!$D$21+B833*Inputs!$D$22</f>
        <v>120</v>
      </c>
      <c r="E833" s="36">
        <f>MIN(Inputs!$E$15,Inputs!$D$15*(C833/Inputs!$D$43)^Inputs!$D$44)</f>
        <v>0.37421341802855551</v>
      </c>
      <c r="F833" s="36">
        <f>MIN(Inputs!$E$16,Inputs!$D$16*(B833/Inputs!$D$42)^Inputs!$D$44)</f>
        <v>0.32490095854249423</v>
      </c>
      <c r="G833" s="37">
        <f>Inputs!$D$26*(1+Inputs!$D$41*(B833-Inputs!$D$42))</f>
        <v>1.35</v>
      </c>
      <c r="H833" s="35">
        <f>Inputs!$D$6*Inputs!$D$14*G833*Inputs!$D$29</f>
        <v>1696.1805000000004</v>
      </c>
      <c r="I833" s="36">
        <f>H833/(A833*Inputs!$D$32)</f>
        <v>0.51399409090909098</v>
      </c>
      <c r="J833" s="38">
        <f>IF(I833&gt;=1,999,I833/(Inputs!$D$32*(1-I833))*60)</f>
        <v>1.1537325286746594</v>
      </c>
      <c r="K833" s="37">
        <f>MIN(1,MAX(0,(J833-Inputs!$D$36)/(Inputs!$D$37-Inputs!$D$36)))</f>
        <v>0</v>
      </c>
      <c r="L833" s="35">
        <f>Inputs!$D$6*Inputs!$D$14*G833*(1-Inputs!$D$38*K833)</f>
        <v>11307.870000000003</v>
      </c>
      <c r="M833" s="39">
        <f>L833*Inputs!$D$11</f>
        <v>243119.20500000005</v>
      </c>
      <c r="N833" s="39">
        <f>M833*(1-Inputs!$D$17)</f>
        <v>85091.721750000012</v>
      </c>
      <c r="O833" s="35">
        <f>Inputs!$D$6*E833*Inputs!$D$27*Inputs!$D$30</f>
        <v>533.8738181109469</v>
      </c>
      <c r="P833" s="36">
        <f>O833/(C833*Inputs!$D$33)</f>
        <v>0.33367113631934181</v>
      </c>
      <c r="Q833" s="38">
        <f>IF(P833&gt;=1,999,P833/(Inputs!$D$33*(1-P833))*60)</f>
        <v>0.75114066305685867</v>
      </c>
      <c r="R833" s="37">
        <f>MIN(1,MAX(0,(Q833-Inputs!$D$36)/(Inputs!$D$37-Inputs!$D$36)))</f>
        <v>0</v>
      </c>
      <c r="S833" s="35">
        <f>Inputs!$D$6*E833*Inputs!$D$27*(1-Inputs!$D$38*R833)</f>
        <v>4448.9484842578913</v>
      </c>
      <c r="T833" s="39">
        <f>S833*Inputs!$D$12</f>
        <v>71183.175748126261</v>
      </c>
      <c r="U833" s="39">
        <f>T833*(1-Inputs!$D$18)</f>
        <v>32032.429086656815</v>
      </c>
      <c r="V833" s="35">
        <f>Inputs!$D$6*F833*Inputs!$D$28*Inputs!$D$31</f>
        <v>547.7986113486553</v>
      </c>
      <c r="W833" s="36">
        <f>V833/(B833*Inputs!$D$34)</f>
        <v>1.5651388895675866</v>
      </c>
      <c r="X833" s="38">
        <f>IF(W833&gt;=1,999,W833/(Inputs!$D$34*(1-W833))*60)</f>
        <v>999</v>
      </c>
      <c r="Y833" s="37">
        <f>MIN(1,MAX(0,(X833-Inputs!$D$36)/(Inputs!$D$37-Inputs!$D$36)))</f>
        <v>1</v>
      </c>
      <c r="Z833" s="35">
        <f>Inputs!$D$6*F833*Inputs!$D$28*(1-Inputs!$D$38*Y833)</f>
        <v>2317.6095095520031</v>
      </c>
      <c r="AA833" s="39">
        <f>Z833*Inputs!$D$13</f>
        <v>19699.680831192025</v>
      </c>
      <c r="AB833" s="39">
        <f>AA833*(1-Inputs!$D$19)</f>
        <v>11819.808498715214</v>
      </c>
      <c r="AC833" s="39">
        <f t="shared" si="48"/>
        <v>334002.06157931831</v>
      </c>
      <c r="AD833" s="39">
        <f t="shared" si="49"/>
        <v>128943.95933537204</v>
      </c>
      <c r="AE833" s="36">
        <f t="shared" si="50"/>
        <v>1.5651388895675866</v>
      </c>
      <c r="AF833" s="35">
        <f>IF(AND(AE833&lt;=Inputs!$D$35,C833&gt;=Inputs!$D$48*(A833+B833+C833),B833*Inputs!$D$22&lt;=Inputs!$D$50*Inputs!$D$8,B833*Inputs!$D$22&gt;=Inputs!$D$49*Inputs!$D$8,A833*Inputs!$D$20&lt;=Inputs!$D$47*Inputs!$D$8,C833&gt;=1),1,0)</f>
        <v>0</v>
      </c>
      <c r="AG833" s="39">
        <f t="shared" si="51"/>
        <v>-1</v>
      </c>
    </row>
    <row r="834" spans="1:33" x14ac:dyDescent="0.25">
      <c r="A834" s="35">
        <v>60</v>
      </c>
      <c r="B834" s="35">
        <v>11</v>
      </c>
      <c r="C834" s="35">
        <f>Inputs!$D$8-A834-Inputs!$D$22*B834</f>
        <v>38</v>
      </c>
      <c r="D834" s="35">
        <f>A834*Inputs!$D$20+C834*Inputs!$D$21+B834*Inputs!$D$22</f>
        <v>120</v>
      </c>
      <c r="E834" s="36">
        <f>MIN(Inputs!$E$15,Inputs!$D$15*(C834/Inputs!$D$43)^Inputs!$D$44)</f>
        <v>0.36849910497273691</v>
      </c>
      <c r="F834" s="36">
        <f>MIN(Inputs!$E$16,Inputs!$D$16*(B834/Inputs!$D$42)^Inputs!$D$44)</f>
        <v>0.33432495758166098</v>
      </c>
      <c r="G834" s="37">
        <f>Inputs!$D$26*(1+Inputs!$D$41*(B834-Inputs!$D$42))</f>
        <v>1.365</v>
      </c>
      <c r="H834" s="35">
        <f>Inputs!$D$6*Inputs!$D$14*G834*Inputs!$D$29</f>
        <v>1715.0269500000002</v>
      </c>
      <c r="I834" s="36">
        <f>H834/(A834*Inputs!$D$32)</f>
        <v>0.51970513636363647</v>
      </c>
      <c r="J834" s="38">
        <f>IF(I834&gt;=1,999,I834/(Inputs!$D$32*(1-I834))*60)</f>
        <v>1.1804229042942349</v>
      </c>
      <c r="K834" s="37">
        <f>MIN(1,MAX(0,(J834-Inputs!$D$36)/(Inputs!$D$37-Inputs!$D$36)))</f>
        <v>0</v>
      </c>
      <c r="L834" s="35">
        <f>Inputs!$D$6*Inputs!$D$14*G834*(1-Inputs!$D$38*K834)</f>
        <v>11433.513000000001</v>
      </c>
      <c r="M834" s="39">
        <f>L834*Inputs!$D$11</f>
        <v>245820.5295</v>
      </c>
      <c r="N834" s="39">
        <f>M834*(1-Inputs!$D$17)</f>
        <v>86037.185324999999</v>
      </c>
      <c r="O834" s="35">
        <f>Inputs!$D$6*E834*Inputs!$D$27*Inputs!$D$30</f>
        <v>525.72145910398501</v>
      </c>
      <c r="P834" s="36">
        <f>O834/(C834*Inputs!$D$33)</f>
        <v>0.34586938098946385</v>
      </c>
      <c r="Q834" s="38">
        <f>IF(P834&gt;=1,999,P834/(Inputs!$D$33*(1-P834))*60)</f>
        <v>0.79311999225622454</v>
      </c>
      <c r="R834" s="37">
        <f>MIN(1,MAX(0,(Q834-Inputs!$D$36)/(Inputs!$D$37-Inputs!$D$36)))</f>
        <v>0</v>
      </c>
      <c r="S834" s="35">
        <f>Inputs!$D$6*E834*Inputs!$D$27*(1-Inputs!$D$38*R834)</f>
        <v>4381.012159199875</v>
      </c>
      <c r="T834" s="39">
        <f>S834*Inputs!$D$12</f>
        <v>70096.194547198</v>
      </c>
      <c r="U834" s="39">
        <f>T834*(1-Inputs!$D$18)</f>
        <v>31543.287546239098</v>
      </c>
      <c r="V834" s="35">
        <f>Inputs!$D$6*F834*Inputs!$D$28*Inputs!$D$31</f>
        <v>563.68792608064427</v>
      </c>
      <c r="W834" s="36">
        <f>V834/(B834*Inputs!$D$34)</f>
        <v>1.4641244833263487</v>
      </c>
      <c r="X834" s="38">
        <f>IF(W834&gt;=1,999,W834/(Inputs!$D$34*(1-W834))*60)</f>
        <v>999</v>
      </c>
      <c r="Y834" s="37">
        <f>MIN(1,MAX(0,(X834-Inputs!$D$36)/(Inputs!$D$37-Inputs!$D$36)))</f>
        <v>1</v>
      </c>
      <c r="Z834" s="35">
        <f>Inputs!$D$6*F834*Inputs!$D$28*(1-Inputs!$D$38*Y834)</f>
        <v>2384.8335334181106</v>
      </c>
      <c r="AA834" s="39">
        <f>Z834*Inputs!$D$13</f>
        <v>20271.08503405394</v>
      </c>
      <c r="AB834" s="39">
        <f>AA834*(1-Inputs!$D$19)</f>
        <v>12162.651020432364</v>
      </c>
      <c r="AC834" s="39">
        <f t="shared" si="48"/>
        <v>336187.80908125197</v>
      </c>
      <c r="AD834" s="39">
        <f t="shared" si="49"/>
        <v>129743.12389167145</v>
      </c>
      <c r="AE834" s="36">
        <f t="shared" si="50"/>
        <v>1.4641244833263487</v>
      </c>
      <c r="AF834" s="35">
        <f>IF(AND(AE834&lt;=Inputs!$D$35,C834&gt;=Inputs!$D$48*(A834+B834+C834),B834*Inputs!$D$22&lt;=Inputs!$D$50*Inputs!$D$8,B834*Inputs!$D$22&gt;=Inputs!$D$49*Inputs!$D$8,A834*Inputs!$D$20&lt;=Inputs!$D$47*Inputs!$D$8,C834&gt;=1),1,0)</f>
        <v>0</v>
      </c>
      <c r="AG834" s="39">
        <f t="shared" si="51"/>
        <v>-1</v>
      </c>
    </row>
    <row r="835" spans="1:33" x14ac:dyDescent="0.25">
      <c r="A835" s="35">
        <v>60</v>
      </c>
      <c r="B835" s="35">
        <v>12</v>
      </c>
      <c r="C835" s="35">
        <f>Inputs!$D$8-A835-Inputs!$D$22*B835</f>
        <v>36</v>
      </c>
      <c r="D835" s="35">
        <f>A835*Inputs!$D$20+C835*Inputs!$D$21+B835*Inputs!$D$22</f>
        <v>120</v>
      </c>
      <c r="E835" s="36">
        <f>MIN(Inputs!$E$15,Inputs!$D$15*(C835/Inputs!$D$43)^Inputs!$D$44)</f>
        <v>0.36257020206219398</v>
      </c>
      <c r="F835" s="36">
        <f>MIN(Inputs!$E$16,Inputs!$D$16*(B835/Inputs!$D$42)^Inputs!$D$44)</f>
        <v>0.34316688017763797</v>
      </c>
      <c r="G835" s="37">
        <f>Inputs!$D$26*(1+Inputs!$D$41*(B835-Inputs!$D$42))</f>
        <v>1.3800000000000001</v>
      </c>
      <c r="H835" s="35">
        <f>Inputs!$D$6*Inputs!$D$14*G835*Inputs!$D$29</f>
        <v>1733.8734000000004</v>
      </c>
      <c r="I835" s="36">
        <f>H835/(A835*Inputs!$D$32)</f>
        <v>0.52541618181818195</v>
      </c>
      <c r="J835" s="38">
        <f>IF(I835&gt;=1,999,I835/(Inputs!$D$32*(1-I835))*60)</f>
        <v>1.2077556530522218</v>
      </c>
      <c r="K835" s="37">
        <f>MIN(1,MAX(0,(J835-Inputs!$D$36)/(Inputs!$D$37-Inputs!$D$36)))</f>
        <v>0</v>
      </c>
      <c r="L835" s="35">
        <f>Inputs!$D$6*Inputs!$D$14*G835*(1-Inputs!$D$38*K835)</f>
        <v>11559.156000000003</v>
      </c>
      <c r="M835" s="39">
        <f>L835*Inputs!$D$11</f>
        <v>248521.85400000005</v>
      </c>
      <c r="N835" s="39">
        <f>M835*(1-Inputs!$D$17)</f>
        <v>86982.648900000015</v>
      </c>
      <c r="O835" s="35">
        <f>Inputs!$D$6*E835*Inputs!$D$27*Inputs!$D$30</f>
        <v>517.26295419324151</v>
      </c>
      <c r="P835" s="36">
        <f>O835/(C835*Inputs!$D$33)</f>
        <v>0.35921038485641771</v>
      </c>
      <c r="Q835" s="38">
        <f>IF(P835&gt;=1,999,P835/(Inputs!$D$33*(1-P835))*60)</f>
        <v>0.84086190623406665</v>
      </c>
      <c r="R835" s="37">
        <f>MIN(1,MAX(0,(Q835-Inputs!$D$36)/(Inputs!$D$37-Inputs!$D$36)))</f>
        <v>0</v>
      </c>
      <c r="S835" s="35">
        <f>Inputs!$D$6*E835*Inputs!$D$27*(1-Inputs!$D$38*R835)</f>
        <v>4310.5246182770125</v>
      </c>
      <c r="T835" s="39">
        <f>S835*Inputs!$D$12</f>
        <v>68968.393892432199</v>
      </c>
      <c r="U835" s="39">
        <f>T835*(1-Inputs!$D$18)</f>
        <v>31035.777251594485</v>
      </c>
      <c r="V835" s="35">
        <f>Inputs!$D$6*F835*Inputs!$D$28*Inputs!$D$31</f>
        <v>578.5958319897461</v>
      </c>
      <c r="W835" s="36">
        <f>V835/(B835*Inputs!$D$34)</f>
        <v>1.3776091237851098</v>
      </c>
      <c r="X835" s="38">
        <f>IF(W835&gt;=1,999,W835/(Inputs!$D$34*(1-W835))*60)</f>
        <v>999</v>
      </c>
      <c r="Y835" s="37">
        <f>MIN(1,MAX(0,(X835-Inputs!$D$36)/(Inputs!$D$37-Inputs!$D$36)))</f>
        <v>1</v>
      </c>
      <c r="Z835" s="35">
        <f>Inputs!$D$6*F835*Inputs!$D$28*(1-Inputs!$D$38*Y835)</f>
        <v>2447.9054430335414</v>
      </c>
      <c r="AA835" s="39">
        <f>Z835*Inputs!$D$13</f>
        <v>20807.1962657851</v>
      </c>
      <c r="AB835" s="39">
        <f>AA835*(1-Inputs!$D$19)</f>
        <v>12484.31775947106</v>
      </c>
      <c r="AC835" s="39">
        <f t="shared" si="48"/>
        <v>338297.44415821735</v>
      </c>
      <c r="AD835" s="39">
        <f t="shared" si="49"/>
        <v>130502.74391106555</v>
      </c>
      <c r="AE835" s="36">
        <f t="shared" si="50"/>
        <v>1.3776091237851098</v>
      </c>
      <c r="AF835" s="35">
        <f>IF(AND(AE835&lt;=Inputs!$D$35,C835&gt;=Inputs!$D$48*(A835+B835+C835),B835*Inputs!$D$22&lt;=Inputs!$D$50*Inputs!$D$8,B835*Inputs!$D$22&gt;=Inputs!$D$49*Inputs!$D$8,A835*Inputs!$D$20&lt;=Inputs!$D$47*Inputs!$D$8,C835&gt;=1),1,0)</f>
        <v>0</v>
      </c>
      <c r="AG835" s="39">
        <f t="shared" si="51"/>
        <v>-1</v>
      </c>
    </row>
    <row r="836" spans="1:33" x14ac:dyDescent="0.25">
      <c r="A836" s="35">
        <v>60</v>
      </c>
      <c r="B836" s="35">
        <v>13</v>
      </c>
      <c r="C836" s="35">
        <f>Inputs!$D$8-A836-Inputs!$D$22*B836</f>
        <v>34</v>
      </c>
      <c r="D836" s="35">
        <f>A836*Inputs!$D$20+C836*Inputs!$D$21+B836*Inputs!$D$22</f>
        <v>120</v>
      </c>
      <c r="E836" s="36">
        <f>MIN(Inputs!$E$15,Inputs!$D$15*(C836/Inputs!$D$43)^Inputs!$D$44)</f>
        <v>0.35640602201959876</v>
      </c>
      <c r="F836" s="36">
        <f>MIN(Inputs!$E$16,Inputs!$D$16*(B836/Inputs!$D$42)^Inputs!$D$44)</f>
        <v>0.35150701637190523</v>
      </c>
      <c r="G836" s="37">
        <f>Inputs!$D$26*(1+Inputs!$D$41*(B836-Inputs!$D$42))</f>
        <v>1.395</v>
      </c>
      <c r="H836" s="35">
        <f>Inputs!$D$6*Inputs!$D$14*G836*Inputs!$D$29</f>
        <v>1752.7198500000002</v>
      </c>
      <c r="I836" s="36">
        <f>H836/(A836*Inputs!$D$32)</f>
        <v>0.53112722727272732</v>
      </c>
      <c r="J836" s="38">
        <f>IF(I836&gt;=1,999,I836/(Inputs!$D$32*(1-I836))*60)</f>
        <v>1.2357542479827059</v>
      </c>
      <c r="K836" s="37">
        <f>MIN(1,MAX(0,(J836-Inputs!$D$36)/(Inputs!$D$37-Inputs!$D$36)))</f>
        <v>0</v>
      </c>
      <c r="L836" s="35">
        <f>Inputs!$D$6*Inputs!$D$14*G836*(1-Inputs!$D$38*K836)</f>
        <v>11684.799000000001</v>
      </c>
      <c r="M836" s="39">
        <f>L836*Inputs!$D$11</f>
        <v>251223.17850000001</v>
      </c>
      <c r="N836" s="39">
        <f>M836*(1-Inputs!$D$17)</f>
        <v>87928.112475000002</v>
      </c>
      <c r="O836" s="35">
        <f>Inputs!$D$6*E836*Inputs!$D$27*Inputs!$D$30</f>
        <v>508.46878975039266</v>
      </c>
      <c r="P836" s="36">
        <f>O836/(C836*Inputs!$D$33)</f>
        <v>0.37387411011058286</v>
      </c>
      <c r="Q836" s="38">
        <f>IF(P836&gt;=1,999,P836/(Inputs!$D$33*(1-P836))*60)</f>
        <v>0.89568435712652228</v>
      </c>
      <c r="R836" s="37">
        <f>MIN(1,MAX(0,(Q836-Inputs!$D$36)/(Inputs!$D$37-Inputs!$D$36)))</f>
        <v>0</v>
      </c>
      <c r="S836" s="35">
        <f>Inputs!$D$6*E836*Inputs!$D$27*(1-Inputs!$D$38*R836)</f>
        <v>4237.2399145866057</v>
      </c>
      <c r="T836" s="39">
        <f>S836*Inputs!$D$12</f>
        <v>67795.838633385691</v>
      </c>
      <c r="U836" s="39">
        <f>T836*(1-Inputs!$D$18)</f>
        <v>30508.127385023559</v>
      </c>
      <c r="V836" s="35">
        <f>Inputs!$D$6*F836*Inputs!$D$28*Inputs!$D$31</f>
        <v>592.65770193981814</v>
      </c>
      <c r="W836" s="36">
        <f>V836/(B836*Inputs!$D$34)</f>
        <v>1.3025443998677322</v>
      </c>
      <c r="X836" s="38">
        <f>IF(W836&gt;=1,999,W836/(Inputs!$D$34*(1-W836))*60)</f>
        <v>999</v>
      </c>
      <c r="Y836" s="37">
        <f>MIN(1,MAX(0,(X836-Inputs!$D$36)/(Inputs!$D$37-Inputs!$D$36)))</f>
        <v>1</v>
      </c>
      <c r="Z836" s="35">
        <f>Inputs!$D$6*F836*Inputs!$D$28*(1-Inputs!$D$38*Y836)</f>
        <v>2507.3979697453847</v>
      </c>
      <c r="AA836" s="39">
        <f>Z836*Inputs!$D$13</f>
        <v>21312.882742835769</v>
      </c>
      <c r="AB836" s="39">
        <f>AA836*(1-Inputs!$D$19)</f>
        <v>12787.729645701462</v>
      </c>
      <c r="AC836" s="39">
        <f t="shared" si="48"/>
        <v>340331.89987622149</v>
      </c>
      <c r="AD836" s="39">
        <f t="shared" si="49"/>
        <v>131223.96950572502</v>
      </c>
      <c r="AE836" s="36">
        <f t="shared" si="50"/>
        <v>1.3025443998677322</v>
      </c>
      <c r="AF836" s="35">
        <f>IF(AND(AE836&lt;=Inputs!$D$35,C836&gt;=Inputs!$D$48*(A836+B836+C836),B836*Inputs!$D$22&lt;=Inputs!$D$50*Inputs!$D$8,B836*Inputs!$D$22&gt;=Inputs!$D$49*Inputs!$D$8,A836*Inputs!$D$20&lt;=Inputs!$D$47*Inputs!$D$8,C836&gt;=1),1,0)</f>
        <v>0</v>
      </c>
      <c r="AG836" s="39">
        <f t="shared" si="51"/>
        <v>-1</v>
      </c>
    </row>
    <row r="837" spans="1:33" x14ac:dyDescent="0.25">
      <c r="A837" s="35">
        <v>60</v>
      </c>
      <c r="B837" s="35">
        <v>14</v>
      </c>
      <c r="C837" s="35">
        <f>Inputs!$D$8-A837-Inputs!$D$22*B837</f>
        <v>32</v>
      </c>
      <c r="D837" s="35">
        <f>A837*Inputs!$D$20+C837*Inputs!$D$21+B837*Inputs!$D$22</f>
        <v>120</v>
      </c>
      <c r="E837" s="36">
        <f>MIN(Inputs!$E$15,Inputs!$D$15*(C837/Inputs!$D$43)^Inputs!$D$44)</f>
        <v>0.34998251836560429</v>
      </c>
      <c r="F837" s="36">
        <f>MIN(Inputs!$E$16,Inputs!$D$16*(B837/Inputs!$D$42)^Inputs!$D$44)</f>
        <v>0.35940937671625589</v>
      </c>
      <c r="G837" s="37">
        <f>Inputs!$D$26*(1+Inputs!$D$41*(B837-Inputs!$D$42))</f>
        <v>1.41</v>
      </c>
      <c r="H837" s="35">
        <f>Inputs!$D$6*Inputs!$D$14*G837*Inputs!$D$29</f>
        <v>1771.5663000000002</v>
      </c>
      <c r="I837" s="36">
        <f>H837/(A837*Inputs!$D$32)</f>
        <v>0.5368382727272728</v>
      </c>
      <c r="J837" s="38">
        <f>IF(I837&gt;=1,999,I837/(Inputs!$D$32*(1-I837))*60)</f>
        <v>1.2644433198627996</v>
      </c>
      <c r="K837" s="37">
        <f>MIN(1,MAX(0,(J837-Inputs!$D$36)/(Inputs!$D$37-Inputs!$D$36)))</f>
        <v>0</v>
      </c>
      <c r="L837" s="35">
        <f>Inputs!$D$6*Inputs!$D$14*G837*(1-Inputs!$D$38*K837)</f>
        <v>11810.442000000001</v>
      </c>
      <c r="M837" s="39">
        <f>L837*Inputs!$D$11</f>
        <v>253924.50300000003</v>
      </c>
      <c r="N837" s="39">
        <f>M837*(1-Inputs!$D$17)</f>
        <v>88873.576050000003</v>
      </c>
      <c r="O837" s="35">
        <f>Inputs!$D$6*E837*Inputs!$D$27*Inputs!$D$30</f>
        <v>499.30465972139962</v>
      </c>
      <c r="P837" s="36">
        <f>O837/(C837*Inputs!$D$33)</f>
        <v>0.39008176540734346</v>
      </c>
      <c r="Q837" s="38">
        <f>IF(P837&gt;=1,999,P837/(Inputs!$D$33*(1-P837))*60)</f>
        <v>0.95934604824825165</v>
      </c>
      <c r="R837" s="37">
        <f>MIN(1,MAX(0,(Q837-Inputs!$D$36)/(Inputs!$D$37-Inputs!$D$36)))</f>
        <v>0</v>
      </c>
      <c r="S837" s="35">
        <f>Inputs!$D$6*E837*Inputs!$D$27*(1-Inputs!$D$38*R837)</f>
        <v>4160.8721643449971</v>
      </c>
      <c r="T837" s="39">
        <f>S837*Inputs!$D$12</f>
        <v>66573.954629519954</v>
      </c>
      <c r="U837" s="39">
        <f>T837*(1-Inputs!$D$18)</f>
        <v>29958.279583283977</v>
      </c>
      <c r="V837" s="35">
        <f>Inputs!$D$6*F837*Inputs!$D$28*Inputs!$D$31</f>
        <v>605.98146079368973</v>
      </c>
      <c r="W837" s="36">
        <f>V837/(B837*Inputs!$D$34)</f>
        <v>1.2366968587626321</v>
      </c>
      <c r="X837" s="38">
        <f>IF(W837&gt;=1,999,W837/(Inputs!$D$34*(1-W837))*60)</f>
        <v>999</v>
      </c>
      <c r="Y837" s="37">
        <f>MIN(1,MAX(0,(X837-Inputs!$D$36)/(Inputs!$D$37-Inputs!$D$36)))</f>
        <v>1</v>
      </c>
      <c r="Z837" s="35">
        <f>Inputs!$D$6*F837*Inputs!$D$28*(1-Inputs!$D$38*Y837)</f>
        <v>2563.7677187425338</v>
      </c>
      <c r="AA837" s="39">
        <f>Z837*Inputs!$D$13</f>
        <v>21792.025609311539</v>
      </c>
      <c r="AB837" s="39">
        <f>AA837*(1-Inputs!$D$19)</f>
        <v>13075.215365586922</v>
      </c>
      <c r="AC837" s="39">
        <f t="shared" ref="AC837:AC900" si="52">M837+T837+AA837</f>
        <v>342290.48323883151</v>
      </c>
      <c r="AD837" s="39">
        <f t="shared" ref="AD837:AD900" si="53">N837+U837+AB837</f>
        <v>131907.07099887091</v>
      </c>
      <c r="AE837" s="36">
        <f t="shared" ref="AE837:AE900" si="54">MAX(I837,P837,W837)</f>
        <v>1.2366968587626321</v>
      </c>
      <c r="AF837" s="35">
        <f>IF(AND(AE837&lt;=Inputs!$D$35,C837&gt;=Inputs!$D$48*(A837+B837+C837),B837*Inputs!$D$22&lt;=Inputs!$D$50*Inputs!$D$8,B837*Inputs!$D$22&gt;=Inputs!$D$49*Inputs!$D$8,A837*Inputs!$D$20&lt;=Inputs!$D$47*Inputs!$D$8,C837&gt;=1),1,0)</f>
        <v>0</v>
      </c>
      <c r="AG837" s="39">
        <f t="shared" ref="AG837:AG900" si="55">IF(AF837=1,AD837,-1)</f>
        <v>-1</v>
      </c>
    </row>
    <row r="838" spans="1:33" x14ac:dyDescent="0.25">
      <c r="A838" s="35">
        <v>60</v>
      </c>
      <c r="B838" s="35">
        <v>15</v>
      </c>
      <c r="C838" s="35">
        <f>Inputs!$D$8-A838-Inputs!$D$22*B838</f>
        <v>30</v>
      </c>
      <c r="D838" s="35">
        <f>A838*Inputs!$D$20+C838*Inputs!$D$21+B838*Inputs!$D$22</f>
        <v>120</v>
      </c>
      <c r="E838" s="36">
        <f>MIN(Inputs!$E$15,Inputs!$D$15*(C838/Inputs!$D$43)^Inputs!$D$44)</f>
        <v>0.3432714897427589</v>
      </c>
      <c r="F838" s="36">
        <f>MIN(Inputs!$E$16,Inputs!$D$16*(B838/Inputs!$D$42)^Inputs!$D$44)</f>
        <v>0.36692590185696072</v>
      </c>
      <c r="G838" s="37">
        <f>Inputs!$D$26*(1+Inputs!$D$41*(B838-Inputs!$D$42))</f>
        <v>1.4249999999999998</v>
      </c>
      <c r="H838" s="35">
        <f>Inputs!$D$6*Inputs!$D$14*G838*Inputs!$D$29</f>
        <v>1790.4127499999997</v>
      </c>
      <c r="I838" s="36">
        <f>H838/(A838*Inputs!$D$32)</f>
        <v>0.54254931818181806</v>
      </c>
      <c r="J838" s="38">
        <f>IF(I838&gt;=1,999,I838/(Inputs!$D$32*(1-I838))*60)</f>
        <v>1.2938487294818797</v>
      </c>
      <c r="K838" s="37">
        <f>MIN(1,MAX(0,(J838-Inputs!$D$36)/(Inputs!$D$37-Inputs!$D$36)))</f>
        <v>0</v>
      </c>
      <c r="L838" s="35">
        <f>Inputs!$D$6*Inputs!$D$14*G838*(1-Inputs!$D$38*K838)</f>
        <v>11936.084999999999</v>
      </c>
      <c r="M838" s="39">
        <f>L838*Inputs!$D$11</f>
        <v>256625.82749999998</v>
      </c>
      <c r="N838" s="39">
        <f>M838*(1-Inputs!$D$17)</f>
        <v>89819.03962499999</v>
      </c>
      <c r="O838" s="35">
        <f>Inputs!$D$6*E838*Inputs!$D$27*Inputs!$D$30</f>
        <v>489.73033047044544</v>
      </c>
      <c r="P838" s="36">
        <f>O838/(C838*Inputs!$D$33)</f>
        <v>0.40810860872537119</v>
      </c>
      <c r="Q838" s="38">
        <f>IF(P838&gt;=1,999,P838/(Inputs!$D$33*(1-P838))*60)</f>
        <v>1.0342487187890559</v>
      </c>
      <c r="R838" s="37">
        <f>MIN(1,MAX(0,(Q838-Inputs!$D$36)/(Inputs!$D$37-Inputs!$D$36)))</f>
        <v>0</v>
      </c>
      <c r="S838" s="35">
        <f>Inputs!$D$6*E838*Inputs!$D$27*(1-Inputs!$D$38*R838)</f>
        <v>4081.0860872537123</v>
      </c>
      <c r="T838" s="39">
        <f>S838*Inputs!$D$12</f>
        <v>65297.377396059397</v>
      </c>
      <c r="U838" s="39">
        <f>T838*(1-Inputs!$D$18)</f>
        <v>29383.819828226726</v>
      </c>
      <c r="V838" s="35">
        <f>Inputs!$D$6*F838*Inputs!$D$28*Inputs!$D$31</f>
        <v>618.65468297412497</v>
      </c>
      <c r="W838" s="36">
        <f>V838/(B838*Inputs!$D$34)</f>
        <v>1.1783898723316666</v>
      </c>
      <c r="X838" s="38">
        <f>IF(W838&gt;=1,999,W838/(Inputs!$D$34*(1-W838))*60)</f>
        <v>999</v>
      </c>
      <c r="Y838" s="37">
        <f>MIN(1,MAX(0,(X838-Inputs!$D$36)/(Inputs!$D$37-Inputs!$D$36)))</f>
        <v>1</v>
      </c>
      <c r="Z838" s="35">
        <f>Inputs!$D$6*F838*Inputs!$D$28*(1-Inputs!$D$38*Y838)</f>
        <v>2617.3851971982212</v>
      </c>
      <c r="AA838" s="39">
        <f>Z838*Inputs!$D$13</f>
        <v>22247.774176184881</v>
      </c>
      <c r="AB838" s="39">
        <f>AA838*(1-Inputs!$D$19)</f>
        <v>13348.664505710929</v>
      </c>
      <c r="AC838" s="39">
        <f t="shared" si="52"/>
        <v>344170.97907224426</v>
      </c>
      <c r="AD838" s="39">
        <f t="shared" si="53"/>
        <v>132551.52395893764</v>
      </c>
      <c r="AE838" s="36">
        <f t="shared" si="54"/>
        <v>1.1783898723316666</v>
      </c>
      <c r="AF838" s="35">
        <f>IF(AND(AE838&lt;=Inputs!$D$35,C838&gt;=Inputs!$D$48*(A838+B838+C838),B838*Inputs!$D$22&lt;=Inputs!$D$50*Inputs!$D$8,B838*Inputs!$D$22&gt;=Inputs!$D$49*Inputs!$D$8,A838*Inputs!$D$20&lt;=Inputs!$D$47*Inputs!$D$8,C838&gt;=1),1,0)</f>
        <v>0</v>
      </c>
      <c r="AG838" s="39">
        <f t="shared" si="55"/>
        <v>-1</v>
      </c>
    </row>
    <row r="839" spans="1:33" x14ac:dyDescent="0.25">
      <c r="A839" s="35">
        <v>60</v>
      </c>
      <c r="B839" s="35">
        <v>16</v>
      </c>
      <c r="C839" s="35">
        <f>Inputs!$D$8-A839-Inputs!$D$22*B839</f>
        <v>28</v>
      </c>
      <c r="D839" s="35">
        <f>A839*Inputs!$D$20+C839*Inputs!$D$21+B839*Inputs!$D$22</f>
        <v>120</v>
      </c>
      <c r="E839" s="36">
        <f>MIN(Inputs!$E$15,Inputs!$D$15*(C839/Inputs!$D$43)^Inputs!$D$44)</f>
        <v>0.33623952833125714</v>
      </c>
      <c r="F839" s="36">
        <f>MIN(Inputs!$E$16,Inputs!$D$16*(B839/Inputs!$D$42)^Inputs!$D$44)</f>
        <v>0.37409937912904856</v>
      </c>
      <c r="G839" s="37">
        <f>Inputs!$D$26*(1+Inputs!$D$41*(B839-Inputs!$D$42))</f>
        <v>1.44</v>
      </c>
      <c r="H839" s="35">
        <f>Inputs!$D$6*Inputs!$D$14*G839*Inputs!$D$29</f>
        <v>1809.2592000000002</v>
      </c>
      <c r="I839" s="36">
        <f>H839/(A839*Inputs!$D$32)</f>
        <v>0.54826036363636366</v>
      </c>
      <c r="J839" s="38">
        <f>IF(I839&gt;=1,999,I839/(Inputs!$D$32*(1-I839))*60)</f>
        <v>1.3239976453927533</v>
      </c>
      <c r="K839" s="37">
        <f>MIN(1,MAX(0,(J839-Inputs!$D$36)/(Inputs!$D$37-Inputs!$D$36)))</f>
        <v>0</v>
      </c>
      <c r="L839" s="35">
        <f>Inputs!$D$6*Inputs!$D$14*G839*(1-Inputs!$D$38*K839)</f>
        <v>12061.728000000001</v>
      </c>
      <c r="M839" s="39">
        <f>L839*Inputs!$D$11</f>
        <v>259327.15200000003</v>
      </c>
      <c r="N839" s="39">
        <f>M839*(1-Inputs!$D$17)</f>
        <v>90764.503200000006</v>
      </c>
      <c r="O839" s="35">
        <f>Inputs!$D$6*E839*Inputs!$D$27*Inputs!$D$30</f>
        <v>479.69814053095797</v>
      </c>
      <c r="P839" s="36">
        <f>O839/(C839*Inputs!$D$33)</f>
        <v>0.42830191118835531</v>
      </c>
      <c r="Q839" s="38">
        <f>IF(P839&gt;=1,999,P839/(Inputs!$D$33*(1-P839))*60)</f>
        <v>1.1237624882006552</v>
      </c>
      <c r="R839" s="37">
        <f>MIN(1,MAX(0,(Q839-Inputs!$D$36)/(Inputs!$D$37-Inputs!$D$36)))</f>
        <v>0</v>
      </c>
      <c r="S839" s="35">
        <f>Inputs!$D$6*E839*Inputs!$D$27*(1-Inputs!$D$38*R839)</f>
        <v>3997.4845044246499</v>
      </c>
      <c r="T839" s="39">
        <f>S839*Inputs!$D$12</f>
        <v>63959.752070794399</v>
      </c>
      <c r="U839" s="39">
        <f>T839*(1-Inputs!$D$18)</f>
        <v>28781.888431857478</v>
      </c>
      <c r="V839" s="35">
        <f>Inputs!$D$6*F839*Inputs!$D$28*Inputs!$D$31</f>
        <v>630.74950998177405</v>
      </c>
      <c r="W839" s="36">
        <f>V839/(B839*Inputs!$D$34)</f>
        <v>1.1263384106817393</v>
      </c>
      <c r="X839" s="38">
        <f>IF(W839&gt;=1,999,W839/(Inputs!$D$34*(1-W839))*60)</f>
        <v>999</v>
      </c>
      <c r="Y839" s="37">
        <f>MIN(1,MAX(0,(X839-Inputs!$D$36)/(Inputs!$D$37-Inputs!$D$36)))</f>
        <v>1</v>
      </c>
      <c r="Z839" s="35">
        <f>Inputs!$D$6*F839*Inputs!$D$28*(1-Inputs!$D$38*Y839)</f>
        <v>2668.5556191536598</v>
      </c>
      <c r="AA839" s="39">
        <f>Z839*Inputs!$D$13</f>
        <v>22682.722762806108</v>
      </c>
      <c r="AB839" s="39">
        <f>AA839*(1-Inputs!$D$19)</f>
        <v>13609.633657683664</v>
      </c>
      <c r="AC839" s="39">
        <f t="shared" si="52"/>
        <v>345969.62683360052</v>
      </c>
      <c r="AD839" s="39">
        <f t="shared" si="53"/>
        <v>133156.02528954117</v>
      </c>
      <c r="AE839" s="36">
        <f t="shared" si="54"/>
        <v>1.1263384106817393</v>
      </c>
      <c r="AF839" s="35">
        <f>IF(AND(AE839&lt;=Inputs!$D$35,C839&gt;=Inputs!$D$48*(A839+B839+C839),B839*Inputs!$D$22&lt;=Inputs!$D$50*Inputs!$D$8,B839*Inputs!$D$22&gt;=Inputs!$D$49*Inputs!$D$8,A839*Inputs!$D$20&lt;=Inputs!$D$47*Inputs!$D$8,C839&gt;=1),1,0)</f>
        <v>0</v>
      </c>
      <c r="AG839" s="39">
        <f t="shared" si="55"/>
        <v>-1</v>
      </c>
    </row>
    <row r="840" spans="1:33" x14ac:dyDescent="0.25">
      <c r="A840" s="35">
        <v>60</v>
      </c>
      <c r="B840" s="35">
        <v>17</v>
      </c>
      <c r="C840" s="35">
        <f>Inputs!$D$8-A840-Inputs!$D$22*B840</f>
        <v>26</v>
      </c>
      <c r="D840" s="35">
        <f>A840*Inputs!$D$20+C840*Inputs!$D$21+B840*Inputs!$D$22</f>
        <v>120</v>
      </c>
      <c r="E840" s="36">
        <f>MIN(Inputs!$E$15,Inputs!$D$15*(C840/Inputs!$D$43)^Inputs!$D$44)</f>
        <v>0.32884660514387515</v>
      </c>
      <c r="F840" s="36">
        <f>MIN(Inputs!$E$16,Inputs!$D$16*(B840/Inputs!$D$42)^Inputs!$D$44)</f>
        <v>0.3809655184437048</v>
      </c>
      <c r="G840" s="37">
        <f>Inputs!$D$26*(1+Inputs!$D$41*(B840-Inputs!$D$42))</f>
        <v>1.4550000000000001</v>
      </c>
      <c r="H840" s="35">
        <f>Inputs!$D$6*Inputs!$D$14*G840*Inputs!$D$29</f>
        <v>1828.1056500000002</v>
      </c>
      <c r="I840" s="36">
        <f>H840/(A840*Inputs!$D$32)</f>
        <v>0.55397140909090914</v>
      </c>
      <c r="J840" s="38">
        <f>IF(I840&gt;=1,999,I840/(Inputs!$D$32*(1-I840))*60)</f>
        <v>1.3549186276360619</v>
      </c>
      <c r="K840" s="37">
        <f>MIN(1,MAX(0,(J840-Inputs!$D$36)/(Inputs!$D$37-Inputs!$D$36)))</f>
        <v>0</v>
      </c>
      <c r="L840" s="35">
        <f>Inputs!$D$6*Inputs!$D$14*G840*(1-Inputs!$D$38*K840)</f>
        <v>12187.371000000001</v>
      </c>
      <c r="M840" s="39">
        <f>L840*Inputs!$D$11</f>
        <v>262028.47650000002</v>
      </c>
      <c r="N840" s="39">
        <f>M840*(1-Inputs!$D$17)</f>
        <v>91709.966775000008</v>
      </c>
      <c r="O840" s="35">
        <f>Inputs!$D$6*E840*Inputs!$D$27*Inputs!$D$30</f>
        <v>469.15098230814039</v>
      </c>
      <c r="P840" s="36">
        <f>O840/(C840*Inputs!$D$33)</f>
        <v>0.45110671375782729</v>
      </c>
      <c r="Q840" s="38">
        <f>IF(P840&gt;=1,999,P840/(Inputs!$D$33*(1-P840))*60)</f>
        <v>1.2327716290160586</v>
      </c>
      <c r="R840" s="37">
        <f>MIN(1,MAX(0,(Q840-Inputs!$D$36)/(Inputs!$D$37-Inputs!$D$36)))</f>
        <v>0</v>
      </c>
      <c r="S840" s="35">
        <f>Inputs!$D$6*E840*Inputs!$D$27*(1-Inputs!$D$38*R840)</f>
        <v>3909.5915192345033</v>
      </c>
      <c r="T840" s="39">
        <f>S840*Inputs!$D$12</f>
        <v>62553.464307752052</v>
      </c>
      <c r="U840" s="39">
        <f>T840*(1-Inputs!$D$18)</f>
        <v>28149.058938488422</v>
      </c>
      <c r="V840" s="35">
        <f>Inputs!$D$6*F840*Inputs!$D$28*Inputs!$D$31</f>
        <v>642.32615044097156</v>
      </c>
      <c r="W840" s="36">
        <f>V840/(B840*Inputs!$D$34)</f>
        <v>1.0795397486402882</v>
      </c>
      <c r="X840" s="38">
        <f>IF(W840&gt;=1,999,W840/(Inputs!$D$34*(1-W840))*60)</f>
        <v>999</v>
      </c>
      <c r="Y840" s="37">
        <f>MIN(1,MAX(0,(X840-Inputs!$D$36)/(Inputs!$D$37-Inputs!$D$36)))</f>
        <v>1</v>
      </c>
      <c r="Z840" s="35">
        <f>Inputs!$D$6*F840*Inputs!$D$28*(1-Inputs!$D$38*Y840)</f>
        <v>2717.5337134041106</v>
      </c>
      <c r="AA840" s="39">
        <f>Z840*Inputs!$D$13</f>
        <v>23099.03656393494</v>
      </c>
      <c r="AB840" s="39">
        <f>AA840*(1-Inputs!$D$19)</f>
        <v>13859.421938360963</v>
      </c>
      <c r="AC840" s="39">
        <f t="shared" si="52"/>
        <v>347680.97737168701</v>
      </c>
      <c r="AD840" s="39">
        <f t="shared" si="53"/>
        <v>133718.44765184939</v>
      </c>
      <c r="AE840" s="36">
        <f t="shared" si="54"/>
        <v>1.0795397486402882</v>
      </c>
      <c r="AF840" s="35">
        <f>IF(AND(AE840&lt;=Inputs!$D$35,C840&gt;=Inputs!$D$48*(A840+B840+C840),B840*Inputs!$D$22&lt;=Inputs!$D$50*Inputs!$D$8,B840*Inputs!$D$22&gt;=Inputs!$D$49*Inputs!$D$8,A840*Inputs!$D$20&lt;=Inputs!$D$47*Inputs!$D$8,C840&gt;=1),1,0)</f>
        <v>0</v>
      </c>
      <c r="AG840" s="39">
        <f t="shared" si="55"/>
        <v>-1</v>
      </c>
    </row>
    <row r="841" spans="1:33" x14ac:dyDescent="0.25">
      <c r="A841" s="35">
        <v>60</v>
      </c>
      <c r="B841" s="35">
        <v>18</v>
      </c>
      <c r="C841" s="35">
        <f>Inputs!$D$8-A841-Inputs!$D$22*B841</f>
        <v>24</v>
      </c>
      <c r="D841" s="35">
        <f>A841*Inputs!$D$20+C841*Inputs!$D$21+B841*Inputs!$D$22</f>
        <v>120</v>
      </c>
      <c r="E841" s="36">
        <f>MIN(Inputs!$E$15,Inputs!$D$15*(C841/Inputs!$D$43)^Inputs!$D$44)</f>
        <v>0.32104412796367415</v>
      </c>
      <c r="F841" s="36">
        <f>MIN(Inputs!$E$16,Inputs!$D$16*(B841/Inputs!$D$42)^Inputs!$D$44)</f>
        <v>0.38755446447890535</v>
      </c>
      <c r="G841" s="37">
        <f>Inputs!$D$26*(1+Inputs!$D$41*(B841-Inputs!$D$42))</f>
        <v>1.47</v>
      </c>
      <c r="H841" s="35">
        <f>Inputs!$D$6*Inputs!$D$14*G841*Inputs!$D$29</f>
        <v>1846.9521</v>
      </c>
      <c r="I841" s="36">
        <f>H841/(A841*Inputs!$D$32)</f>
        <v>0.55968245454545451</v>
      </c>
      <c r="J841" s="38">
        <f>IF(I841&gt;=1,999,I841/(Inputs!$D$32*(1-I841))*60)</f>
        <v>1.3866417179802788</v>
      </c>
      <c r="K841" s="37">
        <f>MIN(1,MAX(0,(J841-Inputs!$D$36)/(Inputs!$D$37-Inputs!$D$36)))</f>
        <v>0</v>
      </c>
      <c r="L841" s="35">
        <f>Inputs!$D$6*Inputs!$D$14*G841*(1-Inputs!$D$38*K841)</f>
        <v>12313.014000000001</v>
      </c>
      <c r="M841" s="39">
        <f>L841*Inputs!$D$11</f>
        <v>264729.80100000004</v>
      </c>
      <c r="N841" s="39">
        <f>M841*(1-Inputs!$D$17)</f>
        <v>92655.43035000001</v>
      </c>
      <c r="O841" s="35">
        <f>Inputs!$D$6*E841*Inputs!$D$27*Inputs!$D$30</f>
        <v>458.01953142414351</v>
      </c>
      <c r="P841" s="36">
        <f>O841/(C841*Inputs!$D$33)</f>
        <v>0.47710367856681618</v>
      </c>
      <c r="Q841" s="38">
        <f>IF(P841&gt;=1,999,P841/(Inputs!$D$33*(1-P841))*60)</f>
        <v>1.3686375071232384</v>
      </c>
      <c r="R841" s="37">
        <f>MIN(1,MAX(0,(Q841-Inputs!$D$36)/(Inputs!$D$37-Inputs!$D$36)))</f>
        <v>0</v>
      </c>
      <c r="S841" s="35">
        <f>Inputs!$D$6*E841*Inputs!$D$27*(1-Inputs!$D$38*R841)</f>
        <v>3816.8294285345296</v>
      </c>
      <c r="T841" s="39">
        <f>S841*Inputs!$D$12</f>
        <v>61069.270856552474</v>
      </c>
      <c r="U841" s="39">
        <f>T841*(1-Inputs!$D$18)</f>
        <v>27481.17188544861</v>
      </c>
      <c r="V841" s="35">
        <f>Inputs!$D$6*F841*Inputs!$D$28*Inputs!$D$31</f>
        <v>653.43542972572936</v>
      </c>
      <c r="W841" s="36">
        <f>V841/(B841*Inputs!$D$34)</f>
        <v>1.037199094802745</v>
      </c>
      <c r="X841" s="38">
        <f>IF(W841&gt;=1,999,W841/(Inputs!$D$34*(1-W841))*60)</f>
        <v>999</v>
      </c>
      <c r="Y841" s="37">
        <f>MIN(1,MAX(0,(X841-Inputs!$D$36)/(Inputs!$D$37-Inputs!$D$36)))</f>
        <v>1</v>
      </c>
      <c r="Z841" s="35">
        <f>Inputs!$D$6*F841*Inputs!$D$28*(1-Inputs!$D$38*Y841)</f>
        <v>2764.534510378086</v>
      </c>
      <c r="AA841" s="39">
        <f>Z841*Inputs!$D$13</f>
        <v>23498.543338213731</v>
      </c>
      <c r="AB841" s="39">
        <f>AA841*(1-Inputs!$D$19)</f>
        <v>14099.126002928238</v>
      </c>
      <c r="AC841" s="39">
        <f t="shared" si="52"/>
        <v>349297.61519476626</v>
      </c>
      <c r="AD841" s="39">
        <f t="shared" si="53"/>
        <v>134235.72823837685</v>
      </c>
      <c r="AE841" s="36">
        <f t="shared" si="54"/>
        <v>1.037199094802745</v>
      </c>
      <c r="AF841" s="35">
        <f>IF(AND(AE841&lt;=Inputs!$D$35,C841&gt;=Inputs!$D$48*(A841+B841+C841),B841*Inputs!$D$22&lt;=Inputs!$D$50*Inputs!$D$8,B841*Inputs!$D$22&gt;=Inputs!$D$49*Inputs!$D$8,A841*Inputs!$D$20&lt;=Inputs!$D$47*Inputs!$D$8,C841&gt;=1),1,0)</f>
        <v>0</v>
      </c>
      <c r="AG841" s="39">
        <f t="shared" si="55"/>
        <v>-1</v>
      </c>
    </row>
    <row r="842" spans="1:33" x14ac:dyDescent="0.25">
      <c r="A842" s="35">
        <v>60</v>
      </c>
      <c r="B842" s="35">
        <v>19</v>
      </c>
      <c r="C842" s="35">
        <f>Inputs!$D$8-A842-Inputs!$D$22*B842</f>
        <v>22</v>
      </c>
      <c r="D842" s="35">
        <f>A842*Inputs!$D$20+C842*Inputs!$D$21+B842*Inputs!$D$22</f>
        <v>120</v>
      </c>
      <c r="E842" s="36">
        <f>MIN(Inputs!$E$15,Inputs!$D$15*(C842/Inputs!$D$43)^Inputs!$D$44)</f>
        <v>0.31277221277221301</v>
      </c>
      <c r="F842" s="36">
        <f>MIN(Inputs!$E$16,Inputs!$D$16*(B842/Inputs!$D$42)^Inputs!$D$44)</f>
        <v>0.39389192072703005</v>
      </c>
      <c r="G842" s="37">
        <f>Inputs!$D$26*(1+Inputs!$D$41*(B842-Inputs!$D$42))</f>
        <v>1.4849999999999999</v>
      </c>
      <c r="H842" s="35">
        <f>Inputs!$D$6*Inputs!$D$14*G842*Inputs!$D$29</f>
        <v>1865.7985499999998</v>
      </c>
      <c r="I842" s="36">
        <f>H842/(A842*Inputs!$D$32)</f>
        <v>0.56539349999999988</v>
      </c>
      <c r="J842" s="38">
        <f>IF(I842&gt;=1,999,I842/(Inputs!$D$32*(1-I842))*60)</f>
        <v>1.419198537276614</v>
      </c>
      <c r="K842" s="37">
        <f>MIN(1,MAX(0,(J842-Inputs!$D$36)/(Inputs!$D$37-Inputs!$D$36)))</f>
        <v>0</v>
      </c>
      <c r="L842" s="35">
        <f>Inputs!$D$6*Inputs!$D$14*G842*(1-Inputs!$D$38*K842)</f>
        <v>12438.656999999999</v>
      </c>
      <c r="M842" s="39">
        <f>L842*Inputs!$D$11</f>
        <v>267431.12549999997</v>
      </c>
      <c r="N842" s="39">
        <f>M842*(1-Inputs!$D$17)</f>
        <v>93600.893924999982</v>
      </c>
      <c r="O842" s="35">
        <f>Inputs!$D$6*E842*Inputs!$D$27*Inputs!$D$30</f>
        <v>446.21835398475434</v>
      </c>
      <c r="P842" s="36">
        <f>O842/(C842*Inputs!$D$33)</f>
        <v>0.50706631134631175</v>
      </c>
      <c r="Q842" s="38">
        <f>IF(P842&gt;=1,999,P842/(Inputs!$D$33*(1-P842))*60)</f>
        <v>1.543005650713049</v>
      </c>
      <c r="R842" s="37">
        <f>MIN(1,MAX(0,(Q842-Inputs!$D$36)/(Inputs!$D$37-Inputs!$D$36)))</f>
        <v>0</v>
      </c>
      <c r="S842" s="35">
        <f>Inputs!$D$6*E842*Inputs!$D$27*(1-Inputs!$D$38*R842)</f>
        <v>3718.4862832062863</v>
      </c>
      <c r="T842" s="39">
        <f>S842*Inputs!$D$12</f>
        <v>59495.780531300581</v>
      </c>
      <c r="U842" s="39">
        <f>T842*(1-Inputs!$D$18)</f>
        <v>26773.101239085259</v>
      </c>
      <c r="V842" s="35">
        <f>Inputs!$D$6*F842*Inputs!$D$28*Inputs!$D$31</f>
        <v>664.12068515796761</v>
      </c>
      <c r="W842" s="36">
        <f>V842/(B842*Inputs!$D$34)</f>
        <v>0.99867772204205651</v>
      </c>
      <c r="X842" s="38">
        <f>IF(W842&gt;=1,999,W842/(Inputs!$D$34*(1-W842))*60)</f>
        <v>1294.749671797274</v>
      </c>
      <c r="Y842" s="37">
        <f>MIN(1,MAX(0,(X842-Inputs!$D$36)/(Inputs!$D$37-Inputs!$D$36)))</f>
        <v>1</v>
      </c>
      <c r="Z842" s="35">
        <f>Inputs!$D$6*F842*Inputs!$D$28*(1-Inputs!$D$38*Y842)</f>
        <v>2809.7413602837091</v>
      </c>
      <c r="AA842" s="39">
        <f>Z842*Inputs!$D$13</f>
        <v>23882.801562411529</v>
      </c>
      <c r="AB842" s="39">
        <f>AA842*(1-Inputs!$D$19)</f>
        <v>14329.680937446918</v>
      </c>
      <c r="AC842" s="39">
        <f t="shared" si="52"/>
        <v>350809.70759371208</v>
      </c>
      <c r="AD842" s="39">
        <f t="shared" si="53"/>
        <v>134703.67610153215</v>
      </c>
      <c r="AE842" s="36">
        <f t="shared" si="54"/>
        <v>0.99867772204205651</v>
      </c>
      <c r="AF842" s="35">
        <f>IF(AND(AE842&lt;=Inputs!$D$35,C842&gt;=Inputs!$D$48*(A842+B842+C842),B842*Inputs!$D$22&lt;=Inputs!$D$50*Inputs!$D$8,B842*Inputs!$D$22&gt;=Inputs!$D$49*Inputs!$D$8,A842*Inputs!$D$20&lt;=Inputs!$D$47*Inputs!$D$8,C842&gt;=1),1,0)</f>
        <v>0</v>
      </c>
      <c r="AG842" s="39">
        <f t="shared" si="55"/>
        <v>-1</v>
      </c>
    </row>
    <row r="843" spans="1:33" x14ac:dyDescent="0.25">
      <c r="A843" s="35">
        <v>60</v>
      </c>
      <c r="B843" s="35">
        <v>20</v>
      </c>
      <c r="C843" s="35">
        <f>Inputs!$D$8-A843-Inputs!$D$22*B843</f>
        <v>20</v>
      </c>
      <c r="D843" s="35">
        <f>A843*Inputs!$D$20+C843*Inputs!$D$21+B843*Inputs!$D$22</f>
        <v>120</v>
      </c>
      <c r="E843" s="36">
        <f>MIN(Inputs!$E$15,Inputs!$D$15*(C843/Inputs!$D$43)^Inputs!$D$44)</f>
        <v>0.30395574554235194</v>
      </c>
      <c r="F843" s="36">
        <f>MIN(Inputs!$E$16,Inputs!$D$16*(B843/Inputs!$D$42)^Inputs!$D$44)</f>
        <v>0.4</v>
      </c>
      <c r="G843" s="37">
        <f>Inputs!$D$26*(1+Inputs!$D$41*(B843-Inputs!$D$42))</f>
        <v>1.5</v>
      </c>
      <c r="H843" s="35">
        <f>Inputs!$D$6*Inputs!$D$14*G843*Inputs!$D$29</f>
        <v>1884.645</v>
      </c>
      <c r="I843" s="36">
        <f>H843/(A843*Inputs!$D$32)</f>
        <v>0.57110454545454548</v>
      </c>
      <c r="J843" s="38">
        <f>IF(I843&gt;=1,999,I843/(Inputs!$D$32*(1-I843))*60)</f>
        <v>1.4526223905920166</v>
      </c>
      <c r="K843" s="37">
        <f>MIN(1,MAX(0,(J843-Inputs!$D$36)/(Inputs!$D$37-Inputs!$D$36)))</f>
        <v>0</v>
      </c>
      <c r="L843" s="35">
        <f>Inputs!$D$6*Inputs!$D$14*G843*(1-Inputs!$D$38*K843)</f>
        <v>12564.300000000001</v>
      </c>
      <c r="M843" s="39">
        <f>L843*Inputs!$D$11</f>
        <v>270132.45</v>
      </c>
      <c r="N843" s="39">
        <f>M843*(1-Inputs!$D$17)</f>
        <v>94546.357499999998</v>
      </c>
      <c r="O843" s="35">
        <f>Inputs!$D$6*E843*Inputs!$D$27*Inputs!$D$30</f>
        <v>433.64028811246965</v>
      </c>
      <c r="P843" s="36">
        <f>O843/(C843*Inputs!$D$33)</f>
        <v>0.54205036014058705</v>
      </c>
      <c r="Q843" s="38">
        <f>IF(P843&gt;=1,999,P843/(Inputs!$D$33*(1-P843))*60)</f>
        <v>1.7754693299038049</v>
      </c>
      <c r="R843" s="37">
        <f>MIN(1,MAX(0,(Q843-Inputs!$D$36)/(Inputs!$D$37-Inputs!$D$36)))</f>
        <v>0</v>
      </c>
      <c r="S843" s="35">
        <f>Inputs!$D$6*E843*Inputs!$D$27*(1-Inputs!$D$38*R843)</f>
        <v>3613.6690676039138</v>
      </c>
      <c r="T843" s="39">
        <f>S843*Inputs!$D$12</f>
        <v>57818.705081662622</v>
      </c>
      <c r="U843" s="39">
        <f>T843*(1-Inputs!$D$18)</f>
        <v>26018.417286748176</v>
      </c>
      <c r="V843" s="35">
        <f>Inputs!$D$6*F843*Inputs!$D$28*Inputs!$D$31</f>
        <v>674.41919999999993</v>
      </c>
      <c r="W843" s="36">
        <f>V843/(B843*Inputs!$D$34)</f>
        <v>0.96345599999999987</v>
      </c>
      <c r="X843" s="38">
        <f>IF(W843&gt;=1,999,W843/(Inputs!$D$34*(1-W843))*60)</f>
        <v>45.195896922691851</v>
      </c>
      <c r="Y843" s="37">
        <f>MIN(1,MAX(0,(X843-Inputs!$D$36)/(Inputs!$D$37-Inputs!$D$36)))</f>
        <v>1</v>
      </c>
      <c r="Z843" s="35">
        <f>Inputs!$D$6*F843*Inputs!$D$28*(1-Inputs!$D$38*Y843)</f>
        <v>2853.3119999999999</v>
      </c>
      <c r="AA843" s="39">
        <f>Z843*Inputs!$D$13</f>
        <v>24253.151999999998</v>
      </c>
      <c r="AB843" s="39">
        <f>AA843*(1-Inputs!$D$19)</f>
        <v>14551.891199999998</v>
      </c>
      <c r="AC843" s="39">
        <f t="shared" si="52"/>
        <v>352204.30708166264</v>
      </c>
      <c r="AD843" s="39">
        <f t="shared" si="53"/>
        <v>135116.66598674818</v>
      </c>
      <c r="AE843" s="36">
        <f t="shared" si="54"/>
        <v>0.96345599999999987</v>
      </c>
      <c r="AF843" s="35">
        <f>IF(AND(AE843&lt;=Inputs!$D$35,C843&gt;=Inputs!$D$48*(A843+B843+C843),B843*Inputs!$D$22&lt;=Inputs!$D$50*Inputs!$D$8,B843*Inputs!$D$22&gt;=Inputs!$D$49*Inputs!$D$8,A843*Inputs!$D$20&lt;=Inputs!$D$47*Inputs!$D$8,C843&gt;=1),1,0)</f>
        <v>0</v>
      </c>
      <c r="AG843" s="39">
        <f t="shared" si="55"/>
        <v>-1</v>
      </c>
    </row>
    <row r="844" spans="1:33" x14ac:dyDescent="0.25">
      <c r="A844" s="35">
        <v>60</v>
      </c>
      <c r="B844" s="35">
        <v>21</v>
      </c>
      <c r="C844" s="35">
        <f>Inputs!$D$8-A844-Inputs!$D$22*B844</f>
        <v>18</v>
      </c>
      <c r="D844" s="35">
        <f>A844*Inputs!$D$20+C844*Inputs!$D$21+B844*Inputs!$D$22</f>
        <v>120</v>
      </c>
      <c r="E844" s="36">
        <f>MIN(Inputs!$E$15,Inputs!$D$15*(C844/Inputs!$D$43)^Inputs!$D$44)</f>
        <v>0.29449851547238159</v>
      </c>
      <c r="F844" s="36">
        <f>MIN(Inputs!$E$16,Inputs!$D$16*(B844/Inputs!$D$42)^Inputs!$D$44)</f>
        <v>0.40589787816896217</v>
      </c>
      <c r="G844" s="37">
        <f>Inputs!$D$26*(1+Inputs!$D$41*(B844-Inputs!$D$42))</f>
        <v>1.5150000000000001</v>
      </c>
      <c r="H844" s="35">
        <f>Inputs!$D$6*Inputs!$D$14*G844*Inputs!$D$29</f>
        <v>1903.4914500000004</v>
      </c>
      <c r="I844" s="36">
        <f>H844/(A844*Inputs!$D$32)</f>
        <v>0.57681559090909107</v>
      </c>
      <c r="J844" s="38">
        <f>IF(I844&gt;=1,999,I844/(Inputs!$D$32*(1-I844))*60)</f>
        <v>1.4869483808550463</v>
      </c>
      <c r="K844" s="37">
        <f>MIN(1,MAX(0,(J844-Inputs!$D$36)/(Inputs!$D$37-Inputs!$D$36)))</f>
        <v>0</v>
      </c>
      <c r="L844" s="35">
        <f>Inputs!$D$6*Inputs!$D$14*G844*(1-Inputs!$D$38*K844)</f>
        <v>12689.943000000003</v>
      </c>
      <c r="M844" s="39">
        <f>L844*Inputs!$D$11</f>
        <v>272833.77450000006</v>
      </c>
      <c r="N844" s="39">
        <f>M844*(1-Inputs!$D$17)</f>
        <v>95491.821075000014</v>
      </c>
      <c r="O844" s="35">
        <f>Inputs!$D$6*E844*Inputs!$D$27*Inputs!$D$30</f>
        <v>420.14807408976606</v>
      </c>
      <c r="P844" s="36">
        <f>O844/(C844*Inputs!$D$33)</f>
        <v>0.58353899179134172</v>
      </c>
      <c r="Q844" s="38">
        <f>IF(P844&gt;=1,999,P844/(Inputs!$D$33*(1-P844))*60)</f>
        <v>2.1017777665477375</v>
      </c>
      <c r="R844" s="37">
        <f>MIN(1,MAX(0,(Q844-Inputs!$D$36)/(Inputs!$D$37-Inputs!$D$36)))</f>
        <v>0</v>
      </c>
      <c r="S844" s="35">
        <f>Inputs!$D$6*E844*Inputs!$D$27*(1-Inputs!$D$38*R844)</f>
        <v>3501.2339507480506</v>
      </c>
      <c r="T844" s="39">
        <f>S844*Inputs!$D$12</f>
        <v>56019.743211968809</v>
      </c>
      <c r="U844" s="39">
        <f>T844*(1-Inputs!$D$18)</f>
        <v>25208.88444538596</v>
      </c>
      <c r="V844" s="35">
        <f>Inputs!$D$6*F844*Inputs!$D$28*Inputs!$D$31</f>
        <v>684.36330569102222</v>
      </c>
      <c r="W844" s="36">
        <f>V844/(B844*Inputs!$D$34)</f>
        <v>0.93110653835513224</v>
      </c>
      <c r="X844" s="38">
        <f>IF(W844&gt;=1,999,W844/(Inputs!$D$34*(1-W844))*60)</f>
        <v>23.16885520150278</v>
      </c>
      <c r="Y844" s="37">
        <f>MIN(1,MAX(0,(X844-Inputs!$D$36)/(Inputs!$D$37-Inputs!$D$36)))</f>
        <v>1</v>
      </c>
      <c r="Z844" s="35">
        <f>Inputs!$D$6*F844*Inputs!$D$28*(1-Inputs!$D$38*Y844)</f>
        <v>2895.3832163850943</v>
      </c>
      <c r="AA844" s="39">
        <f>Z844*Inputs!$D$13</f>
        <v>24610.757339273303</v>
      </c>
      <c r="AB844" s="39">
        <f>AA844*(1-Inputs!$D$19)</f>
        <v>14766.454403563981</v>
      </c>
      <c r="AC844" s="39">
        <f t="shared" si="52"/>
        <v>353464.27505124215</v>
      </c>
      <c r="AD844" s="39">
        <f t="shared" si="53"/>
        <v>135467.15992394995</v>
      </c>
      <c r="AE844" s="36">
        <f t="shared" si="54"/>
        <v>0.93110653835513224</v>
      </c>
      <c r="AF844" s="35">
        <f>IF(AND(AE844&lt;=Inputs!$D$35,C844&gt;=Inputs!$D$48*(A844+B844+C844),B844*Inputs!$D$22&lt;=Inputs!$D$50*Inputs!$D$8,B844*Inputs!$D$22&gt;=Inputs!$D$49*Inputs!$D$8,A844*Inputs!$D$20&lt;=Inputs!$D$47*Inputs!$D$8,C844&gt;=1),1,0)</f>
        <v>0</v>
      </c>
      <c r="AG844" s="39">
        <f t="shared" si="55"/>
        <v>-1</v>
      </c>
    </row>
    <row r="845" spans="1:33" x14ac:dyDescent="0.25">
      <c r="A845" s="35">
        <v>60</v>
      </c>
      <c r="B845" s="35">
        <v>22</v>
      </c>
      <c r="C845" s="35">
        <f>Inputs!$D$8-A845-Inputs!$D$22*B845</f>
        <v>16</v>
      </c>
      <c r="D845" s="35">
        <f>A845*Inputs!$D$20+C845*Inputs!$D$21+B845*Inputs!$D$22</f>
        <v>120</v>
      </c>
      <c r="E845" s="36">
        <f>MIN(Inputs!$E$15,Inputs!$D$15*(C845/Inputs!$D$43)^Inputs!$D$44)</f>
        <v>0.2842741392252523</v>
      </c>
      <c r="F845" s="36">
        <f>MIN(Inputs!$E$16,Inputs!$D$16*(B845/Inputs!$D$42)^Inputs!$D$44)</f>
        <v>0.41160230376843804</v>
      </c>
      <c r="G845" s="37">
        <f>Inputs!$D$26*(1+Inputs!$D$41*(B845-Inputs!$D$42))</f>
        <v>1.53</v>
      </c>
      <c r="H845" s="35">
        <f>Inputs!$D$6*Inputs!$D$14*G845*Inputs!$D$29</f>
        <v>1922.3379</v>
      </c>
      <c r="I845" s="36">
        <f>H845/(A845*Inputs!$D$32)</f>
        <v>0.58252663636363633</v>
      </c>
      <c r="J845" s="38">
        <f>IF(I845&gt;=1,999,I845/(Inputs!$D$32*(1-I845))*60)</f>
        <v>1.5222135318298229</v>
      </c>
      <c r="K845" s="37">
        <f>MIN(1,MAX(0,(J845-Inputs!$D$36)/(Inputs!$D$37-Inputs!$D$36)))</f>
        <v>0</v>
      </c>
      <c r="L845" s="35">
        <f>Inputs!$D$6*Inputs!$D$14*G845*(1-Inputs!$D$38*K845)</f>
        <v>12815.586000000001</v>
      </c>
      <c r="M845" s="39">
        <f>L845*Inputs!$D$11</f>
        <v>275535.09900000005</v>
      </c>
      <c r="N845" s="39">
        <f>M845*(1-Inputs!$D$17)</f>
        <v>96437.284650000016</v>
      </c>
      <c r="O845" s="35">
        <f>Inputs!$D$6*E845*Inputs!$D$27*Inputs!$D$30</f>
        <v>405.56140637054153</v>
      </c>
      <c r="P845" s="36">
        <f>O845/(C845*Inputs!$D$33)</f>
        <v>0.63368969745397119</v>
      </c>
      <c r="Q845" s="38">
        <f>IF(P845&gt;=1,999,P845/(Inputs!$D$33*(1-P845))*60)</f>
        <v>2.5948889222451426</v>
      </c>
      <c r="R845" s="37">
        <f>MIN(1,MAX(0,(Q845-Inputs!$D$36)/(Inputs!$D$37-Inputs!$D$36)))</f>
        <v>0</v>
      </c>
      <c r="S845" s="35">
        <f>Inputs!$D$6*E845*Inputs!$D$27*(1-Inputs!$D$38*R845)</f>
        <v>3379.6783864211798</v>
      </c>
      <c r="T845" s="39">
        <f>S845*Inputs!$D$12</f>
        <v>54074.854182738876</v>
      </c>
      <c r="U845" s="39">
        <f>T845*(1-Inputs!$D$18)</f>
        <v>24333.684382232492</v>
      </c>
      <c r="V845" s="35">
        <f>Inputs!$D$6*F845*Inputs!$D$28*Inputs!$D$31</f>
        <v>693.98124106416742</v>
      </c>
      <c r="W845" s="36">
        <f>V845/(B845*Inputs!$D$34)</f>
        <v>0.90127433904437326</v>
      </c>
      <c r="X845" s="38">
        <f>IF(W845&gt;=1,999,W845/(Inputs!$D$34*(1-W845))*60)</f>
        <v>15.649849381818807</v>
      </c>
      <c r="Y845" s="37">
        <f>MIN(1,MAX(0,(X845-Inputs!$D$36)/(Inputs!$D$37-Inputs!$D$36)))</f>
        <v>0.70998995878792048</v>
      </c>
      <c r="Z845" s="35">
        <f>Inputs!$D$6*F845*Inputs!$D$28*(1-Inputs!$D$38*Y845)</f>
        <v>3632.749002537963</v>
      </c>
      <c r="AA845" s="39">
        <f>Z845*Inputs!$D$13</f>
        <v>30878.366521572687</v>
      </c>
      <c r="AB845" s="39">
        <f>AA845*(1-Inputs!$D$19)</f>
        <v>18527.019912943611</v>
      </c>
      <c r="AC845" s="39">
        <f t="shared" si="52"/>
        <v>360488.31970431161</v>
      </c>
      <c r="AD845" s="39">
        <f t="shared" si="53"/>
        <v>139297.98894517613</v>
      </c>
      <c r="AE845" s="36">
        <f t="shared" si="54"/>
        <v>0.90127433904437326</v>
      </c>
      <c r="AF845" s="35">
        <f>IF(AND(AE845&lt;=Inputs!$D$35,C845&gt;=Inputs!$D$48*(A845+B845+C845),B845*Inputs!$D$22&lt;=Inputs!$D$50*Inputs!$D$8,B845*Inputs!$D$22&gt;=Inputs!$D$49*Inputs!$D$8,A845*Inputs!$D$20&lt;=Inputs!$D$47*Inputs!$D$8,C845&gt;=1),1,0)</f>
        <v>0</v>
      </c>
      <c r="AG845" s="39">
        <f t="shared" si="55"/>
        <v>-1</v>
      </c>
    </row>
    <row r="846" spans="1:33" x14ac:dyDescent="0.25">
      <c r="A846" s="35">
        <v>60</v>
      </c>
      <c r="B846" s="35">
        <v>23</v>
      </c>
      <c r="C846" s="35">
        <f>Inputs!$D$8-A846-Inputs!$D$22*B846</f>
        <v>14</v>
      </c>
      <c r="D846" s="35">
        <f>A846*Inputs!$D$20+C846*Inputs!$D$21+B846*Inputs!$D$22</f>
        <v>120</v>
      </c>
      <c r="E846" s="36">
        <f>MIN(Inputs!$E$15,Inputs!$D$15*(C846/Inputs!$D$43)^Inputs!$D$44)</f>
        <v>0.27311136263675401</v>
      </c>
      <c r="F846" s="36">
        <f>MIN(Inputs!$E$16,Inputs!$D$16*(B846/Inputs!$D$42)^Inputs!$D$44)</f>
        <v>0.41712800028621322</v>
      </c>
      <c r="G846" s="37">
        <f>Inputs!$D$26*(1+Inputs!$D$41*(B846-Inputs!$D$42))</f>
        <v>1.5449999999999999</v>
      </c>
      <c r="H846" s="35">
        <f>Inputs!$D$6*Inputs!$D$14*G846*Inputs!$D$29</f>
        <v>1941.18435</v>
      </c>
      <c r="I846" s="36">
        <f>H846/(A846*Inputs!$D$32)</f>
        <v>0.58823768181818181</v>
      </c>
      <c r="J846" s="38">
        <f>IF(I846&gt;=1,999,I846/(Inputs!$D$32*(1-I846))*60)</f>
        <v>1.5584569213236943</v>
      </c>
      <c r="K846" s="37">
        <f>MIN(1,MAX(0,(J846-Inputs!$D$36)/(Inputs!$D$37-Inputs!$D$36)))</f>
        <v>0</v>
      </c>
      <c r="L846" s="35">
        <f>Inputs!$D$6*Inputs!$D$14*G846*(1-Inputs!$D$38*K846)</f>
        <v>12941.229000000001</v>
      </c>
      <c r="M846" s="39">
        <f>L846*Inputs!$D$11</f>
        <v>278236.42350000003</v>
      </c>
      <c r="N846" s="39">
        <f>M846*(1-Inputs!$D$17)</f>
        <v>97382.748225000003</v>
      </c>
      <c r="O846" s="35">
        <f>Inputs!$D$6*E846*Inputs!$D$27*Inputs!$D$30</f>
        <v>389.63596417390096</v>
      </c>
      <c r="P846" s="36">
        <f>O846/(C846*Inputs!$D$33)</f>
        <v>0.69577850745339453</v>
      </c>
      <c r="Q846" s="38">
        <f>IF(P846&gt;=1,999,P846/(Inputs!$D$33*(1-P846))*60)</f>
        <v>3.4306181080227471</v>
      </c>
      <c r="R846" s="37">
        <f>MIN(1,MAX(0,(Q846-Inputs!$D$36)/(Inputs!$D$37-Inputs!$D$36)))</f>
        <v>0</v>
      </c>
      <c r="S846" s="35">
        <f>Inputs!$D$6*E846*Inputs!$D$27*(1-Inputs!$D$38*R846)</f>
        <v>3246.9663681158413</v>
      </c>
      <c r="T846" s="39">
        <f>S846*Inputs!$D$12</f>
        <v>51951.461889853461</v>
      </c>
      <c r="U846" s="39">
        <f>T846*(1-Inputs!$D$18)</f>
        <v>23378.157850434054</v>
      </c>
      <c r="V846" s="35">
        <f>Inputs!$D$6*F846*Inputs!$D$28*Inputs!$D$31</f>
        <v>703.29783062656929</v>
      </c>
      <c r="W846" s="36">
        <f>V846/(B846*Inputs!$D$34)</f>
        <v>0.87366190139946498</v>
      </c>
      <c r="X846" s="38">
        <f>IF(W846&gt;=1,999,W846/(Inputs!$D$34*(1-W846))*60)</f>
        <v>11.854746377182334</v>
      </c>
      <c r="Y846" s="37">
        <f>MIN(1,MAX(0,(X846-Inputs!$D$36)/(Inputs!$D$37-Inputs!$D$36)))</f>
        <v>0.45698309181215557</v>
      </c>
      <c r="Z846" s="35">
        <f>Inputs!$D$6*F846*Inputs!$D$28*(1-Inputs!$D$38*Y846)</f>
        <v>4297.4614071503011</v>
      </c>
      <c r="AA846" s="39">
        <f>Z846*Inputs!$D$13</f>
        <v>36528.421960777559</v>
      </c>
      <c r="AB846" s="39">
        <f>AA846*(1-Inputs!$D$19)</f>
        <v>21917.053176466536</v>
      </c>
      <c r="AC846" s="39">
        <f t="shared" si="52"/>
        <v>366716.30735063105</v>
      </c>
      <c r="AD846" s="39">
        <f t="shared" si="53"/>
        <v>142677.95925190061</v>
      </c>
      <c r="AE846" s="36">
        <f t="shared" si="54"/>
        <v>0.87366190139946498</v>
      </c>
      <c r="AF846" s="35">
        <f>IF(AND(AE846&lt;=Inputs!$D$35,C846&gt;=Inputs!$D$48*(A846+B846+C846),B846*Inputs!$D$22&lt;=Inputs!$D$50*Inputs!$D$8,B846*Inputs!$D$22&gt;=Inputs!$D$49*Inputs!$D$8,A846*Inputs!$D$20&lt;=Inputs!$D$47*Inputs!$D$8,C846&gt;=1),1,0)</f>
        <v>0</v>
      </c>
      <c r="AG846" s="39">
        <f t="shared" si="55"/>
        <v>-1</v>
      </c>
    </row>
    <row r="847" spans="1:33" x14ac:dyDescent="0.25">
      <c r="A847" s="35">
        <v>60</v>
      </c>
      <c r="B847" s="35">
        <v>24</v>
      </c>
      <c r="C847" s="35">
        <f>Inputs!$D$8-A847-Inputs!$D$22*B847</f>
        <v>12</v>
      </c>
      <c r="D847" s="35">
        <f>A847*Inputs!$D$20+C847*Inputs!$D$21+B847*Inputs!$D$22</f>
        <v>120</v>
      </c>
      <c r="E847" s="36">
        <f>MIN(Inputs!$E$15,Inputs!$D$15*(C847/Inputs!$D$43)^Inputs!$D$44)</f>
        <v>0.26076886227459228</v>
      </c>
      <c r="F847" s="36">
        <f>MIN(Inputs!$E$16,Inputs!$D$16*(B847/Inputs!$D$42)^Inputs!$D$44)</f>
        <v>0.42248798737570326</v>
      </c>
      <c r="G847" s="37">
        <f>Inputs!$D$26*(1+Inputs!$D$41*(B847-Inputs!$D$42))</f>
        <v>1.56</v>
      </c>
      <c r="H847" s="35">
        <f>Inputs!$D$6*Inputs!$D$14*G847*Inputs!$D$29</f>
        <v>1960.0308</v>
      </c>
      <c r="I847" s="36">
        <f>H847/(A847*Inputs!$D$32)</f>
        <v>0.59394872727272729</v>
      </c>
      <c r="J847" s="38">
        <f>IF(I847&gt;=1,999,I847/(Inputs!$D$32*(1-I847))*60)</f>
        <v>1.5957198256361553</v>
      </c>
      <c r="K847" s="37">
        <f>MIN(1,MAX(0,(J847-Inputs!$D$36)/(Inputs!$D$37-Inputs!$D$36)))</f>
        <v>0</v>
      </c>
      <c r="L847" s="35">
        <f>Inputs!$D$6*Inputs!$D$14*G847*(1-Inputs!$D$38*K847)</f>
        <v>13066.872000000001</v>
      </c>
      <c r="M847" s="39">
        <f>L847*Inputs!$D$11</f>
        <v>280937.74800000002</v>
      </c>
      <c r="N847" s="39">
        <f>M847*(1-Inputs!$D$17)</f>
        <v>98328.211800000005</v>
      </c>
      <c r="O847" s="35">
        <f>Inputs!$D$6*E847*Inputs!$D$27*Inputs!$D$30</f>
        <v>372.02746197722075</v>
      </c>
      <c r="P847" s="36">
        <f>O847/(C847*Inputs!$D$33)</f>
        <v>0.77505721245254322</v>
      </c>
      <c r="Q847" s="38">
        <f>IF(P847&gt;=1,999,P847/(Inputs!$D$33*(1-P847))*60)</f>
        <v>5.1683622816025654</v>
      </c>
      <c r="R847" s="37">
        <f>MIN(1,MAX(0,(Q847-Inputs!$D$36)/(Inputs!$D$37-Inputs!$D$36)))</f>
        <v>1.1224152106837693E-2</v>
      </c>
      <c r="S847" s="35">
        <f>Inputs!$D$6*E847*Inputs!$D$27*(1-Inputs!$D$38*R847)</f>
        <v>3084.5700017308486</v>
      </c>
      <c r="T847" s="39">
        <f>S847*Inputs!$D$12</f>
        <v>49353.120027693578</v>
      </c>
      <c r="U847" s="39">
        <f>T847*(1-Inputs!$D$18)</f>
        <v>22208.904012462106</v>
      </c>
      <c r="V847" s="35">
        <f>Inputs!$D$6*F847*Inputs!$D$28*Inputs!$D$31</f>
        <v>712.33502613882979</v>
      </c>
      <c r="W847" s="36">
        <f>V847/(B847*Inputs!$D$34)</f>
        <v>0.84801788826051161</v>
      </c>
      <c r="X847" s="38">
        <f>IF(W847&gt;=1,999,W847/(Inputs!$D$34*(1-W847))*60)</f>
        <v>9.5652372155190832</v>
      </c>
      <c r="Y847" s="37">
        <f>MIN(1,MAX(0,(X847-Inputs!$D$36)/(Inputs!$D$37-Inputs!$D$36)))</f>
        <v>0.30434914770127219</v>
      </c>
      <c r="Z847" s="35">
        <f>Inputs!$D$6*F847*Inputs!$D$28*(1-Inputs!$D$38*Y847)</f>
        <v>4729.0436538571339</v>
      </c>
      <c r="AA847" s="39">
        <f>Z847*Inputs!$D$13</f>
        <v>40196.87105778564</v>
      </c>
      <c r="AB847" s="39">
        <f>AA847*(1-Inputs!$D$19)</f>
        <v>24118.122634671385</v>
      </c>
      <c r="AC847" s="39">
        <f t="shared" si="52"/>
        <v>370487.73908547923</v>
      </c>
      <c r="AD847" s="39">
        <f t="shared" si="53"/>
        <v>144655.23844713351</v>
      </c>
      <c r="AE847" s="36">
        <f t="shared" si="54"/>
        <v>0.84801788826051161</v>
      </c>
      <c r="AF847" s="35">
        <f>IF(AND(AE847&lt;=Inputs!$D$35,C847&gt;=Inputs!$D$48*(A847+B847+C847),B847*Inputs!$D$22&lt;=Inputs!$D$50*Inputs!$D$8,B847*Inputs!$D$22&gt;=Inputs!$D$49*Inputs!$D$8,A847*Inputs!$D$20&lt;=Inputs!$D$47*Inputs!$D$8,C847&gt;=1),1,0)</f>
        <v>0</v>
      </c>
      <c r="AG847" s="39">
        <f t="shared" si="55"/>
        <v>-1</v>
      </c>
    </row>
    <row r="848" spans="1:33" x14ac:dyDescent="0.25">
      <c r="A848" s="35">
        <v>60</v>
      </c>
      <c r="B848" s="35">
        <v>25</v>
      </c>
      <c r="C848" s="35">
        <f>Inputs!$D$8-A848-Inputs!$D$22*B848</f>
        <v>10</v>
      </c>
      <c r="D848" s="35">
        <f>A848*Inputs!$D$20+C848*Inputs!$D$21+B848*Inputs!$D$22</f>
        <v>120</v>
      </c>
      <c r="E848" s="36">
        <f>MIN(Inputs!$E$15,Inputs!$D$15*(C848/Inputs!$D$43)^Inputs!$D$44)</f>
        <v>0.24688878270302153</v>
      </c>
      <c r="F848" s="36">
        <f>MIN(Inputs!$E$16,Inputs!$D$16*(B848/Inputs!$D$42)^Inputs!$D$44)</f>
        <v>0.42769383999647526</v>
      </c>
      <c r="G848" s="37">
        <f>Inputs!$D$26*(1+Inputs!$D$41*(B848-Inputs!$D$42))</f>
        <v>1.5750000000000002</v>
      </c>
      <c r="H848" s="35">
        <f>Inputs!$D$6*Inputs!$D$14*G848*Inputs!$D$29</f>
        <v>1978.8772500000005</v>
      </c>
      <c r="I848" s="36">
        <f>H848/(A848*Inputs!$D$32)</f>
        <v>0.59965977272727289</v>
      </c>
      <c r="J848" s="38">
        <f>IF(I848&gt;=1,999,I848/(Inputs!$D$32*(1-I848))*60)</f>
        <v>1.6340458763715811</v>
      </c>
      <c r="K848" s="37">
        <f>MIN(1,MAX(0,(J848-Inputs!$D$36)/(Inputs!$D$37-Inputs!$D$36)))</f>
        <v>0</v>
      </c>
      <c r="L848" s="35">
        <f>Inputs!$D$6*Inputs!$D$14*G848*(1-Inputs!$D$38*K848)</f>
        <v>13192.515000000003</v>
      </c>
      <c r="M848" s="39">
        <f>L848*Inputs!$D$11</f>
        <v>283639.07250000007</v>
      </c>
      <c r="N848" s="39">
        <f>M848*(1-Inputs!$D$17)</f>
        <v>99273.675375000021</v>
      </c>
      <c r="O848" s="35">
        <f>Inputs!$D$6*E848*Inputs!$D$27*Inputs!$D$30</f>
        <v>352.22536317596189</v>
      </c>
      <c r="P848" s="36">
        <f>O848/(C848*Inputs!$D$33)</f>
        <v>0.88056340793990473</v>
      </c>
      <c r="Q848" s="38">
        <f>IF(P848&gt;=1,999,P848/(Inputs!$D$33*(1-P848))*60)</f>
        <v>11.05896517245959</v>
      </c>
      <c r="R848" s="37">
        <f>MIN(1,MAX(0,(Q848-Inputs!$D$36)/(Inputs!$D$37-Inputs!$D$36)))</f>
        <v>0.40393101149730604</v>
      </c>
      <c r="S848" s="35">
        <f>Inputs!$D$6*E848*Inputs!$D$27*(1-Inputs!$D$38*R848)</f>
        <v>2401.6810577146616</v>
      </c>
      <c r="T848" s="39">
        <f>S848*Inputs!$D$12</f>
        <v>38426.896923434586</v>
      </c>
      <c r="U848" s="39">
        <f>T848*(1-Inputs!$D$18)</f>
        <v>17292.103615545562</v>
      </c>
      <c r="V848" s="35">
        <f>Inputs!$D$6*F848*Inputs!$D$28*Inputs!$D$31</f>
        <v>721.1123435383771</v>
      </c>
      <c r="W848" s="36">
        <f>V848/(B848*Inputs!$D$34)</f>
        <v>0.82412839261528814</v>
      </c>
      <c r="X848" s="38">
        <f>IF(W848&gt;=1,999,W848/(Inputs!$D$34*(1-W848))*60)</f>
        <v>8.0330847668163621</v>
      </c>
      <c r="Y848" s="37">
        <f>MIN(1,MAX(0,(X848-Inputs!$D$36)/(Inputs!$D$37-Inputs!$D$36)))</f>
        <v>0.20220565112109082</v>
      </c>
      <c r="Z848" s="35">
        <f>Inputs!$D$6*F848*Inputs!$D$28*(1-Inputs!$D$38*Y848)</f>
        <v>5042.2807508299393</v>
      </c>
      <c r="AA848" s="39">
        <f>Z848*Inputs!$D$13</f>
        <v>42859.386382054487</v>
      </c>
      <c r="AB848" s="39">
        <f>AA848*(1-Inputs!$D$19)</f>
        <v>25715.631829232691</v>
      </c>
      <c r="AC848" s="39">
        <f t="shared" si="52"/>
        <v>364925.35580548912</v>
      </c>
      <c r="AD848" s="39">
        <f t="shared" si="53"/>
        <v>142281.41081977828</v>
      </c>
      <c r="AE848" s="36">
        <f t="shared" si="54"/>
        <v>0.88056340793990473</v>
      </c>
      <c r="AF848" s="35">
        <f>IF(AND(AE848&lt;=Inputs!$D$35,C848&gt;=Inputs!$D$48*(A848+B848+C848),B848*Inputs!$D$22&lt;=Inputs!$D$50*Inputs!$D$8,B848*Inputs!$D$22&gt;=Inputs!$D$49*Inputs!$D$8,A848*Inputs!$D$20&lt;=Inputs!$D$47*Inputs!$D$8,C848&gt;=1),1,0)</f>
        <v>0</v>
      </c>
      <c r="AG848" s="39">
        <f t="shared" si="55"/>
        <v>-1</v>
      </c>
    </row>
    <row r="849" spans="1:33" x14ac:dyDescent="0.25">
      <c r="A849" s="35">
        <v>60</v>
      </c>
      <c r="B849" s="35">
        <v>26</v>
      </c>
      <c r="C849" s="35">
        <f>Inputs!$D$8-A849-Inputs!$D$22*B849</f>
        <v>8</v>
      </c>
      <c r="D849" s="35">
        <f>A849*Inputs!$D$20+C849*Inputs!$D$21+B849*Inputs!$D$22</f>
        <v>120</v>
      </c>
      <c r="E849" s="36">
        <f>MIN(Inputs!$E$15,Inputs!$D$15*(C849/Inputs!$D$43)^Inputs!$D$44)</f>
        <v>0.23090235080781729</v>
      </c>
      <c r="F849" s="36">
        <f>MIN(Inputs!$E$16,Inputs!$D$16*(B849/Inputs!$D$42)^Inputs!$D$44)</f>
        <v>0.43275589945781112</v>
      </c>
      <c r="G849" s="37">
        <f>Inputs!$D$26*(1+Inputs!$D$41*(B849-Inputs!$D$42))</f>
        <v>1.59</v>
      </c>
      <c r="H849" s="35">
        <f>Inputs!$D$6*Inputs!$D$14*G849*Inputs!$D$29</f>
        <v>1997.7237</v>
      </c>
      <c r="I849" s="36">
        <f>H849/(A849*Inputs!$D$32)</f>
        <v>0.60537081818181815</v>
      </c>
      <c r="J849" s="38">
        <f>IF(I849&gt;=1,999,I849/(Inputs!$D$32*(1-I849))*60)</f>
        <v>1.6734812308682461</v>
      </c>
      <c r="K849" s="37">
        <f>MIN(1,MAX(0,(J849-Inputs!$D$36)/(Inputs!$D$37-Inputs!$D$36)))</f>
        <v>0</v>
      </c>
      <c r="L849" s="35">
        <f>Inputs!$D$6*Inputs!$D$14*G849*(1-Inputs!$D$38*K849)</f>
        <v>13318.158000000001</v>
      </c>
      <c r="M849" s="39">
        <f>L849*Inputs!$D$11</f>
        <v>286340.39700000006</v>
      </c>
      <c r="N849" s="39">
        <f>M849*(1-Inputs!$D$17)</f>
        <v>100219.13895000001</v>
      </c>
      <c r="O849" s="35">
        <f>Inputs!$D$6*E849*Inputs!$D$27*Inputs!$D$30</f>
        <v>329.41822419407742</v>
      </c>
      <c r="P849" s="36">
        <f>O849/(C849*Inputs!$D$33)</f>
        <v>1.029431950606492</v>
      </c>
      <c r="Q849" s="38">
        <f>IF(P849&gt;=1,999,P849/(Inputs!$D$33*(1-P849))*60)</f>
        <v>999</v>
      </c>
      <c r="R849" s="37">
        <f>MIN(1,MAX(0,(Q849-Inputs!$D$36)/(Inputs!$D$37-Inputs!$D$36)))</f>
        <v>1</v>
      </c>
      <c r="S849" s="35">
        <f>Inputs!$D$6*E849*Inputs!$D$27*(1-Inputs!$D$38*R849)</f>
        <v>1509.8335275561885</v>
      </c>
      <c r="T849" s="39">
        <f>S849*Inputs!$D$12</f>
        <v>24157.336440899016</v>
      </c>
      <c r="U849" s="39">
        <f>T849*(1-Inputs!$D$18)</f>
        <v>10870.801398404556</v>
      </c>
      <c r="V849" s="35">
        <f>Inputs!$D$6*F849*Inputs!$D$28*Inputs!$D$31</f>
        <v>729.64721876904355</v>
      </c>
      <c r="W849" s="36">
        <f>V849/(B849*Inputs!$D$34)</f>
        <v>0.80181013051543248</v>
      </c>
      <c r="X849" s="38">
        <f>IF(W849&gt;=1,999,W849/(Inputs!$D$34*(1-W849))*60)</f>
        <v>6.9354284146153136</v>
      </c>
      <c r="Y849" s="37">
        <f>MIN(1,MAX(0,(X849-Inputs!$D$36)/(Inputs!$D$37-Inputs!$D$36)))</f>
        <v>0.12902856097435425</v>
      </c>
      <c r="Z849" s="35">
        <f>Inputs!$D$6*F849*Inputs!$D$28*(1-Inputs!$D$38*Y849)</f>
        <v>5286.7832305655711</v>
      </c>
      <c r="AA849" s="39">
        <f>Z849*Inputs!$D$13</f>
        <v>44937.657459807357</v>
      </c>
      <c r="AB849" s="39">
        <f>AA849*(1-Inputs!$D$19)</f>
        <v>26962.594475884413</v>
      </c>
      <c r="AC849" s="39">
        <f t="shared" si="52"/>
        <v>355435.39090070641</v>
      </c>
      <c r="AD849" s="39">
        <f t="shared" si="53"/>
        <v>138052.53482428897</v>
      </c>
      <c r="AE849" s="36">
        <f t="shared" si="54"/>
        <v>1.029431950606492</v>
      </c>
      <c r="AF849" s="35">
        <f>IF(AND(AE849&lt;=Inputs!$D$35,C849&gt;=Inputs!$D$48*(A849+B849+C849),B849*Inputs!$D$22&lt;=Inputs!$D$50*Inputs!$D$8,B849*Inputs!$D$22&gt;=Inputs!$D$49*Inputs!$D$8,A849*Inputs!$D$20&lt;=Inputs!$D$47*Inputs!$D$8,C849&gt;=1),1,0)</f>
        <v>0</v>
      </c>
      <c r="AG849" s="39">
        <f t="shared" si="55"/>
        <v>-1</v>
      </c>
    </row>
    <row r="850" spans="1:33" x14ac:dyDescent="0.25">
      <c r="A850" s="35">
        <v>60</v>
      </c>
      <c r="B850" s="35">
        <v>27</v>
      </c>
      <c r="C850" s="35">
        <f>Inputs!$D$8-A850-Inputs!$D$22*B850</f>
        <v>6</v>
      </c>
      <c r="D850" s="35">
        <f>A850*Inputs!$D$20+C850*Inputs!$D$21+B850*Inputs!$D$22</f>
        <v>120</v>
      </c>
      <c r="E850" s="36">
        <f>MIN(Inputs!$E$15,Inputs!$D$15*(C850/Inputs!$D$43)^Inputs!$D$44)</f>
        <v>0.21181013327762671</v>
      </c>
      <c r="F850" s="36">
        <f>MIN(Inputs!$E$16,Inputs!$D$16*(B850/Inputs!$D$42)^Inputs!$D$44)</f>
        <v>0.43768344678187454</v>
      </c>
      <c r="G850" s="37">
        <f>Inputs!$D$26*(1+Inputs!$D$41*(B850-Inputs!$D$42))</f>
        <v>1.605</v>
      </c>
      <c r="H850" s="35">
        <f>Inputs!$D$6*Inputs!$D$14*G850*Inputs!$D$29</f>
        <v>2016.57015</v>
      </c>
      <c r="I850" s="36">
        <f>H850/(A850*Inputs!$D$32)</f>
        <v>0.61108186363636363</v>
      </c>
      <c r="J850" s="38">
        <f>IF(I850&gt;=1,999,I850/(Inputs!$D$32*(1-I850))*60)</f>
        <v>1.7140747576432862</v>
      </c>
      <c r="K850" s="37">
        <f>MIN(1,MAX(0,(J850-Inputs!$D$36)/(Inputs!$D$37-Inputs!$D$36)))</f>
        <v>0</v>
      </c>
      <c r="L850" s="35">
        <f>Inputs!$D$6*Inputs!$D$14*G850*(1-Inputs!$D$38*K850)</f>
        <v>13443.801000000001</v>
      </c>
      <c r="M850" s="39">
        <f>L850*Inputs!$D$11</f>
        <v>289041.72150000004</v>
      </c>
      <c r="N850" s="39">
        <f>M850*(1-Inputs!$D$17)</f>
        <v>101164.60252500001</v>
      </c>
      <c r="O850" s="35">
        <f>Inputs!$D$6*E850*Inputs!$D$27*Inputs!$D$30</f>
        <v>302.18019750132584</v>
      </c>
      <c r="P850" s="36">
        <f>O850/(C850*Inputs!$D$33)</f>
        <v>1.2590841562555244</v>
      </c>
      <c r="Q850" s="38">
        <f>IF(P850&gt;=1,999,P850/(Inputs!$D$33*(1-P850))*60)</f>
        <v>999</v>
      </c>
      <c r="R850" s="37">
        <f>MIN(1,MAX(0,(Q850-Inputs!$D$36)/(Inputs!$D$37-Inputs!$D$36)))</f>
        <v>1</v>
      </c>
      <c r="S850" s="35">
        <f>Inputs!$D$6*E850*Inputs!$D$27*(1-Inputs!$D$38*R850)</f>
        <v>1384.9925718810769</v>
      </c>
      <c r="T850" s="39">
        <f>S850*Inputs!$D$12</f>
        <v>22159.88115009723</v>
      </c>
      <c r="U850" s="39">
        <f>T850*(1-Inputs!$D$18)</f>
        <v>9971.9465175437526</v>
      </c>
      <c r="V850" s="35">
        <f>Inputs!$D$6*F850*Inputs!$D$28*Inputs!$D$31</f>
        <v>737.95530007968603</v>
      </c>
      <c r="W850" s="36">
        <f>V850/(B850*Inputs!$D$34)</f>
        <v>0.78090507944940324</v>
      </c>
      <c r="X850" s="38">
        <f>IF(W850&gt;=1,999,W850/(Inputs!$D$34*(1-W850))*60)</f>
        <v>6.1101116290101798</v>
      </c>
      <c r="Y850" s="37">
        <f>MIN(1,MAX(0,(X850-Inputs!$D$36)/(Inputs!$D$37-Inputs!$D$36)))</f>
        <v>7.4007441934011986E-2</v>
      </c>
      <c r="Z850" s="35">
        <f>Inputs!$D$6*F850*Inputs!$D$28*(1-Inputs!$D$38*Y850)</f>
        <v>5487.5301328495489</v>
      </c>
      <c r="AA850" s="39">
        <f>Z850*Inputs!$D$13</f>
        <v>46644.006129221169</v>
      </c>
      <c r="AB850" s="39">
        <f>AA850*(1-Inputs!$D$19)</f>
        <v>27986.4036775327</v>
      </c>
      <c r="AC850" s="39">
        <f t="shared" si="52"/>
        <v>357845.60877931846</v>
      </c>
      <c r="AD850" s="39">
        <f t="shared" si="53"/>
        <v>139122.95272007646</v>
      </c>
      <c r="AE850" s="36">
        <f t="shared" si="54"/>
        <v>1.2590841562555244</v>
      </c>
      <c r="AF850" s="35">
        <f>IF(AND(AE850&lt;=Inputs!$D$35,C850&gt;=Inputs!$D$48*(A850+B850+C850),B850*Inputs!$D$22&lt;=Inputs!$D$50*Inputs!$D$8,B850*Inputs!$D$22&gt;=Inputs!$D$49*Inputs!$D$8,A850*Inputs!$D$20&lt;=Inputs!$D$47*Inputs!$D$8,C850&gt;=1),1,0)</f>
        <v>0</v>
      </c>
      <c r="AG850" s="39">
        <f t="shared" si="55"/>
        <v>-1</v>
      </c>
    </row>
    <row r="851" spans="1:33" x14ac:dyDescent="0.25">
      <c r="A851" s="35">
        <v>60</v>
      </c>
      <c r="B851" s="35">
        <v>28</v>
      </c>
      <c r="C851" s="35">
        <f>Inputs!$D$8-A851-Inputs!$D$22*B851</f>
        <v>4</v>
      </c>
      <c r="D851" s="35">
        <f>A851*Inputs!$D$20+C851*Inputs!$D$21+B851*Inputs!$D$22</f>
        <v>120</v>
      </c>
      <c r="E851" s="36">
        <f>MIN(Inputs!$E$15,Inputs!$D$15*(C851/Inputs!$D$43)^Inputs!$D$44)</f>
        <v>0.18755098776793777</v>
      </c>
      <c r="F851" s="36">
        <f>MIN(Inputs!$E$16,Inputs!$D$16*(B851/Inputs!$D$42)^Inputs!$D$44)</f>
        <v>0.44248484624799689</v>
      </c>
      <c r="G851" s="37">
        <f>Inputs!$D$26*(1+Inputs!$D$41*(B851-Inputs!$D$42))</f>
        <v>1.62</v>
      </c>
      <c r="H851" s="35">
        <f>Inputs!$D$6*Inputs!$D$14*G851*Inputs!$D$29</f>
        <v>2035.4166</v>
      </c>
      <c r="I851" s="36">
        <f>H851/(A851*Inputs!$D$32)</f>
        <v>0.61679290909090911</v>
      </c>
      <c r="J851" s="38">
        <f>IF(I851&gt;=1,999,I851/(Inputs!$D$32*(1-I851))*60)</f>
        <v>1.755878238420078</v>
      </c>
      <c r="K851" s="37">
        <f>MIN(1,MAX(0,(J851-Inputs!$D$36)/(Inputs!$D$37-Inputs!$D$36)))</f>
        <v>0</v>
      </c>
      <c r="L851" s="35">
        <f>Inputs!$D$6*Inputs!$D$14*G851*(1-Inputs!$D$38*K851)</f>
        <v>13569.444000000001</v>
      </c>
      <c r="M851" s="39">
        <f>L851*Inputs!$D$11</f>
        <v>291743.04600000003</v>
      </c>
      <c r="N851" s="39">
        <f>M851*(1-Inputs!$D$17)</f>
        <v>102110.06610000001</v>
      </c>
      <c r="O851" s="35">
        <f>Inputs!$D$6*E851*Inputs!$D$27*Inputs!$D$30</f>
        <v>267.57074200505502</v>
      </c>
      <c r="P851" s="36">
        <f>O851/(C851*Inputs!$D$33)</f>
        <v>1.6723171375315939</v>
      </c>
      <c r="Q851" s="38">
        <f>IF(P851&gt;=1,999,P851/(Inputs!$D$33*(1-P851))*60)</f>
        <v>999</v>
      </c>
      <c r="R851" s="37">
        <f>MIN(1,MAX(0,(Q851-Inputs!$D$36)/(Inputs!$D$37-Inputs!$D$36)))</f>
        <v>1</v>
      </c>
      <c r="S851" s="35">
        <f>Inputs!$D$6*E851*Inputs!$D$27*(1-Inputs!$D$38*R851)</f>
        <v>1226.3659008565023</v>
      </c>
      <c r="T851" s="39">
        <f>S851*Inputs!$D$12</f>
        <v>19621.854413704037</v>
      </c>
      <c r="U851" s="39">
        <f>T851*(1-Inputs!$D$18)</f>
        <v>8829.8344861668156</v>
      </c>
      <c r="V851" s="35">
        <f>Inputs!$D$6*F851*Inputs!$D$28*Inputs!$D$31</f>
        <v>746.05069004674272</v>
      </c>
      <c r="W851" s="36">
        <f>V851/(B851*Inputs!$D$34)</f>
        <v>0.76127621433341097</v>
      </c>
      <c r="X851" s="38">
        <f>IF(W851&gt;=1,999,W851/(Inputs!$D$34*(1-W851))*60)</f>
        <v>5.4667570523531852</v>
      </c>
      <c r="Y851" s="37">
        <f>MIN(1,MAX(0,(X851-Inputs!$D$36)/(Inputs!$D$37-Inputs!$D$36)))</f>
        <v>3.111713682354568E-2</v>
      </c>
      <c r="Z851" s="35">
        <f>Inputs!$D$6*F851*Inputs!$D$28*(1-Inputs!$D$38*Y851)</f>
        <v>5658.4919801305723</v>
      </c>
      <c r="AA851" s="39">
        <f>Z851*Inputs!$D$13</f>
        <v>48097.181831109861</v>
      </c>
      <c r="AB851" s="39">
        <f>AA851*(1-Inputs!$D$19)</f>
        <v>28858.309098665915</v>
      </c>
      <c r="AC851" s="39">
        <f t="shared" si="52"/>
        <v>359462.08224481391</v>
      </c>
      <c r="AD851" s="39">
        <f t="shared" si="53"/>
        <v>139798.20968483275</v>
      </c>
      <c r="AE851" s="36">
        <f t="shared" si="54"/>
        <v>1.6723171375315939</v>
      </c>
      <c r="AF851" s="35">
        <f>IF(AND(AE851&lt;=Inputs!$D$35,C851&gt;=Inputs!$D$48*(A851+B851+C851),B851*Inputs!$D$22&lt;=Inputs!$D$50*Inputs!$D$8,B851*Inputs!$D$22&gt;=Inputs!$D$49*Inputs!$D$8,A851*Inputs!$D$20&lt;=Inputs!$D$47*Inputs!$D$8,C851&gt;=1),1,0)</f>
        <v>0</v>
      </c>
      <c r="AG851" s="39">
        <f t="shared" si="55"/>
        <v>-1</v>
      </c>
    </row>
    <row r="852" spans="1:33" x14ac:dyDescent="0.25">
      <c r="A852" s="35">
        <v>60</v>
      </c>
      <c r="B852" s="35">
        <v>29</v>
      </c>
      <c r="C852" s="35">
        <f>Inputs!$D$8-A852-Inputs!$D$22*B852</f>
        <v>2</v>
      </c>
      <c r="D852" s="35">
        <f>A852*Inputs!$D$20+C852*Inputs!$D$21+B852*Inputs!$D$22</f>
        <v>120</v>
      </c>
      <c r="E852" s="36">
        <f>MIN(Inputs!$E$15,Inputs!$D$15*(C852/Inputs!$D$43)^Inputs!$D$44)</f>
        <v>0.15233873925348645</v>
      </c>
      <c r="F852" s="36">
        <f>MIN(Inputs!$E$16,Inputs!$D$16*(B852/Inputs!$D$42)^Inputs!$D$44)</f>
        <v>0.44716766511947192</v>
      </c>
      <c r="G852" s="37">
        <f>Inputs!$D$26*(1+Inputs!$D$41*(B852-Inputs!$D$42))</f>
        <v>1.6350000000000002</v>
      </c>
      <c r="H852" s="35">
        <f>Inputs!$D$6*Inputs!$D$14*G852*Inputs!$D$29</f>
        <v>2054.2630500000005</v>
      </c>
      <c r="I852" s="36">
        <f>H852/(A852*Inputs!$D$32)</f>
        <v>0.62250395454545471</v>
      </c>
      <c r="J852" s="38">
        <f>IF(I852&gt;=1,999,I852/(Inputs!$D$32*(1-I852))*60)</f>
        <v>1.7989465884941744</v>
      </c>
      <c r="K852" s="37">
        <f>MIN(1,MAX(0,(J852-Inputs!$D$36)/(Inputs!$D$37-Inputs!$D$36)))</f>
        <v>0</v>
      </c>
      <c r="L852" s="35">
        <f>Inputs!$D$6*Inputs!$D$14*G852*(1-Inputs!$D$38*K852)</f>
        <v>13695.087000000003</v>
      </c>
      <c r="M852" s="39">
        <f>L852*Inputs!$D$11</f>
        <v>294444.37050000008</v>
      </c>
      <c r="N852" s="39">
        <f>M852*(1-Inputs!$D$17)</f>
        <v>103055.52967500003</v>
      </c>
      <c r="O852" s="35">
        <f>Inputs!$D$6*E852*Inputs!$D$27*Inputs!$D$30</f>
        <v>217.33497638842198</v>
      </c>
      <c r="P852" s="36">
        <f>O852/(C852*Inputs!$D$33)</f>
        <v>2.7166872048552748</v>
      </c>
      <c r="Q852" s="38">
        <f>IF(P852&gt;=1,999,P852/(Inputs!$D$33*(1-P852))*60)</f>
        <v>999</v>
      </c>
      <c r="R852" s="37">
        <f>MIN(1,MAX(0,(Q852-Inputs!$D$36)/(Inputs!$D$37-Inputs!$D$36)))</f>
        <v>1</v>
      </c>
      <c r="S852" s="35">
        <f>Inputs!$D$6*E852*Inputs!$D$27*(1-Inputs!$D$38*R852)</f>
        <v>996.11864178026747</v>
      </c>
      <c r="T852" s="39">
        <f>S852*Inputs!$D$12</f>
        <v>15937.898268484279</v>
      </c>
      <c r="U852" s="39">
        <f>T852*(1-Inputs!$D$18)</f>
        <v>7172.0542208179249</v>
      </c>
      <c r="V852" s="35">
        <f>Inputs!$D$6*F852*Inputs!$D$28*Inputs!$D$31</f>
        <v>753.9461474393554</v>
      </c>
      <c r="W852" s="36">
        <f>V852/(B852*Inputs!$D$34)</f>
        <v>0.74280408614714821</v>
      </c>
      <c r="X852" s="38">
        <f>IF(W852&gt;=1,999,W852/(Inputs!$D$34*(1-W852))*60)</f>
        <v>4.9510056918075414</v>
      </c>
      <c r="Y852" s="37">
        <f>MIN(1,MAX(0,(X852-Inputs!$D$36)/(Inputs!$D$37-Inputs!$D$36)))</f>
        <v>0</v>
      </c>
      <c r="Z852" s="35">
        <f>Inputs!$D$6*F852*Inputs!$D$28*(1-Inputs!$D$38*Y852)</f>
        <v>5799.5857495335031</v>
      </c>
      <c r="AA852" s="39">
        <f>Z852*Inputs!$D$13</f>
        <v>49296.478871034778</v>
      </c>
      <c r="AB852" s="39">
        <f>AA852*(1-Inputs!$D$19)</f>
        <v>29577.887322620867</v>
      </c>
      <c r="AC852" s="39">
        <f t="shared" si="52"/>
        <v>359678.74763951916</v>
      </c>
      <c r="AD852" s="39">
        <f t="shared" si="53"/>
        <v>139805.47121843882</v>
      </c>
      <c r="AE852" s="36">
        <f t="shared" si="54"/>
        <v>2.7166872048552748</v>
      </c>
      <c r="AF852" s="35">
        <f>IF(AND(AE852&lt;=Inputs!$D$35,C852&gt;=Inputs!$D$48*(A852+B852+C852),B852*Inputs!$D$22&lt;=Inputs!$D$50*Inputs!$D$8,B852*Inputs!$D$22&gt;=Inputs!$D$49*Inputs!$D$8,A852*Inputs!$D$20&lt;=Inputs!$D$47*Inputs!$D$8,C852&gt;=1),1,0)</f>
        <v>0</v>
      </c>
      <c r="AG852" s="39">
        <f t="shared" si="55"/>
        <v>-1</v>
      </c>
    </row>
    <row r="853" spans="1:33" x14ac:dyDescent="0.25">
      <c r="A853" s="35">
        <v>61</v>
      </c>
      <c r="B853" s="35">
        <v>10</v>
      </c>
      <c r="C853" s="35">
        <f>Inputs!$D$8-A853-Inputs!$D$22*B853</f>
        <v>39</v>
      </c>
      <c r="D853" s="35">
        <f>A853*Inputs!$D$20+C853*Inputs!$D$21+B853*Inputs!$D$22</f>
        <v>120</v>
      </c>
      <c r="E853" s="36">
        <f>MIN(Inputs!$E$15,Inputs!$D$15*(C853/Inputs!$D$43)^Inputs!$D$44)</f>
        <v>0.37138190575462604</v>
      </c>
      <c r="F853" s="36">
        <f>MIN(Inputs!$E$16,Inputs!$D$16*(B853/Inputs!$D$42)^Inputs!$D$44)</f>
        <v>0.32490095854249423</v>
      </c>
      <c r="G853" s="37">
        <f>Inputs!$D$26*(1+Inputs!$D$41*(B853-Inputs!$D$42))</f>
        <v>1.35</v>
      </c>
      <c r="H853" s="35">
        <f>Inputs!$D$6*Inputs!$D$14*G853*Inputs!$D$29</f>
        <v>1696.1805000000004</v>
      </c>
      <c r="I853" s="36">
        <f>H853/(A853*Inputs!$D$32)</f>
        <v>0.50556795827123713</v>
      </c>
      <c r="J853" s="38">
        <f>IF(I853&gt;=1,999,I853/(Inputs!$D$32*(1-I853))*60)</f>
        <v>1.1154792473037172</v>
      </c>
      <c r="K853" s="37">
        <f>MIN(1,MAX(0,(J853-Inputs!$D$36)/(Inputs!$D$37-Inputs!$D$36)))</f>
        <v>0</v>
      </c>
      <c r="L853" s="35">
        <f>Inputs!$D$6*Inputs!$D$14*G853*(1-Inputs!$D$38*K853)</f>
        <v>11307.870000000003</v>
      </c>
      <c r="M853" s="39">
        <f>L853*Inputs!$D$11</f>
        <v>243119.20500000005</v>
      </c>
      <c r="N853" s="39">
        <f>M853*(1-Inputs!$D$17)</f>
        <v>85091.721750000012</v>
      </c>
      <c r="O853" s="35">
        <f>Inputs!$D$6*E853*Inputs!$D$27*Inputs!$D$30</f>
        <v>529.8342241362717</v>
      </c>
      <c r="P853" s="36">
        <f>O853/(C853*Inputs!$D$33)</f>
        <v>0.33963732316427675</v>
      </c>
      <c r="Q853" s="38">
        <f>IF(P853&gt;=1,999,P853/(Inputs!$D$33*(1-P853))*60)</f>
        <v>0.77147907145144612</v>
      </c>
      <c r="R853" s="37">
        <f>MIN(1,MAX(0,(Q853-Inputs!$D$36)/(Inputs!$D$37-Inputs!$D$36)))</f>
        <v>0</v>
      </c>
      <c r="S853" s="35">
        <f>Inputs!$D$6*E853*Inputs!$D$27*(1-Inputs!$D$38*R853)</f>
        <v>4415.2852011355981</v>
      </c>
      <c r="T853" s="39">
        <f>S853*Inputs!$D$12</f>
        <v>70644.563218169569</v>
      </c>
      <c r="U853" s="39">
        <f>T853*(1-Inputs!$D$18)</f>
        <v>31790.053448176302</v>
      </c>
      <c r="V853" s="35">
        <f>Inputs!$D$6*F853*Inputs!$D$28*Inputs!$D$31</f>
        <v>547.7986113486553</v>
      </c>
      <c r="W853" s="36">
        <f>V853/(B853*Inputs!$D$34)</f>
        <v>1.5651388895675866</v>
      </c>
      <c r="X853" s="38">
        <f>IF(W853&gt;=1,999,W853/(Inputs!$D$34*(1-W853))*60)</f>
        <v>999</v>
      </c>
      <c r="Y853" s="37">
        <f>MIN(1,MAX(0,(X853-Inputs!$D$36)/(Inputs!$D$37-Inputs!$D$36)))</f>
        <v>1</v>
      </c>
      <c r="Z853" s="35">
        <f>Inputs!$D$6*F853*Inputs!$D$28*(1-Inputs!$D$38*Y853)</f>
        <v>2317.6095095520031</v>
      </c>
      <c r="AA853" s="39">
        <f>Z853*Inputs!$D$13</f>
        <v>19699.680831192025</v>
      </c>
      <c r="AB853" s="39">
        <f>AA853*(1-Inputs!$D$19)</f>
        <v>11819.808498715214</v>
      </c>
      <c r="AC853" s="39">
        <f t="shared" si="52"/>
        <v>333463.44904936163</v>
      </c>
      <c r="AD853" s="39">
        <f t="shared" si="53"/>
        <v>128701.58369689152</v>
      </c>
      <c r="AE853" s="36">
        <f t="shared" si="54"/>
        <v>1.5651388895675866</v>
      </c>
      <c r="AF853" s="35">
        <f>IF(AND(AE853&lt;=Inputs!$D$35,C853&gt;=Inputs!$D$48*(A853+B853+C853),B853*Inputs!$D$22&lt;=Inputs!$D$50*Inputs!$D$8,B853*Inputs!$D$22&gt;=Inputs!$D$49*Inputs!$D$8,A853*Inputs!$D$20&lt;=Inputs!$D$47*Inputs!$D$8,C853&gt;=1),1,0)</f>
        <v>0</v>
      </c>
      <c r="AG853" s="39">
        <f t="shared" si="55"/>
        <v>-1</v>
      </c>
    </row>
    <row r="854" spans="1:33" x14ac:dyDescent="0.25">
      <c r="A854" s="35">
        <v>61</v>
      </c>
      <c r="B854" s="35">
        <v>11</v>
      </c>
      <c r="C854" s="35">
        <f>Inputs!$D$8-A854-Inputs!$D$22*B854</f>
        <v>37</v>
      </c>
      <c r="D854" s="35">
        <f>A854*Inputs!$D$20+C854*Inputs!$D$21+B854*Inputs!$D$22</f>
        <v>120</v>
      </c>
      <c r="E854" s="36">
        <f>MIN(Inputs!$E$15,Inputs!$D$15*(C854/Inputs!$D$43)^Inputs!$D$44)</f>
        <v>0.36556269939951974</v>
      </c>
      <c r="F854" s="36">
        <f>MIN(Inputs!$E$16,Inputs!$D$16*(B854/Inputs!$D$42)^Inputs!$D$44)</f>
        <v>0.33432495758166098</v>
      </c>
      <c r="G854" s="37">
        <f>Inputs!$D$26*(1+Inputs!$D$41*(B854-Inputs!$D$42))</f>
        <v>1.365</v>
      </c>
      <c r="H854" s="35">
        <f>Inputs!$D$6*Inputs!$D$14*G854*Inputs!$D$29</f>
        <v>1715.0269500000002</v>
      </c>
      <c r="I854" s="36">
        <f>H854/(A854*Inputs!$D$32)</f>
        <v>0.51118538002980629</v>
      </c>
      <c r="J854" s="38">
        <f>IF(I854&gt;=1,999,I854/(Inputs!$D$32*(1-I854))*60)</f>
        <v>1.1408349002497882</v>
      </c>
      <c r="K854" s="37">
        <f>MIN(1,MAX(0,(J854-Inputs!$D$36)/(Inputs!$D$37-Inputs!$D$36)))</f>
        <v>0</v>
      </c>
      <c r="L854" s="35">
        <f>Inputs!$D$6*Inputs!$D$14*G854*(1-Inputs!$D$38*K854)</f>
        <v>11433.513000000001</v>
      </c>
      <c r="M854" s="39">
        <f>L854*Inputs!$D$11</f>
        <v>245820.5295</v>
      </c>
      <c r="N854" s="39">
        <f>M854*(1-Inputs!$D$17)</f>
        <v>86037.185324999999</v>
      </c>
      <c r="O854" s="35">
        <f>Inputs!$D$6*E854*Inputs!$D$27*Inputs!$D$30</f>
        <v>521.5322184745213</v>
      </c>
      <c r="P854" s="36">
        <f>O854/(C854*Inputs!$D$33)</f>
        <v>0.35238663410440629</v>
      </c>
      <c r="Q854" s="38">
        <f>IF(P854&gt;=1,999,P854/(Inputs!$D$33*(1-P854))*60)</f>
        <v>0.81619679116046151</v>
      </c>
      <c r="R854" s="37">
        <f>MIN(1,MAX(0,(Q854-Inputs!$D$36)/(Inputs!$D$37-Inputs!$D$36)))</f>
        <v>0</v>
      </c>
      <c r="S854" s="35">
        <f>Inputs!$D$6*E854*Inputs!$D$27*(1-Inputs!$D$38*R854)</f>
        <v>4346.101820621011</v>
      </c>
      <c r="T854" s="39">
        <f>S854*Inputs!$D$12</f>
        <v>69537.629129936176</v>
      </c>
      <c r="U854" s="39">
        <f>T854*(1-Inputs!$D$18)</f>
        <v>31291.933108471276</v>
      </c>
      <c r="V854" s="35">
        <f>Inputs!$D$6*F854*Inputs!$D$28*Inputs!$D$31</f>
        <v>563.68792608064427</v>
      </c>
      <c r="W854" s="36">
        <f>V854/(B854*Inputs!$D$34)</f>
        <v>1.4641244833263487</v>
      </c>
      <c r="X854" s="38">
        <f>IF(W854&gt;=1,999,W854/(Inputs!$D$34*(1-W854))*60)</f>
        <v>999</v>
      </c>
      <c r="Y854" s="37">
        <f>MIN(1,MAX(0,(X854-Inputs!$D$36)/(Inputs!$D$37-Inputs!$D$36)))</f>
        <v>1</v>
      </c>
      <c r="Z854" s="35">
        <f>Inputs!$D$6*F854*Inputs!$D$28*(1-Inputs!$D$38*Y854)</f>
        <v>2384.8335334181106</v>
      </c>
      <c r="AA854" s="39">
        <f>Z854*Inputs!$D$13</f>
        <v>20271.08503405394</v>
      </c>
      <c r="AB854" s="39">
        <f>AA854*(1-Inputs!$D$19)</f>
        <v>12162.651020432364</v>
      </c>
      <c r="AC854" s="39">
        <f t="shared" si="52"/>
        <v>335629.24366399011</v>
      </c>
      <c r="AD854" s="39">
        <f t="shared" si="53"/>
        <v>129491.76945390363</v>
      </c>
      <c r="AE854" s="36">
        <f t="shared" si="54"/>
        <v>1.4641244833263487</v>
      </c>
      <c r="AF854" s="35">
        <f>IF(AND(AE854&lt;=Inputs!$D$35,C854&gt;=Inputs!$D$48*(A854+B854+C854),B854*Inputs!$D$22&lt;=Inputs!$D$50*Inputs!$D$8,B854*Inputs!$D$22&gt;=Inputs!$D$49*Inputs!$D$8,A854*Inputs!$D$20&lt;=Inputs!$D$47*Inputs!$D$8,C854&gt;=1),1,0)</f>
        <v>0</v>
      </c>
      <c r="AG854" s="39">
        <f t="shared" si="55"/>
        <v>-1</v>
      </c>
    </row>
    <row r="855" spans="1:33" x14ac:dyDescent="0.25">
      <c r="A855" s="35">
        <v>61</v>
      </c>
      <c r="B855" s="35">
        <v>12</v>
      </c>
      <c r="C855" s="35">
        <f>Inputs!$D$8-A855-Inputs!$D$22*B855</f>
        <v>35</v>
      </c>
      <c r="D855" s="35">
        <f>A855*Inputs!$D$20+C855*Inputs!$D$21+B855*Inputs!$D$22</f>
        <v>120</v>
      </c>
      <c r="E855" s="36">
        <f>MIN(Inputs!$E$15,Inputs!$D$15*(C855/Inputs!$D$43)^Inputs!$D$44)</f>
        <v>0.3595189375764975</v>
      </c>
      <c r="F855" s="36">
        <f>MIN(Inputs!$E$16,Inputs!$D$16*(B855/Inputs!$D$42)^Inputs!$D$44)</f>
        <v>0.34316688017763797</v>
      </c>
      <c r="G855" s="37">
        <f>Inputs!$D$26*(1+Inputs!$D$41*(B855-Inputs!$D$42))</f>
        <v>1.3800000000000001</v>
      </c>
      <c r="H855" s="35">
        <f>Inputs!$D$6*Inputs!$D$14*G855*Inputs!$D$29</f>
        <v>1733.8734000000004</v>
      </c>
      <c r="I855" s="36">
        <f>H855/(A855*Inputs!$D$32)</f>
        <v>0.51680280178837568</v>
      </c>
      <c r="J855" s="38">
        <f>IF(I855&gt;=1,999,I855/(Inputs!$D$32*(1-I855))*60)</f>
        <v>1.1667800988185966</v>
      </c>
      <c r="K855" s="37">
        <f>MIN(1,MAX(0,(J855-Inputs!$D$36)/(Inputs!$D$37-Inputs!$D$36)))</f>
        <v>0</v>
      </c>
      <c r="L855" s="35">
        <f>Inputs!$D$6*Inputs!$D$14*G855*(1-Inputs!$D$38*K855)</f>
        <v>11559.156000000003</v>
      </c>
      <c r="M855" s="39">
        <f>L855*Inputs!$D$11</f>
        <v>248521.85400000005</v>
      </c>
      <c r="N855" s="39">
        <f>M855*(1-Inputs!$D$17)</f>
        <v>86982.648900000015</v>
      </c>
      <c r="O855" s="35">
        <f>Inputs!$D$6*E855*Inputs!$D$27*Inputs!$D$30</f>
        <v>512.90984940713565</v>
      </c>
      <c r="P855" s="36">
        <f>O855/(C855*Inputs!$D$33)</f>
        <v>0.36636417814795402</v>
      </c>
      <c r="Q855" s="38">
        <f>IF(P855&gt;=1,999,P855/(Inputs!$D$33*(1-P855))*60)</f>
        <v>0.86729040289368331</v>
      </c>
      <c r="R855" s="37">
        <f>MIN(1,MAX(0,(Q855-Inputs!$D$36)/(Inputs!$D$37-Inputs!$D$36)))</f>
        <v>0</v>
      </c>
      <c r="S855" s="35">
        <f>Inputs!$D$6*E855*Inputs!$D$27*(1-Inputs!$D$38*R855)</f>
        <v>4274.2487450594635</v>
      </c>
      <c r="T855" s="39">
        <f>S855*Inputs!$D$12</f>
        <v>68387.979920951417</v>
      </c>
      <c r="U855" s="39">
        <f>T855*(1-Inputs!$D$18)</f>
        <v>30774.590964428135</v>
      </c>
      <c r="V855" s="35">
        <f>Inputs!$D$6*F855*Inputs!$D$28*Inputs!$D$31</f>
        <v>578.5958319897461</v>
      </c>
      <c r="W855" s="36">
        <f>V855/(B855*Inputs!$D$34)</f>
        <v>1.3776091237851098</v>
      </c>
      <c r="X855" s="38">
        <f>IF(W855&gt;=1,999,W855/(Inputs!$D$34*(1-W855))*60)</f>
        <v>999</v>
      </c>
      <c r="Y855" s="37">
        <f>MIN(1,MAX(0,(X855-Inputs!$D$36)/(Inputs!$D$37-Inputs!$D$36)))</f>
        <v>1</v>
      </c>
      <c r="Z855" s="35">
        <f>Inputs!$D$6*F855*Inputs!$D$28*(1-Inputs!$D$38*Y855)</f>
        <v>2447.9054430335414</v>
      </c>
      <c r="AA855" s="39">
        <f>Z855*Inputs!$D$13</f>
        <v>20807.1962657851</v>
      </c>
      <c r="AB855" s="39">
        <f>AA855*(1-Inputs!$D$19)</f>
        <v>12484.31775947106</v>
      </c>
      <c r="AC855" s="39">
        <f t="shared" si="52"/>
        <v>337717.03018673655</v>
      </c>
      <c r="AD855" s="39">
        <f t="shared" si="53"/>
        <v>130241.55762389921</v>
      </c>
      <c r="AE855" s="36">
        <f t="shared" si="54"/>
        <v>1.3776091237851098</v>
      </c>
      <c r="AF855" s="35">
        <f>IF(AND(AE855&lt;=Inputs!$D$35,C855&gt;=Inputs!$D$48*(A855+B855+C855),B855*Inputs!$D$22&lt;=Inputs!$D$50*Inputs!$D$8,B855*Inputs!$D$22&gt;=Inputs!$D$49*Inputs!$D$8,A855*Inputs!$D$20&lt;=Inputs!$D$47*Inputs!$D$8,C855&gt;=1),1,0)</f>
        <v>0</v>
      </c>
      <c r="AG855" s="39">
        <f t="shared" si="55"/>
        <v>-1</v>
      </c>
    </row>
    <row r="856" spans="1:33" x14ac:dyDescent="0.25">
      <c r="A856" s="35">
        <v>61</v>
      </c>
      <c r="B856" s="35">
        <v>13</v>
      </c>
      <c r="C856" s="35">
        <f>Inputs!$D$8-A856-Inputs!$D$22*B856</f>
        <v>33</v>
      </c>
      <c r="D856" s="35">
        <f>A856*Inputs!$D$20+C856*Inputs!$D$21+B856*Inputs!$D$22</f>
        <v>120</v>
      </c>
      <c r="E856" s="36">
        <f>MIN(Inputs!$E$15,Inputs!$D$15*(C856/Inputs!$D$43)^Inputs!$D$44)</f>
        <v>0.35322833999035824</v>
      </c>
      <c r="F856" s="36">
        <f>MIN(Inputs!$E$16,Inputs!$D$16*(B856/Inputs!$D$42)^Inputs!$D$44)</f>
        <v>0.35150701637190523</v>
      </c>
      <c r="G856" s="37">
        <f>Inputs!$D$26*(1+Inputs!$D$41*(B856-Inputs!$D$42))</f>
        <v>1.395</v>
      </c>
      <c r="H856" s="35">
        <f>Inputs!$D$6*Inputs!$D$14*G856*Inputs!$D$29</f>
        <v>1752.7198500000002</v>
      </c>
      <c r="I856" s="36">
        <f>H856/(A856*Inputs!$D$32)</f>
        <v>0.52242022354694495</v>
      </c>
      <c r="J856" s="38">
        <f>IF(I856&gt;=1,999,I856/(Inputs!$D$32*(1-I856))*60)</f>
        <v>1.1933356461925957</v>
      </c>
      <c r="K856" s="37">
        <f>MIN(1,MAX(0,(J856-Inputs!$D$36)/(Inputs!$D$37-Inputs!$D$36)))</f>
        <v>0</v>
      </c>
      <c r="L856" s="35">
        <f>Inputs!$D$6*Inputs!$D$14*G856*(1-Inputs!$D$38*K856)</f>
        <v>11684.799000000001</v>
      </c>
      <c r="M856" s="39">
        <f>L856*Inputs!$D$11</f>
        <v>251223.17850000001</v>
      </c>
      <c r="N856" s="39">
        <f>M856*(1-Inputs!$D$17)</f>
        <v>87928.112475000002</v>
      </c>
      <c r="O856" s="35">
        <f>Inputs!$D$6*E856*Inputs!$D$27*Inputs!$D$30</f>
        <v>503.93533061728459</v>
      </c>
      <c r="P856" s="36">
        <f>O856/(C856*Inputs!$D$33)</f>
        <v>0.38176918986157926</v>
      </c>
      <c r="Q856" s="38">
        <f>IF(P856&gt;=1,999,P856/(Inputs!$D$33*(1-P856))*60)</f>
        <v>0.92627830156855617</v>
      </c>
      <c r="R856" s="37">
        <f>MIN(1,MAX(0,(Q856-Inputs!$D$36)/(Inputs!$D$37-Inputs!$D$36)))</f>
        <v>0</v>
      </c>
      <c r="S856" s="35">
        <f>Inputs!$D$6*E856*Inputs!$D$27*(1-Inputs!$D$38*R856)</f>
        <v>4199.461088477372</v>
      </c>
      <c r="T856" s="39">
        <f>S856*Inputs!$D$12</f>
        <v>67191.377415637951</v>
      </c>
      <c r="U856" s="39">
        <f>T856*(1-Inputs!$D$18)</f>
        <v>30236.119837037077</v>
      </c>
      <c r="V856" s="35">
        <f>Inputs!$D$6*F856*Inputs!$D$28*Inputs!$D$31</f>
        <v>592.65770193981814</v>
      </c>
      <c r="W856" s="36">
        <f>V856/(B856*Inputs!$D$34)</f>
        <v>1.3025443998677322</v>
      </c>
      <c r="X856" s="38">
        <f>IF(W856&gt;=1,999,W856/(Inputs!$D$34*(1-W856))*60)</f>
        <v>999</v>
      </c>
      <c r="Y856" s="37">
        <f>MIN(1,MAX(0,(X856-Inputs!$D$36)/(Inputs!$D$37-Inputs!$D$36)))</f>
        <v>1</v>
      </c>
      <c r="Z856" s="35">
        <f>Inputs!$D$6*F856*Inputs!$D$28*(1-Inputs!$D$38*Y856)</f>
        <v>2507.3979697453847</v>
      </c>
      <c r="AA856" s="39">
        <f>Z856*Inputs!$D$13</f>
        <v>21312.882742835769</v>
      </c>
      <c r="AB856" s="39">
        <f>AA856*(1-Inputs!$D$19)</f>
        <v>12787.729645701462</v>
      </c>
      <c r="AC856" s="39">
        <f t="shared" si="52"/>
        <v>339727.43865847378</v>
      </c>
      <c r="AD856" s="39">
        <f t="shared" si="53"/>
        <v>130951.96195773855</v>
      </c>
      <c r="AE856" s="36">
        <f t="shared" si="54"/>
        <v>1.3025443998677322</v>
      </c>
      <c r="AF856" s="35">
        <f>IF(AND(AE856&lt;=Inputs!$D$35,C856&gt;=Inputs!$D$48*(A856+B856+C856),B856*Inputs!$D$22&lt;=Inputs!$D$50*Inputs!$D$8,B856*Inputs!$D$22&gt;=Inputs!$D$49*Inputs!$D$8,A856*Inputs!$D$20&lt;=Inputs!$D$47*Inputs!$D$8,C856&gt;=1),1,0)</f>
        <v>0</v>
      </c>
      <c r="AG856" s="39">
        <f t="shared" si="55"/>
        <v>-1</v>
      </c>
    </row>
    <row r="857" spans="1:33" x14ac:dyDescent="0.25">
      <c r="A857" s="35">
        <v>61</v>
      </c>
      <c r="B857" s="35">
        <v>14</v>
      </c>
      <c r="C857" s="35">
        <f>Inputs!$D$8-A857-Inputs!$D$22*B857</f>
        <v>31</v>
      </c>
      <c r="D857" s="35">
        <f>A857*Inputs!$D$20+C857*Inputs!$D$21+B857*Inputs!$D$22</f>
        <v>120</v>
      </c>
      <c r="E857" s="36">
        <f>MIN(Inputs!$E$15,Inputs!$D$15*(C857/Inputs!$D$43)^Inputs!$D$44)</f>
        <v>0.34666489615699225</v>
      </c>
      <c r="F857" s="36">
        <f>MIN(Inputs!$E$16,Inputs!$D$16*(B857/Inputs!$D$42)^Inputs!$D$44)</f>
        <v>0.35940937671625589</v>
      </c>
      <c r="G857" s="37">
        <f>Inputs!$D$26*(1+Inputs!$D$41*(B857-Inputs!$D$42))</f>
        <v>1.41</v>
      </c>
      <c r="H857" s="35">
        <f>Inputs!$D$6*Inputs!$D$14*G857*Inputs!$D$29</f>
        <v>1771.5663000000002</v>
      </c>
      <c r="I857" s="36">
        <f>H857/(A857*Inputs!$D$32)</f>
        <v>0.52803764530551422</v>
      </c>
      <c r="J857" s="38">
        <f>IF(I857&gt;=1,999,I857/(Inputs!$D$32*(1-I857))*60)</f>
        <v>1.2205233359743337</v>
      </c>
      <c r="K857" s="37">
        <f>MIN(1,MAX(0,(J857-Inputs!$D$36)/(Inputs!$D$37-Inputs!$D$36)))</f>
        <v>0</v>
      </c>
      <c r="L857" s="35">
        <f>Inputs!$D$6*Inputs!$D$14*G857*(1-Inputs!$D$38*K857)</f>
        <v>11810.442000000001</v>
      </c>
      <c r="M857" s="39">
        <f>L857*Inputs!$D$11</f>
        <v>253924.50300000003</v>
      </c>
      <c r="N857" s="39">
        <f>M857*(1-Inputs!$D$17)</f>
        <v>88873.576050000003</v>
      </c>
      <c r="O857" s="35">
        <f>Inputs!$D$6*E857*Inputs!$D$27*Inputs!$D$30</f>
        <v>494.57155409174993</v>
      </c>
      <c r="P857" s="36">
        <f>O857/(C857*Inputs!$D$33)</f>
        <v>0.39884802749334675</v>
      </c>
      <c r="Q857" s="38">
        <f>IF(P857&gt;=1,999,P857/(Inputs!$D$33*(1-P857))*60)</f>
        <v>0.9952093124561755</v>
      </c>
      <c r="R857" s="37">
        <f>MIN(1,MAX(0,(Q857-Inputs!$D$36)/(Inputs!$D$37-Inputs!$D$36)))</f>
        <v>0</v>
      </c>
      <c r="S857" s="35">
        <f>Inputs!$D$6*E857*Inputs!$D$27*(1-Inputs!$D$38*R857)</f>
        <v>4121.4296174312494</v>
      </c>
      <c r="T857" s="39">
        <f>S857*Inputs!$D$12</f>
        <v>65942.873878899991</v>
      </c>
      <c r="U857" s="39">
        <f>T857*(1-Inputs!$D$18)</f>
        <v>29674.293245504992</v>
      </c>
      <c r="V857" s="35">
        <f>Inputs!$D$6*F857*Inputs!$D$28*Inputs!$D$31</f>
        <v>605.98146079368973</v>
      </c>
      <c r="W857" s="36">
        <f>V857/(B857*Inputs!$D$34)</f>
        <v>1.2366968587626321</v>
      </c>
      <c r="X857" s="38">
        <f>IF(W857&gt;=1,999,W857/(Inputs!$D$34*(1-W857))*60)</f>
        <v>999</v>
      </c>
      <c r="Y857" s="37">
        <f>MIN(1,MAX(0,(X857-Inputs!$D$36)/(Inputs!$D$37-Inputs!$D$36)))</f>
        <v>1</v>
      </c>
      <c r="Z857" s="35">
        <f>Inputs!$D$6*F857*Inputs!$D$28*(1-Inputs!$D$38*Y857)</f>
        <v>2563.7677187425338</v>
      </c>
      <c r="AA857" s="39">
        <f>Z857*Inputs!$D$13</f>
        <v>21792.025609311539</v>
      </c>
      <c r="AB857" s="39">
        <f>AA857*(1-Inputs!$D$19)</f>
        <v>13075.215365586922</v>
      </c>
      <c r="AC857" s="39">
        <f t="shared" si="52"/>
        <v>341659.40248821152</v>
      </c>
      <c r="AD857" s="39">
        <f t="shared" si="53"/>
        <v>131623.08466109191</v>
      </c>
      <c r="AE857" s="36">
        <f t="shared" si="54"/>
        <v>1.2366968587626321</v>
      </c>
      <c r="AF857" s="35">
        <f>IF(AND(AE857&lt;=Inputs!$D$35,C857&gt;=Inputs!$D$48*(A857+B857+C857),B857*Inputs!$D$22&lt;=Inputs!$D$50*Inputs!$D$8,B857*Inputs!$D$22&gt;=Inputs!$D$49*Inputs!$D$8,A857*Inputs!$D$20&lt;=Inputs!$D$47*Inputs!$D$8,C857&gt;=1),1,0)</f>
        <v>0</v>
      </c>
      <c r="AG857" s="39">
        <f t="shared" si="55"/>
        <v>-1</v>
      </c>
    </row>
    <row r="858" spans="1:33" x14ac:dyDescent="0.25">
      <c r="A858" s="35">
        <v>61</v>
      </c>
      <c r="B858" s="35">
        <v>15</v>
      </c>
      <c r="C858" s="35">
        <f>Inputs!$D$8-A858-Inputs!$D$22*B858</f>
        <v>29</v>
      </c>
      <c r="D858" s="35">
        <f>A858*Inputs!$D$20+C858*Inputs!$D$21+B858*Inputs!$D$22</f>
        <v>120</v>
      </c>
      <c r="E858" s="36">
        <f>MIN(Inputs!$E$15,Inputs!$D$15*(C858/Inputs!$D$43)^Inputs!$D$44)</f>
        <v>0.33979795258455459</v>
      </c>
      <c r="F858" s="36">
        <f>MIN(Inputs!$E$16,Inputs!$D$16*(B858/Inputs!$D$42)^Inputs!$D$44)</f>
        <v>0.36692590185696072</v>
      </c>
      <c r="G858" s="37">
        <f>Inputs!$D$26*(1+Inputs!$D$41*(B858-Inputs!$D$42))</f>
        <v>1.4249999999999998</v>
      </c>
      <c r="H858" s="35">
        <f>Inputs!$D$6*Inputs!$D$14*G858*Inputs!$D$29</f>
        <v>1790.4127499999997</v>
      </c>
      <c r="I858" s="36">
        <f>H858/(A858*Inputs!$D$32)</f>
        <v>0.53365506706408339</v>
      </c>
      <c r="J858" s="38">
        <f>IF(I858&gt;=1,999,I858/(Inputs!$D$32*(1-I858))*60)</f>
        <v>1.2483660118376556</v>
      </c>
      <c r="K858" s="37">
        <f>MIN(1,MAX(0,(J858-Inputs!$D$36)/(Inputs!$D$37-Inputs!$D$36)))</f>
        <v>0</v>
      </c>
      <c r="L858" s="35">
        <f>Inputs!$D$6*Inputs!$D$14*G858*(1-Inputs!$D$38*K858)</f>
        <v>11936.084999999999</v>
      </c>
      <c r="M858" s="39">
        <f>L858*Inputs!$D$11</f>
        <v>256625.82749999998</v>
      </c>
      <c r="N858" s="39">
        <f>M858*(1-Inputs!$D$17)</f>
        <v>89819.03962499999</v>
      </c>
      <c r="O858" s="35">
        <f>Inputs!$D$6*E858*Inputs!$D$27*Inputs!$D$30</f>
        <v>484.77478784247035</v>
      </c>
      <c r="P858" s="36">
        <f>O858/(C858*Inputs!$D$33)</f>
        <v>0.41790929986419856</v>
      </c>
      <c r="Q858" s="38">
        <f>IF(P858&gt;=1,999,P858/(Inputs!$D$33*(1-P858))*60)</f>
        <v>1.0769179951681944</v>
      </c>
      <c r="R858" s="37">
        <f>MIN(1,MAX(0,(Q858-Inputs!$D$36)/(Inputs!$D$37-Inputs!$D$36)))</f>
        <v>0</v>
      </c>
      <c r="S858" s="35">
        <f>Inputs!$D$6*E858*Inputs!$D$27*(1-Inputs!$D$38*R858)</f>
        <v>4039.7898986872528</v>
      </c>
      <c r="T858" s="39">
        <f>S858*Inputs!$D$12</f>
        <v>64636.638378996046</v>
      </c>
      <c r="U858" s="39">
        <f>T858*(1-Inputs!$D$18)</f>
        <v>29086.487270548219</v>
      </c>
      <c r="V858" s="35">
        <f>Inputs!$D$6*F858*Inputs!$D$28*Inputs!$D$31</f>
        <v>618.65468297412497</v>
      </c>
      <c r="W858" s="36">
        <f>V858/(B858*Inputs!$D$34)</f>
        <v>1.1783898723316666</v>
      </c>
      <c r="X858" s="38">
        <f>IF(W858&gt;=1,999,W858/(Inputs!$D$34*(1-W858))*60)</f>
        <v>999</v>
      </c>
      <c r="Y858" s="37">
        <f>MIN(1,MAX(0,(X858-Inputs!$D$36)/(Inputs!$D$37-Inputs!$D$36)))</f>
        <v>1</v>
      </c>
      <c r="Z858" s="35">
        <f>Inputs!$D$6*F858*Inputs!$D$28*(1-Inputs!$D$38*Y858)</f>
        <v>2617.3851971982212</v>
      </c>
      <c r="AA858" s="39">
        <f>Z858*Inputs!$D$13</f>
        <v>22247.774176184881</v>
      </c>
      <c r="AB858" s="39">
        <f>AA858*(1-Inputs!$D$19)</f>
        <v>13348.664505710929</v>
      </c>
      <c r="AC858" s="39">
        <f t="shared" si="52"/>
        <v>343510.24005518091</v>
      </c>
      <c r="AD858" s="39">
        <f t="shared" si="53"/>
        <v>132254.19140125916</v>
      </c>
      <c r="AE858" s="36">
        <f t="shared" si="54"/>
        <v>1.1783898723316666</v>
      </c>
      <c r="AF858" s="35">
        <f>IF(AND(AE858&lt;=Inputs!$D$35,C858&gt;=Inputs!$D$48*(A858+B858+C858),B858*Inputs!$D$22&lt;=Inputs!$D$50*Inputs!$D$8,B858*Inputs!$D$22&gt;=Inputs!$D$49*Inputs!$D$8,A858*Inputs!$D$20&lt;=Inputs!$D$47*Inputs!$D$8,C858&gt;=1),1,0)</f>
        <v>0</v>
      </c>
      <c r="AG858" s="39">
        <f t="shared" si="55"/>
        <v>-1</v>
      </c>
    </row>
    <row r="859" spans="1:33" x14ac:dyDescent="0.25">
      <c r="A859" s="35">
        <v>61</v>
      </c>
      <c r="B859" s="35">
        <v>16</v>
      </c>
      <c r="C859" s="35">
        <f>Inputs!$D$8-A859-Inputs!$D$22*B859</f>
        <v>27</v>
      </c>
      <c r="D859" s="35">
        <f>A859*Inputs!$D$20+C859*Inputs!$D$21+B859*Inputs!$D$22</f>
        <v>120</v>
      </c>
      <c r="E859" s="36">
        <f>MIN(Inputs!$E$15,Inputs!$D$15*(C859/Inputs!$D$43)^Inputs!$D$44)</f>
        <v>0.33259099594532748</v>
      </c>
      <c r="F859" s="36">
        <f>MIN(Inputs!$E$16,Inputs!$D$16*(B859/Inputs!$D$42)^Inputs!$D$44)</f>
        <v>0.37409937912904856</v>
      </c>
      <c r="G859" s="37">
        <f>Inputs!$D$26*(1+Inputs!$D$41*(B859-Inputs!$D$42))</f>
        <v>1.44</v>
      </c>
      <c r="H859" s="35">
        <f>Inputs!$D$6*Inputs!$D$14*G859*Inputs!$D$29</f>
        <v>1809.2592000000002</v>
      </c>
      <c r="I859" s="36">
        <f>H859/(A859*Inputs!$D$32)</f>
        <v>0.53927248882265277</v>
      </c>
      <c r="J859" s="38">
        <f>IF(I859&gt;=1,999,I859/(Inputs!$D$32*(1-I859))*60)</f>
        <v>1.2768876315426942</v>
      </c>
      <c r="K859" s="37">
        <f>MIN(1,MAX(0,(J859-Inputs!$D$36)/(Inputs!$D$37-Inputs!$D$36)))</f>
        <v>0</v>
      </c>
      <c r="L859" s="35">
        <f>Inputs!$D$6*Inputs!$D$14*G859*(1-Inputs!$D$38*K859)</f>
        <v>12061.728000000001</v>
      </c>
      <c r="M859" s="39">
        <f>L859*Inputs!$D$11</f>
        <v>259327.15200000003</v>
      </c>
      <c r="N859" s="39">
        <f>M859*(1-Inputs!$D$17)</f>
        <v>90764.503200000006</v>
      </c>
      <c r="O859" s="35">
        <f>Inputs!$D$6*E859*Inputs!$D$27*Inputs!$D$30</f>
        <v>474.49293991137716</v>
      </c>
      <c r="P859" s="36">
        <f>O859/(C859*Inputs!$D$33)</f>
        <v>0.43934531473275662</v>
      </c>
      <c r="Q859" s="38">
        <f>IF(P859&gt;=1,999,P859/(Inputs!$D$33*(1-P859))*60)</f>
        <v>1.1754436187133714</v>
      </c>
      <c r="R859" s="37">
        <f>MIN(1,MAX(0,(Q859-Inputs!$D$36)/(Inputs!$D$37-Inputs!$D$36)))</f>
        <v>0</v>
      </c>
      <c r="S859" s="35">
        <f>Inputs!$D$6*E859*Inputs!$D$27*(1-Inputs!$D$38*R859)</f>
        <v>3954.1078325948097</v>
      </c>
      <c r="T859" s="39">
        <f>S859*Inputs!$D$12</f>
        <v>63265.725321516955</v>
      </c>
      <c r="U859" s="39">
        <f>T859*(1-Inputs!$D$18)</f>
        <v>28469.576394682626</v>
      </c>
      <c r="V859" s="35">
        <f>Inputs!$D$6*F859*Inputs!$D$28*Inputs!$D$31</f>
        <v>630.74950998177405</v>
      </c>
      <c r="W859" s="36">
        <f>V859/(B859*Inputs!$D$34)</f>
        <v>1.1263384106817393</v>
      </c>
      <c r="X859" s="38">
        <f>IF(W859&gt;=1,999,W859/(Inputs!$D$34*(1-W859))*60)</f>
        <v>999</v>
      </c>
      <c r="Y859" s="37">
        <f>MIN(1,MAX(0,(X859-Inputs!$D$36)/(Inputs!$D$37-Inputs!$D$36)))</f>
        <v>1</v>
      </c>
      <c r="Z859" s="35">
        <f>Inputs!$D$6*F859*Inputs!$D$28*(1-Inputs!$D$38*Y859)</f>
        <v>2668.5556191536598</v>
      </c>
      <c r="AA859" s="39">
        <f>Z859*Inputs!$D$13</f>
        <v>22682.722762806108</v>
      </c>
      <c r="AB859" s="39">
        <f>AA859*(1-Inputs!$D$19)</f>
        <v>13609.633657683664</v>
      </c>
      <c r="AC859" s="39">
        <f t="shared" si="52"/>
        <v>345275.60008432309</v>
      </c>
      <c r="AD859" s="39">
        <f t="shared" si="53"/>
        <v>132843.71325236632</v>
      </c>
      <c r="AE859" s="36">
        <f t="shared" si="54"/>
        <v>1.1263384106817393</v>
      </c>
      <c r="AF859" s="35">
        <f>IF(AND(AE859&lt;=Inputs!$D$35,C859&gt;=Inputs!$D$48*(A859+B859+C859),B859*Inputs!$D$22&lt;=Inputs!$D$50*Inputs!$D$8,B859*Inputs!$D$22&gt;=Inputs!$D$49*Inputs!$D$8,A859*Inputs!$D$20&lt;=Inputs!$D$47*Inputs!$D$8,C859&gt;=1),1,0)</f>
        <v>0</v>
      </c>
      <c r="AG859" s="39">
        <f t="shared" si="55"/>
        <v>-1</v>
      </c>
    </row>
    <row r="860" spans="1:33" x14ac:dyDescent="0.25">
      <c r="A860" s="35">
        <v>61</v>
      </c>
      <c r="B860" s="35">
        <v>17</v>
      </c>
      <c r="C860" s="35">
        <f>Inputs!$D$8-A860-Inputs!$D$22*B860</f>
        <v>25</v>
      </c>
      <c r="D860" s="35">
        <f>A860*Inputs!$D$20+C860*Inputs!$D$21+B860*Inputs!$D$22</f>
        <v>120</v>
      </c>
      <c r="E860" s="36">
        <f>MIN(Inputs!$E$15,Inputs!$D$15*(C860/Inputs!$D$43)^Inputs!$D$44)</f>
        <v>0.32500000000000001</v>
      </c>
      <c r="F860" s="36">
        <f>MIN(Inputs!$E$16,Inputs!$D$16*(B860/Inputs!$D$42)^Inputs!$D$44)</f>
        <v>0.3809655184437048</v>
      </c>
      <c r="G860" s="37">
        <f>Inputs!$D$26*(1+Inputs!$D$41*(B860-Inputs!$D$42))</f>
        <v>1.4550000000000001</v>
      </c>
      <c r="H860" s="35">
        <f>Inputs!$D$6*Inputs!$D$14*G860*Inputs!$D$29</f>
        <v>1828.1056500000002</v>
      </c>
      <c r="I860" s="36">
        <f>H860/(A860*Inputs!$D$32)</f>
        <v>0.54488991058122216</v>
      </c>
      <c r="J860" s="38">
        <f>IF(I860&gt;=1,999,I860/(Inputs!$D$32*(1-I860))*60)</f>
        <v>1.3061133356916761</v>
      </c>
      <c r="K860" s="37">
        <f>MIN(1,MAX(0,(J860-Inputs!$D$36)/(Inputs!$D$37-Inputs!$D$36)))</f>
        <v>0</v>
      </c>
      <c r="L860" s="35">
        <f>Inputs!$D$6*Inputs!$D$14*G860*(1-Inputs!$D$38*K860)</f>
        <v>12187.371000000001</v>
      </c>
      <c r="M860" s="39">
        <f>L860*Inputs!$D$11</f>
        <v>262028.47650000002</v>
      </c>
      <c r="N860" s="39">
        <f>M860*(1-Inputs!$D$17)</f>
        <v>91709.966775000008</v>
      </c>
      <c r="O860" s="35">
        <f>Inputs!$D$6*E860*Inputs!$D$27*Inputs!$D$30</f>
        <v>463.66320000000002</v>
      </c>
      <c r="P860" s="36">
        <f>O860/(C860*Inputs!$D$33)</f>
        <v>0.4636632</v>
      </c>
      <c r="Q860" s="38">
        <f>IF(P860&gt;=1,999,P860/(Inputs!$D$33*(1-P860))*60)</f>
        <v>1.296750101801704</v>
      </c>
      <c r="R860" s="37">
        <f>MIN(1,MAX(0,(Q860-Inputs!$D$36)/(Inputs!$D$37-Inputs!$D$36)))</f>
        <v>0</v>
      </c>
      <c r="S860" s="35">
        <f>Inputs!$D$6*E860*Inputs!$D$27*(1-Inputs!$D$38*R860)</f>
        <v>3863.86</v>
      </c>
      <c r="T860" s="39">
        <f>S860*Inputs!$D$12</f>
        <v>61821.760000000002</v>
      </c>
      <c r="U860" s="39">
        <f>T860*(1-Inputs!$D$18)</f>
        <v>27819.791999999998</v>
      </c>
      <c r="V860" s="35">
        <f>Inputs!$D$6*F860*Inputs!$D$28*Inputs!$D$31</f>
        <v>642.32615044097156</v>
      </c>
      <c r="W860" s="36">
        <f>V860/(B860*Inputs!$D$34)</f>
        <v>1.0795397486402882</v>
      </c>
      <c r="X860" s="38">
        <f>IF(W860&gt;=1,999,W860/(Inputs!$D$34*(1-W860))*60)</f>
        <v>999</v>
      </c>
      <c r="Y860" s="37">
        <f>MIN(1,MAX(0,(X860-Inputs!$D$36)/(Inputs!$D$37-Inputs!$D$36)))</f>
        <v>1</v>
      </c>
      <c r="Z860" s="35">
        <f>Inputs!$D$6*F860*Inputs!$D$28*(1-Inputs!$D$38*Y860)</f>
        <v>2717.5337134041106</v>
      </c>
      <c r="AA860" s="39">
        <f>Z860*Inputs!$D$13</f>
        <v>23099.03656393494</v>
      </c>
      <c r="AB860" s="39">
        <f>AA860*(1-Inputs!$D$19)</f>
        <v>13859.421938360963</v>
      </c>
      <c r="AC860" s="39">
        <f t="shared" si="52"/>
        <v>346949.27306393493</v>
      </c>
      <c r="AD860" s="39">
        <f t="shared" si="53"/>
        <v>133389.18071336098</v>
      </c>
      <c r="AE860" s="36">
        <f t="shared" si="54"/>
        <v>1.0795397486402882</v>
      </c>
      <c r="AF860" s="35">
        <f>IF(AND(AE860&lt;=Inputs!$D$35,C860&gt;=Inputs!$D$48*(A860+B860+C860),B860*Inputs!$D$22&lt;=Inputs!$D$50*Inputs!$D$8,B860*Inputs!$D$22&gt;=Inputs!$D$49*Inputs!$D$8,A860*Inputs!$D$20&lt;=Inputs!$D$47*Inputs!$D$8,C860&gt;=1),1,0)</f>
        <v>0</v>
      </c>
      <c r="AG860" s="39">
        <f t="shared" si="55"/>
        <v>-1</v>
      </c>
    </row>
    <row r="861" spans="1:33" x14ac:dyDescent="0.25">
      <c r="A861" s="35">
        <v>61</v>
      </c>
      <c r="B861" s="35">
        <v>18</v>
      </c>
      <c r="C861" s="35">
        <f>Inputs!$D$8-A861-Inputs!$D$22*B861</f>
        <v>23</v>
      </c>
      <c r="D861" s="35">
        <f>A861*Inputs!$D$20+C861*Inputs!$D$21+B861*Inputs!$D$22</f>
        <v>120</v>
      </c>
      <c r="E861" s="36">
        <f>MIN(Inputs!$E$15,Inputs!$D$15*(C861/Inputs!$D$43)^Inputs!$D$44)</f>
        <v>0.31697113078396583</v>
      </c>
      <c r="F861" s="36">
        <f>MIN(Inputs!$E$16,Inputs!$D$16*(B861/Inputs!$D$42)^Inputs!$D$44)</f>
        <v>0.38755446447890535</v>
      </c>
      <c r="G861" s="37">
        <f>Inputs!$D$26*(1+Inputs!$D$41*(B861-Inputs!$D$42))</f>
        <v>1.47</v>
      </c>
      <c r="H861" s="35">
        <f>Inputs!$D$6*Inputs!$D$14*G861*Inputs!$D$29</f>
        <v>1846.9521</v>
      </c>
      <c r="I861" s="36">
        <f>H861/(A861*Inputs!$D$32)</f>
        <v>0.55050733233979132</v>
      </c>
      <c r="J861" s="38">
        <f>IF(I861&gt;=1,999,I861/(Inputs!$D$32*(1-I861))*60)</f>
        <v>1.3360695216402849</v>
      </c>
      <c r="K861" s="37">
        <f>MIN(1,MAX(0,(J861-Inputs!$D$36)/(Inputs!$D$37-Inputs!$D$36)))</f>
        <v>0</v>
      </c>
      <c r="L861" s="35">
        <f>Inputs!$D$6*Inputs!$D$14*G861*(1-Inputs!$D$38*K861)</f>
        <v>12313.014000000001</v>
      </c>
      <c r="M861" s="39">
        <f>L861*Inputs!$D$11</f>
        <v>264729.80100000004</v>
      </c>
      <c r="N861" s="39">
        <f>M861*(1-Inputs!$D$17)</f>
        <v>92655.43035000001</v>
      </c>
      <c r="O861" s="35">
        <f>Inputs!$D$6*E861*Inputs!$D$27*Inputs!$D$30</f>
        <v>452.20876555972956</v>
      </c>
      <c r="P861" s="36">
        <f>O861/(C861*Inputs!$D$33)</f>
        <v>0.49153126691274951</v>
      </c>
      <c r="Q861" s="38">
        <f>IF(P861&gt;=1,999,P861/(Inputs!$D$33*(1-P861))*60)</f>
        <v>1.4500339005950402</v>
      </c>
      <c r="R861" s="37">
        <f>MIN(1,MAX(0,(Q861-Inputs!$D$36)/(Inputs!$D$37-Inputs!$D$36)))</f>
        <v>0</v>
      </c>
      <c r="S861" s="35">
        <f>Inputs!$D$6*E861*Inputs!$D$27*(1-Inputs!$D$38*R861)</f>
        <v>3768.4063796644132</v>
      </c>
      <c r="T861" s="39">
        <f>S861*Inputs!$D$12</f>
        <v>60294.502074630611</v>
      </c>
      <c r="U861" s="39">
        <f>T861*(1-Inputs!$D$18)</f>
        <v>27132.525933583773</v>
      </c>
      <c r="V861" s="35">
        <f>Inputs!$D$6*F861*Inputs!$D$28*Inputs!$D$31</f>
        <v>653.43542972572936</v>
      </c>
      <c r="W861" s="36">
        <f>V861/(B861*Inputs!$D$34)</f>
        <v>1.037199094802745</v>
      </c>
      <c r="X861" s="38">
        <f>IF(W861&gt;=1,999,W861/(Inputs!$D$34*(1-W861))*60)</f>
        <v>999</v>
      </c>
      <c r="Y861" s="37">
        <f>MIN(1,MAX(0,(X861-Inputs!$D$36)/(Inputs!$D$37-Inputs!$D$36)))</f>
        <v>1</v>
      </c>
      <c r="Z861" s="35">
        <f>Inputs!$D$6*F861*Inputs!$D$28*(1-Inputs!$D$38*Y861)</f>
        <v>2764.534510378086</v>
      </c>
      <c r="AA861" s="39">
        <f>Z861*Inputs!$D$13</f>
        <v>23498.543338213731</v>
      </c>
      <c r="AB861" s="39">
        <f>AA861*(1-Inputs!$D$19)</f>
        <v>14099.126002928238</v>
      </c>
      <c r="AC861" s="39">
        <f t="shared" si="52"/>
        <v>348522.84641284443</v>
      </c>
      <c r="AD861" s="39">
        <f t="shared" si="53"/>
        <v>133887.08228651201</v>
      </c>
      <c r="AE861" s="36">
        <f t="shared" si="54"/>
        <v>1.037199094802745</v>
      </c>
      <c r="AF861" s="35">
        <f>IF(AND(AE861&lt;=Inputs!$D$35,C861&gt;=Inputs!$D$48*(A861+B861+C861),B861*Inputs!$D$22&lt;=Inputs!$D$50*Inputs!$D$8,B861*Inputs!$D$22&gt;=Inputs!$D$49*Inputs!$D$8,A861*Inputs!$D$20&lt;=Inputs!$D$47*Inputs!$D$8,C861&gt;=1),1,0)</f>
        <v>0</v>
      </c>
      <c r="AG861" s="39">
        <f t="shared" si="55"/>
        <v>-1</v>
      </c>
    </row>
    <row r="862" spans="1:33" x14ac:dyDescent="0.25">
      <c r="A862" s="35">
        <v>61</v>
      </c>
      <c r="B862" s="35">
        <v>19</v>
      </c>
      <c r="C862" s="35">
        <f>Inputs!$D$8-A862-Inputs!$D$22*B862</f>
        <v>21</v>
      </c>
      <c r="D862" s="35">
        <f>A862*Inputs!$D$20+C862*Inputs!$D$21+B862*Inputs!$D$22</f>
        <v>120</v>
      </c>
      <c r="E862" s="36">
        <f>MIN(Inputs!$E$15,Inputs!$D$15*(C862/Inputs!$D$43)^Inputs!$D$44)</f>
        <v>0.30843748043226404</v>
      </c>
      <c r="F862" s="36">
        <f>MIN(Inputs!$E$16,Inputs!$D$16*(B862/Inputs!$D$42)^Inputs!$D$44)</f>
        <v>0.39389192072703005</v>
      </c>
      <c r="G862" s="37">
        <f>Inputs!$D$26*(1+Inputs!$D$41*(B862-Inputs!$D$42))</f>
        <v>1.4849999999999999</v>
      </c>
      <c r="H862" s="35">
        <f>Inputs!$D$6*Inputs!$D$14*G862*Inputs!$D$29</f>
        <v>1865.7985499999998</v>
      </c>
      <c r="I862" s="36">
        <f>H862/(A862*Inputs!$D$32)</f>
        <v>0.5561247540983606</v>
      </c>
      <c r="J862" s="38">
        <f>IF(I862&gt;=1,999,I862/(Inputs!$D$32*(1-I862))*60)</f>
        <v>1.3667839230212941</v>
      </c>
      <c r="K862" s="37">
        <f>MIN(1,MAX(0,(J862-Inputs!$D$36)/(Inputs!$D$37-Inputs!$D$36)))</f>
        <v>0</v>
      </c>
      <c r="L862" s="35">
        <f>Inputs!$D$6*Inputs!$D$14*G862*(1-Inputs!$D$38*K862)</f>
        <v>12438.656999999999</v>
      </c>
      <c r="M862" s="39">
        <f>L862*Inputs!$D$11</f>
        <v>267431.12549999997</v>
      </c>
      <c r="N862" s="39">
        <f>M862*(1-Inputs!$D$17)</f>
        <v>93600.893924999982</v>
      </c>
      <c r="O862" s="35">
        <f>Inputs!$D$6*E862*Inputs!$D$27*Inputs!$D$30</f>
        <v>440.03418208357215</v>
      </c>
      <c r="P862" s="36">
        <f>O862/(C862*Inputs!$D$33)</f>
        <v>0.52385021676615728</v>
      </c>
      <c r="Q862" s="38">
        <f>IF(P862&gt;=1,999,P862/(Inputs!$D$33*(1-P862))*60)</f>
        <v>1.6502692069132636</v>
      </c>
      <c r="R862" s="37">
        <f>MIN(1,MAX(0,(Q862-Inputs!$D$36)/(Inputs!$D$37-Inputs!$D$36)))</f>
        <v>0</v>
      </c>
      <c r="S862" s="35">
        <f>Inputs!$D$6*E862*Inputs!$D$27*(1-Inputs!$D$38*R862)</f>
        <v>3666.9515173631012</v>
      </c>
      <c r="T862" s="39">
        <f>S862*Inputs!$D$12</f>
        <v>58671.224277809619</v>
      </c>
      <c r="U862" s="39">
        <f>T862*(1-Inputs!$D$18)</f>
        <v>26402.050925014326</v>
      </c>
      <c r="V862" s="35">
        <f>Inputs!$D$6*F862*Inputs!$D$28*Inputs!$D$31</f>
        <v>664.12068515796761</v>
      </c>
      <c r="W862" s="36">
        <f>V862/(B862*Inputs!$D$34)</f>
        <v>0.99867772204205651</v>
      </c>
      <c r="X862" s="38">
        <f>IF(W862&gt;=1,999,W862/(Inputs!$D$34*(1-W862))*60)</f>
        <v>1294.749671797274</v>
      </c>
      <c r="Y862" s="37">
        <f>MIN(1,MAX(0,(X862-Inputs!$D$36)/(Inputs!$D$37-Inputs!$D$36)))</f>
        <v>1</v>
      </c>
      <c r="Z862" s="35">
        <f>Inputs!$D$6*F862*Inputs!$D$28*(1-Inputs!$D$38*Y862)</f>
        <v>2809.7413602837091</v>
      </c>
      <c r="AA862" s="39">
        <f>Z862*Inputs!$D$13</f>
        <v>23882.801562411529</v>
      </c>
      <c r="AB862" s="39">
        <f>AA862*(1-Inputs!$D$19)</f>
        <v>14329.680937446918</v>
      </c>
      <c r="AC862" s="39">
        <f t="shared" si="52"/>
        <v>349985.15134022111</v>
      </c>
      <c r="AD862" s="39">
        <f t="shared" si="53"/>
        <v>134332.62578746123</v>
      </c>
      <c r="AE862" s="36">
        <f t="shared" si="54"/>
        <v>0.99867772204205651</v>
      </c>
      <c r="AF862" s="35">
        <f>IF(AND(AE862&lt;=Inputs!$D$35,C862&gt;=Inputs!$D$48*(A862+B862+C862),B862*Inputs!$D$22&lt;=Inputs!$D$50*Inputs!$D$8,B862*Inputs!$D$22&gt;=Inputs!$D$49*Inputs!$D$8,A862*Inputs!$D$20&lt;=Inputs!$D$47*Inputs!$D$8,C862&gt;=1),1,0)</f>
        <v>0</v>
      </c>
      <c r="AG862" s="39">
        <f t="shared" si="55"/>
        <v>-1</v>
      </c>
    </row>
    <row r="863" spans="1:33" x14ac:dyDescent="0.25">
      <c r="A863" s="35">
        <v>61</v>
      </c>
      <c r="B863" s="35">
        <v>20</v>
      </c>
      <c r="C863" s="35">
        <f>Inputs!$D$8-A863-Inputs!$D$22*B863</f>
        <v>19</v>
      </c>
      <c r="D863" s="35">
        <f>A863*Inputs!$D$20+C863*Inputs!$D$21+B863*Inputs!$D$22</f>
        <v>120</v>
      </c>
      <c r="E863" s="36">
        <f>MIN(Inputs!$E$15,Inputs!$D$15*(C863/Inputs!$D$43)^Inputs!$D$44)</f>
        <v>0.29931428106923352</v>
      </c>
      <c r="F863" s="36">
        <f>MIN(Inputs!$E$16,Inputs!$D$16*(B863/Inputs!$D$42)^Inputs!$D$44)</f>
        <v>0.4</v>
      </c>
      <c r="G863" s="37">
        <f>Inputs!$D$26*(1+Inputs!$D$41*(B863-Inputs!$D$42))</f>
        <v>1.5</v>
      </c>
      <c r="H863" s="35">
        <f>Inputs!$D$6*Inputs!$D$14*G863*Inputs!$D$29</f>
        <v>1884.645</v>
      </c>
      <c r="I863" s="36">
        <f>H863/(A863*Inputs!$D$32)</f>
        <v>0.56174217585692998</v>
      </c>
      <c r="J863" s="38">
        <f>IF(I863&gt;=1,999,I863/(Inputs!$D$32*(1-I863))*60)</f>
        <v>1.3982856953840153</v>
      </c>
      <c r="K863" s="37">
        <f>MIN(1,MAX(0,(J863-Inputs!$D$36)/(Inputs!$D$37-Inputs!$D$36)))</f>
        <v>0</v>
      </c>
      <c r="L863" s="35">
        <f>Inputs!$D$6*Inputs!$D$14*G863*(1-Inputs!$D$38*K863)</f>
        <v>12564.300000000001</v>
      </c>
      <c r="M863" s="39">
        <f>L863*Inputs!$D$11</f>
        <v>270132.45</v>
      </c>
      <c r="N863" s="39">
        <f>M863*(1-Inputs!$D$17)</f>
        <v>94546.357499999998</v>
      </c>
      <c r="O863" s="35">
        <f>Inputs!$D$6*E863*Inputs!$D$27*Inputs!$D$30</f>
        <v>427.01851497310844</v>
      </c>
      <c r="P863" s="36">
        <f>O863/(C863*Inputs!$D$33)</f>
        <v>0.56186646706987953</v>
      </c>
      <c r="Q863" s="38">
        <f>IF(P863&gt;=1,999,P863/(Inputs!$D$33*(1-P863))*60)</f>
        <v>1.9236137781292366</v>
      </c>
      <c r="R863" s="37">
        <f>MIN(1,MAX(0,(Q863-Inputs!$D$36)/(Inputs!$D$37-Inputs!$D$36)))</f>
        <v>0</v>
      </c>
      <c r="S863" s="35">
        <f>Inputs!$D$6*E863*Inputs!$D$27*(1-Inputs!$D$38*R863)</f>
        <v>3558.4876247759039</v>
      </c>
      <c r="T863" s="39">
        <f>S863*Inputs!$D$12</f>
        <v>56935.801996414462</v>
      </c>
      <c r="U863" s="39">
        <f>T863*(1-Inputs!$D$18)</f>
        <v>25621.110898386505</v>
      </c>
      <c r="V863" s="35">
        <f>Inputs!$D$6*F863*Inputs!$D$28*Inputs!$D$31</f>
        <v>674.41919999999993</v>
      </c>
      <c r="W863" s="36">
        <f>V863/(B863*Inputs!$D$34)</f>
        <v>0.96345599999999987</v>
      </c>
      <c r="X863" s="38">
        <f>IF(W863&gt;=1,999,W863/(Inputs!$D$34*(1-W863))*60)</f>
        <v>45.195896922691851</v>
      </c>
      <c r="Y863" s="37">
        <f>MIN(1,MAX(0,(X863-Inputs!$D$36)/(Inputs!$D$37-Inputs!$D$36)))</f>
        <v>1</v>
      </c>
      <c r="Z863" s="35">
        <f>Inputs!$D$6*F863*Inputs!$D$28*(1-Inputs!$D$38*Y863)</f>
        <v>2853.3119999999999</v>
      </c>
      <c r="AA863" s="39">
        <f>Z863*Inputs!$D$13</f>
        <v>24253.151999999998</v>
      </c>
      <c r="AB863" s="39">
        <f>AA863*(1-Inputs!$D$19)</f>
        <v>14551.891199999998</v>
      </c>
      <c r="AC863" s="39">
        <f t="shared" si="52"/>
        <v>351321.4039964145</v>
      </c>
      <c r="AD863" s="39">
        <f t="shared" si="53"/>
        <v>134719.35959838651</v>
      </c>
      <c r="AE863" s="36">
        <f t="shared" si="54"/>
        <v>0.96345599999999987</v>
      </c>
      <c r="AF863" s="35">
        <f>IF(AND(AE863&lt;=Inputs!$D$35,C863&gt;=Inputs!$D$48*(A863+B863+C863),B863*Inputs!$D$22&lt;=Inputs!$D$50*Inputs!$D$8,B863*Inputs!$D$22&gt;=Inputs!$D$49*Inputs!$D$8,A863*Inputs!$D$20&lt;=Inputs!$D$47*Inputs!$D$8,C863&gt;=1),1,0)</f>
        <v>0</v>
      </c>
      <c r="AG863" s="39">
        <f t="shared" si="55"/>
        <v>-1</v>
      </c>
    </row>
    <row r="864" spans="1:33" x14ac:dyDescent="0.25">
      <c r="A864" s="35">
        <v>61</v>
      </c>
      <c r="B864" s="35">
        <v>21</v>
      </c>
      <c r="C864" s="35">
        <f>Inputs!$D$8-A864-Inputs!$D$22*B864</f>
        <v>17</v>
      </c>
      <c r="D864" s="35">
        <f>A864*Inputs!$D$20+C864*Inputs!$D$21+B864*Inputs!$D$22</f>
        <v>120</v>
      </c>
      <c r="E864" s="36">
        <f>MIN(Inputs!$E$15,Inputs!$D$15*(C864/Inputs!$D$43)^Inputs!$D$44)</f>
        <v>0.28949164546121231</v>
      </c>
      <c r="F864" s="36">
        <f>MIN(Inputs!$E$16,Inputs!$D$16*(B864/Inputs!$D$42)^Inputs!$D$44)</f>
        <v>0.40589787816896217</v>
      </c>
      <c r="G864" s="37">
        <f>Inputs!$D$26*(1+Inputs!$D$41*(B864-Inputs!$D$42))</f>
        <v>1.5150000000000001</v>
      </c>
      <c r="H864" s="35">
        <f>Inputs!$D$6*Inputs!$D$14*G864*Inputs!$D$29</f>
        <v>1903.4914500000004</v>
      </c>
      <c r="I864" s="36">
        <f>H864/(A864*Inputs!$D$32)</f>
        <v>0.56735959761549937</v>
      </c>
      <c r="J864" s="38">
        <f>IF(I864&gt;=1,999,I864/(Inputs!$D$32*(1-I864))*60)</f>
        <v>1.4306055085054292</v>
      </c>
      <c r="K864" s="37">
        <f>MIN(1,MAX(0,(J864-Inputs!$D$36)/(Inputs!$D$37-Inputs!$D$36)))</f>
        <v>0</v>
      </c>
      <c r="L864" s="35">
        <f>Inputs!$D$6*Inputs!$D$14*G864*(1-Inputs!$D$38*K864)</f>
        <v>12689.943000000003</v>
      </c>
      <c r="M864" s="39">
        <f>L864*Inputs!$D$11</f>
        <v>272833.77450000006</v>
      </c>
      <c r="N864" s="39">
        <f>M864*(1-Inputs!$D$17)</f>
        <v>95491.821075000014</v>
      </c>
      <c r="O864" s="35">
        <f>Inputs!$D$6*E864*Inputs!$D$27*Inputs!$D$30</f>
        <v>413.00499294711136</v>
      </c>
      <c r="P864" s="36">
        <f>O864/(C864*Inputs!$D$33)</f>
        <v>0.60736028374575202</v>
      </c>
      <c r="Q864" s="38">
        <f>IF(P864&gt;=1,999,P864/(Inputs!$D$33*(1-P864))*60)</f>
        <v>2.3202961593133828</v>
      </c>
      <c r="R864" s="37">
        <f>MIN(1,MAX(0,(Q864-Inputs!$D$36)/(Inputs!$D$37-Inputs!$D$36)))</f>
        <v>0</v>
      </c>
      <c r="S864" s="35">
        <f>Inputs!$D$6*E864*Inputs!$D$27*(1-Inputs!$D$38*R864)</f>
        <v>3441.7082745592616</v>
      </c>
      <c r="T864" s="39">
        <f>S864*Inputs!$D$12</f>
        <v>55067.332392948185</v>
      </c>
      <c r="U864" s="39">
        <f>T864*(1-Inputs!$D$18)</f>
        <v>24780.299576826681</v>
      </c>
      <c r="V864" s="35">
        <f>Inputs!$D$6*F864*Inputs!$D$28*Inputs!$D$31</f>
        <v>684.36330569102222</v>
      </c>
      <c r="W864" s="36">
        <f>V864/(B864*Inputs!$D$34)</f>
        <v>0.93110653835513224</v>
      </c>
      <c r="X864" s="38">
        <f>IF(W864&gt;=1,999,W864/(Inputs!$D$34*(1-W864))*60)</f>
        <v>23.16885520150278</v>
      </c>
      <c r="Y864" s="37">
        <f>MIN(1,MAX(0,(X864-Inputs!$D$36)/(Inputs!$D$37-Inputs!$D$36)))</f>
        <v>1</v>
      </c>
      <c r="Z864" s="35">
        <f>Inputs!$D$6*F864*Inputs!$D$28*(1-Inputs!$D$38*Y864)</f>
        <v>2895.3832163850943</v>
      </c>
      <c r="AA864" s="39">
        <f>Z864*Inputs!$D$13</f>
        <v>24610.757339273303</v>
      </c>
      <c r="AB864" s="39">
        <f>AA864*(1-Inputs!$D$19)</f>
        <v>14766.454403563981</v>
      </c>
      <c r="AC864" s="39">
        <f t="shared" si="52"/>
        <v>352511.86423222156</v>
      </c>
      <c r="AD864" s="39">
        <f t="shared" si="53"/>
        <v>135038.57505539068</v>
      </c>
      <c r="AE864" s="36">
        <f t="shared" si="54"/>
        <v>0.93110653835513224</v>
      </c>
      <c r="AF864" s="35">
        <f>IF(AND(AE864&lt;=Inputs!$D$35,C864&gt;=Inputs!$D$48*(A864+B864+C864),B864*Inputs!$D$22&lt;=Inputs!$D$50*Inputs!$D$8,B864*Inputs!$D$22&gt;=Inputs!$D$49*Inputs!$D$8,A864*Inputs!$D$20&lt;=Inputs!$D$47*Inputs!$D$8,C864&gt;=1),1,0)</f>
        <v>0</v>
      </c>
      <c r="AG864" s="39">
        <f t="shared" si="55"/>
        <v>-1</v>
      </c>
    </row>
    <row r="865" spans="1:33" x14ac:dyDescent="0.25">
      <c r="A865" s="35">
        <v>61</v>
      </c>
      <c r="B865" s="35">
        <v>22</v>
      </c>
      <c r="C865" s="35">
        <f>Inputs!$D$8-A865-Inputs!$D$22*B865</f>
        <v>15</v>
      </c>
      <c r="D865" s="35">
        <f>A865*Inputs!$D$20+C865*Inputs!$D$21+B865*Inputs!$D$22</f>
        <v>120</v>
      </c>
      <c r="E865" s="36">
        <f>MIN(Inputs!$E$15,Inputs!$D$15*(C865/Inputs!$D$43)^Inputs!$D$44)</f>
        <v>0.27882309014433088</v>
      </c>
      <c r="F865" s="36">
        <f>MIN(Inputs!$E$16,Inputs!$D$16*(B865/Inputs!$D$42)^Inputs!$D$44)</f>
        <v>0.41160230376843804</v>
      </c>
      <c r="G865" s="37">
        <f>Inputs!$D$26*(1+Inputs!$D$41*(B865-Inputs!$D$42))</f>
        <v>1.53</v>
      </c>
      <c r="H865" s="35">
        <f>Inputs!$D$6*Inputs!$D$14*G865*Inputs!$D$29</f>
        <v>1922.3379</v>
      </c>
      <c r="I865" s="36">
        <f>H865/(A865*Inputs!$D$32)</f>
        <v>0.57297701937406853</v>
      </c>
      <c r="J865" s="38">
        <f>IF(I865&gt;=1,999,I865/(Inputs!$D$32*(1-I865))*60)</f>
        <v>1.4637756459873481</v>
      </c>
      <c r="K865" s="37">
        <f>MIN(1,MAX(0,(J865-Inputs!$D$36)/(Inputs!$D$37-Inputs!$D$36)))</f>
        <v>0</v>
      </c>
      <c r="L865" s="35">
        <f>Inputs!$D$6*Inputs!$D$14*G865*(1-Inputs!$D$38*K865)</f>
        <v>12815.586000000001</v>
      </c>
      <c r="M865" s="39">
        <f>L865*Inputs!$D$11</f>
        <v>275535.09900000005</v>
      </c>
      <c r="N865" s="39">
        <f>M865*(1-Inputs!$D$17)</f>
        <v>96437.284650000016</v>
      </c>
      <c r="O865" s="35">
        <f>Inputs!$D$6*E865*Inputs!$D$27*Inputs!$D$30</f>
        <v>397.78463449295054</v>
      </c>
      <c r="P865" s="36">
        <f>O865/(C865*Inputs!$D$33)</f>
        <v>0.66297439082158427</v>
      </c>
      <c r="Q865" s="38">
        <f>IF(P865&gt;=1,999,P865/(Inputs!$D$33*(1-P865))*60)</f>
        <v>2.9507003597044905</v>
      </c>
      <c r="R865" s="37">
        <f>MIN(1,MAX(0,(Q865-Inputs!$D$36)/(Inputs!$D$37-Inputs!$D$36)))</f>
        <v>0</v>
      </c>
      <c r="S865" s="35">
        <f>Inputs!$D$6*E865*Inputs!$D$27*(1-Inputs!$D$38*R865)</f>
        <v>3314.8719541079213</v>
      </c>
      <c r="T865" s="39">
        <f>S865*Inputs!$D$12</f>
        <v>53037.951265726741</v>
      </c>
      <c r="U865" s="39">
        <f>T865*(1-Inputs!$D$18)</f>
        <v>23867.07806957703</v>
      </c>
      <c r="V865" s="35">
        <f>Inputs!$D$6*F865*Inputs!$D$28*Inputs!$D$31</f>
        <v>693.98124106416742</v>
      </c>
      <c r="W865" s="36">
        <f>V865/(B865*Inputs!$D$34)</f>
        <v>0.90127433904437326</v>
      </c>
      <c r="X865" s="38">
        <f>IF(W865&gt;=1,999,W865/(Inputs!$D$34*(1-W865))*60)</f>
        <v>15.649849381818807</v>
      </c>
      <c r="Y865" s="37">
        <f>MIN(1,MAX(0,(X865-Inputs!$D$36)/(Inputs!$D$37-Inputs!$D$36)))</f>
        <v>0.70998995878792048</v>
      </c>
      <c r="Z865" s="35">
        <f>Inputs!$D$6*F865*Inputs!$D$28*(1-Inputs!$D$38*Y865)</f>
        <v>3632.749002537963</v>
      </c>
      <c r="AA865" s="39">
        <f>Z865*Inputs!$D$13</f>
        <v>30878.366521572687</v>
      </c>
      <c r="AB865" s="39">
        <f>AA865*(1-Inputs!$D$19)</f>
        <v>18527.019912943611</v>
      </c>
      <c r="AC865" s="39">
        <f t="shared" si="52"/>
        <v>359451.4167872995</v>
      </c>
      <c r="AD865" s="39">
        <f t="shared" si="53"/>
        <v>138831.38263252066</v>
      </c>
      <c r="AE865" s="36">
        <f t="shared" si="54"/>
        <v>0.90127433904437326</v>
      </c>
      <c r="AF865" s="35">
        <f>IF(AND(AE865&lt;=Inputs!$D$35,C865&gt;=Inputs!$D$48*(A865+B865+C865),B865*Inputs!$D$22&lt;=Inputs!$D$50*Inputs!$D$8,B865*Inputs!$D$22&gt;=Inputs!$D$49*Inputs!$D$8,A865*Inputs!$D$20&lt;=Inputs!$D$47*Inputs!$D$8,C865&gt;=1),1,0)</f>
        <v>0</v>
      </c>
      <c r="AG865" s="39">
        <f t="shared" si="55"/>
        <v>-1</v>
      </c>
    </row>
    <row r="866" spans="1:33" x14ac:dyDescent="0.25">
      <c r="A866" s="35">
        <v>61</v>
      </c>
      <c r="B866" s="35">
        <v>23</v>
      </c>
      <c r="C866" s="35">
        <f>Inputs!$D$8-A866-Inputs!$D$22*B866</f>
        <v>13</v>
      </c>
      <c r="D866" s="35">
        <f>A866*Inputs!$D$20+C866*Inputs!$D$21+B866*Inputs!$D$22</f>
        <v>120</v>
      </c>
      <c r="E866" s="36">
        <f>MIN(Inputs!$E$15,Inputs!$D$15*(C866/Inputs!$D$43)^Inputs!$D$44)</f>
        <v>0.26710644306172537</v>
      </c>
      <c r="F866" s="36">
        <f>MIN(Inputs!$E$16,Inputs!$D$16*(B866/Inputs!$D$42)^Inputs!$D$44)</f>
        <v>0.41712800028621322</v>
      </c>
      <c r="G866" s="37">
        <f>Inputs!$D$26*(1+Inputs!$D$41*(B866-Inputs!$D$42))</f>
        <v>1.5449999999999999</v>
      </c>
      <c r="H866" s="35">
        <f>Inputs!$D$6*Inputs!$D$14*G866*Inputs!$D$29</f>
        <v>1941.18435</v>
      </c>
      <c r="I866" s="36">
        <f>H866/(A866*Inputs!$D$32)</f>
        <v>0.5785944411326378</v>
      </c>
      <c r="J866" s="38">
        <f>IF(I866&gt;=1,999,I866/(Inputs!$D$32*(1-I866))*60)</f>
        <v>1.4978301128194855</v>
      </c>
      <c r="K866" s="37">
        <f>MIN(1,MAX(0,(J866-Inputs!$D$36)/(Inputs!$D$37-Inputs!$D$36)))</f>
        <v>0</v>
      </c>
      <c r="L866" s="35">
        <f>Inputs!$D$6*Inputs!$D$14*G866*(1-Inputs!$D$38*K866)</f>
        <v>12941.229000000001</v>
      </c>
      <c r="M866" s="39">
        <f>L866*Inputs!$D$11</f>
        <v>278236.42350000003</v>
      </c>
      <c r="N866" s="39">
        <f>M866*(1-Inputs!$D$17)</f>
        <v>97382.748225000003</v>
      </c>
      <c r="O866" s="35">
        <f>Inputs!$D$6*E866*Inputs!$D$27*Inputs!$D$30</f>
        <v>381.06900963266889</v>
      </c>
      <c r="P866" s="36">
        <f>O866/(C866*Inputs!$D$33)</f>
        <v>0.73282501852436321</v>
      </c>
      <c r="Q866" s="38">
        <f>IF(P866&gt;=1,999,P866/(Inputs!$D$33*(1-P866))*60)</f>
        <v>4.1142981341865736</v>
      </c>
      <c r="R866" s="37">
        <f>MIN(1,MAX(0,(Q866-Inputs!$D$36)/(Inputs!$D$37-Inputs!$D$36)))</f>
        <v>0</v>
      </c>
      <c r="S866" s="35">
        <f>Inputs!$D$6*E866*Inputs!$D$27*(1-Inputs!$D$38*R866)</f>
        <v>3175.5750802722409</v>
      </c>
      <c r="T866" s="39">
        <f>S866*Inputs!$D$12</f>
        <v>50809.201284355855</v>
      </c>
      <c r="U866" s="39">
        <f>T866*(1-Inputs!$D$18)</f>
        <v>22864.140577960134</v>
      </c>
      <c r="V866" s="35">
        <f>Inputs!$D$6*F866*Inputs!$D$28*Inputs!$D$31</f>
        <v>703.29783062656929</v>
      </c>
      <c r="W866" s="36">
        <f>V866/(B866*Inputs!$D$34)</f>
        <v>0.87366190139946498</v>
      </c>
      <c r="X866" s="38">
        <f>IF(W866&gt;=1,999,W866/(Inputs!$D$34*(1-W866))*60)</f>
        <v>11.854746377182334</v>
      </c>
      <c r="Y866" s="37">
        <f>MIN(1,MAX(0,(X866-Inputs!$D$36)/(Inputs!$D$37-Inputs!$D$36)))</f>
        <v>0.45698309181215557</v>
      </c>
      <c r="Z866" s="35">
        <f>Inputs!$D$6*F866*Inputs!$D$28*(1-Inputs!$D$38*Y866)</f>
        <v>4297.4614071503011</v>
      </c>
      <c r="AA866" s="39">
        <f>Z866*Inputs!$D$13</f>
        <v>36528.421960777559</v>
      </c>
      <c r="AB866" s="39">
        <f>AA866*(1-Inputs!$D$19)</f>
        <v>21917.053176466536</v>
      </c>
      <c r="AC866" s="39">
        <f t="shared" si="52"/>
        <v>365574.04674513341</v>
      </c>
      <c r="AD866" s="39">
        <f t="shared" si="53"/>
        <v>142163.94197942666</v>
      </c>
      <c r="AE866" s="36">
        <f t="shared" si="54"/>
        <v>0.87366190139946498</v>
      </c>
      <c r="AF866" s="35">
        <f>IF(AND(AE866&lt;=Inputs!$D$35,C866&gt;=Inputs!$D$48*(A866+B866+C866),B866*Inputs!$D$22&lt;=Inputs!$D$50*Inputs!$D$8,B866*Inputs!$D$22&gt;=Inputs!$D$49*Inputs!$D$8,A866*Inputs!$D$20&lt;=Inputs!$D$47*Inputs!$D$8,C866&gt;=1),1,0)</f>
        <v>0</v>
      </c>
      <c r="AG866" s="39">
        <f t="shared" si="55"/>
        <v>-1</v>
      </c>
    </row>
    <row r="867" spans="1:33" x14ac:dyDescent="0.25">
      <c r="A867" s="35">
        <v>61</v>
      </c>
      <c r="B867" s="35">
        <v>24</v>
      </c>
      <c r="C867" s="35">
        <f>Inputs!$D$8-A867-Inputs!$D$22*B867</f>
        <v>11</v>
      </c>
      <c r="D867" s="35">
        <f>A867*Inputs!$D$20+C867*Inputs!$D$21+B867*Inputs!$D$22</f>
        <v>120</v>
      </c>
      <c r="E867" s="36">
        <f>MIN(Inputs!$E$15,Inputs!$D$15*(C867/Inputs!$D$43)^Inputs!$D$44)</f>
        <v>0.25404997933787238</v>
      </c>
      <c r="F867" s="36">
        <f>MIN(Inputs!$E$16,Inputs!$D$16*(B867/Inputs!$D$42)^Inputs!$D$44)</f>
        <v>0.42248798737570326</v>
      </c>
      <c r="G867" s="37">
        <f>Inputs!$D$26*(1+Inputs!$D$41*(B867-Inputs!$D$42))</f>
        <v>1.56</v>
      </c>
      <c r="H867" s="35">
        <f>Inputs!$D$6*Inputs!$D$14*G867*Inputs!$D$29</f>
        <v>1960.0308</v>
      </c>
      <c r="I867" s="36">
        <f>H867/(A867*Inputs!$D$32)</f>
        <v>0.58421186289120719</v>
      </c>
      <c r="J867" s="38">
        <f>IF(I867&gt;=1,999,I867/(Inputs!$D$32*(1-I867))*60)</f>
        <v>1.5328047516617702</v>
      </c>
      <c r="K867" s="37">
        <f>MIN(1,MAX(0,(J867-Inputs!$D$36)/(Inputs!$D$37-Inputs!$D$36)))</f>
        <v>0</v>
      </c>
      <c r="L867" s="35">
        <f>Inputs!$D$6*Inputs!$D$14*G867*(1-Inputs!$D$38*K867)</f>
        <v>13066.872000000001</v>
      </c>
      <c r="M867" s="39">
        <f>L867*Inputs!$D$11</f>
        <v>280937.74800000002</v>
      </c>
      <c r="N867" s="39">
        <f>M867*(1-Inputs!$D$17)</f>
        <v>98328.211800000005</v>
      </c>
      <c r="O867" s="35">
        <f>Inputs!$D$6*E867*Inputs!$D$27*Inputs!$D$30</f>
        <v>362.44192732225167</v>
      </c>
      <c r="P867" s="36">
        <f>O867/(C867*Inputs!$D$33)</f>
        <v>0.82373165300511741</v>
      </c>
      <c r="Q867" s="38">
        <f>IF(P867&gt;=1,999,P867/(Inputs!$D$33*(1-P867))*60)</f>
        <v>7.0097524630644434</v>
      </c>
      <c r="R867" s="37">
        <f>MIN(1,MAX(0,(Q867-Inputs!$D$36)/(Inputs!$D$37-Inputs!$D$36)))</f>
        <v>0.13398349753762956</v>
      </c>
      <c r="S867" s="35">
        <f>Inputs!$D$6*E867*Inputs!$D$27*(1-Inputs!$D$38*R867)</f>
        <v>2838.2447553136676</v>
      </c>
      <c r="T867" s="39">
        <f>S867*Inputs!$D$12</f>
        <v>45411.916085018682</v>
      </c>
      <c r="U867" s="39">
        <f>T867*(1-Inputs!$D$18)</f>
        <v>20435.362238258404</v>
      </c>
      <c r="V867" s="35">
        <f>Inputs!$D$6*F867*Inputs!$D$28*Inputs!$D$31</f>
        <v>712.33502613882979</v>
      </c>
      <c r="W867" s="36">
        <f>V867/(B867*Inputs!$D$34)</f>
        <v>0.84801788826051161</v>
      </c>
      <c r="X867" s="38">
        <f>IF(W867&gt;=1,999,W867/(Inputs!$D$34*(1-W867))*60)</f>
        <v>9.5652372155190832</v>
      </c>
      <c r="Y867" s="37">
        <f>MIN(1,MAX(0,(X867-Inputs!$D$36)/(Inputs!$D$37-Inputs!$D$36)))</f>
        <v>0.30434914770127219</v>
      </c>
      <c r="Z867" s="35">
        <f>Inputs!$D$6*F867*Inputs!$D$28*(1-Inputs!$D$38*Y867)</f>
        <v>4729.0436538571339</v>
      </c>
      <c r="AA867" s="39">
        <f>Z867*Inputs!$D$13</f>
        <v>40196.87105778564</v>
      </c>
      <c r="AB867" s="39">
        <f>AA867*(1-Inputs!$D$19)</f>
        <v>24118.122634671385</v>
      </c>
      <c r="AC867" s="39">
        <f t="shared" si="52"/>
        <v>366546.53514280432</v>
      </c>
      <c r="AD867" s="39">
        <f t="shared" si="53"/>
        <v>142881.6966729298</v>
      </c>
      <c r="AE867" s="36">
        <f t="shared" si="54"/>
        <v>0.84801788826051161</v>
      </c>
      <c r="AF867" s="35">
        <f>IF(AND(AE867&lt;=Inputs!$D$35,C867&gt;=Inputs!$D$48*(A867+B867+C867),B867*Inputs!$D$22&lt;=Inputs!$D$50*Inputs!$D$8,B867*Inputs!$D$22&gt;=Inputs!$D$49*Inputs!$D$8,A867*Inputs!$D$20&lt;=Inputs!$D$47*Inputs!$D$8,C867&gt;=1),1,0)</f>
        <v>0</v>
      </c>
      <c r="AG867" s="39">
        <f t="shared" si="55"/>
        <v>-1</v>
      </c>
    </row>
    <row r="868" spans="1:33" x14ac:dyDescent="0.25">
      <c r="A868" s="35">
        <v>61</v>
      </c>
      <c r="B868" s="35">
        <v>25</v>
      </c>
      <c r="C868" s="35">
        <f>Inputs!$D$8-A868-Inputs!$D$22*B868</f>
        <v>9</v>
      </c>
      <c r="D868" s="35">
        <f>A868*Inputs!$D$20+C868*Inputs!$D$21+B868*Inputs!$D$22</f>
        <v>120</v>
      </c>
      <c r="E868" s="36">
        <f>MIN(Inputs!$E$15,Inputs!$D$15*(C868/Inputs!$D$43)^Inputs!$D$44)</f>
        <v>0.23920712491579582</v>
      </c>
      <c r="F868" s="36">
        <f>MIN(Inputs!$E$16,Inputs!$D$16*(B868/Inputs!$D$42)^Inputs!$D$44)</f>
        <v>0.42769383999647526</v>
      </c>
      <c r="G868" s="37">
        <f>Inputs!$D$26*(1+Inputs!$D$41*(B868-Inputs!$D$42))</f>
        <v>1.5750000000000002</v>
      </c>
      <c r="H868" s="35">
        <f>Inputs!$D$6*Inputs!$D$14*G868*Inputs!$D$29</f>
        <v>1978.8772500000005</v>
      </c>
      <c r="I868" s="36">
        <f>H868/(A868*Inputs!$D$32)</f>
        <v>0.58982928464977658</v>
      </c>
      <c r="J868" s="38">
        <f>IF(I868&gt;=1,999,I868/(Inputs!$D$32*(1-I868))*60)</f>
        <v>1.5687373686818149</v>
      </c>
      <c r="K868" s="37">
        <f>MIN(1,MAX(0,(J868-Inputs!$D$36)/(Inputs!$D$37-Inputs!$D$36)))</f>
        <v>0</v>
      </c>
      <c r="L868" s="35">
        <f>Inputs!$D$6*Inputs!$D$14*G868*(1-Inputs!$D$38*K868)</f>
        <v>13192.515000000003</v>
      </c>
      <c r="M868" s="39">
        <f>L868*Inputs!$D$11</f>
        <v>283639.07250000007</v>
      </c>
      <c r="N868" s="39">
        <f>M868*(1-Inputs!$D$17)</f>
        <v>99273.675375000021</v>
      </c>
      <c r="O868" s="35">
        <f>Inputs!$D$6*E868*Inputs!$D$27*Inputs!$D$30</f>
        <v>341.26628000386961</v>
      </c>
      <c r="P868" s="36">
        <f>O868/(C868*Inputs!$D$33)</f>
        <v>0.94796188889963784</v>
      </c>
      <c r="Q868" s="38">
        <f>IF(P868&gt;=1,999,P868/(Inputs!$D$33*(1-P868))*60)</f>
        <v>27.325027816767943</v>
      </c>
      <c r="R868" s="37">
        <f>MIN(1,MAX(0,(Q868-Inputs!$D$36)/(Inputs!$D$37-Inputs!$D$36)))</f>
        <v>1</v>
      </c>
      <c r="S868" s="35">
        <f>Inputs!$D$6*E868*Inputs!$D$27*(1-Inputs!$D$38*R868)</f>
        <v>1564.1371166844026</v>
      </c>
      <c r="T868" s="39">
        <f>S868*Inputs!$D$12</f>
        <v>25026.193866950442</v>
      </c>
      <c r="U868" s="39">
        <f>T868*(1-Inputs!$D$18)</f>
        <v>11261.787240127698</v>
      </c>
      <c r="V868" s="35">
        <f>Inputs!$D$6*F868*Inputs!$D$28*Inputs!$D$31</f>
        <v>721.1123435383771</v>
      </c>
      <c r="W868" s="36">
        <f>V868/(B868*Inputs!$D$34)</f>
        <v>0.82412839261528814</v>
      </c>
      <c r="X868" s="38">
        <f>IF(W868&gt;=1,999,W868/(Inputs!$D$34*(1-W868))*60)</f>
        <v>8.0330847668163621</v>
      </c>
      <c r="Y868" s="37">
        <f>MIN(1,MAX(0,(X868-Inputs!$D$36)/(Inputs!$D$37-Inputs!$D$36)))</f>
        <v>0.20220565112109082</v>
      </c>
      <c r="Z868" s="35">
        <f>Inputs!$D$6*F868*Inputs!$D$28*(1-Inputs!$D$38*Y868)</f>
        <v>5042.2807508299393</v>
      </c>
      <c r="AA868" s="39">
        <f>Z868*Inputs!$D$13</f>
        <v>42859.386382054487</v>
      </c>
      <c r="AB868" s="39">
        <f>AA868*(1-Inputs!$D$19)</f>
        <v>25715.631829232691</v>
      </c>
      <c r="AC868" s="39">
        <f t="shared" si="52"/>
        <v>351524.65274900501</v>
      </c>
      <c r="AD868" s="39">
        <f t="shared" si="53"/>
        <v>136251.09444436041</v>
      </c>
      <c r="AE868" s="36">
        <f t="shared" si="54"/>
        <v>0.94796188889963784</v>
      </c>
      <c r="AF868" s="35">
        <f>IF(AND(AE868&lt;=Inputs!$D$35,C868&gt;=Inputs!$D$48*(A868+B868+C868),B868*Inputs!$D$22&lt;=Inputs!$D$50*Inputs!$D$8,B868*Inputs!$D$22&gt;=Inputs!$D$49*Inputs!$D$8,A868*Inputs!$D$20&lt;=Inputs!$D$47*Inputs!$D$8,C868&gt;=1),1,0)</f>
        <v>0</v>
      </c>
      <c r="AG868" s="39">
        <f t="shared" si="55"/>
        <v>-1</v>
      </c>
    </row>
    <row r="869" spans="1:33" x14ac:dyDescent="0.25">
      <c r="A869" s="35">
        <v>61</v>
      </c>
      <c r="B869" s="35">
        <v>26</v>
      </c>
      <c r="C869" s="35">
        <f>Inputs!$D$8-A869-Inputs!$D$22*B869</f>
        <v>7</v>
      </c>
      <c r="D869" s="35">
        <f>A869*Inputs!$D$20+C869*Inputs!$D$21+B869*Inputs!$D$22</f>
        <v>120</v>
      </c>
      <c r="E869" s="36">
        <f>MIN(Inputs!$E$15,Inputs!$D$15*(C869/Inputs!$D$43)^Inputs!$D$44)</f>
        <v>0.2218353587738203</v>
      </c>
      <c r="F869" s="36">
        <f>MIN(Inputs!$E$16,Inputs!$D$16*(B869/Inputs!$D$42)^Inputs!$D$44)</f>
        <v>0.43275589945781112</v>
      </c>
      <c r="G869" s="37">
        <f>Inputs!$D$26*(1+Inputs!$D$41*(B869-Inputs!$D$42))</f>
        <v>1.59</v>
      </c>
      <c r="H869" s="35">
        <f>Inputs!$D$6*Inputs!$D$14*G869*Inputs!$D$29</f>
        <v>1997.7237</v>
      </c>
      <c r="I869" s="36">
        <f>H869/(A869*Inputs!$D$32)</f>
        <v>0.59544670640834574</v>
      </c>
      <c r="J869" s="38">
        <f>IF(I869&gt;=1,999,I869/(Inputs!$D$32*(1-I869))*60)</f>
        <v>1.6056678698762703</v>
      </c>
      <c r="K869" s="37">
        <f>MIN(1,MAX(0,(J869-Inputs!$D$36)/(Inputs!$D$37-Inputs!$D$36)))</f>
        <v>0</v>
      </c>
      <c r="L869" s="35">
        <f>Inputs!$D$6*Inputs!$D$14*G869*(1-Inputs!$D$38*K869)</f>
        <v>13318.158000000001</v>
      </c>
      <c r="M869" s="39">
        <f>L869*Inputs!$D$11</f>
        <v>286340.39700000006</v>
      </c>
      <c r="N869" s="39">
        <f>M869*(1-Inputs!$D$17)</f>
        <v>100219.13895000001</v>
      </c>
      <c r="O869" s="35">
        <f>Inputs!$D$6*E869*Inputs!$D$27*Inputs!$D$30</f>
        <v>316.48274560682341</v>
      </c>
      <c r="P869" s="36">
        <f>O869/(C869*Inputs!$D$33)</f>
        <v>1.1302955200243694</v>
      </c>
      <c r="Q869" s="38">
        <f>IF(P869&gt;=1,999,P869/(Inputs!$D$33*(1-P869))*60)</f>
        <v>999</v>
      </c>
      <c r="R869" s="37">
        <f>MIN(1,MAX(0,(Q869-Inputs!$D$36)/(Inputs!$D$37-Inputs!$D$36)))</f>
        <v>1</v>
      </c>
      <c r="S869" s="35">
        <f>Inputs!$D$6*E869*Inputs!$D$27*(1-Inputs!$D$38*R869)</f>
        <v>1450.5459173646075</v>
      </c>
      <c r="T869" s="39">
        <f>S869*Inputs!$D$12</f>
        <v>23208.73467783372</v>
      </c>
      <c r="U869" s="39">
        <f>T869*(1-Inputs!$D$18)</f>
        <v>10443.930605025173</v>
      </c>
      <c r="V869" s="35">
        <f>Inputs!$D$6*F869*Inputs!$D$28*Inputs!$D$31</f>
        <v>729.64721876904355</v>
      </c>
      <c r="W869" s="36">
        <f>V869/(B869*Inputs!$D$34)</f>
        <v>0.80181013051543248</v>
      </c>
      <c r="X869" s="38">
        <f>IF(W869&gt;=1,999,W869/(Inputs!$D$34*(1-W869))*60)</f>
        <v>6.9354284146153136</v>
      </c>
      <c r="Y869" s="37">
        <f>MIN(1,MAX(0,(X869-Inputs!$D$36)/(Inputs!$D$37-Inputs!$D$36)))</f>
        <v>0.12902856097435425</v>
      </c>
      <c r="Z869" s="35">
        <f>Inputs!$D$6*F869*Inputs!$D$28*(1-Inputs!$D$38*Y869)</f>
        <v>5286.7832305655711</v>
      </c>
      <c r="AA869" s="39">
        <f>Z869*Inputs!$D$13</f>
        <v>44937.657459807357</v>
      </c>
      <c r="AB869" s="39">
        <f>AA869*(1-Inputs!$D$19)</f>
        <v>26962.594475884413</v>
      </c>
      <c r="AC869" s="39">
        <f t="shared" si="52"/>
        <v>354486.78913764114</v>
      </c>
      <c r="AD869" s="39">
        <f t="shared" si="53"/>
        <v>137625.6640309096</v>
      </c>
      <c r="AE869" s="36">
        <f t="shared" si="54"/>
        <v>1.1302955200243694</v>
      </c>
      <c r="AF869" s="35">
        <f>IF(AND(AE869&lt;=Inputs!$D$35,C869&gt;=Inputs!$D$48*(A869+B869+C869),B869*Inputs!$D$22&lt;=Inputs!$D$50*Inputs!$D$8,B869*Inputs!$D$22&gt;=Inputs!$D$49*Inputs!$D$8,A869*Inputs!$D$20&lt;=Inputs!$D$47*Inputs!$D$8,C869&gt;=1),1,0)</f>
        <v>0</v>
      </c>
      <c r="AG869" s="39">
        <f t="shared" si="55"/>
        <v>-1</v>
      </c>
    </row>
    <row r="870" spans="1:33" x14ac:dyDescent="0.25">
      <c r="A870" s="35">
        <v>61</v>
      </c>
      <c r="B870" s="35">
        <v>27</v>
      </c>
      <c r="C870" s="35">
        <f>Inputs!$D$8-A870-Inputs!$D$22*B870</f>
        <v>5</v>
      </c>
      <c r="D870" s="35">
        <f>A870*Inputs!$D$20+C870*Inputs!$D$21+B870*Inputs!$D$22</f>
        <v>120</v>
      </c>
      <c r="E870" s="36">
        <f>MIN(Inputs!$E$15,Inputs!$D$15*(C870/Inputs!$D$43)^Inputs!$D$44)</f>
        <v>0.20053600538400315</v>
      </c>
      <c r="F870" s="36">
        <f>MIN(Inputs!$E$16,Inputs!$D$16*(B870/Inputs!$D$42)^Inputs!$D$44)</f>
        <v>0.43768344678187454</v>
      </c>
      <c r="G870" s="37">
        <f>Inputs!$D$26*(1+Inputs!$D$41*(B870-Inputs!$D$42))</f>
        <v>1.605</v>
      </c>
      <c r="H870" s="35">
        <f>Inputs!$D$6*Inputs!$D$14*G870*Inputs!$D$29</f>
        <v>2016.57015</v>
      </c>
      <c r="I870" s="36">
        <f>H870/(A870*Inputs!$D$32)</f>
        <v>0.60106412816691501</v>
      </c>
      <c r="J870" s="38">
        <f>IF(I870&gt;=1,999,I870/(Inputs!$D$32*(1-I870))*60)</f>
        <v>1.6436384089094462</v>
      </c>
      <c r="K870" s="37">
        <f>MIN(1,MAX(0,(J870-Inputs!$D$36)/(Inputs!$D$37-Inputs!$D$36)))</f>
        <v>0</v>
      </c>
      <c r="L870" s="35">
        <f>Inputs!$D$6*Inputs!$D$14*G870*(1-Inputs!$D$38*K870)</f>
        <v>13443.801000000001</v>
      </c>
      <c r="M870" s="39">
        <f>L870*Inputs!$D$11</f>
        <v>289041.72150000004</v>
      </c>
      <c r="N870" s="39">
        <f>M870*(1-Inputs!$D$17)</f>
        <v>101164.60252500001</v>
      </c>
      <c r="O870" s="35">
        <f>Inputs!$D$6*E870*Inputs!$D$27*Inputs!$D$30</f>
        <v>286.09589529712042</v>
      </c>
      <c r="P870" s="36">
        <f>O870/(C870*Inputs!$D$33)</f>
        <v>1.4304794764856021</v>
      </c>
      <c r="Q870" s="38">
        <f>IF(P870&gt;=1,999,P870/(Inputs!$D$33*(1-P870))*60)</f>
        <v>999</v>
      </c>
      <c r="R870" s="37">
        <f>MIN(1,MAX(0,(Q870-Inputs!$D$36)/(Inputs!$D$37-Inputs!$D$36)))</f>
        <v>1</v>
      </c>
      <c r="S870" s="35">
        <f>Inputs!$D$6*E870*Inputs!$D$27*(1-Inputs!$D$38*R870)</f>
        <v>1311.2728534451353</v>
      </c>
      <c r="T870" s="39">
        <f>S870*Inputs!$D$12</f>
        <v>20980.365655122165</v>
      </c>
      <c r="U870" s="39">
        <f>T870*(1-Inputs!$D$18)</f>
        <v>9441.164544804973</v>
      </c>
      <c r="V870" s="35">
        <f>Inputs!$D$6*F870*Inputs!$D$28*Inputs!$D$31</f>
        <v>737.95530007968603</v>
      </c>
      <c r="W870" s="36">
        <f>V870/(B870*Inputs!$D$34)</f>
        <v>0.78090507944940324</v>
      </c>
      <c r="X870" s="38">
        <f>IF(W870&gt;=1,999,W870/(Inputs!$D$34*(1-W870))*60)</f>
        <v>6.1101116290101798</v>
      </c>
      <c r="Y870" s="37">
        <f>MIN(1,MAX(0,(X870-Inputs!$D$36)/(Inputs!$D$37-Inputs!$D$36)))</f>
        <v>7.4007441934011986E-2</v>
      </c>
      <c r="Z870" s="35">
        <f>Inputs!$D$6*F870*Inputs!$D$28*(1-Inputs!$D$38*Y870)</f>
        <v>5487.5301328495489</v>
      </c>
      <c r="AA870" s="39">
        <f>Z870*Inputs!$D$13</f>
        <v>46644.006129221169</v>
      </c>
      <c r="AB870" s="39">
        <f>AA870*(1-Inputs!$D$19)</f>
        <v>27986.4036775327</v>
      </c>
      <c r="AC870" s="39">
        <f t="shared" si="52"/>
        <v>356666.09328434337</v>
      </c>
      <c r="AD870" s="39">
        <f t="shared" si="53"/>
        <v>138592.17074733769</v>
      </c>
      <c r="AE870" s="36">
        <f t="shared" si="54"/>
        <v>1.4304794764856021</v>
      </c>
      <c r="AF870" s="35">
        <f>IF(AND(AE870&lt;=Inputs!$D$35,C870&gt;=Inputs!$D$48*(A870+B870+C870),B870*Inputs!$D$22&lt;=Inputs!$D$50*Inputs!$D$8,B870*Inputs!$D$22&gt;=Inputs!$D$49*Inputs!$D$8,A870*Inputs!$D$20&lt;=Inputs!$D$47*Inputs!$D$8,C870&gt;=1),1,0)</f>
        <v>0</v>
      </c>
      <c r="AG870" s="39">
        <f t="shared" si="55"/>
        <v>-1</v>
      </c>
    </row>
    <row r="871" spans="1:33" x14ac:dyDescent="0.25">
      <c r="A871" s="35">
        <v>61</v>
      </c>
      <c r="B871" s="35">
        <v>28</v>
      </c>
      <c r="C871" s="35">
        <f>Inputs!$D$8-A871-Inputs!$D$22*B871</f>
        <v>3</v>
      </c>
      <c r="D871" s="35">
        <f>A871*Inputs!$D$20+C871*Inputs!$D$21+B871*Inputs!$D$22</f>
        <v>120</v>
      </c>
      <c r="E871" s="36">
        <f>MIN(Inputs!$E$15,Inputs!$D$15*(C871/Inputs!$D$43)^Inputs!$D$44)</f>
        <v>0.17204328832728594</v>
      </c>
      <c r="F871" s="36">
        <f>MIN(Inputs!$E$16,Inputs!$D$16*(B871/Inputs!$D$42)^Inputs!$D$44)</f>
        <v>0.44248484624799689</v>
      </c>
      <c r="G871" s="37">
        <f>Inputs!$D$26*(1+Inputs!$D$41*(B871-Inputs!$D$42))</f>
        <v>1.62</v>
      </c>
      <c r="H871" s="35">
        <f>Inputs!$D$6*Inputs!$D$14*G871*Inputs!$D$29</f>
        <v>2035.4166</v>
      </c>
      <c r="I871" s="36">
        <f>H871/(A871*Inputs!$D$32)</f>
        <v>0.6066815499254844</v>
      </c>
      <c r="J871" s="38">
        <f>IF(I871&gt;=1,999,I871/(Inputs!$D$32*(1-I871))*60)</f>
        <v>1.6826935476206151</v>
      </c>
      <c r="K871" s="37">
        <f>MIN(1,MAX(0,(J871-Inputs!$D$36)/(Inputs!$D$37-Inputs!$D$36)))</f>
        <v>0</v>
      </c>
      <c r="L871" s="35">
        <f>Inputs!$D$6*Inputs!$D$14*G871*(1-Inputs!$D$38*K871)</f>
        <v>13569.444000000001</v>
      </c>
      <c r="M871" s="39">
        <f>L871*Inputs!$D$11</f>
        <v>291743.04600000003</v>
      </c>
      <c r="N871" s="39">
        <f>M871*(1-Inputs!$D$17)</f>
        <v>102110.06610000001</v>
      </c>
      <c r="O871" s="35">
        <f>Inputs!$D$6*E871*Inputs!$D$27*Inputs!$D$30</f>
        <v>245.44658955185244</v>
      </c>
      <c r="P871" s="36">
        <f>O871/(C871*Inputs!$D$33)</f>
        <v>2.0453882462654369</v>
      </c>
      <c r="Q871" s="38">
        <f>IF(P871&gt;=1,999,P871/(Inputs!$D$33*(1-P871))*60)</f>
        <v>999</v>
      </c>
      <c r="R871" s="37">
        <f>MIN(1,MAX(0,(Q871-Inputs!$D$36)/(Inputs!$D$37-Inputs!$D$36)))</f>
        <v>1</v>
      </c>
      <c r="S871" s="35">
        <f>Inputs!$D$6*E871*Inputs!$D$27*(1-Inputs!$D$38*R871)</f>
        <v>1124.9635354459906</v>
      </c>
      <c r="T871" s="39">
        <f>S871*Inputs!$D$12</f>
        <v>17999.41656713585</v>
      </c>
      <c r="U871" s="39">
        <f>T871*(1-Inputs!$D$18)</f>
        <v>8099.7374552111314</v>
      </c>
      <c r="V871" s="35">
        <f>Inputs!$D$6*F871*Inputs!$D$28*Inputs!$D$31</f>
        <v>746.05069004674272</v>
      </c>
      <c r="W871" s="36">
        <f>V871/(B871*Inputs!$D$34)</f>
        <v>0.76127621433341097</v>
      </c>
      <c r="X871" s="38">
        <f>IF(W871&gt;=1,999,W871/(Inputs!$D$34*(1-W871))*60)</f>
        <v>5.4667570523531852</v>
      </c>
      <c r="Y871" s="37">
        <f>MIN(1,MAX(0,(X871-Inputs!$D$36)/(Inputs!$D$37-Inputs!$D$36)))</f>
        <v>3.111713682354568E-2</v>
      </c>
      <c r="Z871" s="35">
        <f>Inputs!$D$6*F871*Inputs!$D$28*(1-Inputs!$D$38*Y871)</f>
        <v>5658.4919801305723</v>
      </c>
      <c r="AA871" s="39">
        <f>Z871*Inputs!$D$13</f>
        <v>48097.181831109861</v>
      </c>
      <c r="AB871" s="39">
        <f>AA871*(1-Inputs!$D$19)</f>
        <v>28858.309098665915</v>
      </c>
      <c r="AC871" s="39">
        <f t="shared" si="52"/>
        <v>357839.64439824573</v>
      </c>
      <c r="AD871" s="39">
        <f t="shared" si="53"/>
        <v>139068.11265387706</v>
      </c>
      <c r="AE871" s="36">
        <f t="shared" si="54"/>
        <v>2.0453882462654369</v>
      </c>
      <c r="AF871" s="35">
        <f>IF(AND(AE871&lt;=Inputs!$D$35,C871&gt;=Inputs!$D$48*(A871+B871+C871),B871*Inputs!$D$22&lt;=Inputs!$D$50*Inputs!$D$8,B871*Inputs!$D$22&gt;=Inputs!$D$49*Inputs!$D$8,A871*Inputs!$D$20&lt;=Inputs!$D$47*Inputs!$D$8,C871&gt;=1),1,0)</f>
        <v>0</v>
      </c>
      <c r="AG871" s="39">
        <f t="shared" si="55"/>
        <v>-1</v>
      </c>
    </row>
    <row r="872" spans="1:33" x14ac:dyDescent="0.25">
      <c r="A872" s="35">
        <v>61</v>
      </c>
      <c r="B872" s="35">
        <v>29</v>
      </c>
      <c r="C872" s="35">
        <f>Inputs!$D$8-A872-Inputs!$D$22*B872</f>
        <v>1</v>
      </c>
      <c r="D872" s="35">
        <f>A872*Inputs!$D$20+C872*Inputs!$D$21+B872*Inputs!$D$22</f>
        <v>120</v>
      </c>
      <c r="E872" s="36">
        <f>MIN(Inputs!$E$15,Inputs!$D$15*(C872/Inputs!$D$43)^Inputs!$D$44)</f>
        <v>0.12373750601653212</v>
      </c>
      <c r="F872" s="36">
        <f>MIN(Inputs!$E$16,Inputs!$D$16*(B872/Inputs!$D$42)^Inputs!$D$44)</f>
        <v>0.44716766511947192</v>
      </c>
      <c r="G872" s="37">
        <f>Inputs!$D$26*(1+Inputs!$D$41*(B872-Inputs!$D$42))</f>
        <v>1.6350000000000002</v>
      </c>
      <c r="H872" s="35">
        <f>Inputs!$D$6*Inputs!$D$14*G872*Inputs!$D$29</f>
        <v>2054.2630500000005</v>
      </c>
      <c r="I872" s="36">
        <f>H872/(A872*Inputs!$D$32)</f>
        <v>0.61229897168405378</v>
      </c>
      <c r="J872" s="38">
        <f>IF(I872&gt;=1,999,I872/(Inputs!$D$32*(1-I872))*60)</f>
        <v>1.7228804304849166</v>
      </c>
      <c r="K872" s="37">
        <f>MIN(1,MAX(0,(J872-Inputs!$D$36)/(Inputs!$D$37-Inputs!$D$36)))</f>
        <v>0</v>
      </c>
      <c r="L872" s="35">
        <f>Inputs!$D$6*Inputs!$D$14*G872*(1-Inputs!$D$38*K872)</f>
        <v>13695.087000000003</v>
      </c>
      <c r="M872" s="39">
        <f>L872*Inputs!$D$11</f>
        <v>294444.37050000008</v>
      </c>
      <c r="N872" s="39">
        <f>M872*(1-Inputs!$D$17)</f>
        <v>103055.52967500003</v>
      </c>
      <c r="O872" s="35">
        <f>Inputs!$D$6*E872*Inputs!$D$27*Inputs!$D$30</f>
        <v>176.53085538352164</v>
      </c>
      <c r="P872" s="36">
        <f>O872/(C872*Inputs!$D$33)</f>
        <v>4.4132713845880414</v>
      </c>
      <c r="Q872" s="38">
        <f>IF(P872&gt;=1,999,P872/(Inputs!$D$33*(1-P872))*60)</f>
        <v>999</v>
      </c>
      <c r="R872" s="37">
        <f>MIN(1,MAX(0,(Q872-Inputs!$D$36)/(Inputs!$D$37-Inputs!$D$36)))</f>
        <v>1</v>
      </c>
      <c r="S872" s="35">
        <f>Inputs!$D$6*E872*Inputs!$D$27*(1-Inputs!$D$38*R872)</f>
        <v>809.09975384114091</v>
      </c>
      <c r="T872" s="39">
        <f>S872*Inputs!$D$12</f>
        <v>12945.596061458255</v>
      </c>
      <c r="U872" s="39">
        <f>T872*(1-Inputs!$D$18)</f>
        <v>5825.5182276562136</v>
      </c>
      <c r="V872" s="35">
        <f>Inputs!$D$6*F872*Inputs!$D$28*Inputs!$D$31</f>
        <v>753.9461474393554</v>
      </c>
      <c r="W872" s="36">
        <f>V872/(B872*Inputs!$D$34)</f>
        <v>0.74280408614714821</v>
      </c>
      <c r="X872" s="38">
        <f>IF(W872&gt;=1,999,W872/(Inputs!$D$34*(1-W872))*60)</f>
        <v>4.9510056918075414</v>
      </c>
      <c r="Y872" s="37">
        <f>MIN(1,MAX(0,(X872-Inputs!$D$36)/(Inputs!$D$37-Inputs!$D$36)))</f>
        <v>0</v>
      </c>
      <c r="Z872" s="35">
        <f>Inputs!$D$6*F872*Inputs!$D$28*(1-Inputs!$D$38*Y872)</f>
        <v>5799.5857495335031</v>
      </c>
      <c r="AA872" s="39">
        <f>Z872*Inputs!$D$13</f>
        <v>49296.478871034778</v>
      </c>
      <c r="AB872" s="39">
        <f>AA872*(1-Inputs!$D$19)</f>
        <v>29577.887322620867</v>
      </c>
      <c r="AC872" s="39">
        <f t="shared" si="52"/>
        <v>356686.44543249311</v>
      </c>
      <c r="AD872" s="39">
        <f t="shared" si="53"/>
        <v>138458.93522527709</v>
      </c>
      <c r="AE872" s="36">
        <f t="shared" si="54"/>
        <v>4.4132713845880414</v>
      </c>
      <c r="AF872" s="35">
        <f>IF(AND(AE872&lt;=Inputs!$D$35,C872&gt;=Inputs!$D$48*(A872+B872+C872),B872*Inputs!$D$22&lt;=Inputs!$D$50*Inputs!$D$8,B872*Inputs!$D$22&gt;=Inputs!$D$49*Inputs!$D$8,A872*Inputs!$D$20&lt;=Inputs!$D$47*Inputs!$D$8,C872&gt;=1),1,0)</f>
        <v>0</v>
      </c>
      <c r="AG872" s="39">
        <f t="shared" si="55"/>
        <v>-1</v>
      </c>
    </row>
    <row r="873" spans="1:33" x14ac:dyDescent="0.25">
      <c r="A873" s="35">
        <v>62</v>
      </c>
      <c r="B873" s="35">
        <v>10</v>
      </c>
      <c r="C873" s="35">
        <f>Inputs!$D$8-A873-Inputs!$D$22*B873</f>
        <v>38</v>
      </c>
      <c r="D873" s="35">
        <f>A873*Inputs!$D$20+C873*Inputs!$D$21+B873*Inputs!$D$22</f>
        <v>120</v>
      </c>
      <c r="E873" s="36">
        <f>MIN(Inputs!$E$15,Inputs!$D$15*(C873/Inputs!$D$43)^Inputs!$D$44)</f>
        <v>0.36849910497273691</v>
      </c>
      <c r="F873" s="36">
        <f>MIN(Inputs!$E$16,Inputs!$D$16*(B873/Inputs!$D$42)^Inputs!$D$44)</f>
        <v>0.32490095854249423</v>
      </c>
      <c r="G873" s="37">
        <f>Inputs!$D$26*(1+Inputs!$D$41*(B873-Inputs!$D$42))</f>
        <v>1.35</v>
      </c>
      <c r="H873" s="35">
        <f>Inputs!$D$6*Inputs!$D$14*G873*Inputs!$D$29</f>
        <v>1696.1805000000004</v>
      </c>
      <c r="I873" s="36">
        <f>H873/(A873*Inputs!$D$32)</f>
        <v>0.4974136363636365</v>
      </c>
      <c r="J873" s="38">
        <f>IF(I873&gt;=1,999,I873/(Inputs!$D$32*(1-I873))*60)</f>
        <v>1.0796812192140004</v>
      </c>
      <c r="K873" s="37">
        <f>MIN(1,MAX(0,(J873-Inputs!$D$36)/(Inputs!$D$37-Inputs!$D$36)))</f>
        <v>0</v>
      </c>
      <c r="L873" s="35">
        <f>Inputs!$D$6*Inputs!$D$14*G873*(1-Inputs!$D$38*K873)</f>
        <v>11307.870000000003</v>
      </c>
      <c r="M873" s="39">
        <f>L873*Inputs!$D$11</f>
        <v>243119.20500000005</v>
      </c>
      <c r="N873" s="39">
        <f>M873*(1-Inputs!$D$17)</f>
        <v>85091.721750000012</v>
      </c>
      <c r="O873" s="35">
        <f>Inputs!$D$6*E873*Inputs!$D$27*Inputs!$D$30</f>
        <v>525.72145910398501</v>
      </c>
      <c r="P873" s="36">
        <f>O873/(C873*Inputs!$D$33)</f>
        <v>0.34586938098946385</v>
      </c>
      <c r="Q873" s="38">
        <f>IF(P873&gt;=1,999,P873/(Inputs!$D$33*(1-P873))*60)</f>
        <v>0.79311999225622454</v>
      </c>
      <c r="R873" s="37">
        <f>MIN(1,MAX(0,(Q873-Inputs!$D$36)/(Inputs!$D$37-Inputs!$D$36)))</f>
        <v>0</v>
      </c>
      <c r="S873" s="35">
        <f>Inputs!$D$6*E873*Inputs!$D$27*(1-Inputs!$D$38*R873)</f>
        <v>4381.012159199875</v>
      </c>
      <c r="T873" s="39">
        <f>S873*Inputs!$D$12</f>
        <v>70096.194547198</v>
      </c>
      <c r="U873" s="39">
        <f>T873*(1-Inputs!$D$18)</f>
        <v>31543.287546239098</v>
      </c>
      <c r="V873" s="35">
        <f>Inputs!$D$6*F873*Inputs!$D$28*Inputs!$D$31</f>
        <v>547.7986113486553</v>
      </c>
      <c r="W873" s="36">
        <f>V873/(B873*Inputs!$D$34)</f>
        <v>1.5651388895675866</v>
      </c>
      <c r="X873" s="38">
        <f>IF(W873&gt;=1,999,W873/(Inputs!$D$34*(1-W873))*60)</f>
        <v>999</v>
      </c>
      <c r="Y873" s="37">
        <f>MIN(1,MAX(0,(X873-Inputs!$D$36)/(Inputs!$D$37-Inputs!$D$36)))</f>
        <v>1</v>
      </c>
      <c r="Z873" s="35">
        <f>Inputs!$D$6*F873*Inputs!$D$28*(1-Inputs!$D$38*Y873)</f>
        <v>2317.6095095520031</v>
      </c>
      <c r="AA873" s="39">
        <f>Z873*Inputs!$D$13</f>
        <v>19699.680831192025</v>
      </c>
      <c r="AB873" s="39">
        <f>AA873*(1-Inputs!$D$19)</f>
        <v>11819.808498715214</v>
      </c>
      <c r="AC873" s="39">
        <f t="shared" si="52"/>
        <v>332915.08037839003</v>
      </c>
      <c r="AD873" s="39">
        <f t="shared" si="53"/>
        <v>128454.81779495432</v>
      </c>
      <c r="AE873" s="36">
        <f t="shared" si="54"/>
        <v>1.5651388895675866</v>
      </c>
      <c r="AF873" s="35">
        <f>IF(AND(AE873&lt;=Inputs!$D$35,C873&gt;=Inputs!$D$48*(A873+B873+C873),B873*Inputs!$D$22&lt;=Inputs!$D$50*Inputs!$D$8,B873*Inputs!$D$22&gt;=Inputs!$D$49*Inputs!$D$8,A873*Inputs!$D$20&lt;=Inputs!$D$47*Inputs!$D$8,C873&gt;=1),1,0)</f>
        <v>0</v>
      </c>
      <c r="AG873" s="39">
        <f t="shared" si="55"/>
        <v>-1</v>
      </c>
    </row>
    <row r="874" spans="1:33" x14ac:dyDescent="0.25">
      <c r="A874" s="35">
        <v>62</v>
      </c>
      <c r="B874" s="35">
        <v>11</v>
      </c>
      <c r="C874" s="35">
        <f>Inputs!$D$8-A874-Inputs!$D$22*B874</f>
        <v>36</v>
      </c>
      <c r="D874" s="35">
        <f>A874*Inputs!$D$20+C874*Inputs!$D$21+B874*Inputs!$D$22</f>
        <v>120</v>
      </c>
      <c r="E874" s="36">
        <f>MIN(Inputs!$E$15,Inputs!$D$15*(C874/Inputs!$D$43)^Inputs!$D$44)</f>
        <v>0.36257020206219398</v>
      </c>
      <c r="F874" s="36">
        <f>MIN(Inputs!$E$16,Inputs!$D$16*(B874/Inputs!$D$42)^Inputs!$D$44)</f>
        <v>0.33432495758166098</v>
      </c>
      <c r="G874" s="37">
        <f>Inputs!$D$26*(1+Inputs!$D$41*(B874-Inputs!$D$42))</f>
        <v>1.365</v>
      </c>
      <c r="H874" s="35">
        <f>Inputs!$D$6*Inputs!$D$14*G874*Inputs!$D$29</f>
        <v>1715.0269500000002</v>
      </c>
      <c r="I874" s="36">
        <f>H874/(A874*Inputs!$D$32)</f>
        <v>0.50294045454545455</v>
      </c>
      <c r="J874" s="38">
        <f>IF(I874&gt;=1,999,I874/(Inputs!$D$32*(1-I874))*60)</f>
        <v>1.1038160700602826</v>
      </c>
      <c r="K874" s="37">
        <f>MIN(1,MAX(0,(J874-Inputs!$D$36)/(Inputs!$D$37-Inputs!$D$36)))</f>
        <v>0</v>
      </c>
      <c r="L874" s="35">
        <f>Inputs!$D$6*Inputs!$D$14*G874*(1-Inputs!$D$38*K874)</f>
        <v>11433.513000000001</v>
      </c>
      <c r="M874" s="39">
        <f>L874*Inputs!$D$11</f>
        <v>245820.5295</v>
      </c>
      <c r="N874" s="39">
        <f>M874*(1-Inputs!$D$17)</f>
        <v>86037.185324999999</v>
      </c>
      <c r="O874" s="35">
        <f>Inputs!$D$6*E874*Inputs!$D$27*Inputs!$D$30</f>
        <v>517.26295419324151</v>
      </c>
      <c r="P874" s="36">
        <f>O874/(C874*Inputs!$D$33)</f>
        <v>0.35921038485641771</v>
      </c>
      <c r="Q874" s="38">
        <f>IF(P874&gt;=1,999,P874/(Inputs!$D$33*(1-P874))*60)</f>
        <v>0.84086190623406665</v>
      </c>
      <c r="R874" s="37">
        <f>MIN(1,MAX(0,(Q874-Inputs!$D$36)/(Inputs!$D$37-Inputs!$D$36)))</f>
        <v>0</v>
      </c>
      <c r="S874" s="35">
        <f>Inputs!$D$6*E874*Inputs!$D$27*(1-Inputs!$D$38*R874)</f>
        <v>4310.5246182770125</v>
      </c>
      <c r="T874" s="39">
        <f>S874*Inputs!$D$12</f>
        <v>68968.393892432199</v>
      </c>
      <c r="U874" s="39">
        <f>T874*(1-Inputs!$D$18)</f>
        <v>31035.777251594485</v>
      </c>
      <c r="V874" s="35">
        <f>Inputs!$D$6*F874*Inputs!$D$28*Inputs!$D$31</f>
        <v>563.68792608064427</v>
      </c>
      <c r="W874" s="36">
        <f>V874/(B874*Inputs!$D$34)</f>
        <v>1.4641244833263487</v>
      </c>
      <c r="X874" s="38">
        <f>IF(W874&gt;=1,999,W874/(Inputs!$D$34*(1-W874))*60)</f>
        <v>999</v>
      </c>
      <c r="Y874" s="37">
        <f>MIN(1,MAX(0,(X874-Inputs!$D$36)/(Inputs!$D$37-Inputs!$D$36)))</f>
        <v>1</v>
      </c>
      <c r="Z874" s="35">
        <f>Inputs!$D$6*F874*Inputs!$D$28*(1-Inputs!$D$38*Y874)</f>
        <v>2384.8335334181106</v>
      </c>
      <c r="AA874" s="39">
        <f>Z874*Inputs!$D$13</f>
        <v>20271.08503405394</v>
      </c>
      <c r="AB874" s="39">
        <f>AA874*(1-Inputs!$D$19)</f>
        <v>12162.651020432364</v>
      </c>
      <c r="AC874" s="39">
        <f t="shared" si="52"/>
        <v>335060.00842648617</v>
      </c>
      <c r="AD874" s="39">
        <f t="shared" si="53"/>
        <v>129235.61359702685</v>
      </c>
      <c r="AE874" s="36">
        <f t="shared" si="54"/>
        <v>1.4641244833263487</v>
      </c>
      <c r="AF874" s="35">
        <f>IF(AND(AE874&lt;=Inputs!$D$35,C874&gt;=Inputs!$D$48*(A874+B874+C874),B874*Inputs!$D$22&lt;=Inputs!$D$50*Inputs!$D$8,B874*Inputs!$D$22&gt;=Inputs!$D$49*Inputs!$D$8,A874*Inputs!$D$20&lt;=Inputs!$D$47*Inputs!$D$8,C874&gt;=1),1,0)</f>
        <v>0</v>
      </c>
      <c r="AG874" s="39">
        <f t="shared" si="55"/>
        <v>-1</v>
      </c>
    </row>
    <row r="875" spans="1:33" x14ac:dyDescent="0.25">
      <c r="A875" s="35">
        <v>62</v>
      </c>
      <c r="B875" s="35">
        <v>12</v>
      </c>
      <c r="C875" s="35">
        <f>Inputs!$D$8-A875-Inputs!$D$22*B875</f>
        <v>34</v>
      </c>
      <c r="D875" s="35">
        <f>A875*Inputs!$D$20+C875*Inputs!$D$21+B875*Inputs!$D$22</f>
        <v>120</v>
      </c>
      <c r="E875" s="36">
        <f>MIN(Inputs!$E$15,Inputs!$D$15*(C875/Inputs!$D$43)^Inputs!$D$44)</f>
        <v>0.35640602201959876</v>
      </c>
      <c r="F875" s="36">
        <f>MIN(Inputs!$E$16,Inputs!$D$16*(B875/Inputs!$D$42)^Inputs!$D$44)</f>
        <v>0.34316688017763797</v>
      </c>
      <c r="G875" s="37">
        <f>Inputs!$D$26*(1+Inputs!$D$41*(B875-Inputs!$D$42))</f>
        <v>1.3800000000000001</v>
      </c>
      <c r="H875" s="35">
        <f>Inputs!$D$6*Inputs!$D$14*G875*Inputs!$D$29</f>
        <v>1733.8734000000004</v>
      </c>
      <c r="I875" s="36">
        <f>H875/(A875*Inputs!$D$32)</f>
        <v>0.50846727272727288</v>
      </c>
      <c r="J875" s="38">
        <f>IF(I875&gt;=1,999,I875/(Inputs!$D$32*(1-I875))*60)</f>
        <v>1.1284936678085389</v>
      </c>
      <c r="K875" s="37">
        <f>MIN(1,MAX(0,(J875-Inputs!$D$36)/(Inputs!$D$37-Inputs!$D$36)))</f>
        <v>0</v>
      </c>
      <c r="L875" s="35">
        <f>Inputs!$D$6*Inputs!$D$14*G875*(1-Inputs!$D$38*K875)</f>
        <v>11559.156000000003</v>
      </c>
      <c r="M875" s="39">
        <f>L875*Inputs!$D$11</f>
        <v>248521.85400000005</v>
      </c>
      <c r="N875" s="39">
        <f>M875*(1-Inputs!$D$17)</f>
        <v>86982.648900000015</v>
      </c>
      <c r="O875" s="35">
        <f>Inputs!$D$6*E875*Inputs!$D$27*Inputs!$D$30</f>
        <v>508.46878975039266</v>
      </c>
      <c r="P875" s="36">
        <f>O875/(C875*Inputs!$D$33)</f>
        <v>0.37387411011058286</v>
      </c>
      <c r="Q875" s="38">
        <f>IF(P875&gt;=1,999,P875/(Inputs!$D$33*(1-P875))*60)</f>
        <v>0.89568435712652228</v>
      </c>
      <c r="R875" s="37">
        <f>MIN(1,MAX(0,(Q875-Inputs!$D$36)/(Inputs!$D$37-Inputs!$D$36)))</f>
        <v>0</v>
      </c>
      <c r="S875" s="35">
        <f>Inputs!$D$6*E875*Inputs!$D$27*(1-Inputs!$D$38*R875)</f>
        <v>4237.2399145866057</v>
      </c>
      <c r="T875" s="39">
        <f>S875*Inputs!$D$12</f>
        <v>67795.838633385691</v>
      </c>
      <c r="U875" s="39">
        <f>T875*(1-Inputs!$D$18)</f>
        <v>30508.127385023559</v>
      </c>
      <c r="V875" s="35">
        <f>Inputs!$D$6*F875*Inputs!$D$28*Inputs!$D$31</f>
        <v>578.5958319897461</v>
      </c>
      <c r="W875" s="36">
        <f>V875/(B875*Inputs!$D$34)</f>
        <v>1.3776091237851098</v>
      </c>
      <c r="X875" s="38">
        <f>IF(W875&gt;=1,999,W875/(Inputs!$D$34*(1-W875))*60)</f>
        <v>999</v>
      </c>
      <c r="Y875" s="37">
        <f>MIN(1,MAX(0,(X875-Inputs!$D$36)/(Inputs!$D$37-Inputs!$D$36)))</f>
        <v>1</v>
      </c>
      <c r="Z875" s="35">
        <f>Inputs!$D$6*F875*Inputs!$D$28*(1-Inputs!$D$38*Y875)</f>
        <v>2447.9054430335414</v>
      </c>
      <c r="AA875" s="39">
        <f>Z875*Inputs!$D$13</f>
        <v>20807.1962657851</v>
      </c>
      <c r="AB875" s="39">
        <f>AA875*(1-Inputs!$D$19)</f>
        <v>12484.31775947106</v>
      </c>
      <c r="AC875" s="39">
        <f t="shared" si="52"/>
        <v>337124.88889917085</v>
      </c>
      <c r="AD875" s="39">
        <f t="shared" si="53"/>
        <v>129975.09404449463</v>
      </c>
      <c r="AE875" s="36">
        <f t="shared" si="54"/>
        <v>1.3776091237851098</v>
      </c>
      <c r="AF875" s="35">
        <f>IF(AND(AE875&lt;=Inputs!$D$35,C875&gt;=Inputs!$D$48*(A875+B875+C875),B875*Inputs!$D$22&lt;=Inputs!$D$50*Inputs!$D$8,B875*Inputs!$D$22&gt;=Inputs!$D$49*Inputs!$D$8,A875*Inputs!$D$20&lt;=Inputs!$D$47*Inputs!$D$8,C875&gt;=1),1,0)</f>
        <v>0</v>
      </c>
      <c r="AG875" s="39">
        <f t="shared" si="55"/>
        <v>-1</v>
      </c>
    </row>
    <row r="876" spans="1:33" x14ac:dyDescent="0.25">
      <c r="A876" s="35">
        <v>62</v>
      </c>
      <c r="B876" s="35">
        <v>13</v>
      </c>
      <c r="C876" s="35">
        <f>Inputs!$D$8-A876-Inputs!$D$22*B876</f>
        <v>32</v>
      </c>
      <c r="D876" s="35">
        <f>A876*Inputs!$D$20+C876*Inputs!$D$21+B876*Inputs!$D$22</f>
        <v>120</v>
      </c>
      <c r="E876" s="36">
        <f>MIN(Inputs!$E$15,Inputs!$D$15*(C876/Inputs!$D$43)^Inputs!$D$44)</f>
        <v>0.34998251836560429</v>
      </c>
      <c r="F876" s="36">
        <f>MIN(Inputs!$E$16,Inputs!$D$16*(B876/Inputs!$D$42)^Inputs!$D$44)</f>
        <v>0.35150701637190523</v>
      </c>
      <c r="G876" s="37">
        <f>Inputs!$D$26*(1+Inputs!$D$41*(B876-Inputs!$D$42))</f>
        <v>1.395</v>
      </c>
      <c r="H876" s="35">
        <f>Inputs!$D$6*Inputs!$D$14*G876*Inputs!$D$29</f>
        <v>1752.7198500000002</v>
      </c>
      <c r="I876" s="36">
        <f>H876/(A876*Inputs!$D$32)</f>
        <v>0.51399409090909098</v>
      </c>
      <c r="J876" s="38">
        <f>IF(I876&gt;=1,999,I876/(Inputs!$D$32*(1-I876))*60)</f>
        <v>1.1537325286746594</v>
      </c>
      <c r="K876" s="37">
        <f>MIN(1,MAX(0,(J876-Inputs!$D$36)/(Inputs!$D$37-Inputs!$D$36)))</f>
        <v>0</v>
      </c>
      <c r="L876" s="35">
        <f>Inputs!$D$6*Inputs!$D$14*G876*(1-Inputs!$D$38*K876)</f>
        <v>11684.799000000001</v>
      </c>
      <c r="M876" s="39">
        <f>L876*Inputs!$D$11</f>
        <v>251223.17850000001</v>
      </c>
      <c r="N876" s="39">
        <f>M876*(1-Inputs!$D$17)</f>
        <v>87928.112475000002</v>
      </c>
      <c r="O876" s="35">
        <f>Inputs!$D$6*E876*Inputs!$D$27*Inputs!$D$30</f>
        <v>499.30465972139962</v>
      </c>
      <c r="P876" s="36">
        <f>O876/(C876*Inputs!$D$33)</f>
        <v>0.39008176540734346</v>
      </c>
      <c r="Q876" s="38">
        <f>IF(P876&gt;=1,999,P876/(Inputs!$D$33*(1-P876))*60)</f>
        <v>0.95934604824825165</v>
      </c>
      <c r="R876" s="37">
        <f>MIN(1,MAX(0,(Q876-Inputs!$D$36)/(Inputs!$D$37-Inputs!$D$36)))</f>
        <v>0</v>
      </c>
      <c r="S876" s="35">
        <f>Inputs!$D$6*E876*Inputs!$D$27*(1-Inputs!$D$38*R876)</f>
        <v>4160.8721643449971</v>
      </c>
      <c r="T876" s="39">
        <f>S876*Inputs!$D$12</f>
        <v>66573.954629519954</v>
      </c>
      <c r="U876" s="39">
        <f>T876*(1-Inputs!$D$18)</f>
        <v>29958.279583283977</v>
      </c>
      <c r="V876" s="35">
        <f>Inputs!$D$6*F876*Inputs!$D$28*Inputs!$D$31</f>
        <v>592.65770193981814</v>
      </c>
      <c r="W876" s="36">
        <f>V876/(B876*Inputs!$D$34)</f>
        <v>1.3025443998677322</v>
      </c>
      <c r="X876" s="38">
        <f>IF(W876&gt;=1,999,W876/(Inputs!$D$34*(1-W876))*60)</f>
        <v>999</v>
      </c>
      <c r="Y876" s="37">
        <f>MIN(1,MAX(0,(X876-Inputs!$D$36)/(Inputs!$D$37-Inputs!$D$36)))</f>
        <v>1</v>
      </c>
      <c r="Z876" s="35">
        <f>Inputs!$D$6*F876*Inputs!$D$28*(1-Inputs!$D$38*Y876)</f>
        <v>2507.3979697453847</v>
      </c>
      <c r="AA876" s="39">
        <f>Z876*Inputs!$D$13</f>
        <v>21312.882742835769</v>
      </c>
      <c r="AB876" s="39">
        <f>AA876*(1-Inputs!$D$19)</f>
        <v>12787.729645701462</v>
      </c>
      <c r="AC876" s="39">
        <f t="shared" si="52"/>
        <v>339110.01587235578</v>
      </c>
      <c r="AD876" s="39">
        <f t="shared" si="53"/>
        <v>130674.12170398544</v>
      </c>
      <c r="AE876" s="36">
        <f t="shared" si="54"/>
        <v>1.3025443998677322</v>
      </c>
      <c r="AF876" s="35">
        <f>IF(AND(AE876&lt;=Inputs!$D$35,C876&gt;=Inputs!$D$48*(A876+B876+C876),B876*Inputs!$D$22&lt;=Inputs!$D$50*Inputs!$D$8,B876*Inputs!$D$22&gt;=Inputs!$D$49*Inputs!$D$8,A876*Inputs!$D$20&lt;=Inputs!$D$47*Inputs!$D$8,C876&gt;=1),1,0)</f>
        <v>0</v>
      </c>
      <c r="AG876" s="39">
        <f t="shared" si="55"/>
        <v>-1</v>
      </c>
    </row>
    <row r="877" spans="1:33" x14ac:dyDescent="0.25">
      <c r="A877" s="35">
        <v>62</v>
      </c>
      <c r="B877" s="35">
        <v>14</v>
      </c>
      <c r="C877" s="35">
        <f>Inputs!$D$8-A877-Inputs!$D$22*B877</f>
        <v>30</v>
      </c>
      <c r="D877" s="35">
        <f>A877*Inputs!$D$20+C877*Inputs!$D$21+B877*Inputs!$D$22</f>
        <v>120</v>
      </c>
      <c r="E877" s="36">
        <f>MIN(Inputs!$E$15,Inputs!$D$15*(C877/Inputs!$D$43)^Inputs!$D$44)</f>
        <v>0.3432714897427589</v>
      </c>
      <c r="F877" s="36">
        <f>MIN(Inputs!$E$16,Inputs!$D$16*(B877/Inputs!$D$42)^Inputs!$D$44)</f>
        <v>0.35940937671625589</v>
      </c>
      <c r="G877" s="37">
        <f>Inputs!$D$26*(1+Inputs!$D$41*(B877-Inputs!$D$42))</f>
        <v>1.41</v>
      </c>
      <c r="H877" s="35">
        <f>Inputs!$D$6*Inputs!$D$14*G877*Inputs!$D$29</f>
        <v>1771.5663000000002</v>
      </c>
      <c r="I877" s="36">
        <f>H877/(A877*Inputs!$D$32)</f>
        <v>0.5195209090909092</v>
      </c>
      <c r="J877" s="38">
        <f>IF(I877&gt;=1,999,I877/(Inputs!$D$32*(1-I877))*60)</f>
        <v>1.179552020822193</v>
      </c>
      <c r="K877" s="37">
        <f>MIN(1,MAX(0,(J877-Inputs!$D$36)/(Inputs!$D$37-Inputs!$D$36)))</f>
        <v>0</v>
      </c>
      <c r="L877" s="35">
        <f>Inputs!$D$6*Inputs!$D$14*G877*(1-Inputs!$D$38*K877)</f>
        <v>11810.442000000001</v>
      </c>
      <c r="M877" s="39">
        <f>L877*Inputs!$D$11</f>
        <v>253924.50300000003</v>
      </c>
      <c r="N877" s="39">
        <f>M877*(1-Inputs!$D$17)</f>
        <v>88873.576050000003</v>
      </c>
      <c r="O877" s="35">
        <f>Inputs!$D$6*E877*Inputs!$D$27*Inputs!$D$30</f>
        <v>489.73033047044544</v>
      </c>
      <c r="P877" s="36">
        <f>O877/(C877*Inputs!$D$33)</f>
        <v>0.40810860872537119</v>
      </c>
      <c r="Q877" s="38">
        <f>IF(P877&gt;=1,999,P877/(Inputs!$D$33*(1-P877))*60)</f>
        <v>1.0342487187890559</v>
      </c>
      <c r="R877" s="37">
        <f>MIN(1,MAX(0,(Q877-Inputs!$D$36)/(Inputs!$D$37-Inputs!$D$36)))</f>
        <v>0</v>
      </c>
      <c r="S877" s="35">
        <f>Inputs!$D$6*E877*Inputs!$D$27*(1-Inputs!$D$38*R877)</f>
        <v>4081.0860872537123</v>
      </c>
      <c r="T877" s="39">
        <f>S877*Inputs!$D$12</f>
        <v>65297.377396059397</v>
      </c>
      <c r="U877" s="39">
        <f>T877*(1-Inputs!$D$18)</f>
        <v>29383.819828226726</v>
      </c>
      <c r="V877" s="35">
        <f>Inputs!$D$6*F877*Inputs!$D$28*Inputs!$D$31</f>
        <v>605.98146079368973</v>
      </c>
      <c r="W877" s="36">
        <f>V877/(B877*Inputs!$D$34)</f>
        <v>1.2366968587626321</v>
      </c>
      <c r="X877" s="38">
        <f>IF(W877&gt;=1,999,W877/(Inputs!$D$34*(1-W877))*60)</f>
        <v>999</v>
      </c>
      <c r="Y877" s="37">
        <f>MIN(1,MAX(0,(X877-Inputs!$D$36)/(Inputs!$D$37-Inputs!$D$36)))</f>
        <v>1</v>
      </c>
      <c r="Z877" s="35">
        <f>Inputs!$D$6*F877*Inputs!$D$28*(1-Inputs!$D$38*Y877)</f>
        <v>2563.7677187425338</v>
      </c>
      <c r="AA877" s="39">
        <f>Z877*Inputs!$D$13</f>
        <v>21792.025609311539</v>
      </c>
      <c r="AB877" s="39">
        <f>AA877*(1-Inputs!$D$19)</f>
        <v>13075.215365586922</v>
      </c>
      <c r="AC877" s="39">
        <f t="shared" si="52"/>
        <v>341013.90600537095</v>
      </c>
      <c r="AD877" s="39">
        <f t="shared" si="53"/>
        <v>131332.61124381365</v>
      </c>
      <c r="AE877" s="36">
        <f t="shared" si="54"/>
        <v>1.2366968587626321</v>
      </c>
      <c r="AF877" s="35">
        <f>IF(AND(AE877&lt;=Inputs!$D$35,C877&gt;=Inputs!$D$48*(A877+B877+C877),B877*Inputs!$D$22&lt;=Inputs!$D$50*Inputs!$D$8,B877*Inputs!$D$22&gt;=Inputs!$D$49*Inputs!$D$8,A877*Inputs!$D$20&lt;=Inputs!$D$47*Inputs!$D$8,C877&gt;=1),1,0)</f>
        <v>0</v>
      </c>
      <c r="AG877" s="39">
        <f t="shared" si="55"/>
        <v>-1</v>
      </c>
    </row>
    <row r="878" spans="1:33" x14ac:dyDescent="0.25">
      <c r="A878" s="35">
        <v>62</v>
      </c>
      <c r="B878" s="35">
        <v>15</v>
      </c>
      <c r="C878" s="35">
        <f>Inputs!$D$8-A878-Inputs!$D$22*B878</f>
        <v>28</v>
      </c>
      <c r="D878" s="35">
        <f>A878*Inputs!$D$20+C878*Inputs!$D$21+B878*Inputs!$D$22</f>
        <v>120</v>
      </c>
      <c r="E878" s="36">
        <f>MIN(Inputs!$E$15,Inputs!$D$15*(C878/Inputs!$D$43)^Inputs!$D$44)</f>
        <v>0.33623952833125714</v>
      </c>
      <c r="F878" s="36">
        <f>MIN(Inputs!$E$16,Inputs!$D$16*(B878/Inputs!$D$42)^Inputs!$D$44)</f>
        <v>0.36692590185696072</v>
      </c>
      <c r="G878" s="37">
        <f>Inputs!$D$26*(1+Inputs!$D$41*(B878-Inputs!$D$42))</f>
        <v>1.4249999999999998</v>
      </c>
      <c r="H878" s="35">
        <f>Inputs!$D$6*Inputs!$D$14*G878*Inputs!$D$29</f>
        <v>1790.4127499999997</v>
      </c>
      <c r="I878" s="36">
        <f>H878/(A878*Inputs!$D$32)</f>
        <v>0.52504772727272719</v>
      </c>
      <c r="J878" s="38">
        <f>IF(I878&gt;=1,999,I878/(Inputs!$D$32*(1-I878))*60)</f>
        <v>1.2059724139311079</v>
      </c>
      <c r="K878" s="37">
        <f>MIN(1,MAX(0,(J878-Inputs!$D$36)/(Inputs!$D$37-Inputs!$D$36)))</f>
        <v>0</v>
      </c>
      <c r="L878" s="35">
        <f>Inputs!$D$6*Inputs!$D$14*G878*(1-Inputs!$D$38*K878)</f>
        <v>11936.084999999999</v>
      </c>
      <c r="M878" s="39">
        <f>L878*Inputs!$D$11</f>
        <v>256625.82749999998</v>
      </c>
      <c r="N878" s="39">
        <f>M878*(1-Inputs!$D$17)</f>
        <v>89819.03962499999</v>
      </c>
      <c r="O878" s="35">
        <f>Inputs!$D$6*E878*Inputs!$D$27*Inputs!$D$30</f>
        <v>479.69814053095797</v>
      </c>
      <c r="P878" s="36">
        <f>O878/(C878*Inputs!$D$33)</f>
        <v>0.42830191118835531</v>
      </c>
      <c r="Q878" s="38">
        <f>IF(P878&gt;=1,999,P878/(Inputs!$D$33*(1-P878))*60)</f>
        <v>1.1237624882006552</v>
      </c>
      <c r="R878" s="37">
        <f>MIN(1,MAX(0,(Q878-Inputs!$D$36)/(Inputs!$D$37-Inputs!$D$36)))</f>
        <v>0</v>
      </c>
      <c r="S878" s="35">
        <f>Inputs!$D$6*E878*Inputs!$D$27*(1-Inputs!$D$38*R878)</f>
        <v>3997.4845044246499</v>
      </c>
      <c r="T878" s="39">
        <f>S878*Inputs!$D$12</f>
        <v>63959.752070794399</v>
      </c>
      <c r="U878" s="39">
        <f>T878*(1-Inputs!$D$18)</f>
        <v>28781.888431857478</v>
      </c>
      <c r="V878" s="35">
        <f>Inputs!$D$6*F878*Inputs!$D$28*Inputs!$D$31</f>
        <v>618.65468297412497</v>
      </c>
      <c r="W878" s="36">
        <f>V878/(B878*Inputs!$D$34)</f>
        <v>1.1783898723316666</v>
      </c>
      <c r="X878" s="38">
        <f>IF(W878&gt;=1,999,W878/(Inputs!$D$34*(1-W878))*60)</f>
        <v>999</v>
      </c>
      <c r="Y878" s="37">
        <f>MIN(1,MAX(0,(X878-Inputs!$D$36)/(Inputs!$D$37-Inputs!$D$36)))</f>
        <v>1</v>
      </c>
      <c r="Z878" s="35">
        <f>Inputs!$D$6*F878*Inputs!$D$28*(1-Inputs!$D$38*Y878)</f>
        <v>2617.3851971982212</v>
      </c>
      <c r="AA878" s="39">
        <f>Z878*Inputs!$D$13</f>
        <v>22247.774176184881</v>
      </c>
      <c r="AB878" s="39">
        <f>AA878*(1-Inputs!$D$19)</f>
        <v>13348.664505710929</v>
      </c>
      <c r="AC878" s="39">
        <f t="shared" si="52"/>
        <v>342833.35374697926</v>
      </c>
      <c r="AD878" s="39">
        <f t="shared" si="53"/>
        <v>131949.5925625684</v>
      </c>
      <c r="AE878" s="36">
        <f t="shared" si="54"/>
        <v>1.1783898723316666</v>
      </c>
      <c r="AF878" s="35">
        <f>IF(AND(AE878&lt;=Inputs!$D$35,C878&gt;=Inputs!$D$48*(A878+B878+C878),B878*Inputs!$D$22&lt;=Inputs!$D$50*Inputs!$D$8,B878*Inputs!$D$22&gt;=Inputs!$D$49*Inputs!$D$8,A878*Inputs!$D$20&lt;=Inputs!$D$47*Inputs!$D$8,C878&gt;=1),1,0)</f>
        <v>0</v>
      </c>
      <c r="AG878" s="39">
        <f t="shared" si="55"/>
        <v>-1</v>
      </c>
    </row>
    <row r="879" spans="1:33" x14ac:dyDescent="0.25">
      <c r="A879" s="35">
        <v>62</v>
      </c>
      <c r="B879" s="35">
        <v>16</v>
      </c>
      <c r="C879" s="35">
        <f>Inputs!$D$8-A879-Inputs!$D$22*B879</f>
        <v>26</v>
      </c>
      <c r="D879" s="35">
        <f>A879*Inputs!$D$20+C879*Inputs!$D$21+B879*Inputs!$D$22</f>
        <v>120</v>
      </c>
      <c r="E879" s="36">
        <f>MIN(Inputs!$E$15,Inputs!$D$15*(C879/Inputs!$D$43)^Inputs!$D$44)</f>
        <v>0.32884660514387515</v>
      </c>
      <c r="F879" s="36">
        <f>MIN(Inputs!$E$16,Inputs!$D$16*(B879/Inputs!$D$42)^Inputs!$D$44)</f>
        <v>0.37409937912904856</v>
      </c>
      <c r="G879" s="37">
        <f>Inputs!$D$26*(1+Inputs!$D$41*(B879-Inputs!$D$42))</f>
        <v>1.44</v>
      </c>
      <c r="H879" s="35">
        <f>Inputs!$D$6*Inputs!$D$14*G879*Inputs!$D$29</f>
        <v>1809.2592000000002</v>
      </c>
      <c r="I879" s="36">
        <f>H879/(A879*Inputs!$D$32)</f>
        <v>0.53057454545454552</v>
      </c>
      <c r="J879" s="38">
        <f>IF(I879&gt;=1,999,I879/(Inputs!$D$32*(1-I879))*60)</f>
        <v>1.2330149322681783</v>
      </c>
      <c r="K879" s="37">
        <f>MIN(1,MAX(0,(J879-Inputs!$D$36)/(Inputs!$D$37-Inputs!$D$36)))</f>
        <v>0</v>
      </c>
      <c r="L879" s="35">
        <f>Inputs!$D$6*Inputs!$D$14*G879*(1-Inputs!$D$38*K879)</f>
        <v>12061.728000000001</v>
      </c>
      <c r="M879" s="39">
        <f>L879*Inputs!$D$11</f>
        <v>259327.15200000003</v>
      </c>
      <c r="N879" s="39">
        <f>M879*(1-Inputs!$D$17)</f>
        <v>90764.503200000006</v>
      </c>
      <c r="O879" s="35">
        <f>Inputs!$D$6*E879*Inputs!$D$27*Inputs!$D$30</f>
        <v>469.15098230814039</v>
      </c>
      <c r="P879" s="36">
        <f>O879/(C879*Inputs!$D$33)</f>
        <v>0.45110671375782729</v>
      </c>
      <c r="Q879" s="38">
        <f>IF(P879&gt;=1,999,P879/(Inputs!$D$33*(1-P879))*60)</f>
        <v>1.2327716290160586</v>
      </c>
      <c r="R879" s="37">
        <f>MIN(1,MAX(0,(Q879-Inputs!$D$36)/(Inputs!$D$37-Inputs!$D$36)))</f>
        <v>0</v>
      </c>
      <c r="S879" s="35">
        <f>Inputs!$D$6*E879*Inputs!$D$27*(1-Inputs!$D$38*R879)</f>
        <v>3909.5915192345033</v>
      </c>
      <c r="T879" s="39">
        <f>S879*Inputs!$D$12</f>
        <v>62553.464307752052</v>
      </c>
      <c r="U879" s="39">
        <f>T879*(1-Inputs!$D$18)</f>
        <v>28149.058938488422</v>
      </c>
      <c r="V879" s="35">
        <f>Inputs!$D$6*F879*Inputs!$D$28*Inputs!$D$31</f>
        <v>630.74950998177405</v>
      </c>
      <c r="W879" s="36">
        <f>V879/(B879*Inputs!$D$34)</f>
        <v>1.1263384106817393</v>
      </c>
      <c r="X879" s="38">
        <f>IF(W879&gt;=1,999,W879/(Inputs!$D$34*(1-W879))*60)</f>
        <v>999</v>
      </c>
      <c r="Y879" s="37">
        <f>MIN(1,MAX(0,(X879-Inputs!$D$36)/(Inputs!$D$37-Inputs!$D$36)))</f>
        <v>1</v>
      </c>
      <c r="Z879" s="35">
        <f>Inputs!$D$6*F879*Inputs!$D$28*(1-Inputs!$D$38*Y879)</f>
        <v>2668.5556191536598</v>
      </c>
      <c r="AA879" s="39">
        <f>Z879*Inputs!$D$13</f>
        <v>22682.722762806108</v>
      </c>
      <c r="AB879" s="39">
        <f>AA879*(1-Inputs!$D$19)</f>
        <v>13609.633657683664</v>
      </c>
      <c r="AC879" s="39">
        <f t="shared" si="52"/>
        <v>344563.3390705582</v>
      </c>
      <c r="AD879" s="39">
        <f t="shared" si="53"/>
        <v>132523.19579617211</v>
      </c>
      <c r="AE879" s="36">
        <f t="shared" si="54"/>
        <v>1.1263384106817393</v>
      </c>
      <c r="AF879" s="35">
        <f>IF(AND(AE879&lt;=Inputs!$D$35,C879&gt;=Inputs!$D$48*(A879+B879+C879),B879*Inputs!$D$22&lt;=Inputs!$D$50*Inputs!$D$8,B879*Inputs!$D$22&gt;=Inputs!$D$49*Inputs!$D$8,A879*Inputs!$D$20&lt;=Inputs!$D$47*Inputs!$D$8,C879&gt;=1),1,0)</f>
        <v>0</v>
      </c>
      <c r="AG879" s="39">
        <f t="shared" si="55"/>
        <v>-1</v>
      </c>
    </row>
    <row r="880" spans="1:33" x14ac:dyDescent="0.25">
      <c r="A880" s="35">
        <v>62</v>
      </c>
      <c r="B880" s="35">
        <v>17</v>
      </c>
      <c r="C880" s="35">
        <f>Inputs!$D$8-A880-Inputs!$D$22*B880</f>
        <v>24</v>
      </c>
      <c r="D880" s="35">
        <f>A880*Inputs!$D$20+C880*Inputs!$D$21+B880*Inputs!$D$22</f>
        <v>120</v>
      </c>
      <c r="E880" s="36">
        <f>MIN(Inputs!$E$15,Inputs!$D$15*(C880/Inputs!$D$43)^Inputs!$D$44)</f>
        <v>0.32104412796367415</v>
      </c>
      <c r="F880" s="36">
        <f>MIN(Inputs!$E$16,Inputs!$D$16*(B880/Inputs!$D$42)^Inputs!$D$44)</f>
        <v>0.3809655184437048</v>
      </c>
      <c r="G880" s="37">
        <f>Inputs!$D$26*(1+Inputs!$D$41*(B880-Inputs!$D$42))</f>
        <v>1.4550000000000001</v>
      </c>
      <c r="H880" s="35">
        <f>Inputs!$D$6*Inputs!$D$14*G880*Inputs!$D$29</f>
        <v>1828.1056500000002</v>
      </c>
      <c r="I880" s="36">
        <f>H880/(A880*Inputs!$D$32)</f>
        <v>0.53610136363636374</v>
      </c>
      <c r="J880" s="38">
        <f>IF(I880&gt;=1,999,I880/(Inputs!$D$32*(1-I880))*60)</f>
        <v>1.2607018115509885</v>
      </c>
      <c r="K880" s="37">
        <f>MIN(1,MAX(0,(J880-Inputs!$D$36)/(Inputs!$D$37-Inputs!$D$36)))</f>
        <v>0</v>
      </c>
      <c r="L880" s="35">
        <f>Inputs!$D$6*Inputs!$D$14*G880*(1-Inputs!$D$38*K880)</f>
        <v>12187.371000000001</v>
      </c>
      <c r="M880" s="39">
        <f>L880*Inputs!$D$11</f>
        <v>262028.47650000002</v>
      </c>
      <c r="N880" s="39">
        <f>M880*(1-Inputs!$D$17)</f>
        <v>91709.966775000008</v>
      </c>
      <c r="O880" s="35">
        <f>Inputs!$D$6*E880*Inputs!$D$27*Inputs!$D$30</f>
        <v>458.01953142414351</v>
      </c>
      <c r="P880" s="36">
        <f>O880/(C880*Inputs!$D$33)</f>
        <v>0.47710367856681618</v>
      </c>
      <c r="Q880" s="38">
        <f>IF(P880&gt;=1,999,P880/(Inputs!$D$33*(1-P880))*60)</f>
        <v>1.3686375071232384</v>
      </c>
      <c r="R880" s="37">
        <f>MIN(1,MAX(0,(Q880-Inputs!$D$36)/(Inputs!$D$37-Inputs!$D$36)))</f>
        <v>0</v>
      </c>
      <c r="S880" s="35">
        <f>Inputs!$D$6*E880*Inputs!$D$27*(1-Inputs!$D$38*R880)</f>
        <v>3816.8294285345296</v>
      </c>
      <c r="T880" s="39">
        <f>S880*Inputs!$D$12</f>
        <v>61069.270856552474</v>
      </c>
      <c r="U880" s="39">
        <f>T880*(1-Inputs!$D$18)</f>
        <v>27481.17188544861</v>
      </c>
      <c r="V880" s="35">
        <f>Inputs!$D$6*F880*Inputs!$D$28*Inputs!$D$31</f>
        <v>642.32615044097156</v>
      </c>
      <c r="W880" s="36">
        <f>V880/(B880*Inputs!$D$34)</f>
        <v>1.0795397486402882</v>
      </c>
      <c r="X880" s="38">
        <f>IF(W880&gt;=1,999,W880/(Inputs!$D$34*(1-W880))*60)</f>
        <v>999</v>
      </c>
      <c r="Y880" s="37">
        <f>MIN(1,MAX(0,(X880-Inputs!$D$36)/(Inputs!$D$37-Inputs!$D$36)))</f>
        <v>1</v>
      </c>
      <c r="Z880" s="35">
        <f>Inputs!$D$6*F880*Inputs!$D$28*(1-Inputs!$D$38*Y880)</f>
        <v>2717.5337134041106</v>
      </c>
      <c r="AA880" s="39">
        <f>Z880*Inputs!$D$13</f>
        <v>23099.03656393494</v>
      </c>
      <c r="AB880" s="39">
        <f>AA880*(1-Inputs!$D$19)</f>
        <v>13859.421938360963</v>
      </c>
      <c r="AC880" s="39">
        <f t="shared" si="52"/>
        <v>346196.78392048745</v>
      </c>
      <c r="AD880" s="39">
        <f t="shared" si="53"/>
        <v>133050.56059880959</v>
      </c>
      <c r="AE880" s="36">
        <f t="shared" si="54"/>
        <v>1.0795397486402882</v>
      </c>
      <c r="AF880" s="35">
        <f>IF(AND(AE880&lt;=Inputs!$D$35,C880&gt;=Inputs!$D$48*(A880+B880+C880),B880*Inputs!$D$22&lt;=Inputs!$D$50*Inputs!$D$8,B880*Inputs!$D$22&gt;=Inputs!$D$49*Inputs!$D$8,A880*Inputs!$D$20&lt;=Inputs!$D$47*Inputs!$D$8,C880&gt;=1),1,0)</f>
        <v>0</v>
      </c>
      <c r="AG880" s="39">
        <f t="shared" si="55"/>
        <v>-1</v>
      </c>
    </row>
    <row r="881" spans="1:33" x14ac:dyDescent="0.25">
      <c r="A881" s="35">
        <v>62</v>
      </c>
      <c r="B881" s="35">
        <v>18</v>
      </c>
      <c r="C881" s="35">
        <f>Inputs!$D$8-A881-Inputs!$D$22*B881</f>
        <v>22</v>
      </c>
      <c r="D881" s="35">
        <f>A881*Inputs!$D$20+C881*Inputs!$D$21+B881*Inputs!$D$22</f>
        <v>120</v>
      </c>
      <c r="E881" s="36">
        <f>MIN(Inputs!$E$15,Inputs!$D$15*(C881/Inputs!$D$43)^Inputs!$D$44)</f>
        <v>0.31277221277221301</v>
      </c>
      <c r="F881" s="36">
        <f>MIN(Inputs!$E$16,Inputs!$D$16*(B881/Inputs!$D$42)^Inputs!$D$44)</f>
        <v>0.38755446447890535</v>
      </c>
      <c r="G881" s="37">
        <f>Inputs!$D$26*(1+Inputs!$D$41*(B881-Inputs!$D$42))</f>
        <v>1.47</v>
      </c>
      <c r="H881" s="35">
        <f>Inputs!$D$6*Inputs!$D$14*G881*Inputs!$D$29</f>
        <v>1846.9521</v>
      </c>
      <c r="I881" s="36">
        <f>H881/(A881*Inputs!$D$32)</f>
        <v>0.54162818181818184</v>
      </c>
      <c r="J881" s="38">
        <f>IF(I881&gt;=1,999,I881/(Inputs!$D$32*(1-I881))*60)</f>
        <v>1.2890563599257814</v>
      </c>
      <c r="K881" s="37">
        <f>MIN(1,MAX(0,(J881-Inputs!$D$36)/(Inputs!$D$37-Inputs!$D$36)))</f>
        <v>0</v>
      </c>
      <c r="L881" s="35">
        <f>Inputs!$D$6*Inputs!$D$14*G881*(1-Inputs!$D$38*K881)</f>
        <v>12313.014000000001</v>
      </c>
      <c r="M881" s="39">
        <f>L881*Inputs!$D$11</f>
        <v>264729.80100000004</v>
      </c>
      <c r="N881" s="39">
        <f>M881*(1-Inputs!$D$17)</f>
        <v>92655.43035000001</v>
      </c>
      <c r="O881" s="35">
        <f>Inputs!$D$6*E881*Inputs!$D$27*Inputs!$D$30</f>
        <v>446.21835398475434</v>
      </c>
      <c r="P881" s="36">
        <f>O881/(C881*Inputs!$D$33)</f>
        <v>0.50706631134631175</v>
      </c>
      <c r="Q881" s="38">
        <f>IF(P881&gt;=1,999,P881/(Inputs!$D$33*(1-P881))*60)</f>
        <v>1.543005650713049</v>
      </c>
      <c r="R881" s="37">
        <f>MIN(1,MAX(0,(Q881-Inputs!$D$36)/(Inputs!$D$37-Inputs!$D$36)))</f>
        <v>0</v>
      </c>
      <c r="S881" s="35">
        <f>Inputs!$D$6*E881*Inputs!$D$27*(1-Inputs!$D$38*R881)</f>
        <v>3718.4862832062863</v>
      </c>
      <c r="T881" s="39">
        <f>S881*Inputs!$D$12</f>
        <v>59495.780531300581</v>
      </c>
      <c r="U881" s="39">
        <f>T881*(1-Inputs!$D$18)</f>
        <v>26773.101239085259</v>
      </c>
      <c r="V881" s="35">
        <f>Inputs!$D$6*F881*Inputs!$D$28*Inputs!$D$31</f>
        <v>653.43542972572936</v>
      </c>
      <c r="W881" s="36">
        <f>V881/(B881*Inputs!$D$34)</f>
        <v>1.037199094802745</v>
      </c>
      <c r="X881" s="38">
        <f>IF(W881&gt;=1,999,W881/(Inputs!$D$34*(1-W881))*60)</f>
        <v>999</v>
      </c>
      <c r="Y881" s="37">
        <f>MIN(1,MAX(0,(X881-Inputs!$D$36)/(Inputs!$D$37-Inputs!$D$36)))</f>
        <v>1</v>
      </c>
      <c r="Z881" s="35">
        <f>Inputs!$D$6*F881*Inputs!$D$28*(1-Inputs!$D$38*Y881)</f>
        <v>2764.534510378086</v>
      </c>
      <c r="AA881" s="39">
        <f>Z881*Inputs!$D$13</f>
        <v>23498.543338213731</v>
      </c>
      <c r="AB881" s="39">
        <f>AA881*(1-Inputs!$D$19)</f>
        <v>14099.126002928238</v>
      </c>
      <c r="AC881" s="39">
        <f t="shared" si="52"/>
        <v>347724.12486951437</v>
      </c>
      <c r="AD881" s="39">
        <f t="shared" si="53"/>
        <v>133527.65759201351</v>
      </c>
      <c r="AE881" s="36">
        <f t="shared" si="54"/>
        <v>1.037199094802745</v>
      </c>
      <c r="AF881" s="35">
        <f>IF(AND(AE881&lt;=Inputs!$D$35,C881&gt;=Inputs!$D$48*(A881+B881+C881),B881*Inputs!$D$22&lt;=Inputs!$D$50*Inputs!$D$8,B881*Inputs!$D$22&gt;=Inputs!$D$49*Inputs!$D$8,A881*Inputs!$D$20&lt;=Inputs!$D$47*Inputs!$D$8,C881&gt;=1),1,0)</f>
        <v>0</v>
      </c>
      <c r="AG881" s="39">
        <f t="shared" si="55"/>
        <v>-1</v>
      </c>
    </row>
    <row r="882" spans="1:33" x14ac:dyDescent="0.25">
      <c r="A882" s="35">
        <v>62</v>
      </c>
      <c r="B882" s="35">
        <v>19</v>
      </c>
      <c r="C882" s="35">
        <f>Inputs!$D$8-A882-Inputs!$D$22*B882</f>
        <v>20</v>
      </c>
      <c r="D882" s="35">
        <f>A882*Inputs!$D$20+C882*Inputs!$D$21+B882*Inputs!$D$22</f>
        <v>120</v>
      </c>
      <c r="E882" s="36">
        <f>MIN(Inputs!$E$15,Inputs!$D$15*(C882/Inputs!$D$43)^Inputs!$D$44)</f>
        <v>0.30395574554235194</v>
      </c>
      <c r="F882" s="36">
        <f>MIN(Inputs!$E$16,Inputs!$D$16*(B882/Inputs!$D$42)^Inputs!$D$44)</f>
        <v>0.39389192072703005</v>
      </c>
      <c r="G882" s="37">
        <f>Inputs!$D$26*(1+Inputs!$D$41*(B882-Inputs!$D$42))</f>
        <v>1.4849999999999999</v>
      </c>
      <c r="H882" s="35">
        <f>Inputs!$D$6*Inputs!$D$14*G882*Inputs!$D$29</f>
        <v>1865.7985499999998</v>
      </c>
      <c r="I882" s="36">
        <f>H882/(A882*Inputs!$D$32)</f>
        <v>0.54715499999999995</v>
      </c>
      <c r="J882" s="38">
        <f>IF(I882&gt;=1,999,I882/(Inputs!$D$32*(1-I882))*60)</f>
        <v>1.3181030234105788</v>
      </c>
      <c r="K882" s="37">
        <f>MIN(1,MAX(0,(J882-Inputs!$D$36)/(Inputs!$D$37-Inputs!$D$36)))</f>
        <v>0</v>
      </c>
      <c r="L882" s="35">
        <f>Inputs!$D$6*Inputs!$D$14*G882*(1-Inputs!$D$38*K882)</f>
        <v>12438.656999999999</v>
      </c>
      <c r="M882" s="39">
        <f>L882*Inputs!$D$11</f>
        <v>267431.12549999997</v>
      </c>
      <c r="N882" s="39">
        <f>M882*(1-Inputs!$D$17)</f>
        <v>93600.893924999982</v>
      </c>
      <c r="O882" s="35">
        <f>Inputs!$D$6*E882*Inputs!$D$27*Inputs!$D$30</f>
        <v>433.64028811246965</v>
      </c>
      <c r="P882" s="36">
        <f>O882/(C882*Inputs!$D$33)</f>
        <v>0.54205036014058705</v>
      </c>
      <c r="Q882" s="38">
        <f>IF(P882&gt;=1,999,P882/(Inputs!$D$33*(1-P882))*60)</f>
        <v>1.7754693299038049</v>
      </c>
      <c r="R882" s="37">
        <f>MIN(1,MAX(0,(Q882-Inputs!$D$36)/(Inputs!$D$37-Inputs!$D$36)))</f>
        <v>0</v>
      </c>
      <c r="S882" s="35">
        <f>Inputs!$D$6*E882*Inputs!$D$27*(1-Inputs!$D$38*R882)</f>
        <v>3613.6690676039138</v>
      </c>
      <c r="T882" s="39">
        <f>S882*Inputs!$D$12</f>
        <v>57818.705081662622</v>
      </c>
      <c r="U882" s="39">
        <f>T882*(1-Inputs!$D$18)</f>
        <v>26018.417286748176</v>
      </c>
      <c r="V882" s="35">
        <f>Inputs!$D$6*F882*Inputs!$D$28*Inputs!$D$31</f>
        <v>664.12068515796761</v>
      </c>
      <c r="W882" s="36">
        <f>V882/(B882*Inputs!$D$34)</f>
        <v>0.99867772204205651</v>
      </c>
      <c r="X882" s="38">
        <f>IF(W882&gt;=1,999,W882/(Inputs!$D$34*(1-W882))*60)</f>
        <v>1294.749671797274</v>
      </c>
      <c r="Y882" s="37">
        <f>MIN(1,MAX(0,(X882-Inputs!$D$36)/(Inputs!$D$37-Inputs!$D$36)))</f>
        <v>1</v>
      </c>
      <c r="Z882" s="35">
        <f>Inputs!$D$6*F882*Inputs!$D$28*(1-Inputs!$D$38*Y882)</f>
        <v>2809.7413602837091</v>
      </c>
      <c r="AA882" s="39">
        <f>Z882*Inputs!$D$13</f>
        <v>23882.801562411529</v>
      </c>
      <c r="AB882" s="39">
        <f>AA882*(1-Inputs!$D$19)</f>
        <v>14329.680937446918</v>
      </c>
      <c r="AC882" s="39">
        <f t="shared" si="52"/>
        <v>349132.63214407413</v>
      </c>
      <c r="AD882" s="39">
        <f t="shared" si="53"/>
        <v>133948.99214919508</v>
      </c>
      <c r="AE882" s="36">
        <f t="shared" si="54"/>
        <v>0.99867772204205651</v>
      </c>
      <c r="AF882" s="35">
        <f>IF(AND(AE882&lt;=Inputs!$D$35,C882&gt;=Inputs!$D$48*(A882+B882+C882),B882*Inputs!$D$22&lt;=Inputs!$D$50*Inputs!$D$8,B882*Inputs!$D$22&gt;=Inputs!$D$49*Inputs!$D$8,A882*Inputs!$D$20&lt;=Inputs!$D$47*Inputs!$D$8,C882&gt;=1),1,0)</f>
        <v>0</v>
      </c>
      <c r="AG882" s="39">
        <f t="shared" si="55"/>
        <v>-1</v>
      </c>
    </row>
    <row r="883" spans="1:33" x14ac:dyDescent="0.25">
      <c r="A883" s="35">
        <v>62</v>
      </c>
      <c r="B883" s="35">
        <v>20</v>
      </c>
      <c r="C883" s="35">
        <f>Inputs!$D$8-A883-Inputs!$D$22*B883</f>
        <v>18</v>
      </c>
      <c r="D883" s="35">
        <f>A883*Inputs!$D$20+C883*Inputs!$D$21+B883*Inputs!$D$22</f>
        <v>120</v>
      </c>
      <c r="E883" s="36">
        <f>MIN(Inputs!$E$15,Inputs!$D$15*(C883/Inputs!$D$43)^Inputs!$D$44)</f>
        <v>0.29449851547238159</v>
      </c>
      <c r="F883" s="36">
        <f>MIN(Inputs!$E$16,Inputs!$D$16*(B883/Inputs!$D$42)^Inputs!$D$44)</f>
        <v>0.4</v>
      </c>
      <c r="G883" s="37">
        <f>Inputs!$D$26*(1+Inputs!$D$41*(B883-Inputs!$D$42))</f>
        <v>1.5</v>
      </c>
      <c r="H883" s="35">
        <f>Inputs!$D$6*Inputs!$D$14*G883*Inputs!$D$29</f>
        <v>1884.645</v>
      </c>
      <c r="I883" s="36">
        <f>H883/(A883*Inputs!$D$32)</f>
        <v>0.55268181818181816</v>
      </c>
      <c r="J883" s="38">
        <f>IF(I883&gt;=1,999,I883/(Inputs!$D$32*(1-I883))*60)</f>
        <v>1.347867456189781</v>
      </c>
      <c r="K883" s="37">
        <f>MIN(1,MAX(0,(J883-Inputs!$D$36)/(Inputs!$D$37-Inputs!$D$36)))</f>
        <v>0</v>
      </c>
      <c r="L883" s="35">
        <f>Inputs!$D$6*Inputs!$D$14*G883*(1-Inputs!$D$38*K883)</f>
        <v>12564.300000000001</v>
      </c>
      <c r="M883" s="39">
        <f>L883*Inputs!$D$11</f>
        <v>270132.45</v>
      </c>
      <c r="N883" s="39">
        <f>M883*(1-Inputs!$D$17)</f>
        <v>94546.357499999998</v>
      </c>
      <c r="O883" s="35">
        <f>Inputs!$D$6*E883*Inputs!$D$27*Inputs!$D$30</f>
        <v>420.14807408976606</v>
      </c>
      <c r="P883" s="36">
        <f>O883/(C883*Inputs!$D$33)</f>
        <v>0.58353899179134172</v>
      </c>
      <c r="Q883" s="38">
        <f>IF(P883&gt;=1,999,P883/(Inputs!$D$33*(1-P883))*60)</f>
        <v>2.1017777665477375</v>
      </c>
      <c r="R883" s="37">
        <f>MIN(1,MAX(0,(Q883-Inputs!$D$36)/(Inputs!$D$37-Inputs!$D$36)))</f>
        <v>0</v>
      </c>
      <c r="S883" s="35">
        <f>Inputs!$D$6*E883*Inputs!$D$27*(1-Inputs!$D$38*R883)</f>
        <v>3501.2339507480506</v>
      </c>
      <c r="T883" s="39">
        <f>S883*Inputs!$D$12</f>
        <v>56019.743211968809</v>
      </c>
      <c r="U883" s="39">
        <f>T883*(1-Inputs!$D$18)</f>
        <v>25208.88444538596</v>
      </c>
      <c r="V883" s="35">
        <f>Inputs!$D$6*F883*Inputs!$D$28*Inputs!$D$31</f>
        <v>674.41919999999993</v>
      </c>
      <c r="W883" s="36">
        <f>V883/(B883*Inputs!$D$34)</f>
        <v>0.96345599999999987</v>
      </c>
      <c r="X883" s="38">
        <f>IF(W883&gt;=1,999,W883/(Inputs!$D$34*(1-W883))*60)</f>
        <v>45.195896922691851</v>
      </c>
      <c r="Y883" s="37">
        <f>MIN(1,MAX(0,(X883-Inputs!$D$36)/(Inputs!$D$37-Inputs!$D$36)))</f>
        <v>1</v>
      </c>
      <c r="Z883" s="35">
        <f>Inputs!$D$6*F883*Inputs!$D$28*(1-Inputs!$D$38*Y883)</f>
        <v>2853.3119999999999</v>
      </c>
      <c r="AA883" s="39">
        <f>Z883*Inputs!$D$13</f>
        <v>24253.151999999998</v>
      </c>
      <c r="AB883" s="39">
        <f>AA883*(1-Inputs!$D$19)</f>
        <v>14551.891199999998</v>
      </c>
      <c r="AC883" s="39">
        <f t="shared" si="52"/>
        <v>350405.34521196882</v>
      </c>
      <c r="AD883" s="39">
        <f t="shared" si="53"/>
        <v>134307.13314538595</v>
      </c>
      <c r="AE883" s="36">
        <f t="shared" si="54"/>
        <v>0.96345599999999987</v>
      </c>
      <c r="AF883" s="35">
        <f>IF(AND(AE883&lt;=Inputs!$D$35,C883&gt;=Inputs!$D$48*(A883+B883+C883),B883*Inputs!$D$22&lt;=Inputs!$D$50*Inputs!$D$8,B883*Inputs!$D$22&gt;=Inputs!$D$49*Inputs!$D$8,A883*Inputs!$D$20&lt;=Inputs!$D$47*Inputs!$D$8,C883&gt;=1),1,0)</f>
        <v>0</v>
      </c>
      <c r="AG883" s="39">
        <f t="shared" si="55"/>
        <v>-1</v>
      </c>
    </row>
    <row r="884" spans="1:33" x14ac:dyDescent="0.25">
      <c r="A884" s="35">
        <v>62</v>
      </c>
      <c r="B884" s="35">
        <v>21</v>
      </c>
      <c r="C884" s="35">
        <f>Inputs!$D$8-A884-Inputs!$D$22*B884</f>
        <v>16</v>
      </c>
      <c r="D884" s="35">
        <f>A884*Inputs!$D$20+C884*Inputs!$D$21+B884*Inputs!$D$22</f>
        <v>120</v>
      </c>
      <c r="E884" s="36">
        <f>MIN(Inputs!$E$15,Inputs!$D$15*(C884/Inputs!$D$43)^Inputs!$D$44)</f>
        <v>0.2842741392252523</v>
      </c>
      <c r="F884" s="36">
        <f>MIN(Inputs!$E$16,Inputs!$D$16*(B884/Inputs!$D$42)^Inputs!$D$44)</f>
        <v>0.40589787816896217</v>
      </c>
      <c r="G884" s="37">
        <f>Inputs!$D$26*(1+Inputs!$D$41*(B884-Inputs!$D$42))</f>
        <v>1.5150000000000001</v>
      </c>
      <c r="H884" s="35">
        <f>Inputs!$D$6*Inputs!$D$14*G884*Inputs!$D$29</f>
        <v>1903.4914500000004</v>
      </c>
      <c r="I884" s="36">
        <f>H884/(A884*Inputs!$D$32)</f>
        <v>0.55820863636363649</v>
      </c>
      <c r="J884" s="38">
        <f>IF(I884&gt;=1,999,I884/(Inputs!$D$32*(1-I884))*60)</f>
        <v>1.3783765961850851</v>
      </c>
      <c r="K884" s="37">
        <f>MIN(1,MAX(0,(J884-Inputs!$D$36)/(Inputs!$D$37-Inputs!$D$36)))</f>
        <v>0</v>
      </c>
      <c r="L884" s="35">
        <f>Inputs!$D$6*Inputs!$D$14*G884*(1-Inputs!$D$38*K884)</f>
        <v>12689.943000000003</v>
      </c>
      <c r="M884" s="39">
        <f>L884*Inputs!$D$11</f>
        <v>272833.77450000006</v>
      </c>
      <c r="N884" s="39">
        <f>M884*(1-Inputs!$D$17)</f>
        <v>95491.821075000014</v>
      </c>
      <c r="O884" s="35">
        <f>Inputs!$D$6*E884*Inputs!$D$27*Inputs!$D$30</f>
        <v>405.56140637054153</v>
      </c>
      <c r="P884" s="36">
        <f>O884/(C884*Inputs!$D$33)</f>
        <v>0.63368969745397119</v>
      </c>
      <c r="Q884" s="38">
        <f>IF(P884&gt;=1,999,P884/(Inputs!$D$33*(1-P884))*60)</f>
        <v>2.5948889222451426</v>
      </c>
      <c r="R884" s="37">
        <f>MIN(1,MAX(0,(Q884-Inputs!$D$36)/(Inputs!$D$37-Inputs!$D$36)))</f>
        <v>0</v>
      </c>
      <c r="S884" s="35">
        <f>Inputs!$D$6*E884*Inputs!$D$27*(1-Inputs!$D$38*R884)</f>
        <v>3379.6783864211798</v>
      </c>
      <c r="T884" s="39">
        <f>S884*Inputs!$D$12</f>
        <v>54074.854182738876</v>
      </c>
      <c r="U884" s="39">
        <f>T884*(1-Inputs!$D$18)</f>
        <v>24333.684382232492</v>
      </c>
      <c r="V884" s="35">
        <f>Inputs!$D$6*F884*Inputs!$D$28*Inputs!$D$31</f>
        <v>684.36330569102222</v>
      </c>
      <c r="W884" s="36">
        <f>V884/(B884*Inputs!$D$34)</f>
        <v>0.93110653835513224</v>
      </c>
      <c r="X884" s="38">
        <f>IF(W884&gt;=1,999,W884/(Inputs!$D$34*(1-W884))*60)</f>
        <v>23.16885520150278</v>
      </c>
      <c r="Y884" s="37">
        <f>MIN(1,MAX(0,(X884-Inputs!$D$36)/(Inputs!$D$37-Inputs!$D$36)))</f>
        <v>1</v>
      </c>
      <c r="Z884" s="35">
        <f>Inputs!$D$6*F884*Inputs!$D$28*(1-Inputs!$D$38*Y884)</f>
        <v>2895.3832163850943</v>
      </c>
      <c r="AA884" s="39">
        <f>Z884*Inputs!$D$13</f>
        <v>24610.757339273303</v>
      </c>
      <c r="AB884" s="39">
        <f>AA884*(1-Inputs!$D$19)</f>
        <v>14766.454403563981</v>
      </c>
      <c r="AC884" s="39">
        <f t="shared" si="52"/>
        <v>351519.38602201222</v>
      </c>
      <c r="AD884" s="39">
        <f t="shared" si="53"/>
        <v>134591.95986079649</v>
      </c>
      <c r="AE884" s="36">
        <f t="shared" si="54"/>
        <v>0.93110653835513224</v>
      </c>
      <c r="AF884" s="35">
        <f>IF(AND(AE884&lt;=Inputs!$D$35,C884&gt;=Inputs!$D$48*(A884+B884+C884),B884*Inputs!$D$22&lt;=Inputs!$D$50*Inputs!$D$8,B884*Inputs!$D$22&gt;=Inputs!$D$49*Inputs!$D$8,A884*Inputs!$D$20&lt;=Inputs!$D$47*Inputs!$D$8,C884&gt;=1),1,0)</f>
        <v>0</v>
      </c>
      <c r="AG884" s="39">
        <f t="shared" si="55"/>
        <v>-1</v>
      </c>
    </row>
    <row r="885" spans="1:33" x14ac:dyDescent="0.25">
      <c r="A885" s="35">
        <v>62</v>
      </c>
      <c r="B885" s="35">
        <v>22</v>
      </c>
      <c r="C885" s="35">
        <f>Inputs!$D$8-A885-Inputs!$D$22*B885</f>
        <v>14</v>
      </c>
      <c r="D885" s="35">
        <f>A885*Inputs!$D$20+C885*Inputs!$D$21+B885*Inputs!$D$22</f>
        <v>120</v>
      </c>
      <c r="E885" s="36">
        <f>MIN(Inputs!$E$15,Inputs!$D$15*(C885/Inputs!$D$43)^Inputs!$D$44)</f>
        <v>0.27311136263675401</v>
      </c>
      <c r="F885" s="36">
        <f>MIN(Inputs!$E$16,Inputs!$D$16*(B885/Inputs!$D$42)^Inputs!$D$44)</f>
        <v>0.41160230376843804</v>
      </c>
      <c r="G885" s="37">
        <f>Inputs!$D$26*(1+Inputs!$D$41*(B885-Inputs!$D$42))</f>
        <v>1.53</v>
      </c>
      <c r="H885" s="35">
        <f>Inputs!$D$6*Inputs!$D$14*G885*Inputs!$D$29</f>
        <v>1922.3379</v>
      </c>
      <c r="I885" s="36">
        <f>H885/(A885*Inputs!$D$32)</f>
        <v>0.5637354545454546</v>
      </c>
      <c r="J885" s="38">
        <f>IF(I885&gt;=1,999,I885/(Inputs!$D$32*(1-I885))*60)</f>
        <v>1.4096587463706252</v>
      </c>
      <c r="K885" s="37">
        <f>MIN(1,MAX(0,(J885-Inputs!$D$36)/(Inputs!$D$37-Inputs!$D$36)))</f>
        <v>0</v>
      </c>
      <c r="L885" s="35">
        <f>Inputs!$D$6*Inputs!$D$14*G885*(1-Inputs!$D$38*K885)</f>
        <v>12815.586000000001</v>
      </c>
      <c r="M885" s="39">
        <f>L885*Inputs!$D$11</f>
        <v>275535.09900000005</v>
      </c>
      <c r="N885" s="39">
        <f>M885*(1-Inputs!$D$17)</f>
        <v>96437.284650000016</v>
      </c>
      <c r="O885" s="35">
        <f>Inputs!$D$6*E885*Inputs!$D$27*Inputs!$D$30</f>
        <v>389.63596417390096</v>
      </c>
      <c r="P885" s="36">
        <f>O885/(C885*Inputs!$D$33)</f>
        <v>0.69577850745339453</v>
      </c>
      <c r="Q885" s="38">
        <f>IF(P885&gt;=1,999,P885/(Inputs!$D$33*(1-P885))*60)</f>
        <v>3.4306181080227471</v>
      </c>
      <c r="R885" s="37">
        <f>MIN(1,MAX(0,(Q885-Inputs!$D$36)/(Inputs!$D$37-Inputs!$D$36)))</f>
        <v>0</v>
      </c>
      <c r="S885" s="35">
        <f>Inputs!$D$6*E885*Inputs!$D$27*(1-Inputs!$D$38*R885)</f>
        <v>3246.9663681158413</v>
      </c>
      <c r="T885" s="39">
        <f>S885*Inputs!$D$12</f>
        <v>51951.461889853461</v>
      </c>
      <c r="U885" s="39">
        <f>T885*(1-Inputs!$D$18)</f>
        <v>23378.157850434054</v>
      </c>
      <c r="V885" s="35">
        <f>Inputs!$D$6*F885*Inputs!$D$28*Inputs!$D$31</f>
        <v>693.98124106416742</v>
      </c>
      <c r="W885" s="36">
        <f>V885/(B885*Inputs!$D$34)</f>
        <v>0.90127433904437326</v>
      </c>
      <c r="X885" s="38">
        <f>IF(W885&gt;=1,999,W885/(Inputs!$D$34*(1-W885))*60)</f>
        <v>15.649849381818807</v>
      </c>
      <c r="Y885" s="37">
        <f>MIN(1,MAX(0,(X885-Inputs!$D$36)/(Inputs!$D$37-Inputs!$D$36)))</f>
        <v>0.70998995878792048</v>
      </c>
      <c r="Z885" s="35">
        <f>Inputs!$D$6*F885*Inputs!$D$28*(1-Inputs!$D$38*Y885)</f>
        <v>3632.749002537963</v>
      </c>
      <c r="AA885" s="39">
        <f>Z885*Inputs!$D$13</f>
        <v>30878.366521572687</v>
      </c>
      <c r="AB885" s="39">
        <f>AA885*(1-Inputs!$D$19)</f>
        <v>18527.019912943611</v>
      </c>
      <c r="AC885" s="39">
        <f t="shared" si="52"/>
        <v>358364.92741142621</v>
      </c>
      <c r="AD885" s="39">
        <f t="shared" si="53"/>
        <v>138342.46241337768</v>
      </c>
      <c r="AE885" s="36">
        <f t="shared" si="54"/>
        <v>0.90127433904437326</v>
      </c>
      <c r="AF885" s="35">
        <f>IF(AND(AE885&lt;=Inputs!$D$35,C885&gt;=Inputs!$D$48*(A885+B885+C885),B885*Inputs!$D$22&lt;=Inputs!$D$50*Inputs!$D$8,B885*Inputs!$D$22&gt;=Inputs!$D$49*Inputs!$D$8,A885*Inputs!$D$20&lt;=Inputs!$D$47*Inputs!$D$8,C885&gt;=1),1,0)</f>
        <v>0</v>
      </c>
      <c r="AG885" s="39">
        <f t="shared" si="55"/>
        <v>-1</v>
      </c>
    </row>
    <row r="886" spans="1:33" x14ac:dyDescent="0.25">
      <c r="A886" s="35">
        <v>62</v>
      </c>
      <c r="B886" s="35">
        <v>23</v>
      </c>
      <c r="C886" s="35">
        <f>Inputs!$D$8-A886-Inputs!$D$22*B886</f>
        <v>12</v>
      </c>
      <c r="D886" s="35">
        <f>A886*Inputs!$D$20+C886*Inputs!$D$21+B886*Inputs!$D$22</f>
        <v>120</v>
      </c>
      <c r="E886" s="36">
        <f>MIN(Inputs!$E$15,Inputs!$D$15*(C886/Inputs!$D$43)^Inputs!$D$44)</f>
        <v>0.26076886227459228</v>
      </c>
      <c r="F886" s="36">
        <f>MIN(Inputs!$E$16,Inputs!$D$16*(B886/Inputs!$D$42)^Inputs!$D$44)</f>
        <v>0.41712800028621322</v>
      </c>
      <c r="G886" s="37">
        <f>Inputs!$D$26*(1+Inputs!$D$41*(B886-Inputs!$D$42))</f>
        <v>1.5449999999999999</v>
      </c>
      <c r="H886" s="35">
        <f>Inputs!$D$6*Inputs!$D$14*G886*Inputs!$D$29</f>
        <v>1941.18435</v>
      </c>
      <c r="I886" s="36">
        <f>H886/(A886*Inputs!$D$32)</f>
        <v>0.5692622727272727</v>
      </c>
      <c r="J886" s="38">
        <f>IF(I886&gt;=1,999,I886/(Inputs!$D$32*(1-I886))*60)</f>
        <v>1.4417436623482696</v>
      </c>
      <c r="K886" s="37">
        <f>MIN(1,MAX(0,(J886-Inputs!$D$36)/(Inputs!$D$37-Inputs!$D$36)))</f>
        <v>0</v>
      </c>
      <c r="L886" s="35">
        <f>Inputs!$D$6*Inputs!$D$14*G886*(1-Inputs!$D$38*K886)</f>
        <v>12941.229000000001</v>
      </c>
      <c r="M886" s="39">
        <f>L886*Inputs!$D$11</f>
        <v>278236.42350000003</v>
      </c>
      <c r="N886" s="39">
        <f>M886*(1-Inputs!$D$17)</f>
        <v>97382.748225000003</v>
      </c>
      <c r="O886" s="35">
        <f>Inputs!$D$6*E886*Inputs!$D$27*Inputs!$D$30</f>
        <v>372.02746197722075</v>
      </c>
      <c r="P886" s="36">
        <f>O886/(C886*Inputs!$D$33)</f>
        <v>0.77505721245254322</v>
      </c>
      <c r="Q886" s="38">
        <f>IF(P886&gt;=1,999,P886/(Inputs!$D$33*(1-P886))*60)</f>
        <v>5.1683622816025654</v>
      </c>
      <c r="R886" s="37">
        <f>MIN(1,MAX(0,(Q886-Inputs!$D$36)/(Inputs!$D$37-Inputs!$D$36)))</f>
        <v>1.1224152106837693E-2</v>
      </c>
      <c r="S886" s="35">
        <f>Inputs!$D$6*E886*Inputs!$D$27*(1-Inputs!$D$38*R886)</f>
        <v>3084.5700017308486</v>
      </c>
      <c r="T886" s="39">
        <f>S886*Inputs!$D$12</f>
        <v>49353.120027693578</v>
      </c>
      <c r="U886" s="39">
        <f>T886*(1-Inputs!$D$18)</f>
        <v>22208.904012462106</v>
      </c>
      <c r="V886" s="35">
        <f>Inputs!$D$6*F886*Inputs!$D$28*Inputs!$D$31</f>
        <v>703.29783062656929</v>
      </c>
      <c r="W886" s="36">
        <f>V886/(B886*Inputs!$D$34)</f>
        <v>0.87366190139946498</v>
      </c>
      <c r="X886" s="38">
        <f>IF(W886&gt;=1,999,W886/(Inputs!$D$34*(1-W886))*60)</f>
        <v>11.854746377182334</v>
      </c>
      <c r="Y886" s="37">
        <f>MIN(1,MAX(0,(X886-Inputs!$D$36)/(Inputs!$D$37-Inputs!$D$36)))</f>
        <v>0.45698309181215557</v>
      </c>
      <c r="Z886" s="35">
        <f>Inputs!$D$6*F886*Inputs!$D$28*(1-Inputs!$D$38*Y886)</f>
        <v>4297.4614071503011</v>
      </c>
      <c r="AA886" s="39">
        <f>Z886*Inputs!$D$13</f>
        <v>36528.421960777559</v>
      </c>
      <c r="AB886" s="39">
        <f>AA886*(1-Inputs!$D$19)</f>
        <v>21917.053176466536</v>
      </c>
      <c r="AC886" s="39">
        <f t="shared" si="52"/>
        <v>364117.96548847115</v>
      </c>
      <c r="AD886" s="39">
        <f t="shared" si="53"/>
        <v>141508.70541392866</v>
      </c>
      <c r="AE886" s="36">
        <f t="shared" si="54"/>
        <v>0.87366190139946498</v>
      </c>
      <c r="AF886" s="35">
        <f>IF(AND(AE886&lt;=Inputs!$D$35,C886&gt;=Inputs!$D$48*(A886+B886+C886),B886*Inputs!$D$22&lt;=Inputs!$D$50*Inputs!$D$8,B886*Inputs!$D$22&gt;=Inputs!$D$49*Inputs!$D$8,A886*Inputs!$D$20&lt;=Inputs!$D$47*Inputs!$D$8,C886&gt;=1),1,0)</f>
        <v>0</v>
      </c>
      <c r="AG886" s="39">
        <f t="shared" si="55"/>
        <v>-1</v>
      </c>
    </row>
    <row r="887" spans="1:33" x14ac:dyDescent="0.25">
      <c r="A887" s="35">
        <v>62</v>
      </c>
      <c r="B887" s="35">
        <v>24</v>
      </c>
      <c r="C887" s="35">
        <f>Inputs!$D$8-A887-Inputs!$D$22*B887</f>
        <v>10</v>
      </c>
      <c r="D887" s="35">
        <f>A887*Inputs!$D$20+C887*Inputs!$D$21+B887*Inputs!$D$22</f>
        <v>120</v>
      </c>
      <c r="E887" s="36">
        <f>MIN(Inputs!$E$15,Inputs!$D$15*(C887/Inputs!$D$43)^Inputs!$D$44)</f>
        <v>0.24688878270302153</v>
      </c>
      <c r="F887" s="36">
        <f>MIN(Inputs!$E$16,Inputs!$D$16*(B887/Inputs!$D$42)^Inputs!$D$44)</f>
        <v>0.42248798737570326</v>
      </c>
      <c r="G887" s="37">
        <f>Inputs!$D$26*(1+Inputs!$D$41*(B887-Inputs!$D$42))</f>
        <v>1.56</v>
      </c>
      <c r="H887" s="35">
        <f>Inputs!$D$6*Inputs!$D$14*G887*Inputs!$D$29</f>
        <v>1960.0308</v>
      </c>
      <c r="I887" s="36">
        <f>H887/(A887*Inputs!$D$32)</f>
        <v>0.57478909090909092</v>
      </c>
      <c r="J887" s="38">
        <f>IF(I887&gt;=1,999,I887/(Inputs!$D$32*(1-I887))*60)</f>
        <v>1.4746626467526469</v>
      </c>
      <c r="K887" s="37">
        <f>MIN(1,MAX(0,(J887-Inputs!$D$36)/(Inputs!$D$37-Inputs!$D$36)))</f>
        <v>0</v>
      </c>
      <c r="L887" s="35">
        <f>Inputs!$D$6*Inputs!$D$14*G887*(1-Inputs!$D$38*K887)</f>
        <v>13066.872000000001</v>
      </c>
      <c r="M887" s="39">
        <f>L887*Inputs!$D$11</f>
        <v>280937.74800000002</v>
      </c>
      <c r="N887" s="39">
        <f>M887*(1-Inputs!$D$17)</f>
        <v>98328.211800000005</v>
      </c>
      <c r="O887" s="35">
        <f>Inputs!$D$6*E887*Inputs!$D$27*Inputs!$D$30</f>
        <v>352.22536317596189</v>
      </c>
      <c r="P887" s="36">
        <f>O887/(C887*Inputs!$D$33)</f>
        <v>0.88056340793990473</v>
      </c>
      <c r="Q887" s="38">
        <f>IF(P887&gt;=1,999,P887/(Inputs!$D$33*(1-P887))*60)</f>
        <v>11.05896517245959</v>
      </c>
      <c r="R887" s="37">
        <f>MIN(1,MAX(0,(Q887-Inputs!$D$36)/(Inputs!$D$37-Inputs!$D$36)))</f>
        <v>0.40393101149730604</v>
      </c>
      <c r="S887" s="35">
        <f>Inputs!$D$6*E887*Inputs!$D$27*(1-Inputs!$D$38*R887)</f>
        <v>2401.6810577146616</v>
      </c>
      <c r="T887" s="39">
        <f>S887*Inputs!$D$12</f>
        <v>38426.896923434586</v>
      </c>
      <c r="U887" s="39">
        <f>T887*(1-Inputs!$D$18)</f>
        <v>17292.103615545562</v>
      </c>
      <c r="V887" s="35">
        <f>Inputs!$D$6*F887*Inputs!$D$28*Inputs!$D$31</f>
        <v>712.33502613882979</v>
      </c>
      <c r="W887" s="36">
        <f>V887/(B887*Inputs!$D$34)</f>
        <v>0.84801788826051161</v>
      </c>
      <c r="X887" s="38">
        <f>IF(W887&gt;=1,999,W887/(Inputs!$D$34*(1-W887))*60)</f>
        <v>9.5652372155190832</v>
      </c>
      <c r="Y887" s="37">
        <f>MIN(1,MAX(0,(X887-Inputs!$D$36)/(Inputs!$D$37-Inputs!$D$36)))</f>
        <v>0.30434914770127219</v>
      </c>
      <c r="Z887" s="35">
        <f>Inputs!$D$6*F887*Inputs!$D$28*(1-Inputs!$D$38*Y887)</f>
        <v>4729.0436538571339</v>
      </c>
      <c r="AA887" s="39">
        <f>Z887*Inputs!$D$13</f>
        <v>40196.87105778564</v>
      </c>
      <c r="AB887" s="39">
        <f>AA887*(1-Inputs!$D$19)</f>
        <v>24118.122634671385</v>
      </c>
      <c r="AC887" s="39">
        <f t="shared" si="52"/>
        <v>359561.51598122023</v>
      </c>
      <c r="AD887" s="39">
        <f t="shared" si="53"/>
        <v>139738.43805021697</v>
      </c>
      <c r="AE887" s="36">
        <f t="shared" si="54"/>
        <v>0.88056340793990473</v>
      </c>
      <c r="AF887" s="35">
        <f>IF(AND(AE887&lt;=Inputs!$D$35,C887&gt;=Inputs!$D$48*(A887+B887+C887),B887*Inputs!$D$22&lt;=Inputs!$D$50*Inputs!$D$8,B887*Inputs!$D$22&gt;=Inputs!$D$49*Inputs!$D$8,A887*Inputs!$D$20&lt;=Inputs!$D$47*Inputs!$D$8,C887&gt;=1),1,0)</f>
        <v>0</v>
      </c>
      <c r="AG887" s="39">
        <f t="shared" si="55"/>
        <v>-1</v>
      </c>
    </row>
    <row r="888" spans="1:33" x14ac:dyDescent="0.25">
      <c r="A888" s="35">
        <v>62</v>
      </c>
      <c r="B888" s="35">
        <v>25</v>
      </c>
      <c r="C888" s="35">
        <f>Inputs!$D$8-A888-Inputs!$D$22*B888</f>
        <v>8</v>
      </c>
      <c r="D888" s="35">
        <f>A888*Inputs!$D$20+C888*Inputs!$D$21+B888*Inputs!$D$22</f>
        <v>120</v>
      </c>
      <c r="E888" s="36">
        <f>MIN(Inputs!$E$15,Inputs!$D$15*(C888/Inputs!$D$43)^Inputs!$D$44)</f>
        <v>0.23090235080781729</v>
      </c>
      <c r="F888" s="36">
        <f>MIN(Inputs!$E$16,Inputs!$D$16*(B888/Inputs!$D$42)^Inputs!$D$44)</f>
        <v>0.42769383999647526</v>
      </c>
      <c r="G888" s="37">
        <f>Inputs!$D$26*(1+Inputs!$D$41*(B888-Inputs!$D$42))</f>
        <v>1.5750000000000002</v>
      </c>
      <c r="H888" s="35">
        <f>Inputs!$D$6*Inputs!$D$14*G888*Inputs!$D$29</f>
        <v>1978.8772500000005</v>
      </c>
      <c r="I888" s="36">
        <f>H888/(A888*Inputs!$D$32)</f>
        <v>0.58031590909090924</v>
      </c>
      <c r="J888" s="38">
        <f>IF(I888&gt;=1,999,I888/(Inputs!$D$32*(1-I888))*60)</f>
        <v>1.5084486511154847</v>
      </c>
      <c r="K888" s="37">
        <f>MIN(1,MAX(0,(J888-Inputs!$D$36)/(Inputs!$D$37-Inputs!$D$36)))</f>
        <v>0</v>
      </c>
      <c r="L888" s="35">
        <f>Inputs!$D$6*Inputs!$D$14*G888*(1-Inputs!$D$38*K888)</f>
        <v>13192.515000000003</v>
      </c>
      <c r="M888" s="39">
        <f>L888*Inputs!$D$11</f>
        <v>283639.07250000007</v>
      </c>
      <c r="N888" s="39">
        <f>M888*(1-Inputs!$D$17)</f>
        <v>99273.675375000021</v>
      </c>
      <c r="O888" s="35">
        <f>Inputs!$D$6*E888*Inputs!$D$27*Inputs!$D$30</f>
        <v>329.41822419407742</v>
      </c>
      <c r="P888" s="36">
        <f>O888/(C888*Inputs!$D$33)</f>
        <v>1.029431950606492</v>
      </c>
      <c r="Q888" s="38">
        <f>IF(P888&gt;=1,999,P888/(Inputs!$D$33*(1-P888))*60)</f>
        <v>999</v>
      </c>
      <c r="R888" s="37">
        <f>MIN(1,MAX(0,(Q888-Inputs!$D$36)/(Inputs!$D$37-Inputs!$D$36)))</f>
        <v>1</v>
      </c>
      <c r="S888" s="35">
        <f>Inputs!$D$6*E888*Inputs!$D$27*(1-Inputs!$D$38*R888)</f>
        <v>1509.8335275561885</v>
      </c>
      <c r="T888" s="39">
        <f>S888*Inputs!$D$12</f>
        <v>24157.336440899016</v>
      </c>
      <c r="U888" s="39">
        <f>T888*(1-Inputs!$D$18)</f>
        <v>10870.801398404556</v>
      </c>
      <c r="V888" s="35">
        <f>Inputs!$D$6*F888*Inputs!$D$28*Inputs!$D$31</f>
        <v>721.1123435383771</v>
      </c>
      <c r="W888" s="36">
        <f>V888/(B888*Inputs!$D$34)</f>
        <v>0.82412839261528814</v>
      </c>
      <c r="X888" s="38">
        <f>IF(W888&gt;=1,999,W888/(Inputs!$D$34*(1-W888))*60)</f>
        <v>8.0330847668163621</v>
      </c>
      <c r="Y888" s="37">
        <f>MIN(1,MAX(0,(X888-Inputs!$D$36)/(Inputs!$D$37-Inputs!$D$36)))</f>
        <v>0.20220565112109082</v>
      </c>
      <c r="Z888" s="35">
        <f>Inputs!$D$6*F888*Inputs!$D$28*(1-Inputs!$D$38*Y888)</f>
        <v>5042.2807508299393</v>
      </c>
      <c r="AA888" s="39">
        <f>Z888*Inputs!$D$13</f>
        <v>42859.386382054487</v>
      </c>
      <c r="AB888" s="39">
        <f>AA888*(1-Inputs!$D$19)</f>
        <v>25715.631829232691</v>
      </c>
      <c r="AC888" s="39">
        <f t="shared" si="52"/>
        <v>350655.79532295355</v>
      </c>
      <c r="AD888" s="39">
        <f t="shared" si="53"/>
        <v>135860.10860263725</v>
      </c>
      <c r="AE888" s="36">
        <f t="shared" si="54"/>
        <v>1.029431950606492</v>
      </c>
      <c r="AF888" s="35">
        <f>IF(AND(AE888&lt;=Inputs!$D$35,C888&gt;=Inputs!$D$48*(A888+B888+C888),B888*Inputs!$D$22&lt;=Inputs!$D$50*Inputs!$D$8,B888*Inputs!$D$22&gt;=Inputs!$D$49*Inputs!$D$8,A888*Inputs!$D$20&lt;=Inputs!$D$47*Inputs!$D$8,C888&gt;=1),1,0)</f>
        <v>0</v>
      </c>
      <c r="AG888" s="39">
        <f t="shared" si="55"/>
        <v>-1</v>
      </c>
    </row>
    <row r="889" spans="1:33" x14ac:dyDescent="0.25">
      <c r="A889" s="35">
        <v>62</v>
      </c>
      <c r="B889" s="35">
        <v>26</v>
      </c>
      <c r="C889" s="35">
        <f>Inputs!$D$8-A889-Inputs!$D$22*B889</f>
        <v>6</v>
      </c>
      <c r="D889" s="35">
        <f>A889*Inputs!$D$20+C889*Inputs!$D$21+B889*Inputs!$D$22</f>
        <v>120</v>
      </c>
      <c r="E889" s="36">
        <f>MIN(Inputs!$E$15,Inputs!$D$15*(C889/Inputs!$D$43)^Inputs!$D$44)</f>
        <v>0.21181013327762671</v>
      </c>
      <c r="F889" s="36">
        <f>MIN(Inputs!$E$16,Inputs!$D$16*(B889/Inputs!$D$42)^Inputs!$D$44)</f>
        <v>0.43275589945781112</v>
      </c>
      <c r="G889" s="37">
        <f>Inputs!$D$26*(1+Inputs!$D$41*(B889-Inputs!$D$42))</f>
        <v>1.59</v>
      </c>
      <c r="H889" s="35">
        <f>Inputs!$D$6*Inputs!$D$14*G889*Inputs!$D$29</f>
        <v>1997.7237</v>
      </c>
      <c r="I889" s="36">
        <f>H889/(A889*Inputs!$D$32)</f>
        <v>0.58584272727272724</v>
      </c>
      <c r="J889" s="38">
        <f>IF(I889&gt;=1,999,I889/(Inputs!$D$32*(1-I889))*60)</f>
        <v>1.5431363858860658</v>
      </c>
      <c r="K889" s="37">
        <f>MIN(1,MAX(0,(J889-Inputs!$D$36)/(Inputs!$D$37-Inputs!$D$36)))</f>
        <v>0</v>
      </c>
      <c r="L889" s="35">
        <f>Inputs!$D$6*Inputs!$D$14*G889*(1-Inputs!$D$38*K889)</f>
        <v>13318.158000000001</v>
      </c>
      <c r="M889" s="39">
        <f>L889*Inputs!$D$11</f>
        <v>286340.39700000006</v>
      </c>
      <c r="N889" s="39">
        <f>M889*(1-Inputs!$D$17)</f>
        <v>100219.13895000001</v>
      </c>
      <c r="O889" s="35">
        <f>Inputs!$D$6*E889*Inputs!$D$27*Inputs!$D$30</f>
        <v>302.18019750132584</v>
      </c>
      <c r="P889" s="36">
        <f>O889/(C889*Inputs!$D$33)</f>
        <v>1.2590841562555244</v>
      </c>
      <c r="Q889" s="38">
        <f>IF(P889&gt;=1,999,P889/(Inputs!$D$33*(1-P889))*60)</f>
        <v>999</v>
      </c>
      <c r="R889" s="37">
        <f>MIN(1,MAX(0,(Q889-Inputs!$D$36)/(Inputs!$D$37-Inputs!$D$36)))</f>
        <v>1</v>
      </c>
      <c r="S889" s="35">
        <f>Inputs!$D$6*E889*Inputs!$D$27*(1-Inputs!$D$38*R889)</f>
        <v>1384.9925718810769</v>
      </c>
      <c r="T889" s="39">
        <f>S889*Inputs!$D$12</f>
        <v>22159.88115009723</v>
      </c>
      <c r="U889" s="39">
        <f>T889*(1-Inputs!$D$18)</f>
        <v>9971.9465175437526</v>
      </c>
      <c r="V889" s="35">
        <f>Inputs!$D$6*F889*Inputs!$D$28*Inputs!$D$31</f>
        <v>729.64721876904355</v>
      </c>
      <c r="W889" s="36">
        <f>V889/(B889*Inputs!$D$34)</f>
        <v>0.80181013051543248</v>
      </c>
      <c r="X889" s="38">
        <f>IF(W889&gt;=1,999,W889/(Inputs!$D$34*(1-W889))*60)</f>
        <v>6.9354284146153136</v>
      </c>
      <c r="Y889" s="37">
        <f>MIN(1,MAX(0,(X889-Inputs!$D$36)/(Inputs!$D$37-Inputs!$D$36)))</f>
        <v>0.12902856097435425</v>
      </c>
      <c r="Z889" s="35">
        <f>Inputs!$D$6*F889*Inputs!$D$28*(1-Inputs!$D$38*Y889)</f>
        <v>5286.7832305655711</v>
      </c>
      <c r="AA889" s="39">
        <f>Z889*Inputs!$D$13</f>
        <v>44937.657459807357</v>
      </c>
      <c r="AB889" s="39">
        <f>AA889*(1-Inputs!$D$19)</f>
        <v>26962.594475884413</v>
      </c>
      <c r="AC889" s="39">
        <f t="shared" si="52"/>
        <v>353437.93560990464</v>
      </c>
      <c r="AD889" s="39">
        <f t="shared" si="53"/>
        <v>137153.67994342817</v>
      </c>
      <c r="AE889" s="36">
        <f t="shared" si="54"/>
        <v>1.2590841562555244</v>
      </c>
      <c r="AF889" s="35">
        <f>IF(AND(AE889&lt;=Inputs!$D$35,C889&gt;=Inputs!$D$48*(A889+B889+C889),B889*Inputs!$D$22&lt;=Inputs!$D$50*Inputs!$D$8,B889*Inputs!$D$22&gt;=Inputs!$D$49*Inputs!$D$8,A889*Inputs!$D$20&lt;=Inputs!$D$47*Inputs!$D$8,C889&gt;=1),1,0)</f>
        <v>0</v>
      </c>
      <c r="AG889" s="39">
        <f t="shared" si="55"/>
        <v>-1</v>
      </c>
    </row>
    <row r="890" spans="1:33" x14ac:dyDescent="0.25">
      <c r="A890" s="35">
        <v>62</v>
      </c>
      <c r="B890" s="35">
        <v>27</v>
      </c>
      <c r="C890" s="35">
        <f>Inputs!$D$8-A890-Inputs!$D$22*B890</f>
        <v>4</v>
      </c>
      <c r="D890" s="35">
        <f>A890*Inputs!$D$20+C890*Inputs!$D$21+B890*Inputs!$D$22</f>
        <v>120</v>
      </c>
      <c r="E890" s="36">
        <f>MIN(Inputs!$E$15,Inputs!$D$15*(C890/Inputs!$D$43)^Inputs!$D$44)</f>
        <v>0.18755098776793777</v>
      </c>
      <c r="F890" s="36">
        <f>MIN(Inputs!$E$16,Inputs!$D$16*(B890/Inputs!$D$42)^Inputs!$D$44)</f>
        <v>0.43768344678187454</v>
      </c>
      <c r="G890" s="37">
        <f>Inputs!$D$26*(1+Inputs!$D$41*(B890-Inputs!$D$42))</f>
        <v>1.605</v>
      </c>
      <c r="H890" s="35">
        <f>Inputs!$D$6*Inputs!$D$14*G890*Inputs!$D$29</f>
        <v>2016.57015</v>
      </c>
      <c r="I890" s="36">
        <f>H890/(A890*Inputs!$D$32)</f>
        <v>0.59136954545454545</v>
      </c>
      <c r="J890" s="38">
        <f>IF(I890&gt;=1,999,I890/(Inputs!$D$32*(1-I890))*60)</f>
        <v>1.578762439380001</v>
      </c>
      <c r="K890" s="37">
        <f>MIN(1,MAX(0,(J890-Inputs!$D$36)/(Inputs!$D$37-Inputs!$D$36)))</f>
        <v>0</v>
      </c>
      <c r="L890" s="35">
        <f>Inputs!$D$6*Inputs!$D$14*G890*(1-Inputs!$D$38*K890)</f>
        <v>13443.801000000001</v>
      </c>
      <c r="M890" s="39">
        <f>L890*Inputs!$D$11</f>
        <v>289041.72150000004</v>
      </c>
      <c r="N890" s="39">
        <f>M890*(1-Inputs!$D$17)</f>
        <v>101164.60252500001</v>
      </c>
      <c r="O890" s="35">
        <f>Inputs!$D$6*E890*Inputs!$D$27*Inputs!$D$30</f>
        <v>267.57074200505502</v>
      </c>
      <c r="P890" s="36">
        <f>O890/(C890*Inputs!$D$33)</f>
        <v>1.6723171375315939</v>
      </c>
      <c r="Q890" s="38">
        <f>IF(P890&gt;=1,999,P890/(Inputs!$D$33*(1-P890))*60)</f>
        <v>999</v>
      </c>
      <c r="R890" s="37">
        <f>MIN(1,MAX(0,(Q890-Inputs!$D$36)/(Inputs!$D$37-Inputs!$D$36)))</f>
        <v>1</v>
      </c>
      <c r="S890" s="35">
        <f>Inputs!$D$6*E890*Inputs!$D$27*(1-Inputs!$D$38*R890)</f>
        <v>1226.3659008565023</v>
      </c>
      <c r="T890" s="39">
        <f>S890*Inputs!$D$12</f>
        <v>19621.854413704037</v>
      </c>
      <c r="U890" s="39">
        <f>T890*(1-Inputs!$D$18)</f>
        <v>8829.8344861668156</v>
      </c>
      <c r="V890" s="35">
        <f>Inputs!$D$6*F890*Inputs!$D$28*Inputs!$D$31</f>
        <v>737.95530007968603</v>
      </c>
      <c r="W890" s="36">
        <f>V890/(B890*Inputs!$D$34)</f>
        <v>0.78090507944940324</v>
      </c>
      <c r="X890" s="38">
        <f>IF(W890&gt;=1,999,W890/(Inputs!$D$34*(1-W890))*60)</f>
        <v>6.1101116290101798</v>
      </c>
      <c r="Y890" s="37">
        <f>MIN(1,MAX(0,(X890-Inputs!$D$36)/(Inputs!$D$37-Inputs!$D$36)))</f>
        <v>7.4007441934011986E-2</v>
      </c>
      <c r="Z890" s="35">
        <f>Inputs!$D$6*F890*Inputs!$D$28*(1-Inputs!$D$38*Y890)</f>
        <v>5487.5301328495489</v>
      </c>
      <c r="AA890" s="39">
        <f>Z890*Inputs!$D$13</f>
        <v>46644.006129221169</v>
      </c>
      <c r="AB890" s="39">
        <f>AA890*(1-Inputs!$D$19)</f>
        <v>27986.4036775327</v>
      </c>
      <c r="AC890" s="39">
        <f t="shared" si="52"/>
        <v>355307.58204292523</v>
      </c>
      <c r="AD890" s="39">
        <f t="shared" si="53"/>
        <v>137980.84068869954</v>
      </c>
      <c r="AE890" s="36">
        <f t="shared" si="54"/>
        <v>1.6723171375315939</v>
      </c>
      <c r="AF890" s="35">
        <f>IF(AND(AE890&lt;=Inputs!$D$35,C890&gt;=Inputs!$D$48*(A890+B890+C890),B890*Inputs!$D$22&lt;=Inputs!$D$50*Inputs!$D$8,B890*Inputs!$D$22&gt;=Inputs!$D$49*Inputs!$D$8,A890*Inputs!$D$20&lt;=Inputs!$D$47*Inputs!$D$8,C890&gt;=1),1,0)</f>
        <v>0</v>
      </c>
      <c r="AG890" s="39">
        <f t="shared" si="55"/>
        <v>-1</v>
      </c>
    </row>
    <row r="891" spans="1:33" x14ac:dyDescent="0.25">
      <c r="A891" s="35">
        <v>62</v>
      </c>
      <c r="B891" s="35">
        <v>28</v>
      </c>
      <c r="C891" s="35">
        <f>Inputs!$D$8-A891-Inputs!$D$22*B891</f>
        <v>2</v>
      </c>
      <c r="D891" s="35">
        <f>A891*Inputs!$D$20+C891*Inputs!$D$21+B891*Inputs!$D$22</f>
        <v>120</v>
      </c>
      <c r="E891" s="36">
        <f>MIN(Inputs!$E$15,Inputs!$D$15*(C891/Inputs!$D$43)^Inputs!$D$44)</f>
        <v>0.15233873925348645</v>
      </c>
      <c r="F891" s="36">
        <f>MIN(Inputs!$E$16,Inputs!$D$16*(B891/Inputs!$D$42)^Inputs!$D$44)</f>
        <v>0.44248484624799689</v>
      </c>
      <c r="G891" s="37">
        <f>Inputs!$D$26*(1+Inputs!$D$41*(B891-Inputs!$D$42))</f>
        <v>1.62</v>
      </c>
      <c r="H891" s="35">
        <f>Inputs!$D$6*Inputs!$D$14*G891*Inputs!$D$29</f>
        <v>2035.4166</v>
      </c>
      <c r="I891" s="36">
        <f>H891/(A891*Inputs!$D$32)</f>
        <v>0.59689636363636367</v>
      </c>
      <c r="J891" s="38">
        <f>IF(I891&gt;=1,999,I891/(Inputs!$D$32*(1-I891))*60)</f>
        <v>1.6153654065131831</v>
      </c>
      <c r="K891" s="37">
        <f>MIN(1,MAX(0,(J891-Inputs!$D$36)/(Inputs!$D$37-Inputs!$D$36)))</f>
        <v>0</v>
      </c>
      <c r="L891" s="35">
        <f>Inputs!$D$6*Inputs!$D$14*G891*(1-Inputs!$D$38*K891)</f>
        <v>13569.444000000001</v>
      </c>
      <c r="M891" s="39">
        <f>L891*Inputs!$D$11</f>
        <v>291743.04600000003</v>
      </c>
      <c r="N891" s="39">
        <f>M891*(1-Inputs!$D$17)</f>
        <v>102110.06610000001</v>
      </c>
      <c r="O891" s="35">
        <f>Inputs!$D$6*E891*Inputs!$D$27*Inputs!$D$30</f>
        <v>217.33497638842198</v>
      </c>
      <c r="P891" s="36">
        <f>O891/(C891*Inputs!$D$33)</f>
        <v>2.7166872048552748</v>
      </c>
      <c r="Q891" s="38">
        <f>IF(P891&gt;=1,999,P891/(Inputs!$D$33*(1-P891))*60)</f>
        <v>999</v>
      </c>
      <c r="R891" s="37">
        <f>MIN(1,MAX(0,(Q891-Inputs!$D$36)/(Inputs!$D$37-Inputs!$D$36)))</f>
        <v>1</v>
      </c>
      <c r="S891" s="35">
        <f>Inputs!$D$6*E891*Inputs!$D$27*(1-Inputs!$D$38*R891)</f>
        <v>996.11864178026747</v>
      </c>
      <c r="T891" s="39">
        <f>S891*Inputs!$D$12</f>
        <v>15937.898268484279</v>
      </c>
      <c r="U891" s="39">
        <f>T891*(1-Inputs!$D$18)</f>
        <v>7172.0542208179249</v>
      </c>
      <c r="V891" s="35">
        <f>Inputs!$D$6*F891*Inputs!$D$28*Inputs!$D$31</f>
        <v>746.05069004674272</v>
      </c>
      <c r="W891" s="36">
        <f>V891/(B891*Inputs!$D$34)</f>
        <v>0.76127621433341097</v>
      </c>
      <c r="X891" s="38">
        <f>IF(W891&gt;=1,999,W891/(Inputs!$D$34*(1-W891))*60)</f>
        <v>5.4667570523531852</v>
      </c>
      <c r="Y891" s="37">
        <f>MIN(1,MAX(0,(X891-Inputs!$D$36)/(Inputs!$D$37-Inputs!$D$36)))</f>
        <v>3.111713682354568E-2</v>
      </c>
      <c r="Z891" s="35">
        <f>Inputs!$D$6*F891*Inputs!$D$28*(1-Inputs!$D$38*Y891)</f>
        <v>5658.4919801305723</v>
      </c>
      <c r="AA891" s="39">
        <f>Z891*Inputs!$D$13</f>
        <v>48097.181831109861</v>
      </c>
      <c r="AB891" s="39">
        <f>AA891*(1-Inputs!$D$19)</f>
        <v>28858.309098665915</v>
      </c>
      <c r="AC891" s="39">
        <f t="shared" si="52"/>
        <v>355778.12609959417</v>
      </c>
      <c r="AD891" s="39">
        <f t="shared" si="53"/>
        <v>138140.42941948384</v>
      </c>
      <c r="AE891" s="36">
        <f t="shared" si="54"/>
        <v>2.7166872048552748</v>
      </c>
      <c r="AF891" s="35">
        <f>IF(AND(AE891&lt;=Inputs!$D$35,C891&gt;=Inputs!$D$48*(A891+B891+C891),B891*Inputs!$D$22&lt;=Inputs!$D$50*Inputs!$D$8,B891*Inputs!$D$22&gt;=Inputs!$D$49*Inputs!$D$8,A891*Inputs!$D$20&lt;=Inputs!$D$47*Inputs!$D$8,C891&gt;=1),1,0)</f>
        <v>0</v>
      </c>
      <c r="AG891" s="39">
        <f t="shared" si="55"/>
        <v>-1</v>
      </c>
    </row>
    <row r="892" spans="1:33" x14ac:dyDescent="0.25">
      <c r="A892" s="35">
        <v>63</v>
      </c>
      <c r="B892" s="35">
        <v>10</v>
      </c>
      <c r="C892" s="35">
        <f>Inputs!$D$8-A892-Inputs!$D$22*B892</f>
        <v>37</v>
      </c>
      <c r="D892" s="35">
        <f>A892*Inputs!$D$20+C892*Inputs!$D$21+B892*Inputs!$D$22</f>
        <v>120</v>
      </c>
      <c r="E892" s="36">
        <f>MIN(Inputs!$E$15,Inputs!$D$15*(C892/Inputs!$D$43)^Inputs!$D$44)</f>
        <v>0.36556269939951974</v>
      </c>
      <c r="F892" s="36">
        <f>MIN(Inputs!$E$16,Inputs!$D$16*(B892/Inputs!$D$42)^Inputs!$D$44)</f>
        <v>0.32490095854249423</v>
      </c>
      <c r="G892" s="37">
        <f>Inputs!$D$26*(1+Inputs!$D$41*(B892-Inputs!$D$42))</f>
        <v>1.35</v>
      </c>
      <c r="H892" s="35">
        <f>Inputs!$D$6*Inputs!$D$14*G892*Inputs!$D$29</f>
        <v>1696.1805000000004</v>
      </c>
      <c r="I892" s="36">
        <f>H892/(A892*Inputs!$D$32)</f>
        <v>0.48951818181818191</v>
      </c>
      <c r="J892" s="38">
        <f>IF(I892&gt;=1,999,I892/(Inputs!$D$32*(1-I892))*60)</f>
        <v>1.0461094121094483</v>
      </c>
      <c r="K892" s="37">
        <f>MIN(1,MAX(0,(J892-Inputs!$D$36)/(Inputs!$D$37-Inputs!$D$36)))</f>
        <v>0</v>
      </c>
      <c r="L892" s="35">
        <f>Inputs!$D$6*Inputs!$D$14*G892*(1-Inputs!$D$38*K892)</f>
        <v>11307.870000000003</v>
      </c>
      <c r="M892" s="39">
        <f>L892*Inputs!$D$11</f>
        <v>243119.20500000005</v>
      </c>
      <c r="N892" s="39">
        <f>M892*(1-Inputs!$D$17)</f>
        <v>85091.721750000012</v>
      </c>
      <c r="O892" s="35">
        <f>Inputs!$D$6*E892*Inputs!$D$27*Inputs!$D$30</f>
        <v>521.5322184745213</v>
      </c>
      <c r="P892" s="36">
        <f>O892/(C892*Inputs!$D$33)</f>
        <v>0.35238663410440629</v>
      </c>
      <c r="Q892" s="38">
        <f>IF(P892&gt;=1,999,P892/(Inputs!$D$33*(1-P892))*60)</f>
        <v>0.81619679116046151</v>
      </c>
      <c r="R892" s="37">
        <f>MIN(1,MAX(0,(Q892-Inputs!$D$36)/(Inputs!$D$37-Inputs!$D$36)))</f>
        <v>0</v>
      </c>
      <c r="S892" s="35">
        <f>Inputs!$D$6*E892*Inputs!$D$27*(1-Inputs!$D$38*R892)</f>
        <v>4346.101820621011</v>
      </c>
      <c r="T892" s="39">
        <f>S892*Inputs!$D$12</f>
        <v>69537.629129936176</v>
      </c>
      <c r="U892" s="39">
        <f>T892*(1-Inputs!$D$18)</f>
        <v>31291.933108471276</v>
      </c>
      <c r="V892" s="35">
        <f>Inputs!$D$6*F892*Inputs!$D$28*Inputs!$D$31</f>
        <v>547.7986113486553</v>
      </c>
      <c r="W892" s="36">
        <f>V892/(B892*Inputs!$D$34)</f>
        <v>1.5651388895675866</v>
      </c>
      <c r="X892" s="38">
        <f>IF(W892&gt;=1,999,W892/(Inputs!$D$34*(1-W892))*60)</f>
        <v>999</v>
      </c>
      <c r="Y892" s="37">
        <f>MIN(1,MAX(0,(X892-Inputs!$D$36)/(Inputs!$D$37-Inputs!$D$36)))</f>
        <v>1</v>
      </c>
      <c r="Z892" s="35">
        <f>Inputs!$D$6*F892*Inputs!$D$28*(1-Inputs!$D$38*Y892)</f>
        <v>2317.6095095520031</v>
      </c>
      <c r="AA892" s="39">
        <f>Z892*Inputs!$D$13</f>
        <v>19699.680831192025</v>
      </c>
      <c r="AB892" s="39">
        <f>AA892*(1-Inputs!$D$19)</f>
        <v>11819.808498715214</v>
      </c>
      <c r="AC892" s="39">
        <f t="shared" si="52"/>
        <v>332356.51496112824</v>
      </c>
      <c r="AD892" s="39">
        <f t="shared" si="53"/>
        <v>128203.4633571865</v>
      </c>
      <c r="AE892" s="36">
        <f t="shared" si="54"/>
        <v>1.5651388895675866</v>
      </c>
      <c r="AF892" s="35">
        <f>IF(AND(AE892&lt;=Inputs!$D$35,C892&gt;=Inputs!$D$48*(A892+B892+C892),B892*Inputs!$D$22&lt;=Inputs!$D$50*Inputs!$D$8,B892*Inputs!$D$22&gt;=Inputs!$D$49*Inputs!$D$8,A892*Inputs!$D$20&lt;=Inputs!$D$47*Inputs!$D$8,C892&gt;=1),1,0)</f>
        <v>0</v>
      </c>
      <c r="AG892" s="39">
        <f t="shared" si="55"/>
        <v>-1</v>
      </c>
    </row>
    <row r="893" spans="1:33" x14ac:dyDescent="0.25">
      <c r="A893" s="35">
        <v>63</v>
      </c>
      <c r="B893" s="35">
        <v>11</v>
      </c>
      <c r="C893" s="35">
        <f>Inputs!$D$8-A893-Inputs!$D$22*B893</f>
        <v>35</v>
      </c>
      <c r="D893" s="35">
        <f>A893*Inputs!$D$20+C893*Inputs!$D$21+B893*Inputs!$D$22</f>
        <v>120</v>
      </c>
      <c r="E893" s="36">
        <f>MIN(Inputs!$E$15,Inputs!$D$15*(C893/Inputs!$D$43)^Inputs!$D$44)</f>
        <v>0.3595189375764975</v>
      </c>
      <c r="F893" s="36">
        <f>MIN(Inputs!$E$16,Inputs!$D$16*(B893/Inputs!$D$42)^Inputs!$D$44)</f>
        <v>0.33432495758166098</v>
      </c>
      <c r="G893" s="37">
        <f>Inputs!$D$26*(1+Inputs!$D$41*(B893-Inputs!$D$42))</f>
        <v>1.365</v>
      </c>
      <c r="H893" s="35">
        <f>Inputs!$D$6*Inputs!$D$14*G893*Inputs!$D$29</f>
        <v>1715.0269500000002</v>
      </c>
      <c r="I893" s="36">
        <f>H893/(A893*Inputs!$D$32)</f>
        <v>0.4949572727272728</v>
      </c>
      <c r="J893" s="38">
        <f>IF(I893&gt;=1,999,I893/(Inputs!$D$32*(1-I893))*60)</f>
        <v>1.0691241736031831</v>
      </c>
      <c r="K893" s="37">
        <f>MIN(1,MAX(0,(J893-Inputs!$D$36)/(Inputs!$D$37-Inputs!$D$36)))</f>
        <v>0</v>
      </c>
      <c r="L893" s="35">
        <f>Inputs!$D$6*Inputs!$D$14*G893*(1-Inputs!$D$38*K893)</f>
        <v>11433.513000000001</v>
      </c>
      <c r="M893" s="39">
        <f>L893*Inputs!$D$11</f>
        <v>245820.5295</v>
      </c>
      <c r="N893" s="39">
        <f>M893*(1-Inputs!$D$17)</f>
        <v>86037.185324999999</v>
      </c>
      <c r="O893" s="35">
        <f>Inputs!$D$6*E893*Inputs!$D$27*Inputs!$D$30</f>
        <v>512.90984940713565</v>
      </c>
      <c r="P893" s="36">
        <f>O893/(C893*Inputs!$D$33)</f>
        <v>0.36636417814795402</v>
      </c>
      <c r="Q893" s="38">
        <f>IF(P893&gt;=1,999,P893/(Inputs!$D$33*(1-P893))*60)</f>
        <v>0.86729040289368331</v>
      </c>
      <c r="R893" s="37">
        <f>MIN(1,MAX(0,(Q893-Inputs!$D$36)/(Inputs!$D$37-Inputs!$D$36)))</f>
        <v>0</v>
      </c>
      <c r="S893" s="35">
        <f>Inputs!$D$6*E893*Inputs!$D$27*(1-Inputs!$D$38*R893)</f>
        <v>4274.2487450594635</v>
      </c>
      <c r="T893" s="39">
        <f>S893*Inputs!$D$12</f>
        <v>68387.979920951417</v>
      </c>
      <c r="U893" s="39">
        <f>T893*(1-Inputs!$D$18)</f>
        <v>30774.590964428135</v>
      </c>
      <c r="V893" s="35">
        <f>Inputs!$D$6*F893*Inputs!$D$28*Inputs!$D$31</f>
        <v>563.68792608064427</v>
      </c>
      <c r="W893" s="36">
        <f>V893/(B893*Inputs!$D$34)</f>
        <v>1.4641244833263487</v>
      </c>
      <c r="X893" s="38">
        <f>IF(W893&gt;=1,999,W893/(Inputs!$D$34*(1-W893))*60)</f>
        <v>999</v>
      </c>
      <c r="Y893" s="37">
        <f>MIN(1,MAX(0,(X893-Inputs!$D$36)/(Inputs!$D$37-Inputs!$D$36)))</f>
        <v>1</v>
      </c>
      <c r="Z893" s="35">
        <f>Inputs!$D$6*F893*Inputs!$D$28*(1-Inputs!$D$38*Y893)</f>
        <v>2384.8335334181106</v>
      </c>
      <c r="AA893" s="39">
        <f>Z893*Inputs!$D$13</f>
        <v>20271.08503405394</v>
      </c>
      <c r="AB893" s="39">
        <f>AA893*(1-Inputs!$D$19)</f>
        <v>12162.651020432364</v>
      </c>
      <c r="AC893" s="39">
        <f t="shared" si="52"/>
        <v>334479.59445500537</v>
      </c>
      <c r="AD893" s="39">
        <f t="shared" si="53"/>
        <v>128974.4273098605</v>
      </c>
      <c r="AE893" s="36">
        <f t="shared" si="54"/>
        <v>1.4641244833263487</v>
      </c>
      <c r="AF893" s="35">
        <f>IF(AND(AE893&lt;=Inputs!$D$35,C893&gt;=Inputs!$D$48*(A893+B893+C893),B893*Inputs!$D$22&lt;=Inputs!$D$50*Inputs!$D$8,B893*Inputs!$D$22&gt;=Inputs!$D$49*Inputs!$D$8,A893*Inputs!$D$20&lt;=Inputs!$D$47*Inputs!$D$8,C893&gt;=1),1,0)</f>
        <v>0</v>
      </c>
      <c r="AG893" s="39">
        <f t="shared" si="55"/>
        <v>-1</v>
      </c>
    </row>
    <row r="894" spans="1:33" x14ac:dyDescent="0.25">
      <c r="A894" s="35">
        <v>63</v>
      </c>
      <c r="B894" s="35">
        <v>12</v>
      </c>
      <c r="C894" s="35">
        <f>Inputs!$D$8-A894-Inputs!$D$22*B894</f>
        <v>33</v>
      </c>
      <c r="D894" s="35">
        <f>A894*Inputs!$D$20+C894*Inputs!$D$21+B894*Inputs!$D$22</f>
        <v>120</v>
      </c>
      <c r="E894" s="36">
        <f>MIN(Inputs!$E$15,Inputs!$D$15*(C894/Inputs!$D$43)^Inputs!$D$44)</f>
        <v>0.35322833999035824</v>
      </c>
      <c r="F894" s="36">
        <f>MIN(Inputs!$E$16,Inputs!$D$16*(B894/Inputs!$D$42)^Inputs!$D$44)</f>
        <v>0.34316688017763797</v>
      </c>
      <c r="G894" s="37">
        <f>Inputs!$D$26*(1+Inputs!$D$41*(B894-Inputs!$D$42))</f>
        <v>1.3800000000000001</v>
      </c>
      <c r="H894" s="35">
        <f>Inputs!$D$6*Inputs!$D$14*G894*Inputs!$D$29</f>
        <v>1733.8734000000004</v>
      </c>
      <c r="I894" s="36">
        <f>H894/(A894*Inputs!$D$32)</f>
        <v>0.50039636363636375</v>
      </c>
      <c r="J894" s="38">
        <f>IF(I894&gt;=1,999,I894/(Inputs!$D$32*(1-I894))*60)</f>
        <v>1.0926400498643227</v>
      </c>
      <c r="K894" s="37">
        <f>MIN(1,MAX(0,(J894-Inputs!$D$36)/(Inputs!$D$37-Inputs!$D$36)))</f>
        <v>0</v>
      </c>
      <c r="L894" s="35">
        <f>Inputs!$D$6*Inputs!$D$14*G894*(1-Inputs!$D$38*K894)</f>
        <v>11559.156000000003</v>
      </c>
      <c r="M894" s="39">
        <f>L894*Inputs!$D$11</f>
        <v>248521.85400000005</v>
      </c>
      <c r="N894" s="39">
        <f>M894*(1-Inputs!$D$17)</f>
        <v>86982.648900000015</v>
      </c>
      <c r="O894" s="35">
        <f>Inputs!$D$6*E894*Inputs!$D$27*Inputs!$D$30</f>
        <v>503.93533061728459</v>
      </c>
      <c r="P894" s="36">
        <f>O894/(C894*Inputs!$D$33)</f>
        <v>0.38176918986157926</v>
      </c>
      <c r="Q894" s="38">
        <f>IF(P894&gt;=1,999,P894/(Inputs!$D$33*(1-P894))*60)</f>
        <v>0.92627830156855617</v>
      </c>
      <c r="R894" s="37">
        <f>MIN(1,MAX(0,(Q894-Inputs!$D$36)/(Inputs!$D$37-Inputs!$D$36)))</f>
        <v>0</v>
      </c>
      <c r="S894" s="35">
        <f>Inputs!$D$6*E894*Inputs!$D$27*(1-Inputs!$D$38*R894)</f>
        <v>4199.461088477372</v>
      </c>
      <c r="T894" s="39">
        <f>S894*Inputs!$D$12</f>
        <v>67191.377415637951</v>
      </c>
      <c r="U894" s="39">
        <f>T894*(1-Inputs!$D$18)</f>
        <v>30236.119837037077</v>
      </c>
      <c r="V894" s="35">
        <f>Inputs!$D$6*F894*Inputs!$D$28*Inputs!$D$31</f>
        <v>578.5958319897461</v>
      </c>
      <c r="W894" s="36">
        <f>V894/(B894*Inputs!$D$34)</f>
        <v>1.3776091237851098</v>
      </c>
      <c r="X894" s="38">
        <f>IF(W894&gt;=1,999,W894/(Inputs!$D$34*(1-W894))*60)</f>
        <v>999</v>
      </c>
      <c r="Y894" s="37">
        <f>MIN(1,MAX(0,(X894-Inputs!$D$36)/(Inputs!$D$37-Inputs!$D$36)))</f>
        <v>1</v>
      </c>
      <c r="Z894" s="35">
        <f>Inputs!$D$6*F894*Inputs!$D$28*(1-Inputs!$D$38*Y894)</f>
        <v>2447.9054430335414</v>
      </c>
      <c r="AA894" s="39">
        <f>Z894*Inputs!$D$13</f>
        <v>20807.1962657851</v>
      </c>
      <c r="AB894" s="39">
        <f>AA894*(1-Inputs!$D$19)</f>
        <v>12484.31775947106</v>
      </c>
      <c r="AC894" s="39">
        <f t="shared" si="52"/>
        <v>336520.42768142308</v>
      </c>
      <c r="AD894" s="39">
        <f t="shared" si="53"/>
        <v>129703.08649650814</v>
      </c>
      <c r="AE894" s="36">
        <f t="shared" si="54"/>
        <v>1.3776091237851098</v>
      </c>
      <c r="AF894" s="35">
        <f>IF(AND(AE894&lt;=Inputs!$D$35,C894&gt;=Inputs!$D$48*(A894+B894+C894),B894*Inputs!$D$22&lt;=Inputs!$D$50*Inputs!$D$8,B894*Inputs!$D$22&gt;=Inputs!$D$49*Inputs!$D$8,A894*Inputs!$D$20&lt;=Inputs!$D$47*Inputs!$D$8,C894&gt;=1),1,0)</f>
        <v>0</v>
      </c>
      <c r="AG894" s="39">
        <f t="shared" si="55"/>
        <v>-1</v>
      </c>
    </row>
    <row r="895" spans="1:33" x14ac:dyDescent="0.25">
      <c r="A895" s="35">
        <v>63</v>
      </c>
      <c r="B895" s="35">
        <v>13</v>
      </c>
      <c r="C895" s="35">
        <f>Inputs!$D$8-A895-Inputs!$D$22*B895</f>
        <v>31</v>
      </c>
      <c r="D895" s="35">
        <f>A895*Inputs!$D$20+C895*Inputs!$D$21+B895*Inputs!$D$22</f>
        <v>120</v>
      </c>
      <c r="E895" s="36">
        <f>MIN(Inputs!$E$15,Inputs!$D$15*(C895/Inputs!$D$43)^Inputs!$D$44)</f>
        <v>0.34666489615699225</v>
      </c>
      <c r="F895" s="36">
        <f>MIN(Inputs!$E$16,Inputs!$D$16*(B895/Inputs!$D$42)^Inputs!$D$44)</f>
        <v>0.35150701637190523</v>
      </c>
      <c r="G895" s="37">
        <f>Inputs!$D$26*(1+Inputs!$D$41*(B895-Inputs!$D$42))</f>
        <v>1.395</v>
      </c>
      <c r="H895" s="35">
        <f>Inputs!$D$6*Inputs!$D$14*G895*Inputs!$D$29</f>
        <v>1752.7198500000002</v>
      </c>
      <c r="I895" s="36">
        <f>H895/(A895*Inputs!$D$32)</f>
        <v>0.50583545454545464</v>
      </c>
      <c r="J895" s="38">
        <f>IF(I895&gt;=1,999,I895/(Inputs!$D$32*(1-I895))*60)</f>
        <v>1.1166735876613527</v>
      </c>
      <c r="K895" s="37">
        <f>MIN(1,MAX(0,(J895-Inputs!$D$36)/(Inputs!$D$37-Inputs!$D$36)))</f>
        <v>0</v>
      </c>
      <c r="L895" s="35">
        <f>Inputs!$D$6*Inputs!$D$14*G895*(1-Inputs!$D$38*K895)</f>
        <v>11684.799000000001</v>
      </c>
      <c r="M895" s="39">
        <f>L895*Inputs!$D$11</f>
        <v>251223.17850000001</v>
      </c>
      <c r="N895" s="39">
        <f>M895*(1-Inputs!$D$17)</f>
        <v>87928.112475000002</v>
      </c>
      <c r="O895" s="35">
        <f>Inputs!$D$6*E895*Inputs!$D$27*Inputs!$D$30</f>
        <v>494.57155409174993</v>
      </c>
      <c r="P895" s="36">
        <f>O895/(C895*Inputs!$D$33)</f>
        <v>0.39884802749334675</v>
      </c>
      <c r="Q895" s="38">
        <f>IF(P895&gt;=1,999,P895/(Inputs!$D$33*(1-P895))*60)</f>
        <v>0.9952093124561755</v>
      </c>
      <c r="R895" s="37">
        <f>MIN(1,MAX(0,(Q895-Inputs!$D$36)/(Inputs!$D$37-Inputs!$D$36)))</f>
        <v>0</v>
      </c>
      <c r="S895" s="35">
        <f>Inputs!$D$6*E895*Inputs!$D$27*(1-Inputs!$D$38*R895)</f>
        <v>4121.4296174312494</v>
      </c>
      <c r="T895" s="39">
        <f>S895*Inputs!$D$12</f>
        <v>65942.873878899991</v>
      </c>
      <c r="U895" s="39">
        <f>T895*(1-Inputs!$D$18)</f>
        <v>29674.293245504992</v>
      </c>
      <c r="V895" s="35">
        <f>Inputs!$D$6*F895*Inputs!$D$28*Inputs!$D$31</f>
        <v>592.65770193981814</v>
      </c>
      <c r="W895" s="36">
        <f>V895/(B895*Inputs!$D$34)</f>
        <v>1.3025443998677322</v>
      </c>
      <c r="X895" s="38">
        <f>IF(W895&gt;=1,999,W895/(Inputs!$D$34*(1-W895))*60)</f>
        <v>999</v>
      </c>
      <c r="Y895" s="37">
        <f>MIN(1,MAX(0,(X895-Inputs!$D$36)/(Inputs!$D$37-Inputs!$D$36)))</f>
        <v>1</v>
      </c>
      <c r="Z895" s="35">
        <f>Inputs!$D$6*F895*Inputs!$D$28*(1-Inputs!$D$38*Y895)</f>
        <v>2507.3979697453847</v>
      </c>
      <c r="AA895" s="39">
        <f>Z895*Inputs!$D$13</f>
        <v>21312.882742835769</v>
      </c>
      <c r="AB895" s="39">
        <f>AA895*(1-Inputs!$D$19)</f>
        <v>12787.729645701462</v>
      </c>
      <c r="AC895" s="39">
        <f t="shared" si="52"/>
        <v>338478.93512173579</v>
      </c>
      <c r="AD895" s="39">
        <f t="shared" si="53"/>
        <v>130390.13536620645</v>
      </c>
      <c r="AE895" s="36">
        <f t="shared" si="54"/>
        <v>1.3025443998677322</v>
      </c>
      <c r="AF895" s="35">
        <f>IF(AND(AE895&lt;=Inputs!$D$35,C895&gt;=Inputs!$D$48*(A895+B895+C895),B895*Inputs!$D$22&lt;=Inputs!$D$50*Inputs!$D$8,B895*Inputs!$D$22&gt;=Inputs!$D$49*Inputs!$D$8,A895*Inputs!$D$20&lt;=Inputs!$D$47*Inputs!$D$8,C895&gt;=1),1,0)</f>
        <v>0</v>
      </c>
      <c r="AG895" s="39">
        <f t="shared" si="55"/>
        <v>-1</v>
      </c>
    </row>
    <row r="896" spans="1:33" x14ac:dyDescent="0.25">
      <c r="A896" s="35">
        <v>63</v>
      </c>
      <c r="B896" s="35">
        <v>14</v>
      </c>
      <c r="C896" s="35">
        <f>Inputs!$D$8-A896-Inputs!$D$22*B896</f>
        <v>29</v>
      </c>
      <c r="D896" s="35">
        <f>A896*Inputs!$D$20+C896*Inputs!$D$21+B896*Inputs!$D$22</f>
        <v>120</v>
      </c>
      <c r="E896" s="36">
        <f>MIN(Inputs!$E$15,Inputs!$D$15*(C896/Inputs!$D$43)^Inputs!$D$44)</f>
        <v>0.33979795258455459</v>
      </c>
      <c r="F896" s="36">
        <f>MIN(Inputs!$E$16,Inputs!$D$16*(B896/Inputs!$D$42)^Inputs!$D$44)</f>
        <v>0.35940937671625589</v>
      </c>
      <c r="G896" s="37">
        <f>Inputs!$D$26*(1+Inputs!$D$41*(B896-Inputs!$D$42))</f>
        <v>1.41</v>
      </c>
      <c r="H896" s="35">
        <f>Inputs!$D$6*Inputs!$D$14*G896*Inputs!$D$29</f>
        <v>1771.5663000000002</v>
      </c>
      <c r="I896" s="36">
        <f>H896/(A896*Inputs!$D$32)</f>
        <v>0.51127454545454554</v>
      </c>
      <c r="J896" s="38">
        <f>IF(I896&gt;=1,999,I896/(Inputs!$D$32*(1-I896))*60)</f>
        <v>1.141242070367551</v>
      </c>
      <c r="K896" s="37">
        <f>MIN(1,MAX(0,(J896-Inputs!$D$36)/(Inputs!$D$37-Inputs!$D$36)))</f>
        <v>0</v>
      </c>
      <c r="L896" s="35">
        <f>Inputs!$D$6*Inputs!$D$14*G896*(1-Inputs!$D$38*K896)</f>
        <v>11810.442000000001</v>
      </c>
      <c r="M896" s="39">
        <f>L896*Inputs!$D$11</f>
        <v>253924.50300000003</v>
      </c>
      <c r="N896" s="39">
        <f>M896*(1-Inputs!$D$17)</f>
        <v>88873.576050000003</v>
      </c>
      <c r="O896" s="35">
        <f>Inputs!$D$6*E896*Inputs!$D$27*Inputs!$D$30</f>
        <v>484.77478784247035</v>
      </c>
      <c r="P896" s="36">
        <f>O896/(C896*Inputs!$D$33)</f>
        <v>0.41790929986419856</v>
      </c>
      <c r="Q896" s="38">
        <f>IF(P896&gt;=1,999,P896/(Inputs!$D$33*(1-P896))*60)</f>
        <v>1.0769179951681944</v>
      </c>
      <c r="R896" s="37">
        <f>MIN(1,MAX(0,(Q896-Inputs!$D$36)/(Inputs!$D$37-Inputs!$D$36)))</f>
        <v>0</v>
      </c>
      <c r="S896" s="35">
        <f>Inputs!$D$6*E896*Inputs!$D$27*(1-Inputs!$D$38*R896)</f>
        <v>4039.7898986872528</v>
      </c>
      <c r="T896" s="39">
        <f>S896*Inputs!$D$12</f>
        <v>64636.638378996046</v>
      </c>
      <c r="U896" s="39">
        <f>T896*(1-Inputs!$D$18)</f>
        <v>29086.487270548219</v>
      </c>
      <c r="V896" s="35">
        <f>Inputs!$D$6*F896*Inputs!$D$28*Inputs!$D$31</f>
        <v>605.98146079368973</v>
      </c>
      <c r="W896" s="36">
        <f>V896/(B896*Inputs!$D$34)</f>
        <v>1.2366968587626321</v>
      </c>
      <c r="X896" s="38">
        <f>IF(W896&gt;=1,999,W896/(Inputs!$D$34*(1-W896))*60)</f>
        <v>999</v>
      </c>
      <c r="Y896" s="37">
        <f>MIN(1,MAX(0,(X896-Inputs!$D$36)/(Inputs!$D$37-Inputs!$D$36)))</f>
        <v>1</v>
      </c>
      <c r="Z896" s="35">
        <f>Inputs!$D$6*F896*Inputs!$D$28*(1-Inputs!$D$38*Y896)</f>
        <v>2563.7677187425338</v>
      </c>
      <c r="AA896" s="39">
        <f>Z896*Inputs!$D$13</f>
        <v>21792.025609311539</v>
      </c>
      <c r="AB896" s="39">
        <f>AA896*(1-Inputs!$D$19)</f>
        <v>13075.215365586922</v>
      </c>
      <c r="AC896" s="39">
        <f t="shared" si="52"/>
        <v>340353.16698830761</v>
      </c>
      <c r="AD896" s="39">
        <f t="shared" si="53"/>
        <v>131035.27868613513</v>
      </c>
      <c r="AE896" s="36">
        <f t="shared" si="54"/>
        <v>1.2366968587626321</v>
      </c>
      <c r="AF896" s="35">
        <f>IF(AND(AE896&lt;=Inputs!$D$35,C896&gt;=Inputs!$D$48*(A896+B896+C896),B896*Inputs!$D$22&lt;=Inputs!$D$50*Inputs!$D$8,B896*Inputs!$D$22&gt;=Inputs!$D$49*Inputs!$D$8,A896*Inputs!$D$20&lt;=Inputs!$D$47*Inputs!$D$8,C896&gt;=1),1,0)</f>
        <v>0</v>
      </c>
      <c r="AG896" s="39">
        <f t="shared" si="55"/>
        <v>-1</v>
      </c>
    </row>
    <row r="897" spans="1:33" x14ac:dyDescent="0.25">
      <c r="A897" s="35">
        <v>63</v>
      </c>
      <c r="B897" s="35">
        <v>15</v>
      </c>
      <c r="C897" s="35">
        <f>Inputs!$D$8-A897-Inputs!$D$22*B897</f>
        <v>27</v>
      </c>
      <c r="D897" s="35">
        <f>A897*Inputs!$D$20+C897*Inputs!$D$21+B897*Inputs!$D$22</f>
        <v>120</v>
      </c>
      <c r="E897" s="36">
        <f>MIN(Inputs!$E$15,Inputs!$D$15*(C897/Inputs!$D$43)^Inputs!$D$44)</f>
        <v>0.33259099594532748</v>
      </c>
      <c r="F897" s="36">
        <f>MIN(Inputs!$E$16,Inputs!$D$16*(B897/Inputs!$D$42)^Inputs!$D$44)</f>
        <v>0.36692590185696072</v>
      </c>
      <c r="G897" s="37">
        <f>Inputs!$D$26*(1+Inputs!$D$41*(B897-Inputs!$D$42))</f>
        <v>1.4249999999999998</v>
      </c>
      <c r="H897" s="35">
        <f>Inputs!$D$6*Inputs!$D$14*G897*Inputs!$D$29</f>
        <v>1790.4127499999997</v>
      </c>
      <c r="I897" s="36">
        <f>H897/(A897*Inputs!$D$32)</f>
        <v>0.51671363636363632</v>
      </c>
      <c r="J897" s="38">
        <f>IF(I897&gt;=1,999,I897/(Inputs!$D$32*(1-I897))*60)</f>
        <v>1.1663635594111594</v>
      </c>
      <c r="K897" s="37">
        <f>MIN(1,MAX(0,(J897-Inputs!$D$36)/(Inputs!$D$37-Inputs!$D$36)))</f>
        <v>0</v>
      </c>
      <c r="L897" s="35">
        <f>Inputs!$D$6*Inputs!$D$14*G897*(1-Inputs!$D$38*K897)</f>
        <v>11936.084999999999</v>
      </c>
      <c r="M897" s="39">
        <f>L897*Inputs!$D$11</f>
        <v>256625.82749999998</v>
      </c>
      <c r="N897" s="39">
        <f>M897*(1-Inputs!$D$17)</f>
        <v>89819.03962499999</v>
      </c>
      <c r="O897" s="35">
        <f>Inputs!$D$6*E897*Inputs!$D$27*Inputs!$D$30</f>
        <v>474.49293991137716</v>
      </c>
      <c r="P897" s="36">
        <f>O897/(C897*Inputs!$D$33)</f>
        <v>0.43934531473275662</v>
      </c>
      <c r="Q897" s="38">
        <f>IF(P897&gt;=1,999,P897/(Inputs!$D$33*(1-P897))*60)</f>
        <v>1.1754436187133714</v>
      </c>
      <c r="R897" s="37">
        <f>MIN(1,MAX(0,(Q897-Inputs!$D$36)/(Inputs!$D$37-Inputs!$D$36)))</f>
        <v>0</v>
      </c>
      <c r="S897" s="35">
        <f>Inputs!$D$6*E897*Inputs!$D$27*(1-Inputs!$D$38*R897)</f>
        <v>3954.1078325948097</v>
      </c>
      <c r="T897" s="39">
        <f>S897*Inputs!$D$12</f>
        <v>63265.725321516955</v>
      </c>
      <c r="U897" s="39">
        <f>T897*(1-Inputs!$D$18)</f>
        <v>28469.576394682626</v>
      </c>
      <c r="V897" s="35">
        <f>Inputs!$D$6*F897*Inputs!$D$28*Inputs!$D$31</f>
        <v>618.65468297412497</v>
      </c>
      <c r="W897" s="36">
        <f>V897/(B897*Inputs!$D$34)</f>
        <v>1.1783898723316666</v>
      </c>
      <c r="X897" s="38">
        <f>IF(W897&gt;=1,999,W897/(Inputs!$D$34*(1-W897))*60)</f>
        <v>999</v>
      </c>
      <c r="Y897" s="37">
        <f>MIN(1,MAX(0,(X897-Inputs!$D$36)/(Inputs!$D$37-Inputs!$D$36)))</f>
        <v>1</v>
      </c>
      <c r="Z897" s="35">
        <f>Inputs!$D$6*F897*Inputs!$D$28*(1-Inputs!$D$38*Y897)</f>
        <v>2617.3851971982212</v>
      </c>
      <c r="AA897" s="39">
        <f>Z897*Inputs!$D$13</f>
        <v>22247.774176184881</v>
      </c>
      <c r="AB897" s="39">
        <f>AA897*(1-Inputs!$D$19)</f>
        <v>13348.664505710929</v>
      </c>
      <c r="AC897" s="39">
        <f t="shared" si="52"/>
        <v>342139.32699770184</v>
      </c>
      <c r="AD897" s="39">
        <f t="shared" si="53"/>
        <v>131637.28052539355</v>
      </c>
      <c r="AE897" s="36">
        <f t="shared" si="54"/>
        <v>1.1783898723316666</v>
      </c>
      <c r="AF897" s="35">
        <f>IF(AND(AE897&lt;=Inputs!$D$35,C897&gt;=Inputs!$D$48*(A897+B897+C897),B897*Inputs!$D$22&lt;=Inputs!$D$50*Inputs!$D$8,B897*Inputs!$D$22&gt;=Inputs!$D$49*Inputs!$D$8,A897*Inputs!$D$20&lt;=Inputs!$D$47*Inputs!$D$8,C897&gt;=1),1,0)</f>
        <v>0</v>
      </c>
      <c r="AG897" s="39">
        <f t="shared" si="55"/>
        <v>-1</v>
      </c>
    </row>
    <row r="898" spans="1:33" x14ac:dyDescent="0.25">
      <c r="A898" s="35">
        <v>63</v>
      </c>
      <c r="B898" s="35">
        <v>16</v>
      </c>
      <c r="C898" s="35">
        <f>Inputs!$D$8-A898-Inputs!$D$22*B898</f>
        <v>25</v>
      </c>
      <c r="D898" s="35">
        <f>A898*Inputs!$D$20+C898*Inputs!$D$21+B898*Inputs!$D$22</f>
        <v>120</v>
      </c>
      <c r="E898" s="36">
        <f>MIN(Inputs!$E$15,Inputs!$D$15*(C898/Inputs!$D$43)^Inputs!$D$44)</f>
        <v>0.32500000000000001</v>
      </c>
      <c r="F898" s="36">
        <f>MIN(Inputs!$E$16,Inputs!$D$16*(B898/Inputs!$D$42)^Inputs!$D$44)</f>
        <v>0.37409937912904856</v>
      </c>
      <c r="G898" s="37">
        <f>Inputs!$D$26*(1+Inputs!$D$41*(B898-Inputs!$D$42))</f>
        <v>1.44</v>
      </c>
      <c r="H898" s="35">
        <f>Inputs!$D$6*Inputs!$D$14*G898*Inputs!$D$29</f>
        <v>1809.2592000000002</v>
      </c>
      <c r="I898" s="36">
        <f>H898/(A898*Inputs!$D$32)</f>
        <v>0.52215272727272732</v>
      </c>
      <c r="J898" s="38">
        <f>IF(I898&gt;=1,999,I898/(Inputs!$D$32*(1-I898))*60)</f>
        <v>1.1920569385563908</v>
      </c>
      <c r="K898" s="37">
        <f>MIN(1,MAX(0,(J898-Inputs!$D$36)/(Inputs!$D$37-Inputs!$D$36)))</f>
        <v>0</v>
      </c>
      <c r="L898" s="35">
        <f>Inputs!$D$6*Inputs!$D$14*G898*(1-Inputs!$D$38*K898)</f>
        <v>12061.728000000001</v>
      </c>
      <c r="M898" s="39">
        <f>L898*Inputs!$D$11</f>
        <v>259327.15200000003</v>
      </c>
      <c r="N898" s="39">
        <f>M898*(1-Inputs!$D$17)</f>
        <v>90764.503200000006</v>
      </c>
      <c r="O898" s="35">
        <f>Inputs!$D$6*E898*Inputs!$D$27*Inputs!$D$30</f>
        <v>463.66320000000002</v>
      </c>
      <c r="P898" s="36">
        <f>O898/(C898*Inputs!$D$33)</f>
        <v>0.4636632</v>
      </c>
      <c r="Q898" s="38">
        <f>IF(P898&gt;=1,999,P898/(Inputs!$D$33*(1-P898))*60)</f>
        <v>1.296750101801704</v>
      </c>
      <c r="R898" s="37">
        <f>MIN(1,MAX(0,(Q898-Inputs!$D$36)/(Inputs!$D$37-Inputs!$D$36)))</f>
        <v>0</v>
      </c>
      <c r="S898" s="35">
        <f>Inputs!$D$6*E898*Inputs!$D$27*(1-Inputs!$D$38*R898)</f>
        <v>3863.86</v>
      </c>
      <c r="T898" s="39">
        <f>S898*Inputs!$D$12</f>
        <v>61821.760000000002</v>
      </c>
      <c r="U898" s="39">
        <f>T898*(1-Inputs!$D$18)</f>
        <v>27819.791999999998</v>
      </c>
      <c r="V898" s="35">
        <f>Inputs!$D$6*F898*Inputs!$D$28*Inputs!$D$31</f>
        <v>630.74950998177405</v>
      </c>
      <c r="W898" s="36">
        <f>V898/(B898*Inputs!$D$34)</f>
        <v>1.1263384106817393</v>
      </c>
      <c r="X898" s="38">
        <f>IF(W898&gt;=1,999,W898/(Inputs!$D$34*(1-W898))*60)</f>
        <v>999</v>
      </c>
      <c r="Y898" s="37">
        <f>MIN(1,MAX(0,(X898-Inputs!$D$36)/(Inputs!$D$37-Inputs!$D$36)))</f>
        <v>1</v>
      </c>
      <c r="Z898" s="35">
        <f>Inputs!$D$6*F898*Inputs!$D$28*(1-Inputs!$D$38*Y898)</f>
        <v>2668.5556191536598</v>
      </c>
      <c r="AA898" s="39">
        <f>Z898*Inputs!$D$13</f>
        <v>22682.722762806108</v>
      </c>
      <c r="AB898" s="39">
        <f>AA898*(1-Inputs!$D$19)</f>
        <v>13609.633657683664</v>
      </c>
      <c r="AC898" s="39">
        <f t="shared" si="52"/>
        <v>343831.63476280612</v>
      </c>
      <c r="AD898" s="39">
        <f t="shared" si="53"/>
        <v>132193.92885768367</v>
      </c>
      <c r="AE898" s="36">
        <f t="shared" si="54"/>
        <v>1.1263384106817393</v>
      </c>
      <c r="AF898" s="35">
        <f>IF(AND(AE898&lt;=Inputs!$D$35,C898&gt;=Inputs!$D$48*(A898+B898+C898),B898*Inputs!$D$22&lt;=Inputs!$D$50*Inputs!$D$8,B898*Inputs!$D$22&gt;=Inputs!$D$49*Inputs!$D$8,A898*Inputs!$D$20&lt;=Inputs!$D$47*Inputs!$D$8,C898&gt;=1),1,0)</f>
        <v>0</v>
      </c>
      <c r="AG898" s="39">
        <f t="shared" si="55"/>
        <v>-1</v>
      </c>
    </row>
    <row r="899" spans="1:33" x14ac:dyDescent="0.25">
      <c r="A899" s="35">
        <v>63</v>
      </c>
      <c r="B899" s="35">
        <v>17</v>
      </c>
      <c r="C899" s="35">
        <f>Inputs!$D$8-A899-Inputs!$D$22*B899</f>
        <v>23</v>
      </c>
      <c r="D899" s="35">
        <f>A899*Inputs!$D$20+C899*Inputs!$D$21+B899*Inputs!$D$22</f>
        <v>120</v>
      </c>
      <c r="E899" s="36">
        <f>MIN(Inputs!$E$15,Inputs!$D$15*(C899/Inputs!$D$43)^Inputs!$D$44)</f>
        <v>0.31697113078396583</v>
      </c>
      <c r="F899" s="36">
        <f>MIN(Inputs!$E$16,Inputs!$D$16*(B899/Inputs!$D$42)^Inputs!$D$44)</f>
        <v>0.3809655184437048</v>
      </c>
      <c r="G899" s="37">
        <f>Inputs!$D$26*(1+Inputs!$D$41*(B899-Inputs!$D$42))</f>
        <v>1.4550000000000001</v>
      </c>
      <c r="H899" s="35">
        <f>Inputs!$D$6*Inputs!$D$14*G899*Inputs!$D$29</f>
        <v>1828.1056500000002</v>
      </c>
      <c r="I899" s="36">
        <f>H899/(A899*Inputs!$D$32)</f>
        <v>0.52759181818181822</v>
      </c>
      <c r="J899" s="38">
        <f>IF(I899&gt;=1,999,I899/(Inputs!$D$32*(1-I899))*60)</f>
        <v>1.2183419612434199</v>
      </c>
      <c r="K899" s="37">
        <f>MIN(1,MAX(0,(J899-Inputs!$D$36)/(Inputs!$D$37-Inputs!$D$36)))</f>
        <v>0</v>
      </c>
      <c r="L899" s="35">
        <f>Inputs!$D$6*Inputs!$D$14*G899*(1-Inputs!$D$38*K899)</f>
        <v>12187.371000000001</v>
      </c>
      <c r="M899" s="39">
        <f>L899*Inputs!$D$11</f>
        <v>262028.47650000002</v>
      </c>
      <c r="N899" s="39">
        <f>M899*(1-Inputs!$D$17)</f>
        <v>91709.966775000008</v>
      </c>
      <c r="O899" s="35">
        <f>Inputs!$D$6*E899*Inputs!$D$27*Inputs!$D$30</f>
        <v>452.20876555972956</v>
      </c>
      <c r="P899" s="36">
        <f>O899/(C899*Inputs!$D$33)</f>
        <v>0.49153126691274951</v>
      </c>
      <c r="Q899" s="38">
        <f>IF(P899&gt;=1,999,P899/(Inputs!$D$33*(1-P899))*60)</f>
        <v>1.4500339005950402</v>
      </c>
      <c r="R899" s="37">
        <f>MIN(1,MAX(0,(Q899-Inputs!$D$36)/(Inputs!$D$37-Inputs!$D$36)))</f>
        <v>0</v>
      </c>
      <c r="S899" s="35">
        <f>Inputs!$D$6*E899*Inputs!$D$27*(1-Inputs!$D$38*R899)</f>
        <v>3768.4063796644132</v>
      </c>
      <c r="T899" s="39">
        <f>S899*Inputs!$D$12</f>
        <v>60294.502074630611</v>
      </c>
      <c r="U899" s="39">
        <f>T899*(1-Inputs!$D$18)</f>
        <v>27132.525933583773</v>
      </c>
      <c r="V899" s="35">
        <f>Inputs!$D$6*F899*Inputs!$D$28*Inputs!$D$31</f>
        <v>642.32615044097156</v>
      </c>
      <c r="W899" s="36">
        <f>V899/(B899*Inputs!$D$34)</f>
        <v>1.0795397486402882</v>
      </c>
      <c r="X899" s="38">
        <f>IF(W899&gt;=1,999,W899/(Inputs!$D$34*(1-W899))*60)</f>
        <v>999</v>
      </c>
      <c r="Y899" s="37">
        <f>MIN(1,MAX(0,(X899-Inputs!$D$36)/(Inputs!$D$37-Inputs!$D$36)))</f>
        <v>1</v>
      </c>
      <c r="Z899" s="35">
        <f>Inputs!$D$6*F899*Inputs!$D$28*(1-Inputs!$D$38*Y899)</f>
        <v>2717.5337134041106</v>
      </c>
      <c r="AA899" s="39">
        <f>Z899*Inputs!$D$13</f>
        <v>23099.03656393494</v>
      </c>
      <c r="AB899" s="39">
        <f>AA899*(1-Inputs!$D$19)</f>
        <v>13859.421938360963</v>
      </c>
      <c r="AC899" s="39">
        <f t="shared" si="52"/>
        <v>345422.01513856556</v>
      </c>
      <c r="AD899" s="39">
        <f t="shared" si="53"/>
        <v>132701.91464694476</v>
      </c>
      <c r="AE899" s="36">
        <f t="shared" si="54"/>
        <v>1.0795397486402882</v>
      </c>
      <c r="AF899" s="35">
        <f>IF(AND(AE899&lt;=Inputs!$D$35,C899&gt;=Inputs!$D$48*(A899+B899+C899),B899*Inputs!$D$22&lt;=Inputs!$D$50*Inputs!$D$8,B899*Inputs!$D$22&gt;=Inputs!$D$49*Inputs!$D$8,A899*Inputs!$D$20&lt;=Inputs!$D$47*Inputs!$D$8,C899&gt;=1),1,0)</f>
        <v>0</v>
      </c>
      <c r="AG899" s="39">
        <f t="shared" si="55"/>
        <v>-1</v>
      </c>
    </row>
    <row r="900" spans="1:33" x14ac:dyDescent="0.25">
      <c r="A900" s="35">
        <v>63</v>
      </c>
      <c r="B900" s="35">
        <v>18</v>
      </c>
      <c r="C900" s="35">
        <f>Inputs!$D$8-A900-Inputs!$D$22*B900</f>
        <v>21</v>
      </c>
      <c r="D900" s="35">
        <f>A900*Inputs!$D$20+C900*Inputs!$D$21+B900*Inputs!$D$22</f>
        <v>120</v>
      </c>
      <c r="E900" s="36">
        <f>MIN(Inputs!$E$15,Inputs!$D$15*(C900/Inputs!$D$43)^Inputs!$D$44)</f>
        <v>0.30843748043226404</v>
      </c>
      <c r="F900" s="36">
        <f>MIN(Inputs!$E$16,Inputs!$D$16*(B900/Inputs!$D$42)^Inputs!$D$44)</f>
        <v>0.38755446447890535</v>
      </c>
      <c r="G900" s="37">
        <f>Inputs!$D$26*(1+Inputs!$D$41*(B900-Inputs!$D$42))</f>
        <v>1.47</v>
      </c>
      <c r="H900" s="35">
        <f>Inputs!$D$6*Inputs!$D$14*G900*Inputs!$D$29</f>
        <v>1846.9521</v>
      </c>
      <c r="I900" s="36">
        <f>H900/(A900*Inputs!$D$32)</f>
        <v>0.53303090909090911</v>
      </c>
      <c r="J900" s="38">
        <f>IF(I900&gt;=1,999,I900/(Inputs!$D$32*(1-I900))*60)</f>
        <v>1.2452393012367782</v>
      </c>
      <c r="K900" s="37">
        <f>MIN(1,MAX(0,(J900-Inputs!$D$36)/(Inputs!$D$37-Inputs!$D$36)))</f>
        <v>0</v>
      </c>
      <c r="L900" s="35">
        <f>Inputs!$D$6*Inputs!$D$14*G900*(1-Inputs!$D$38*K900)</f>
        <v>12313.014000000001</v>
      </c>
      <c r="M900" s="39">
        <f>L900*Inputs!$D$11</f>
        <v>264729.80100000004</v>
      </c>
      <c r="N900" s="39">
        <f>M900*(1-Inputs!$D$17)</f>
        <v>92655.43035000001</v>
      </c>
      <c r="O900" s="35">
        <f>Inputs!$D$6*E900*Inputs!$D$27*Inputs!$D$30</f>
        <v>440.03418208357215</v>
      </c>
      <c r="P900" s="36">
        <f>O900/(C900*Inputs!$D$33)</f>
        <v>0.52385021676615728</v>
      </c>
      <c r="Q900" s="38">
        <f>IF(P900&gt;=1,999,P900/(Inputs!$D$33*(1-P900))*60)</f>
        <v>1.6502692069132636</v>
      </c>
      <c r="R900" s="37">
        <f>MIN(1,MAX(0,(Q900-Inputs!$D$36)/(Inputs!$D$37-Inputs!$D$36)))</f>
        <v>0</v>
      </c>
      <c r="S900" s="35">
        <f>Inputs!$D$6*E900*Inputs!$D$27*(1-Inputs!$D$38*R900)</f>
        <v>3666.9515173631012</v>
      </c>
      <c r="T900" s="39">
        <f>S900*Inputs!$D$12</f>
        <v>58671.224277809619</v>
      </c>
      <c r="U900" s="39">
        <f>T900*(1-Inputs!$D$18)</f>
        <v>26402.050925014326</v>
      </c>
      <c r="V900" s="35">
        <f>Inputs!$D$6*F900*Inputs!$D$28*Inputs!$D$31</f>
        <v>653.43542972572936</v>
      </c>
      <c r="W900" s="36">
        <f>V900/(B900*Inputs!$D$34)</f>
        <v>1.037199094802745</v>
      </c>
      <c r="X900" s="38">
        <f>IF(W900&gt;=1,999,W900/(Inputs!$D$34*(1-W900))*60)</f>
        <v>999</v>
      </c>
      <c r="Y900" s="37">
        <f>MIN(1,MAX(0,(X900-Inputs!$D$36)/(Inputs!$D$37-Inputs!$D$36)))</f>
        <v>1</v>
      </c>
      <c r="Z900" s="35">
        <f>Inputs!$D$6*F900*Inputs!$D$28*(1-Inputs!$D$38*Y900)</f>
        <v>2764.534510378086</v>
      </c>
      <c r="AA900" s="39">
        <f>Z900*Inputs!$D$13</f>
        <v>23498.543338213731</v>
      </c>
      <c r="AB900" s="39">
        <f>AA900*(1-Inputs!$D$19)</f>
        <v>14099.126002928238</v>
      </c>
      <c r="AC900" s="39">
        <f t="shared" si="52"/>
        <v>346899.5686160234</v>
      </c>
      <c r="AD900" s="39">
        <f t="shared" si="53"/>
        <v>133156.60727794256</v>
      </c>
      <c r="AE900" s="36">
        <f t="shared" si="54"/>
        <v>1.037199094802745</v>
      </c>
      <c r="AF900" s="35">
        <f>IF(AND(AE900&lt;=Inputs!$D$35,C900&gt;=Inputs!$D$48*(A900+B900+C900),B900*Inputs!$D$22&lt;=Inputs!$D$50*Inputs!$D$8,B900*Inputs!$D$22&gt;=Inputs!$D$49*Inputs!$D$8,A900*Inputs!$D$20&lt;=Inputs!$D$47*Inputs!$D$8,C900&gt;=1),1,0)</f>
        <v>0</v>
      </c>
      <c r="AG900" s="39">
        <f t="shared" si="55"/>
        <v>-1</v>
      </c>
    </row>
    <row r="901" spans="1:33" x14ac:dyDescent="0.25">
      <c r="A901" s="35">
        <v>63</v>
      </c>
      <c r="B901" s="35">
        <v>19</v>
      </c>
      <c r="C901" s="35">
        <f>Inputs!$D$8-A901-Inputs!$D$22*B901</f>
        <v>19</v>
      </c>
      <c r="D901" s="35">
        <f>A901*Inputs!$D$20+C901*Inputs!$D$21+B901*Inputs!$D$22</f>
        <v>120</v>
      </c>
      <c r="E901" s="36">
        <f>MIN(Inputs!$E$15,Inputs!$D$15*(C901/Inputs!$D$43)^Inputs!$D$44)</f>
        <v>0.29931428106923352</v>
      </c>
      <c r="F901" s="36">
        <f>MIN(Inputs!$E$16,Inputs!$D$16*(B901/Inputs!$D$42)^Inputs!$D$44)</f>
        <v>0.39389192072703005</v>
      </c>
      <c r="G901" s="37">
        <f>Inputs!$D$26*(1+Inputs!$D$41*(B901-Inputs!$D$42))</f>
        <v>1.4849999999999999</v>
      </c>
      <c r="H901" s="35">
        <f>Inputs!$D$6*Inputs!$D$14*G901*Inputs!$D$29</f>
        <v>1865.7985499999998</v>
      </c>
      <c r="I901" s="36">
        <f>H901/(A901*Inputs!$D$32)</f>
        <v>0.53846999999999989</v>
      </c>
      <c r="J901" s="38">
        <f>IF(I901&gt;=1,999,I901/(Inputs!$D$32*(1-I901))*60)</f>
        <v>1.2727706068550646</v>
      </c>
      <c r="K901" s="37">
        <f>MIN(1,MAX(0,(J901-Inputs!$D$36)/(Inputs!$D$37-Inputs!$D$36)))</f>
        <v>0</v>
      </c>
      <c r="L901" s="35">
        <f>Inputs!$D$6*Inputs!$D$14*G901*(1-Inputs!$D$38*K901)</f>
        <v>12438.656999999999</v>
      </c>
      <c r="M901" s="39">
        <f>L901*Inputs!$D$11</f>
        <v>267431.12549999997</v>
      </c>
      <c r="N901" s="39">
        <f>M901*(1-Inputs!$D$17)</f>
        <v>93600.893924999982</v>
      </c>
      <c r="O901" s="35">
        <f>Inputs!$D$6*E901*Inputs!$D$27*Inputs!$D$30</f>
        <v>427.01851497310844</v>
      </c>
      <c r="P901" s="36">
        <f>O901/(C901*Inputs!$D$33)</f>
        <v>0.56186646706987953</v>
      </c>
      <c r="Q901" s="38">
        <f>IF(P901&gt;=1,999,P901/(Inputs!$D$33*(1-P901))*60)</f>
        <v>1.9236137781292366</v>
      </c>
      <c r="R901" s="37">
        <f>MIN(1,MAX(0,(Q901-Inputs!$D$36)/(Inputs!$D$37-Inputs!$D$36)))</f>
        <v>0</v>
      </c>
      <c r="S901" s="35">
        <f>Inputs!$D$6*E901*Inputs!$D$27*(1-Inputs!$D$38*R901)</f>
        <v>3558.4876247759039</v>
      </c>
      <c r="T901" s="39">
        <f>S901*Inputs!$D$12</f>
        <v>56935.801996414462</v>
      </c>
      <c r="U901" s="39">
        <f>T901*(1-Inputs!$D$18)</f>
        <v>25621.110898386505</v>
      </c>
      <c r="V901" s="35">
        <f>Inputs!$D$6*F901*Inputs!$D$28*Inputs!$D$31</f>
        <v>664.12068515796761</v>
      </c>
      <c r="W901" s="36">
        <f>V901/(B901*Inputs!$D$34)</f>
        <v>0.99867772204205651</v>
      </c>
      <c r="X901" s="38">
        <f>IF(W901&gt;=1,999,W901/(Inputs!$D$34*(1-W901))*60)</f>
        <v>1294.749671797274</v>
      </c>
      <c r="Y901" s="37">
        <f>MIN(1,MAX(0,(X901-Inputs!$D$36)/(Inputs!$D$37-Inputs!$D$36)))</f>
        <v>1</v>
      </c>
      <c r="Z901" s="35">
        <f>Inputs!$D$6*F901*Inputs!$D$28*(1-Inputs!$D$38*Y901)</f>
        <v>2809.7413602837091</v>
      </c>
      <c r="AA901" s="39">
        <f>Z901*Inputs!$D$13</f>
        <v>23882.801562411529</v>
      </c>
      <c r="AB901" s="39">
        <f>AA901*(1-Inputs!$D$19)</f>
        <v>14329.680937446918</v>
      </c>
      <c r="AC901" s="39">
        <f t="shared" ref="AC901:AC946" si="56">M901+T901+AA901</f>
        <v>348249.72905882593</v>
      </c>
      <c r="AD901" s="39">
        <f t="shared" ref="AD901:AD946" si="57">N901+U901+AB901</f>
        <v>133551.68576083341</v>
      </c>
      <c r="AE901" s="36">
        <f t="shared" ref="AE901:AE946" si="58">MAX(I901,P901,W901)</f>
        <v>0.99867772204205651</v>
      </c>
      <c r="AF901" s="35">
        <f>IF(AND(AE901&lt;=Inputs!$D$35,C901&gt;=Inputs!$D$48*(A901+B901+C901),B901*Inputs!$D$22&lt;=Inputs!$D$50*Inputs!$D$8,B901*Inputs!$D$22&gt;=Inputs!$D$49*Inputs!$D$8,A901*Inputs!$D$20&lt;=Inputs!$D$47*Inputs!$D$8,C901&gt;=1),1,0)</f>
        <v>0</v>
      </c>
      <c r="AG901" s="39">
        <f t="shared" ref="AG901:AG964" si="59">IF(AF901=1,AD901,-1)</f>
        <v>-1</v>
      </c>
    </row>
    <row r="902" spans="1:33" x14ac:dyDescent="0.25">
      <c r="A902" s="35">
        <v>63</v>
      </c>
      <c r="B902" s="35">
        <v>20</v>
      </c>
      <c r="C902" s="35">
        <f>Inputs!$D$8-A902-Inputs!$D$22*B902</f>
        <v>17</v>
      </c>
      <c r="D902" s="35">
        <f>A902*Inputs!$D$20+C902*Inputs!$D$21+B902*Inputs!$D$22</f>
        <v>120</v>
      </c>
      <c r="E902" s="36">
        <f>MIN(Inputs!$E$15,Inputs!$D$15*(C902/Inputs!$D$43)^Inputs!$D$44)</f>
        <v>0.28949164546121231</v>
      </c>
      <c r="F902" s="36">
        <f>MIN(Inputs!$E$16,Inputs!$D$16*(B902/Inputs!$D$42)^Inputs!$D$44)</f>
        <v>0.4</v>
      </c>
      <c r="G902" s="37">
        <f>Inputs!$D$26*(1+Inputs!$D$41*(B902-Inputs!$D$42))</f>
        <v>1.5</v>
      </c>
      <c r="H902" s="35">
        <f>Inputs!$D$6*Inputs!$D$14*G902*Inputs!$D$29</f>
        <v>1884.645</v>
      </c>
      <c r="I902" s="36">
        <f>H902/(A902*Inputs!$D$32)</f>
        <v>0.5439090909090909</v>
      </c>
      <c r="J902" s="38">
        <f>IF(I902&gt;=1,999,I902/(Inputs!$D$32*(1-I902))*60)</f>
        <v>1.3009585590809429</v>
      </c>
      <c r="K902" s="37">
        <f>MIN(1,MAX(0,(J902-Inputs!$D$36)/(Inputs!$D$37-Inputs!$D$36)))</f>
        <v>0</v>
      </c>
      <c r="L902" s="35">
        <f>Inputs!$D$6*Inputs!$D$14*G902*(1-Inputs!$D$38*K902)</f>
        <v>12564.300000000001</v>
      </c>
      <c r="M902" s="39">
        <f>L902*Inputs!$D$11</f>
        <v>270132.45</v>
      </c>
      <c r="N902" s="39">
        <f>M902*(1-Inputs!$D$17)</f>
        <v>94546.357499999998</v>
      </c>
      <c r="O902" s="35">
        <f>Inputs!$D$6*E902*Inputs!$D$27*Inputs!$D$30</f>
        <v>413.00499294711136</v>
      </c>
      <c r="P902" s="36">
        <f>O902/(C902*Inputs!$D$33)</f>
        <v>0.60736028374575202</v>
      </c>
      <c r="Q902" s="38">
        <f>IF(P902&gt;=1,999,P902/(Inputs!$D$33*(1-P902))*60)</f>
        <v>2.3202961593133828</v>
      </c>
      <c r="R902" s="37">
        <f>MIN(1,MAX(0,(Q902-Inputs!$D$36)/(Inputs!$D$37-Inputs!$D$36)))</f>
        <v>0</v>
      </c>
      <c r="S902" s="35">
        <f>Inputs!$D$6*E902*Inputs!$D$27*(1-Inputs!$D$38*R902)</f>
        <v>3441.7082745592616</v>
      </c>
      <c r="T902" s="39">
        <f>S902*Inputs!$D$12</f>
        <v>55067.332392948185</v>
      </c>
      <c r="U902" s="39">
        <f>T902*(1-Inputs!$D$18)</f>
        <v>24780.299576826681</v>
      </c>
      <c r="V902" s="35">
        <f>Inputs!$D$6*F902*Inputs!$D$28*Inputs!$D$31</f>
        <v>674.41919999999993</v>
      </c>
      <c r="W902" s="36">
        <f>V902/(B902*Inputs!$D$34)</f>
        <v>0.96345599999999987</v>
      </c>
      <c r="X902" s="38">
        <f>IF(W902&gt;=1,999,W902/(Inputs!$D$34*(1-W902))*60)</f>
        <v>45.195896922691851</v>
      </c>
      <c r="Y902" s="37">
        <f>MIN(1,MAX(0,(X902-Inputs!$D$36)/(Inputs!$D$37-Inputs!$D$36)))</f>
        <v>1</v>
      </c>
      <c r="Z902" s="35">
        <f>Inputs!$D$6*F902*Inputs!$D$28*(1-Inputs!$D$38*Y902)</f>
        <v>2853.3119999999999</v>
      </c>
      <c r="AA902" s="39">
        <f>Z902*Inputs!$D$13</f>
        <v>24253.151999999998</v>
      </c>
      <c r="AB902" s="39">
        <f>AA902*(1-Inputs!$D$19)</f>
        <v>14551.891199999998</v>
      </c>
      <c r="AC902" s="39">
        <f t="shared" si="56"/>
        <v>349452.93439294817</v>
      </c>
      <c r="AD902" s="39">
        <f t="shared" si="57"/>
        <v>133878.54827682668</v>
      </c>
      <c r="AE902" s="36">
        <f t="shared" si="58"/>
        <v>0.96345599999999987</v>
      </c>
      <c r="AF902" s="35">
        <f>IF(AND(AE902&lt;=Inputs!$D$35,C902&gt;=Inputs!$D$48*(A902+B902+C902),B902*Inputs!$D$22&lt;=Inputs!$D$50*Inputs!$D$8,B902*Inputs!$D$22&gt;=Inputs!$D$49*Inputs!$D$8,A902*Inputs!$D$20&lt;=Inputs!$D$47*Inputs!$D$8,C902&gt;=1),1,0)</f>
        <v>0</v>
      </c>
      <c r="AG902" s="39">
        <f t="shared" si="59"/>
        <v>-1</v>
      </c>
    </row>
    <row r="903" spans="1:33" x14ac:dyDescent="0.25">
      <c r="A903" s="35">
        <v>63</v>
      </c>
      <c r="B903" s="35">
        <v>21</v>
      </c>
      <c r="C903" s="35">
        <f>Inputs!$D$8-A903-Inputs!$D$22*B903</f>
        <v>15</v>
      </c>
      <c r="D903" s="35">
        <f>A903*Inputs!$D$20+C903*Inputs!$D$21+B903*Inputs!$D$22</f>
        <v>120</v>
      </c>
      <c r="E903" s="36">
        <f>MIN(Inputs!$E$15,Inputs!$D$15*(C903/Inputs!$D$43)^Inputs!$D$44)</f>
        <v>0.27882309014433088</v>
      </c>
      <c r="F903" s="36">
        <f>MIN(Inputs!$E$16,Inputs!$D$16*(B903/Inputs!$D$42)^Inputs!$D$44)</f>
        <v>0.40589787816896217</v>
      </c>
      <c r="G903" s="37">
        <f>Inputs!$D$26*(1+Inputs!$D$41*(B903-Inputs!$D$42))</f>
        <v>1.5150000000000001</v>
      </c>
      <c r="H903" s="35">
        <f>Inputs!$D$6*Inputs!$D$14*G903*Inputs!$D$29</f>
        <v>1903.4914500000004</v>
      </c>
      <c r="I903" s="36">
        <f>H903/(A903*Inputs!$D$32)</f>
        <v>0.5493481818181819</v>
      </c>
      <c r="J903" s="38">
        <f>IF(I903&gt;=1,999,I903/(Inputs!$D$32*(1-I903))*60)</f>
        <v>1.3298269338792463</v>
      </c>
      <c r="K903" s="37">
        <f>MIN(1,MAX(0,(J903-Inputs!$D$36)/(Inputs!$D$37-Inputs!$D$36)))</f>
        <v>0</v>
      </c>
      <c r="L903" s="35">
        <f>Inputs!$D$6*Inputs!$D$14*G903*(1-Inputs!$D$38*K903)</f>
        <v>12689.943000000003</v>
      </c>
      <c r="M903" s="39">
        <f>L903*Inputs!$D$11</f>
        <v>272833.77450000006</v>
      </c>
      <c r="N903" s="39">
        <f>M903*(1-Inputs!$D$17)</f>
        <v>95491.821075000014</v>
      </c>
      <c r="O903" s="35">
        <f>Inputs!$D$6*E903*Inputs!$D$27*Inputs!$D$30</f>
        <v>397.78463449295054</v>
      </c>
      <c r="P903" s="36">
        <f>O903/(C903*Inputs!$D$33)</f>
        <v>0.66297439082158427</v>
      </c>
      <c r="Q903" s="38">
        <f>IF(P903&gt;=1,999,P903/(Inputs!$D$33*(1-P903))*60)</f>
        <v>2.9507003597044905</v>
      </c>
      <c r="R903" s="37">
        <f>MIN(1,MAX(0,(Q903-Inputs!$D$36)/(Inputs!$D$37-Inputs!$D$36)))</f>
        <v>0</v>
      </c>
      <c r="S903" s="35">
        <f>Inputs!$D$6*E903*Inputs!$D$27*(1-Inputs!$D$38*R903)</f>
        <v>3314.8719541079213</v>
      </c>
      <c r="T903" s="39">
        <f>S903*Inputs!$D$12</f>
        <v>53037.951265726741</v>
      </c>
      <c r="U903" s="39">
        <f>T903*(1-Inputs!$D$18)</f>
        <v>23867.07806957703</v>
      </c>
      <c r="V903" s="35">
        <f>Inputs!$D$6*F903*Inputs!$D$28*Inputs!$D$31</f>
        <v>684.36330569102222</v>
      </c>
      <c r="W903" s="36">
        <f>V903/(B903*Inputs!$D$34)</f>
        <v>0.93110653835513224</v>
      </c>
      <c r="X903" s="38">
        <f>IF(W903&gt;=1,999,W903/(Inputs!$D$34*(1-W903))*60)</f>
        <v>23.16885520150278</v>
      </c>
      <c r="Y903" s="37">
        <f>MIN(1,MAX(0,(X903-Inputs!$D$36)/(Inputs!$D$37-Inputs!$D$36)))</f>
        <v>1</v>
      </c>
      <c r="Z903" s="35">
        <f>Inputs!$D$6*F903*Inputs!$D$28*(1-Inputs!$D$38*Y903)</f>
        <v>2895.3832163850943</v>
      </c>
      <c r="AA903" s="39">
        <f>Z903*Inputs!$D$13</f>
        <v>24610.757339273303</v>
      </c>
      <c r="AB903" s="39">
        <f>AA903*(1-Inputs!$D$19)</f>
        <v>14766.454403563981</v>
      </c>
      <c r="AC903" s="39">
        <f t="shared" si="56"/>
        <v>350482.48310500011</v>
      </c>
      <c r="AD903" s="39">
        <f t="shared" si="57"/>
        <v>134125.35354814102</v>
      </c>
      <c r="AE903" s="36">
        <f t="shared" si="58"/>
        <v>0.93110653835513224</v>
      </c>
      <c r="AF903" s="35">
        <f>IF(AND(AE903&lt;=Inputs!$D$35,C903&gt;=Inputs!$D$48*(A903+B903+C903),B903*Inputs!$D$22&lt;=Inputs!$D$50*Inputs!$D$8,B903*Inputs!$D$22&gt;=Inputs!$D$49*Inputs!$D$8,A903*Inputs!$D$20&lt;=Inputs!$D$47*Inputs!$D$8,C903&gt;=1),1,0)</f>
        <v>0</v>
      </c>
      <c r="AG903" s="39">
        <f t="shared" si="59"/>
        <v>-1</v>
      </c>
    </row>
    <row r="904" spans="1:33" x14ac:dyDescent="0.25">
      <c r="A904" s="35">
        <v>63</v>
      </c>
      <c r="B904" s="35">
        <v>22</v>
      </c>
      <c r="C904" s="35">
        <f>Inputs!$D$8-A904-Inputs!$D$22*B904</f>
        <v>13</v>
      </c>
      <c r="D904" s="35">
        <f>A904*Inputs!$D$20+C904*Inputs!$D$21+B904*Inputs!$D$22</f>
        <v>120</v>
      </c>
      <c r="E904" s="36">
        <f>MIN(Inputs!$E$15,Inputs!$D$15*(C904/Inputs!$D$43)^Inputs!$D$44)</f>
        <v>0.26710644306172537</v>
      </c>
      <c r="F904" s="36">
        <f>MIN(Inputs!$E$16,Inputs!$D$16*(B904/Inputs!$D$42)^Inputs!$D$44)</f>
        <v>0.41160230376843804</v>
      </c>
      <c r="G904" s="37">
        <f>Inputs!$D$26*(1+Inputs!$D$41*(B904-Inputs!$D$42))</f>
        <v>1.53</v>
      </c>
      <c r="H904" s="35">
        <f>Inputs!$D$6*Inputs!$D$14*G904*Inputs!$D$29</f>
        <v>1922.3379</v>
      </c>
      <c r="I904" s="36">
        <f>H904/(A904*Inputs!$D$32)</f>
        <v>0.55478727272727268</v>
      </c>
      <c r="J904" s="38">
        <f>IF(I904&gt;=1,999,I904/(Inputs!$D$32*(1-I904))*60)</f>
        <v>1.3594006690830678</v>
      </c>
      <c r="K904" s="37">
        <f>MIN(1,MAX(0,(J904-Inputs!$D$36)/(Inputs!$D$37-Inputs!$D$36)))</f>
        <v>0</v>
      </c>
      <c r="L904" s="35">
        <f>Inputs!$D$6*Inputs!$D$14*G904*(1-Inputs!$D$38*K904)</f>
        <v>12815.586000000001</v>
      </c>
      <c r="M904" s="39">
        <f>L904*Inputs!$D$11</f>
        <v>275535.09900000005</v>
      </c>
      <c r="N904" s="39">
        <f>M904*(1-Inputs!$D$17)</f>
        <v>96437.284650000016</v>
      </c>
      <c r="O904" s="35">
        <f>Inputs!$D$6*E904*Inputs!$D$27*Inputs!$D$30</f>
        <v>381.06900963266889</v>
      </c>
      <c r="P904" s="36">
        <f>O904/(C904*Inputs!$D$33)</f>
        <v>0.73282501852436321</v>
      </c>
      <c r="Q904" s="38">
        <f>IF(P904&gt;=1,999,P904/(Inputs!$D$33*(1-P904))*60)</f>
        <v>4.1142981341865736</v>
      </c>
      <c r="R904" s="37">
        <f>MIN(1,MAX(0,(Q904-Inputs!$D$36)/(Inputs!$D$37-Inputs!$D$36)))</f>
        <v>0</v>
      </c>
      <c r="S904" s="35">
        <f>Inputs!$D$6*E904*Inputs!$D$27*(1-Inputs!$D$38*R904)</f>
        <v>3175.5750802722409</v>
      </c>
      <c r="T904" s="39">
        <f>S904*Inputs!$D$12</f>
        <v>50809.201284355855</v>
      </c>
      <c r="U904" s="39">
        <f>T904*(1-Inputs!$D$18)</f>
        <v>22864.140577960134</v>
      </c>
      <c r="V904" s="35">
        <f>Inputs!$D$6*F904*Inputs!$D$28*Inputs!$D$31</f>
        <v>693.98124106416742</v>
      </c>
      <c r="W904" s="36">
        <f>V904/(B904*Inputs!$D$34)</f>
        <v>0.90127433904437326</v>
      </c>
      <c r="X904" s="38">
        <f>IF(W904&gt;=1,999,W904/(Inputs!$D$34*(1-W904))*60)</f>
        <v>15.649849381818807</v>
      </c>
      <c r="Y904" s="37">
        <f>MIN(1,MAX(0,(X904-Inputs!$D$36)/(Inputs!$D$37-Inputs!$D$36)))</f>
        <v>0.70998995878792048</v>
      </c>
      <c r="Z904" s="35">
        <f>Inputs!$D$6*F904*Inputs!$D$28*(1-Inputs!$D$38*Y904)</f>
        <v>3632.749002537963</v>
      </c>
      <c r="AA904" s="39">
        <f>Z904*Inputs!$D$13</f>
        <v>30878.366521572687</v>
      </c>
      <c r="AB904" s="39">
        <f>AA904*(1-Inputs!$D$19)</f>
        <v>18527.019912943611</v>
      </c>
      <c r="AC904" s="39">
        <f t="shared" si="56"/>
        <v>357222.66680592857</v>
      </c>
      <c r="AD904" s="39">
        <f t="shared" si="57"/>
        <v>137828.44514090376</v>
      </c>
      <c r="AE904" s="36">
        <f t="shared" si="58"/>
        <v>0.90127433904437326</v>
      </c>
      <c r="AF904" s="35">
        <f>IF(AND(AE904&lt;=Inputs!$D$35,C904&gt;=Inputs!$D$48*(A904+B904+C904),B904*Inputs!$D$22&lt;=Inputs!$D$50*Inputs!$D$8,B904*Inputs!$D$22&gt;=Inputs!$D$49*Inputs!$D$8,A904*Inputs!$D$20&lt;=Inputs!$D$47*Inputs!$D$8,C904&gt;=1),1,0)</f>
        <v>0</v>
      </c>
      <c r="AG904" s="39">
        <f t="shared" si="59"/>
        <v>-1</v>
      </c>
    </row>
    <row r="905" spans="1:33" x14ac:dyDescent="0.25">
      <c r="A905" s="35">
        <v>63</v>
      </c>
      <c r="B905" s="35">
        <v>23</v>
      </c>
      <c r="C905" s="35">
        <f>Inputs!$D$8-A905-Inputs!$D$22*B905</f>
        <v>11</v>
      </c>
      <c r="D905" s="35">
        <f>A905*Inputs!$D$20+C905*Inputs!$D$21+B905*Inputs!$D$22</f>
        <v>120</v>
      </c>
      <c r="E905" s="36">
        <f>MIN(Inputs!$E$15,Inputs!$D$15*(C905/Inputs!$D$43)^Inputs!$D$44)</f>
        <v>0.25404997933787238</v>
      </c>
      <c r="F905" s="36">
        <f>MIN(Inputs!$E$16,Inputs!$D$16*(B905/Inputs!$D$42)^Inputs!$D$44)</f>
        <v>0.41712800028621322</v>
      </c>
      <c r="G905" s="37">
        <f>Inputs!$D$26*(1+Inputs!$D$41*(B905-Inputs!$D$42))</f>
        <v>1.5449999999999999</v>
      </c>
      <c r="H905" s="35">
        <f>Inputs!$D$6*Inputs!$D$14*G905*Inputs!$D$29</f>
        <v>1941.18435</v>
      </c>
      <c r="I905" s="36">
        <f>H905/(A905*Inputs!$D$32)</f>
        <v>0.56022636363636369</v>
      </c>
      <c r="J905" s="38">
        <f>IF(I905&gt;=1,999,I905/(Inputs!$D$32*(1-I905))*60)</f>
        <v>1.389705936243308</v>
      </c>
      <c r="K905" s="37">
        <f>MIN(1,MAX(0,(J905-Inputs!$D$36)/(Inputs!$D$37-Inputs!$D$36)))</f>
        <v>0</v>
      </c>
      <c r="L905" s="35">
        <f>Inputs!$D$6*Inputs!$D$14*G905*(1-Inputs!$D$38*K905)</f>
        <v>12941.229000000001</v>
      </c>
      <c r="M905" s="39">
        <f>L905*Inputs!$D$11</f>
        <v>278236.42350000003</v>
      </c>
      <c r="N905" s="39">
        <f>M905*(1-Inputs!$D$17)</f>
        <v>97382.748225000003</v>
      </c>
      <c r="O905" s="35">
        <f>Inputs!$D$6*E905*Inputs!$D$27*Inputs!$D$30</f>
        <v>362.44192732225167</v>
      </c>
      <c r="P905" s="36">
        <f>O905/(C905*Inputs!$D$33)</f>
        <v>0.82373165300511741</v>
      </c>
      <c r="Q905" s="38">
        <f>IF(P905&gt;=1,999,P905/(Inputs!$D$33*(1-P905))*60)</f>
        <v>7.0097524630644434</v>
      </c>
      <c r="R905" s="37">
        <f>MIN(1,MAX(0,(Q905-Inputs!$D$36)/(Inputs!$D$37-Inputs!$D$36)))</f>
        <v>0.13398349753762956</v>
      </c>
      <c r="S905" s="35">
        <f>Inputs!$D$6*E905*Inputs!$D$27*(1-Inputs!$D$38*R905)</f>
        <v>2838.2447553136676</v>
      </c>
      <c r="T905" s="39">
        <f>S905*Inputs!$D$12</f>
        <v>45411.916085018682</v>
      </c>
      <c r="U905" s="39">
        <f>T905*(1-Inputs!$D$18)</f>
        <v>20435.362238258404</v>
      </c>
      <c r="V905" s="35">
        <f>Inputs!$D$6*F905*Inputs!$D$28*Inputs!$D$31</f>
        <v>703.29783062656929</v>
      </c>
      <c r="W905" s="36">
        <f>V905/(B905*Inputs!$D$34)</f>
        <v>0.87366190139946498</v>
      </c>
      <c r="X905" s="38">
        <f>IF(W905&gt;=1,999,W905/(Inputs!$D$34*(1-W905))*60)</f>
        <v>11.854746377182334</v>
      </c>
      <c r="Y905" s="37">
        <f>MIN(1,MAX(0,(X905-Inputs!$D$36)/(Inputs!$D$37-Inputs!$D$36)))</f>
        <v>0.45698309181215557</v>
      </c>
      <c r="Z905" s="35">
        <f>Inputs!$D$6*F905*Inputs!$D$28*(1-Inputs!$D$38*Y905)</f>
        <v>4297.4614071503011</v>
      </c>
      <c r="AA905" s="39">
        <f>Z905*Inputs!$D$13</f>
        <v>36528.421960777559</v>
      </c>
      <c r="AB905" s="39">
        <f>AA905*(1-Inputs!$D$19)</f>
        <v>21917.053176466536</v>
      </c>
      <c r="AC905" s="39">
        <f t="shared" si="56"/>
        <v>360176.76154579624</v>
      </c>
      <c r="AD905" s="39">
        <f t="shared" si="57"/>
        <v>139735.16363972495</v>
      </c>
      <c r="AE905" s="36">
        <f t="shared" si="58"/>
        <v>0.87366190139946498</v>
      </c>
      <c r="AF905" s="35">
        <f>IF(AND(AE905&lt;=Inputs!$D$35,C905&gt;=Inputs!$D$48*(A905+B905+C905),B905*Inputs!$D$22&lt;=Inputs!$D$50*Inputs!$D$8,B905*Inputs!$D$22&gt;=Inputs!$D$49*Inputs!$D$8,A905*Inputs!$D$20&lt;=Inputs!$D$47*Inputs!$D$8,C905&gt;=1),1,0)</f>
        <v>0</v>
      </c>
      <c r="AG905" s="39">
        <f t="shared" si="59"/>
        <v>-1</v>
      </c>
    </row>
    <row r="906" spans="1:33" x14ac:dyDescent="0.25">
      <c r="A906" s="35">
        <v>63</v>
      </c>
      <c r="B906" s="35">
        <v>24</v>
      </c>
      <c r="C906" s="35">
        <f>Inputs!$D$8-A906-Inputs!$D$22*B906</f>
        <v>9</v>
      </c>
      <c r="D906" s="35">
        <f>A906*Inputs!$D$20+C906*Inputs!$D$21+B906*Inputs!$D$22</f>
        <v>120</v>
      </c>
      <c r="E906" s="36">
        <f>MIN(Inputs!$E$15,Inputs!$D$15*(C906/Inputs!$D$43)^Inputs!$D$44)</f>
        <v>0.23920712491579582</v>
      </c>
      <c r="F906" s="36">
        <f>MIN(Inputs!$E$16,Inputs!$D$16*(B906/Inputs!$D$42)^Inputs!$D$44)</f>
        <v>0.42248798737570326</v>
      </c>
      <c r="G906" s="37">
        <f>Inputs!$D$26*(1+Inputs!$D$41*(B906-Inputs!$D$42))</f>
        <v>1.56</v>
      </c>
      <c r="H906" s="35">
        <f>Inputs!$D$6*Inputs!$D$14*G906*Inputs!$D$29</f>
        <v>1960.0308</v>
      </c>
      <c r="I906" s="36">
        <f>H906/(A906*Inputs!$D$32)</f>
        <v>0.56566545454545458</v>
      </c>
      <c r="J906" s="38">
        <f>IF(I906&gt;=1,999,I906/(Inputs!$D$32*(1-I906))*60)</f>
        <v>1.4207702178767636</v>
      </c>
      <c r="K906" s="37">
        <f>MIN(1,MAX(0,(J906-Inputs!$D$36)/(Inputs!$D$37-Inputs!$D$36)))</f>
        <v>0</v>
      </c>
      <c r="L906" s="35">
        <f>Inputs!$D$6*Inputs!$D$14*G906*(1-Inputs!$D$38*K906)</f>
        <v>13066.872000000001</v>
      </c>
      <c r="M906" s="39">
        <f>L906*Inputs!$D$11</f>
        <v>280937.74800000002</v>
      </c>
      <c r="N906" s="39">
        <f>M906*(1-Inputs!$D$17)</f>
        <v>98328.211800000005</v>
      </c>
      <c r="O906" s="35">
        <f>Inputs!$D$6*E906*Inputs!$D$27*Inputs!$D$30</f>
        <v>341.26628000386961</v>
      </c>
      <c r="P906" s="36">
        <f>O906/(C906*Inputs!$D$33)</f>
        <v>0.94796188889963784</v>
      </c>
      <c r="Q906" s="38">
        <f>IF(P906&gt;=1,999,P906/(Inputs!$D$33*(1-P906))*60)</f>
        <v>27.325027816767943</v>
      </c>
      <c r="R906" s="37">
        <f>MIN(1,MAX(0,(Q906-Inputs!$D$36)/(Inputs!$D$37-Inputs!$D$36)))</f>
        <v>1</v>
      </c>
      <c r="S906" s="35">
        <f>Inputs!$D$6*E906*Inputs!$D$27*(1-Inputs!$D$38*R906)</f>
        <v>1564.1371166844026</v>
      </c>
      <c r="T906" s="39">
        <f>S906*Inputs!$D$12</f>
        <v>25026.193866950442</v>
      </c>
      <c r="U906" s="39">
        <f>T906*(1-Inputs!$D$18)</f>
        <v>11261.787240127698</v>
      </c>
      <c r="V906" s="35">
        <f>Inputs!$D$6*F906*Inputs!$D$28*Inputs!$D$31</f>
        <v>712.33502613882979</v>
      </c>
      <c r="W906" s="36">
        <f>V906/(B906*Inputs!$D$34)</f>
        <v>0.84801788826051161</v>
      </c>
      <c r="X906" s="38">
        <f>IF(W906&gt;=1,999,W906/(Inputs!$D$34*(1-W906))*60)</f>
        <v>9.5652372155190832</v>
      </c>
      <c r="Y906" s="37">
        <f>MIN(1,MAX(0,(X906-Inputs!$D$36)/(Inputs!$D$37-Inputs!$D$36)))</f>
        <v>0.30434914770127219</v>
      </c>
      <c r="Z906" s="35">
        <f>Inputs!$D$6*F906*Inputs!$D$28*(1-Inputs!$D$38*Y906)</f>
        <v>4729.0436538571339</v>
      </c>
      <c r="AA906" s="39">
        <f>Z906*Inputs!$D$13</f>
        <v>40196.87105778564</v>
      </c>
      <c r="AB906" s="39">
        <f>AA906*(1-Inputs!$D$19)</f>
        <v>24118.122634671385</v>
      </c>
      <c r="AC906" s="39">
        <f t="shared" si="56"/>
        <v>346160.81292473612</v>
      </c>
      <c r="AD906" s="39">
        <f t="shared" si="57"/>
        <v>133708.1216747991</v>
      </c>
      <c r="AE906" s="36">
        <f t="shared" si="58"/>
        <v>0.94796188889963784</v>
      </c>
      <c r="AF906" s="35">
        <f>IF(AND(AE906&lt;=Inputs!$D$35,C906&gt;=Inputs!$D$48*(A906+B906+C906),B906*Inputs!$D$22&lt;=Inputs!$D$50*Inputs!$D$8,B906*Inputs!$D$22&gt;=Inputs!$D$49*Inputs!$D$8,A906*Inputs!$D$20&lt;=Inputs!$D$47*Inputs!$D$8,C906&gt;=1),1,0)</f>
        <v>0</v>
      </c>
      <c r="AG906" s="39">
        <f t="shared" si="59"/>
        <v>-1</v>
      </c>
    </row>
    <row r="907" spans="1:33" x14ac:dyDescent="0.25">
      <c r="A907" s="35">
        <v>63</v>
      </c>
      <c r="B907" s="35">
        <v>25</v>
      </c>
      <c r="C907" s="35">
        <f>Inputs!$D$8-A907-Inputs!$D$22*B907</f>
        <v>7</v>
      </c>
      <c r="D907" s="35">
        <f>A907*Inputs!$D$20+C907*Inputs!$D$21+B907*Inputs!$D$22</f>
        <v>120</v>
      </c>
      <c r="E907" s="36">
        <f>MIN(Inputs!$E$15,Inputs!$D$15*(C907/Inputs!$D$43)^Inputs!$D$44)</f>
        <v>0.2218353587738203</v>
      </c>
      <c r="F907" s="36">
        <f>MIN(Inputs!$E$16,Inputs!$D$16*(B907/Inputs!$D$42)^Inputs!$D$44)</f>
        <v>0.42769383999647526</v>
      </c>
      <c r="G907" s="37">
        <f>Inputs!$D$26*(1+Inputs!$D$41*(B907-Inputs!$D$42))</f>
        <v>1.5750000000000002</v>
      </c>
      <c r="H907" s="35">
        <f>Inputs!$D$6*Inputs!$D$14*G907*Inputs!$D$29</f>
        <v>1978.8772500000005</v>
      </c>
      <c r="I907" s="36">
        <f>H907/(A907*Inputs!$D$32)</f>
        <v>0.57110454545454559</v>
      </c>
      <c r="J907" s="38">
        <f>IF(I907&gt;=1,999,I907/(Inputs!$D$32*(1-I907))*60)</f>
        <v>1.4526223905920173</v>
      </c>
      <c r="K907" s="37">
        <f>MIN(1,MAX(0,(J907-Inputs!$D$36)/(Inputs!$D$37-Inputs!$D$36)))</f>
        <v>0</v>
      </c>
      <c r="L907" s="35">
        <f>Inputs!$D$6*Inputs!$D$14*G907*(1-Inputs!$D$38*K907)</f>
        <v>13192.515000000003</v>
      </c>
      <c r="M907" s="39">
        <f>L907*Inputs!$D$11</f>
        <v>283639.07250000007</v>
      </c>
      <c r="N907" s="39">
        <f>M907*(1-Inputs!$D$17)</f>
        <v>99273.675375000021</v>
      </c>
      <c r="O907" s="35">
        <f>Inputs!$D$6*E907*Inputs!$D$27*Inputs!$D$30</f>
        <v>316.48274560682341</v>
      </c>
      <c r="P907" s="36">
        <f>O907/(C907*Inputs!$D$33)</f>
        <v>1.1302955200243694</v>
      </c>
      <c r="Q907" s="38">
        <f>IF(P907&gt;=1,999,P907/(Inputs!$D$33*(1-P907))*60)</f>
        <v>999</v>
      </c>
      <c r="R907" s="37">
        <f>MIN(1,MAX(0,(Q907-Inputs!$D$36)/(Inputs!$D$37-Inputs!$D$36)))</f>
        <v>1</v>
      </c>
      <c r="S907" s="35">
        <f>Inputs!$D$6*E907*Inputs!$D$27*(1-Inputs!$D$38*R907)</f>
        <v>1450.5459173646075</v>
      </c>
      <c r="T907" s="39">
        <f>S907*Inputs!$D$12</f>
        <v>23208.73467783372</v>
      </c>
      <c r="U907" s="39">
        <f>T907*(1-Inputs!$D$18)</f>
        <v>10443.930605025173</v>
      </c>
      <c r="V907" s="35">
        <f>Inputs!$D$6*F907*Inputs!$D$28*Inputs!$D$31</f>
        <v>721.1123435383771</v>
      </c>
      <c r="W907" s="36">
        <f>V907/(B907*Inputs!$D$34)</f>
        <v>0.82412839261528814</v>
      </c>
      <c r="X907" s="38">
        <f>IF(W907&gt;=1,999,W907/(Inputs!$D$34*(1-W907))*60)</f>
        <v>8.0330847668163621</v>
      </c>
      <c r="Y907" s="37">
        <f>MIN(1,MAX(0,(X907-Inputs!$D$36)/(Inputs!$D$37-Inputs!$D$36)))</f>
        <v>0.20220565112109082</v>
      </c>
      <c r="Z907" s="35">
        <f>Inputs!$D$6*F907*Inputs!$D$28*(1-Inputs!$D$38*Y907)</f>
        <v>5042.2807508299393</v>
      </c>
      <c r="AA907" s="39">
        <f>Z907*Inputs!$D$13</f>
        <v>42859.386382054487</v>
      </c>
      <c r="AB907" s="39">
        <f>AA907*(1-Inputs!$D$19)</f>
        <v>25715.631829232691</v>
      </c>
      <c r="AC907" s="39">
        <f t="shared" si="56"/>
        <v>349707.19355988828</v>
      </c>
      <c r="AD907" s="39">
        <f t="shared" si="57"/>
        <v>135433.23780925787</v>
      </c>
      <c r="AE907" s="36">
        <f t="shared" si="58"/>
        <v>1.1302955200243694</v>
      </c>
      <c r="AF907" s="35">
        <f>IF(AND(AE907&lt;=Inputs!$D$35,C907&gt;=Inputs!$D$48*(A907+B907+C907),B907*Inputs!$D$22&lt;=Inputs!$D$50*Inputs!$D$8,B907*Inputs!$D$22&gt;=Inputs!$D$49*Inputs!$D$8,A907*Inputs!$D$20&lt;=Inputs!$D$47*Inputs!$D$8,C907&gt;=1),1,0)</f>
        <v>0</v>
      </c>
      <c r="AG907" s="39">
        <f t="shared" si="59"/>
        <v>-1</v>
      </c>
    </row>
    <row r="908" spans="1:33" x14ac:dyDescent="0.25">
      <c r="A908" s="35">
        <v>63</v>
      </c>
      <c r="B908" s="35">
        <v>26</v>
      </c>
      <c r="C908" s="35">
        <f>Inputs!$D$8-A908-Inputs!$D$22*B908</f>
        <v>5</v>
      </c>
      <c r="D908" s="35">
        <f>A908*Inputs!$D$20+C908*Inputs!$D$21+B908*Inputs!$D$22</f>
        <v>120</v>
      </c>
      <c r="E908" s="36">
        <f>MIN(Inputs!$E$15,Inputs!$D$15*(C908/Inputs!$D$43)^Inputs!$D$44)</f>
        <v>0.20053600538400315</v>
      </c>
      <c r="F908" s="36">
        <f>MIN(Inputs!$E$16,Inputs!$D$16*(B908/Inputs!$D$42)^Inputs!$D$44)</f>
        <v>0.43275589945781112</v>
      </c>
      <c r="G908" s="37">
        <f>Inputs!$D$26*(1+Inputs!$D$41*(B908-Inputs!$D$42))</f>
        <v>1.59</v>
      </c>
      <c r="H908" s="35">
        <f>Inputs!$D$6*Inputs!$D$14*G908*Inputs!$D$29</f>
        <v>1997.7237</v>
      </c>
      <c r="I908" s="36">
        <f>H908/(A908*Inputs!$D$32)</f>
        <v>0.57654363636363637</v>
      </c>
      <c r="J908" s="38">
        <f>IF(I908&gt;=1,999,I908/(Inputs!$D$32*(1-I908))*60)</f>
        <v>1.4852928146215854</v>
      </c>
      <c r="K908" s="37">
        <f>MIN(1,MAX(0,(J908-Inputs!$D$36)/(Inputs!$D$37-Inputs!$D$36)))</f>
        <v>0</v>
      </c>
      <c r="L908" s="35">
        <f>Inputs!$D$6*Inputs!$D$14*G908*(1-Inputs!$D$38*K908)</f>
        <v>13318.158000000001</v>
      </c>
      <c r="M908" s="39">
        <f>L908*Inputs!$D$11</f>
        <v>286340.39700000006</v>
      </c>
      <c r="N908" s="39">
        <f>M908*(1-Inputs!$D$17)</f>
        <v>100219.13895000001</v>
      </c>
      <c r="O908" s="35">
        <f>Inputs!$D$6*E908*Inputs!$D$27*Inputs!$D$30</f>
        <v>286.09589529712042</v>
      </c>
      <c r="P908" s="36">
        <f>O908/(C908*Inputs!$D$33)</f>
        <v>1.4304794764856021</v>
      </c>
      <c r="Q908" s="38">
        <f>IF(P908&gt;=1,999,P908/(Inputs!$D$33*(1-P908))*60)</f>
        <v>999</v>
      </c>
      <c r="R908" s="37">
        <f>MIN(1,MAX(0,(Q908-Inputs!$D$36)/(Inputs!$D$37-Inputs!$D$36)))</f>
        <v>1</v>
      </c>
      <c r="S908" s="35">
        <f>Inputs!$D$6*E908*Inputs!$D$27*(1-Inputs!$D$38*R908)</f>
        <v>1311.2728534451353</v>
      </c>
      <c r="T908" s="39">
        <f>S908*Inputs!$D$12</f>
        <v>20980.365655122165</v>
      </c>
      <c r="U908" s="39">
        <f>T908*(1-Inputs!$D$18)</f>
        <v>9441.164544804973</v>
      </c>
      <c r="V908" s="35">
        <f>Inputs!$D$6*F908*Inputs!$D$28*Inputs!$D$31</f>
        <v>729.64721876904355</v>
      </c>
      <c r="W908" s="36">
        <f>V908/(B908*Inputs!$D$34)</f>
        <v>0.80181013051543248</v>
      </c>
      <c r="X908" s="38">
        <f>IF(W908&gt;=1,999,W908/(Inputs!$D$34*(1-W908))*60)</f>
        <v>6.9354284146153136</v>
      </c>
      <c r="Y908" s="37">
        <f>MIN(1,MAX(0,(X908-Inputs!$D$36)/(Inputs!$D$37-Inputs!$D$36)))</f>
        <v>0.12902856097435425</v>
      </c>
      <c r="Z908" s="35">
        <f>Inputs!$D$6*F908*Inputs!$D$28*(1-Inputs!$D$38*Y908)</f>
        <v>5286.7832305655711</v>
      </c>
      <c r="AA908" s="39">
        <f>Z908*Inputs!$D$13</f>
        <v>44937.657459807357</v>
      </c>
      <c r="AB908" s="39">
        <f>AA908*(1-Inputs!$D$19)</f>
        <v>26962.594475884413</v>
      </c>
      <c r="AC908" s="39">
        <f t="shared" si="56"/>
        <v>352258.42011492955</v>
      </c>
      <c r="AD908" s="39">
        <f t="shared" si="57"/>
        <v>136622.8979706894</v>
      </c>
      <c r="AE908" s="36">
        <f t="shared" si="58"/>
        <v>1.4304794764856021</v>
      </c>
      <c r="AF908" s="35">
        <f>IF(AND(AE908&lt;=Inputs!$D$35,C908&gt;=Inputs!$D$48*(A908+B908+C908),B908*Inputs!$D$22&lt;=Inputs!$D$50*Inputs!$D$8,B908*Inputs!$D$22&gt;=Inputs!$D$49*Inputs!$D$8,A908*Inputs!$D$20&lt;=Inputs!$D$47*Inputs!$D$8,C908&gt;=1),1,0)</f>
        <v>0</v>
      </c>
      <c r="AG908" s="39">
        <f t="shared" si="59"/>
        <v>-1</v>
      </c>
    </row>
    <row r="909" spans="1:33" x14ac:dyDescent="0.25">
      <c r="A909" s="35">
        <v>63</v>
      </c>
      <c r="B909" s="35">
        <v>27</v>
      </c>
      <c r="C909" s="35">
        <f>Inputs!$D$8-A909-Inputs!$D$22*B909</f>
        <v>3</v>
      </c>
      <c r="D909" s="35">
        <f>A909*Inputs!$D$20+C909*Inputs!$D$21+B909*Inputs!$D$22</f>
        <v>120</v>
      </c>
      <c r="E909" s="36">
        <f>MIN(Inputs!$E$15,Inputs!$D$15*(C909/Inputs!$D$43)^Inputs!$D$44)</f>
        <v>0.17204328832728594</v>
      </c>
      <c r="F909" s="36">
        <f>MIN(Inputs!$E$16,Inputs!$D$16*(B909/Inputs!$D$42)^Inputs!$D$44)</f>
        <v>0.43768344678187454</v>
      </c>
      <c r="G909" s="37">
        <f>Inputs!$D$26*(1+Inputs!$D$41*(B909-Inputs!$D$42))</f>
        <v>1.605</v>
      </c>
      <c r="H909" s="35">
        <f>Inputs!$D$6*Inputs!$D$14*G909*Inputs!$D$29</f>
        <v>2016.57015</v>
      </c>
      <c r="I909" s="36">
        <f>H909/(A909*Inputs!$D$32)</f>
        <v>0.58198272727272726</v>
      </c>
      <c r="J909" s="38">
        <f>IF(I909&gt;=1,999,I909/(Inputs!$D$32*(1-I909))*60)</f>
        <v>1.5188134303438368</v>
      </c>
      <c r="K909" s="37">
        <f>MIN(1,MAX(0,(J909-Inputs!$D$36)/(Inputs!$D$37-Inputs!$D$36)))</f>
        <v>0</v>
      </c>
      <c r="L909" s="35">
        <f>Inputs!$D$6*Inputs!$D$14*G909*(1-Inputs!$D$38*K909)</f>
        <v>13443.801000000001</v>
      </c>
      <c r="M909" s="39">
        <f>L909*Inputs!$D$11</f>
        <v>289041.72150000004</v>
      </c>
      <c r="N909" s="39">
        <f>M909*(1-Inputs!$D$17)</f>
        <v>101164.60252500001</v>
      </c>
      <c r="O909" s="35">
        <f>Inputs!$D$6*E909*Inputs!$D$27*Inputs!$D$30</f>
        <v>245.44658955185244</v>
      </c>
      <c r="P909" s="36">
        <f>O909/(C909*Inputs!$D$33)</f>
        <v>2.0453882462654369</v>
      </c>
      <c r="Q909" s="38">
        <f>IF(P909&gt;=1,999,P909/(Inputs!$D$33*(1-P909))*60)</f>
        <v>999</v>
      </c>
      <c r="R909" s="37">
        <f>MIN(1,MAX(0,(Q909-Inputs!$D$36)/(Inputs!$D$37-Inputs!$D$36)))</f>
        <v>1</v>
      </c>
      <c r="S909" s="35">
        <f>Inputs!$D$6*E909*Inputs!$D$27*(1-Inputs!$D$38*R909)</f>
        <v>1124.9635354459906</v>
      </c>
      <c r="T909" s="39">
        <f>S909*Inputs!$D$12</f>
        <v>17999.41656713585</v>
      </c>
      <c r="U909" s="39">
        <f>T909*(1-Inputs!$D$18)</f>
        <v>8099.7374552111314</v>
      </c>
      <c r="V909" s="35">
        <f>Inputs!$D$6*F909*Inputs!$D$28*Inputs!$D$31</f>
        <v>737.95530007968603</v>
      </c>
      <c r="W909" s="36">
        <f>V909/(B909*Inputs!$D$34)</f>
        <v>0.78090507944940324</v>
      </c>
      <c r="X909" s="38">
        <f>IF(W909&gt;=1,999,W909/(Inputs!$D$34*(1-W909))*60)</f>
        <v>6.1101116290101798</v>
      </c>
      <c r="Y909" s="37">
        <f>MIN(1,MAX(0,(X909-Inputs!$D$36)/(Inputs!$D$37-Inputs!$D$36)))</f>
        <v>7.4007441934011986E-2</v>
      </c>
      <c r="Z909" s="35">
        <f>Inputs!$D$6*F909*Inputs!$D$28*(1-Inputs!$D$38*Y909)</f>
        <v>5487.5301328495489</v>
      </c>
      <c r="AA909" s="39">
        <f>Z909*Inputs!$D$13</f>
        <v>46644.006129221169</v>
      </c>
      <c r="AB909" s="39">
        <f>AA909*(1-Inputs!$D$19)</f>
        <v>27986.4036775327</v>
      </c>
      <c r="AC909" s="39">
        <f t="shared" si="56"/>
        <v>353685.14419635705</v>
      </c>
      <c r="AD909" s="39">
        <f t="shared" si="57"/>
        <v>137250.74365774385</v>
      </c>
      <c r="AE909" s="36">
        <f t="shared" si="58"/>
        <v>2.0453882462654369</v>
      </c>
      <c r="AF909" s="35">
        <f>IF(AND(AE909&lt;=Inputs!$D$35,C909&gt;=Inputs!$D$48*(A909+B909+C909),B909*Inputs!$D$22&lt;=Inputs!$D$50*Inputs!$D$8,B909*Inputs!$D$22&gt;=Inputs!$D$49*Inputs!$D$8,A909*Inputs!$D$20&lt;=Inputs!$D$47*Inputs!$D$8,C909&gt;=1),1,0)</f>
        <v>0</v>
      </c>
      <c r="AG909" s="39">
        <f t="shared" si="59"/>
        <v>-1</v>
      </c>
    </row>
    <row r="910" spans="1:33" x14ac:dyDescent="0.25">
      <c r="A910" s="35">
        <v>63</v>
      </c>
      <c r="B910" s="35">
        <v>28</v>
      </c>
      <c r="C910" s="35">
        <f>Inputs!$D$8-A910-Inputs!$D$22*B910</f>
        <v>1</v>
      </c>
      <c r="D910" s="35">
        <f>A910*Inputs!$D$20+C910*Inputs!$D$21+B910*Inputs!$D$22</f>
        <v>120</v>
      </c>
      <c r="E910" s="36">
        <f>MIN(Inputs!$E$15,Inputs!$D$15*(C910/Inputs!$D$43)^Inputs!$D$44)</f>
        <v>0.12373750601653212</v>
      </c>
      <c r="F910" s="36">
        <f>MIN(Inputs!$E$16,Inputs!$D$16*(B910/Inputs!$D$42)^Inputs!$D$44)</f>
        <v>0.44248484624799689</v>
      </c>
      <c r="G910" s="37">
        <f>Inputs!$D$26*(1+Inputs!$D$41*(B910-Inputs!$D$42))</f>
        <v>1.62</v>
      </c>
      <c r="H910" s="35">
        <f>Inputs!$D$6*Inputs!$D$14*G910*Inputs!$D$29</f>
        <v>2035.4166</v>
      </c>
      <c r="I910" s="36">
        <f>H910/(A910*Inputs!$D$32)</f>
        <v>0.58742181818181816</v>
      </c>
      <c r="J910" s="38">
        <f>IF(I910&gt;=1,999,I910/(Inputs!$D$32*(1-I910))*60)</f>
        <v>1.5532178624396957</v>
      </c>
      <c r="K910" s="37">
        <f>MIN(1,MAX(0,(J910-Inputs!$D$36)/(Inputs!$D$37-Inputs!$D$36)))</f>
        <v>0</v>
      </c>
      <c r="L910" s="35">
        <f>Inputs!$D$6*Inputs!$D$14*G910*(1-Inputs!$D$38*K910)</f>
        <v>13569.444000000001</v>
      </c>
      <c r="M910" s="39">
        <f>L910*Inputs!$D$11</f>
        <v>291743.04600000003</v>
      </c>
      <c r="N910" s="39">
        <f>M910*(1-Inputs!$D$17)</f>
        <v>102110.06610000001</v>
      </c>
      <c r="O910" s="35">
        <f>Inputs!$D$6*E910*Inputs!$D$27*Inputs!$D$30</f>
        <v>176.53085538352164</v>
      </c>
      <c r="P910" s="36">
        <f>O910/(C910*Inputs!$D$33)</f>
        <v>4.4132713845880414</v>
      </c>
      <c r="Q910" s="38">
        <f>IF(P910&gt;=1,999,P910/(Inputs!$D$33*(1-P910))*60)</f>
        <v>999</v>
      </c>
      <c r="R910" s="37">
        <f>MIN(1,MAX(0,(Q910-Inputs!$D$36)/(Inputs!$D$37-Inputs!$D$36)))</f>
        <v>1</v>
      </c>
      <c r="S910" s="35">
        <f>Inputs!$D$6*E910*Inputs!$D$27*(1-Inputs!$D$38*R910)</f>
        <v>809.09975384114091</v>
      </c>
      <c r="T910" s="39">
        <f>S910*Inputs!$D$12</f>
        <v>12945.596061458255</v>
      </c>
      <c r="U910" s="39">
        <f>T910*(1-Inputs!$D$18)</f>
        <v>5825.5182276562136</v>
      </c>
      <c r="V910" s="35">
        <f>Inputs!$D$6*F910*Inputs!$D$28*Inputs!$D$31</f>
        <v>746.05069004674272</v>
      </c>
      <c r="W910" s="36">
        <f>V910/(B910*Inputs!$D$34)</f>
        <v>0.76127621433341097</v>
      </c>
      <c r="X910" s="38">
        <f>IF(W910&gt;=1,999,W910/(Inputs!$D$34*(1-W910))*60)</f>
        <v>5.4667570523531852</v>
      </c>
      <c r="Y910" s="37">
        <f>MIN(1,MAX(0,(X910-Inputs!$D$36)/(Inputs!$D$37-Inputs!$D$36)))</f>
        <v>3.111713682354568E-2</v>
      </c>
      <c r="Z910" s="35">
        <f>Inputs!$D$6*F910*Inputs!$D$28*(1-Inputs!$D$38*Y910)</f>
        <v>5658.4919801305723</v>
      </c>
      <c r="AA910" s="39">
        <f>Z910*Inputs!$D$13</f>
        <v>48097.181831109861</v>
      </c>
      <c r="AB910" s="39">
        <f>AA910*(1-Inputs!$D$19)</f>
        <v>28858.309098665915</v>
      </c>
      <c r="AC910" s="39">
        <f t="shared" si="56"/>
        <v>352785.82389256812</v>
      </c>
      <c r="AD910" s="39">
        <f t="shared" si="57"/>
        <v>136793.89342632215</v>
      </c>
      <c r="AE910" s="36">
        <f t="shared" si="58"/>
        <v>4.4132713845880414</v>
      </c>
      <c r="AF910" s="35">
        <f>IF(AND(AE910&lt;=Inputs!$D$35,C910&gt;=Inputs!$D$48*(A910+B910+C910),B910*Inputs!$D$22&lt;=Inputs!$D$50*Inputs!$D$8,B910*Inputs!$D$22&gt;=Inputs!$D$49*Inputs!$D$8,A910*Inputs!$D$20&lt;=Inputs!$D$47*Inputs!$D$8,C910&gt;=1),1,0)</f>
        <v>0</v>
      </c>
      <c r="AG910" s="39">
        <f t="shared" si="59"/>
        <v>-1</v>
      </c>
    </row>
    <row r="911" spans="1:33" x14ac:dyDescent="0.25">
      <c r="A911" s="35">
        <v>64</v>
      </c>
      <c r="B911" s="35">
        <v>10</v>
      </c>
      <c r="C911" s="35">
        <f>Inputs!$D$8-A911-Inputs!$D$22*B911</f>
        <v>36</v>
      </c>
      <c r="D911" s="35">
        <f>A911*Inputs!$D$20+C911*Inputs!$D$21+B911*Inputs!$D$22</f>
        <v>120</v>
      </c>
      <c r="E911" s="36">
        <f>MIN(Inputs!$E$15,Inputs!$D$15*(C911/Inputs!$D$43)^Inputs!$D$44)</f>
        <v>0.36257020206219398</v>
      </c>
      <c r="F911" s="36">
        <f>MIN(Inputs!$E$16,Inputs!$D$16*(B911/Inputs!$D$42)^Inputs!$D$44)</f>
        <v>0.32490095854249423</v>
      </c>
      <c r="G911" s="37">
        <f>Inputs!$D$26*(1+Inputs!$D$41*(B911-Inputs!$D$42))</f>
        <v>1.35</v>
      </c>
      <c r="H911" s="35">
        <f>Inputs!$D$6*Inputs!$D$14*G911*Inputs!$D$29</f>
        <v>1696.1805000000004</v>
      </c>
      <c r="I911" s="36">
        <f>H911/(A911*Inputs!$D$32)</f>
        <v>0.48186946022727284</v>
      </c>
      <c r="J911" s="38">
        <f>IF(I911&gt;=1,999,I911/(Inputs!$D$32*(1-I911))*60)</f>
        <v>1.0145624209373394</v>
      </c>
      <c r="K911" s="37">
        <f>MIN(1,MAX(0,(J911-Inputs!$D$36)/(Inputs!$D$37-Inputs!$D$36)))</f>
        <v>0</v>
      </c>
      <c r="L911" s="35">
        <f>Inputs!$D$6*Inputs!$D$14*G911*(1-Inputs!$D$38*K911)</f>
        <v>11307.870000000003</v>
      </c>
      <c r="M911" s="39">
        <f>L911*Inputs!$D$11</f>
        <v>243119.20500000005</v>
      </c>
      <c r="N911" s="39">
        <f>M911*(1-Inputs!$D$17)</f>
        <v>85091.721750000012</v>
      </c>
      <c r="O911" s="35">
        <f>Inputs!$D$6*E911*Inputs!$D$27*Inputs!$D$30</f>
        <v>517.26295419324151</v>
      </c>
      <c r="P911" s="36">
        <f>O911/(C911*Inputs!$D$33)</f>
        <v>0.35921038485641771</v>
      </c>
      <c r="Q911" s="38">
        <f>IF(P911&gt;=1,999,P911/(Inputs!$D$33*(1-P911))*60)</f>
        <v>0.84086190623406665</v>
      </c>
      <c r="R911" s="37">
        <f>MIN(1,MAX(0,(Q911-Inputs!$D$36)/(Inputs!$D$37-Inputs!$D$36)))</f>
        <v>0</v>
      </c>
      <c r="S911" s="35">
        <f>Inputs!$D$6*E911*Inputs!$D$27*(1-Inputs!$D$38*R911)</f>
        <v>4310.5246182770125</v>
      </c>
      <c r="T911" s="39">
        <f>S911*Inputs!$D$12</f>
        <v>68968.393892432199</v>
      </c>
      <c r="U911" s="39">
        <f>T911*(1-Inputs!$D$18)</f>
        <v>31035.777251594485</v>
      </c>
      <c r="V911" s="35">
        <f>Inputs!$D$6*F911*Inputs!$D$28*Inputs!$D$31</f>
        <v>547.7986113486553</v>
      </c>
      <c r="W911" s="36">
        <f>V911/(B911*Inputs!$D$34)</f>
        <v>1.5651388895675866</v>
      </c>
      <c r="X911" s="38">
        <f>IF(W911&gt;=1,999,W911/(Inputs!$D$34*(1-W911))*60)</f>
        <v>999</v>
      </c>
      <c r="Y911" s="37">
        <f>MIN(1,MAX(0,(X911-Inputs!$D$36)/(Inputs!$D$37-Inputs!$D$36)))</f>
        <v>1</v>
      </c>
      <c r="Z911" s="35">
        <f>Inputs!$D$6*F911*Inputs!$D$28*(1-Inputs!$D$38*Y911)</f>
        <v>2317.6095095520031</v>
      </c>
      <c r="AA911" s="39">
        <f>Z911*Inputs!$D$13</f>
        <v>19699.680831192025</v>
      </c>
      <c r="AB911" s="39">
        <f>AA911*(1-Inputs!$D$19)</f>
        <v>11819.808498715214</v>
      </c>
      <c r="AC911" s="39">
        <f t="shared" si="56"/>
        <v>331787.27972362423</v>
      </c>
      <c r="AD911" s="39">
        <f t="shared" si="57"/>
        <v>127947.3075003097</v>
      </c>
      <c r="AE911" s="36">
        <f t="shared" si="58"/>
        <v>1.5651388895675866</v>
      </c>
      <c r="AF911" s="35">
        <f>IF(AND(AE911&lt;=Inputs!$D$35,C911&gt;=Inputs!$D$48*(A911+B911+C911),B911*Inputs!$D$22&lt;=Inputs!$D$50*Inputs!$D$8,B911*Inputs!$D$22&gt;=Inputs!$D$49*Inputs!$D$8,A911*Inputs!$D$20&lt;=Inputs!$D$47*Inputs!$D$8,C911&gt;=1),1,0)</f>
        <v>0</v>
      </c>
      <c r="AG911" s="39">
        <f t="shared" si="59"/>
        <v>-1</v>
      </c>
    </row>
    <row r="912" spans="1:33" x14ac:dyDescent="0.25">
      <c r="A912" s="35">
        <v>64</v>
      </c>
      <c r="B912" s="35">
        <v>11</v>
      </c>
      <c r="C912" s="35">
        <f>Inputs!$D$8-A912-Inputs!$D$22*B912</f>
        <v>34</v>
      </c>
      <c r="D912" s="35">
        <f>A912*Inputs!$D$20+C912*Inputs!$D$21+B912*Inputs!$D$22</f>
        <v>120</v>
      </c>
      <c r="E912" s="36">
        <f>MIN(Inputs!$E$15,Inputs!$D$15*(C912/Inputs!$D$43)^Inputs!$D$44)</f>
        <v>0.35640602201959876</v>
      </c>
      <c r="F912" s="36">
        <f>MIN(Inputs!$E$16,Inputs!$D$16*(B912/Inputs!$D$42)^Inputs!$D$44)</f>
        <v>0.33432495758166098</v>
      </c>
      <c r="G912" s="37">
        <f>Inputs!$D$26*(1+Inputs!$D$41*(B912-Inputs!$D$42))</f>
        <v>1.365</v>
      </c>
      <c r="H912" s="35">
        <f>Inputs!$D$6*Inputs!$D$14*G912*Inputs!$D$29</f>
        <v>1715.0269500000002</v>
      </c>
      <c r="I912" s="36">
        <f>H912/(A912*Inputs!$D$32)</f>
        <v>0.48722356534090916</v>
      </c>
      <c r="J912" s="38">
        <f>IF(I912&gt;=1,999,I912/(Inputs!$D$32*(1-I912))*60)</f>
        <v>1.0365464963086797</v>
      </c>
      <c r="K912" s="37">
        <f>MIN(1,MAX(0,(J912-Inputs!$D$36)/(Inputs!$D$37-Inputs!$D$36)))</f>
        <v>0</v>
      </c>
      <c r="L912" s="35">
        <f>Inputs!$D$6*Inputs!$D$14*G912*(1-Inputs!$D$38*K912)</f>
        <v>11433.513000000001</v>
      </c>
      <c r="M912" s="39">
        <f>L912*Inputs!$D$11</f>
        <v>245820.5295</v>
      </c>
      <c r="N912" s="39">
        <f>M912*(1-Inputs!$D$17)</f>
        <v>86037.185324999999</v>
      </c>
      <c r="O912" s="35">
        <f>Inputs!$D$6*E912*Inputs!$D$27*Inputs!$D$30</f>
        <v>508.46878975039266</v>
      </c>
      <c r="P912" s="36">
        <f>O912/(C912*Inputs!$D$33)</f>
        <v>0.37387411011058286</v>
      </c>
      <c r="Q912" s="38">
        <f>IF(P912&gt;=1,999,P912/(Inputs!$D$33*(1-P912))*60)</f>
        <v>0.89568435712652228</v>
      </c>
      <c r="R912" s="37">
        <f>MIN(1,MAX(0,(Q912-Inputs!$D$36)/(Inputs!$D$37-Inputs!$D$36)))</f>
        <v>0</v>
      </c>
      <c r="S912" s="35">
        <f>Inputs!$D$6*E912*Inputs!$D$27*(1-Inputs!$D$38*R912)</f>
        <v>4237.2399145866057</v>
      </c>
      <c r="T912" s="39">
        <f>S912*Inputs!$D$12</f>
        <v>67795.838633385691</v>
      </c>
      <c r="U912" s="39">
        <f>T912*(1-Inputs!$D$18)</f>
        <v>30508.127385023559</v>
      </c>
      <c r="V912" s="35">
        <f>Inputs!$D$6*F912*Inputs!$D$28*Inputs!$D$31</f>
        <v>563.68792608064427</v>
      </c>
      <c r="W912" s="36">
        <f>V912/(B912*Inputs!$D$34)</f>
        <v>1.4641244833263487</v>
      </c>
      <c r="X912" s="38">
        <f>IF(W912&gt;=1,999,W912/(Inputs!$D$34*(1-W912))*60)</f>
        <v>999</v>
      </c>
      <c r="Y912" s="37">
        <f>MIN(1,MAX(0,(X912-Inputs!$D$36)/(Inputs!$D$37-Inputs!$D$36)))</f>
        <v>1</v>
      </c>
      <c r="Z912" s="35">
        <f>Inputs!$D$6*F912*Inputs!$D$28*(1-Inputs!$D$38*Y912)</f>
        <v>2384.8335334181106</v>
      </c>
      <c r="AA912" s="39">
        <f>Z912*Inputs!$D$13</f>
        <v>20271.08503405394</v>
      </c>
      <c r="AB912" s="39">
        <f>AA912*(1-Inputs!$D$19)</f>
        <v>12162.651020432364</v>
      </c>
      <c r="AC912" s="39">
        <f t="shared" si="56"/>
        <v>333887.45316743961</v>
      </c>
      <c r="AD912" s="39">
        <f t="shared" si="57"/>
        <v>128707.96373045593</v>
      </c>
      <c r="AE912" s="36">
        <f t="shared" si="58"/>
        <v>1.4641244833263487</v>
      </c>
      <c r="AF912" s="35">
        <f>IF(AND(AE912&lt;=Inputs!$D$35,C912&gt;=Inputs!$D$48*(A912+B912+C912),B912*Inputs!$D$22&lt;=Inputs!$D$50*Inputs!$D$8,B912*Inputs!$D$22&gt;=Inputs!$D$49*Inputs!$D$8,A912*Inputs!$D$20&lt;=Inputs!$D$47*Inputs!$D$8,C912&gt;=1),1,0)</f>
        <v>0</v>
      </c>
      <c r="AG912" s="39">
        <f t="shared" si="59"/>
        <v>-1</v>
      </c>
    </row>
    <row r="913" spans="1:33" x14ac:dyDescent="0.25">
      <c r="A913" s="35">
        <v>64</v>
      </c>
      <c r="B913" s="35">
        <v>12</v>
      </c>
      <c r="C913" s="35">
        <f>Inputs!$D$8-A913-Inputs!$D$22*B913</f>
        <v>32</v>
      </c>
      <c r="D913" s="35">
        <f>A913*Inputs!$D$20+C913*Inputs!$D$21+B913*Inputs!$D$22</f>
        <v>120</v>
      </c>
      <c r="E913" s="36">
        <f>MIN(Inputs!$E$15,Inputs!$D$15*(C913/Inputs!$D$43)^Inputs!$D$44)</f>
        <v>0.34998251836560429</v>
      </c>
      <c r="F913" s="36">
        <f>MIN(Inputs!$E$16,Inputs!$D$16*(B913/Inputs!$D$42)^Inputs!$D$44)</f>
        <v>0.34316688017763797</v>
      </c>
      <c r="G913" s="37">
        <f>Inputs!$D$26*(1+Inputs!$D$41*(B913-Inputs!$D$42))</f>
        <v>1.3800000000000001</v>
      </c>
      <c r="H913" s="35">
        <f>Inputs!$D$6*Inputs!$D$14*G913*Inputs!$D$29</f>
        <v>1733.8734000000004</v>
      </c>
      <c r="I913" s="36">
        <f>H913/(A913*Inputs!$D$32)</f>
        <v>0.49257767045454559</v>
      </c>
      <c r="J913" s="38">
        <f>IF(I913&gt;=1,999,I913/(Inputs!$D$32*(1-I913))*60)</f>
        <v>1.0589945049502401</v>
      </c>
      <c r="K913" s="37">
        <f>MIN(1,MAX(0,(J913-Inputs!$D$36)/(Inputs!$D$37-Inputs!$D$36)))</f>
        <v>0</v>
      </c>
      <c r="L913" s="35">
        <f>Inputs!$D$6*Inputs!$D$14*G913*(1-Inputs!$D$38*K913)</f>
        <v>11559.156000000003</v>
      </c>
      <c r="M913" s="39">
        <f>L913*Inputs!$D$11</f>
        <v>248521.85400000005</v>
      </c>
      <c r="N913" s="39">
        <f>M913*(1-Inputs!$D$17)</f>
        <v>86982.648900000015</v>
      </c>
      <c r="O913" s="35">
        <f>Inputs!$D$6*E913*Inputs!$D$27*Inputs!$D$30</f>
        <v>499.30465972139962</v>
      </c>
      <c r="P913" s="36">
        <f>O913/(C913*Inputs!$D$33)</f>
        <v>0.39008176540734346</v>
      </c>
      <c r="Q913" s="38">
        <f>IF(P913&gt;=1,999,P913/(Inputs!$D$33*(1-P913))*60)</f>
        <v>0.95934604824825165</v>
      </c>
      <c r="R913" s="37">
        <f>MIN(1,MAX(0,(Q913-Inputs!$D$36)/(Inputs!$D$37-Inputs!$D$36)))</f>
        <v>0</v>
      </c>
      <c r="S913" s="35">
        <f>Inputs!$D$6*E913*Inputs!$D$27*(1-Inputs!$D$38*R913)</f>
        <v>4160.8721643449971</v>
      </c>
      <c r="T913" s="39">
        <f>S913*Inputs!$D$12</f>
        <v>66573.954629519954</v>
      </c>
      <c r="U913" s="39">
        <f>T913*(1-Inputs!$D$18)</f>
        <v>29958.279583283977</v>
      </c>
      <c r="V913" s="35">
        <f>Inputs!$D$6*F913*Inputs!$D$28*Inputs!$D$31</f>
        <v>578.5958319897461</v>
      </c>
      <c r="W913" s="36">
        <f>V913/(B913*Inputs!$D$34)</f>
        <v>1.3776091237851098</v>
      </c>
      <c r="X913" s="38">
        <f>IF(W913&gt;=1,999,W913/(Inputs!$D$34*(1-W913))*60)</f>
        <v>999</v>
      </c>
      <c r="Y913" s="37">
        <f>MIN(1,MAX(0,(X913-Inputs!$D$36)/(Inputs!$D$37-Inputs!$D$36)))</f>
        <v>1</v>
      </c>
      <c r="Z913" s="35">
        <f>Inputs!$D$6*F913*Inputs!$D$28*(1-Inputs!$D$38*Y913)</f>
        <v>2447.9054430335414</v>
      </c>
      <c r="AA913" s="39">
        <f>Z913*Inputs!$D$13</f>
        <v>20807.1962657851</v>
      </c>
      <c r="AB913" s="39">
        <f>AA913*(1-Inputs!$D$19)</f>
        <v>12484.31775947106</v>
      </c>
      <c r="AC913" s="39">
        <f t="shared" si="56"/>
        <v>335903.00489530509</v>
      </c>
      <c r="AD913" s="39">
        <f t="shared" si="57"/>
        <v>129425.24624275505</v>
      </c>
      <c r="AE913" s="36">
        <f t="shared" si="58"/>
        <v>1.3776091237851098</v>
      </c>
      <c r="AF913" s="35">
        <f>IF(AND(AE913&lt;=Inputs!$D$35,C913&gt;=Inputs!$D$48*(A913+B913+C913),B913*Inputs!$D$22&lt;=Inputs!$D$50*Inputs!$D$8,B913*Inputs!$D$22&gt;=Inputs!$D$49*Inputs!$D$8,A913*Inputs!$D$20&lt;=Inputs!$D$47*Inputs!$D$8,C913&gt;=1),1,0)</f>
        <v>0</v>
      </c>
      <c r="AG913" s="39">
        <f t="shared" si="59"/>
        <v>-1</v>
      </c>
    </row>
    <row r="914" spans="1:33" x14ac:dyDescent="0.25">
      <c r="A914" s="35">
        <v>64</v>
      </c>
      <c r="B914" s="35">
        <v>13</v>
      </c>
      <c r="C914" s="35">
        <f>Inputs!$D$8-A914-Inputs!$D$22*B914</f>
        <v>30</v>
      </c>
      <c r="D914" s="35">
        <f>A914*Inputs!$D$20+C914*Inputs!$D$21+B914*Inputs!$D$22</f>
        <v>120</v>
      </c>
      <c r="E914" s="36">
        <f>MIN(Inputs!$E$15,Inputs!$D$15*(C914/Inputs!$D$43)^Inputs!$D$44)</f>
        <v>0.3432714897427589</v>
      </c>
      <c r="F914" s="36">
        <f>MIN(Inputs!$E$16,Inputs!$D$16*(B914/Inputs!$D$42)^Inputs!$D$44)</f>
        <v>0.35150701637190523</v>
      </c>
      <c r="G914" s="37">
        <f>Inputs!$D$26*(1+Inputs!$D$41*(B914-Inputs!$D$42))</f>
        <v>1.395</v>
      </c>
      <c r="H914" s="35">
        <f>Inputs!$D$6*Inputs!$D$14*G914*Inputs!$D$29</f>
        <v>1752.7198500000002</v>
      </c>
      <c r="I914" s="36">
        <f>H914/(A914*Inputs!$D$32)</f>
        <v>0.49793177556818186</v>
      </c>
      <c r="J914" s="38">
        <f>IF(I914&gt;=1,999,I914/(Inputs!$D$32*(1-I914))*60)</f>
        <v>1.0819212891526102</v>
      </c>
      <c r="K914" s="37">
        <f>MIN(1,MAX(0,(J914-Inputs!$D$36)/(Inputs!$D$37-Inputs!$D$36)))</f>
        <v>0</v>
      </c>
      <c r="L914" s="35">
        <f>Inputs!$D$6*Inputs!$D$14*G914*(1-Inputs!$D$38*K914)</f>
        <v>11684.799000000001</v>
      </c>
      <c r="M914" s="39">
        <f>L914*Inputs!$D$11</f>
        <v>251223.17850000001</v>
      </c>
      <c r="N914" s="39">
        <f>M914*(1-Inputs!$D$17)</f>
        <v>87928.112475000002</v>
      </c>
      <c r="O914" s="35">
        <f>Inputs!$D$6*E914*Inputs!$D$27*Inputs!$D$30</f>
        <v>489.73033047044544</v>
      </c>
      <c r="P914" s="36">
        <f>O914/(C914*Inputs!$D$33)</f>
        <v>0.40810860872537119</v>
      </c>
      <c r="Q914" s="38">
        <f>IF(P914&gt;=1,999,P914/(Inputs!$D$33*(1-P914))*60)</f>
        <v>1.0342487187890559</v>
      </c>
      <c r="R914" s="37">
        <f>MIN(1,MAX(0,(Q914-Inputs!$D$36)/(Inputs!$D$37-Inputs!$D$36)))</f>
        <v>0</v>
      </c>
      <c r="S914" s="35">
        <f>Inputs!$D$6*E914*Inputs!$D$27*(1-Inputs!$D$38*R914)</f>
        <v>4081.0860872537123</v>
      </c>
      <c r="T914" s="39">
        <f>S914*Inputs!$D$12</f>
        <v>65297.377396059397</v>
      </c>
      <c r="U914" s="39">
        <f>T914*(1-Inputs!$D$18)</f>
        <v>29383.819828226726</v>
      </c>
      <c r="V914" s="35">
        <f>Inputs!$D$6*F914*Inputs!$D$28*Inputs!$D$31</f>
        <v>592.65770193981814</v>
      </c>
      <c r="W914" s="36">
        <f>V914/(B914*Inputs!$D$34)</f>
        <v>1.3025443998677322</v>
      </c>
      <c r="X914" s="38">
        <f>IF(W914&gt;=1,999,W914/(Inputs!$D$34*(1-W914))*60)</f>
        <v>999</v>
      </c>
      <c r="Y914" s="37">
        <f>MIN(1,MAX(0,(X914-Inputs!$D$36)/(Inputs!$D$37-Inputs!$D$36)))</f>
        <v>1</v>
      </c>
      <c r="Z914" s="35">
        <f>Inputs!$D$6*F914*Inputs!$D$28*(1-Inputs!$D$38*Y914)</f>
        <v>2507.3979697453847</v>
      </c>
      <c r="AA914" s="39">
        <f>Z914*Inputs!$D$13</f>
        <v>21312.882742835769</v>
      </c>
      <c r="AB914" s="39">
        <f>AA914*(1-Inputs!$D$19)</f>
        <v>12787.729645701462</v>
      </c>
      <c r="AC914" s="39">
        <f t="shared" si="56"/>
        <v>337833.43863889517</v>
      </c>
      <c r="AD914" s="39">
        <f t="shared" si="57"/>
        <v>130099.66194892819</v>
      </c>
      <c r="AE914" s="36">
        <f t="shared" si="58"/>
        <v>1.3025443998677322</v>
      </c>
      <c r="AF914" s="35">
        <f>IF(AND(AE914&lt;=Inputs!$D$35,C914&gt;=Inputs!$D$48*(A914+B914+C914),B914*Inputs!$D$22&lt;=Inputs!$D$50*Inputs!$D$8,B914*Inputs!$D$22&gt;=Inputs!$D$49*Inputs!$D$8,A914*Inputs!$D$20&lt;=Inputs!$D$47*Inputs!$D$8,C914&gt;=1),1,0)</f>
        <v>0</v>
      </c>
      <c r="AG914" s="39">
        <f t="shared" si="59"/>
        <v>-1</v>
      </c>
    </row>
    <row r="915" spans="1:33" x14ac:dyDescent="0.25">
      <c r="A915" s="35">
        <v>64</v>
      </c>
      <c r="B915" s="35">
        <v>14</v>
      </c>
      <c r="C915" s="35">
        <f>Inputs!$D$8-A915-Inputs!$D$22*B915</f>
        <v>28</v>
      </c>
      <c r="D915" s="35">
        <f>A915*Inputs!$D$20+C915*Inputs!$D$21+B915*Inputs!$D$22</f>
        <v>120</v>
      </c>
      <c r="E915" s="36">
        <f>MIN(Inputs!$E$15,Inputs!$D$15*(C915/Inputs!$D$43)^Inputs!$D$44)</f>
        <v>0.33623952833125714</v>
      </c>
      <c r="F915" s="36">
        <f>MIN(Inputs!$E$16,Inputs!$D$16*(B915/Inputs!$D$42)^Inputs!$D$44)</f>
        <v>0.35940937671625589</v>
      </c>
      <c r="G915" s="37">
        <f>Inputs!$D$26*(1+Inputs!$D$41*(B915-Inputs!$D$42))</f>
        <v>1.41</v>
      </c>
      <c r="H915" s="35">
        <f>Inputs!$D$6*Inputs!$D$14*G915*Inputs!$D$29</f>
        <v>1771.5663000000002</v>
      </c>
      <c r="I915" s="36">
        <f>H915/(A915*Inputs!$D$32)</f>
        <v>0.50328588068181823</v>
      </c>
      <c r="J915" s="38">
        <f>IF(I915&gt;=1,999,I915/(Inputs!$D$32*(1-I915))*60)</f>
        <v>1.1053423311494066</v>
      </c>
      <c r="K915" s="37">
        <f>MIN(1,MAX(0,(J915-Inputs!$D$36)/(Inputs!$D$37-Inputs!$D$36)))</f>
        <v>0</v>
      </c>
      <c r="L915" s="35">
        <f>Inputs!$D$6*Inputs!$D$14*G915*(1-Inputs!$D$38*K915)</f>
        <v>11810.442000000001</v>
      </c>
      <c r="M915" s="39">
        <f>L915*Inputs!$D$11</f>
        <v>253924.50300000003</v>
      </c>
      <c r="N915" s="39">
        <f>M915*(1-Inputs!$D$17)</f>
        <v>88873.576050000003</v>
      </c>
      <c r="O915" s="35">
        <f>Inputs!$D$6*E915*Inputs!$D$27*Inputs!$D$30</f>
        <v>479.69814053095797</v>
      </c>
      <c r="P915" s="36">
        <f>O915/(C915*Inputs!$D$33)</f>
        <v>0.42830191118835531</v>
      </c>
      <c r="Q915" s="38">
        <f>IF(P915&gt;=1,999,P915/(Inputs!$D$33*(1-P915))*60)</f>
        <v>1.1237624882006552</v>
      </c>
      <c r="R915" s="37">
        <f>MIN(1,MAX(0,(Q915-Inputs!$D$36)/(Inputs!$D$37-Inputs!$D$36)))</f>
        <v>0</v>
      </c>
      <c r="S915" s="35">
        <f>Inputs!$D$6*E915*Inputs!$D$27*(1-Inputs!$D$38*R915)</f>
        <v>3997.4845044246499</v>
      </c>
      <c r="T915" s="39">
        <f>S915*Inputs!$D$12</f>
        <v>63959.752070794399</v>
      </c>
      <c r="U915" s="39">
        <f>T915*(1-Inputs!$D$18)</f>
        <v>28781.888431857478</v>
      </c>
      <c r="V915" s="35">
        <f>Inputs!$D$6*F915*Inputs!$D$28*Inputs!$D$31</f>
        <v>605.98146079368973</v>
      </c>
      <c r="W915" s="36">
        <f>V915/(B915*Inputs!$D$34)</f>
        <v>1.2366968587626321</v>
      </c>
      <c r="X915" s="38">
        <f>IF(W915&gt;=1,999,W915/(Inputs!$D$34*(1-W915))*60)</f>
        <v>999</v>
      </c>
      <c r="Y915" s="37">
        <f>MIN(1,MAX(0,(X915-Inputs!$D$36)/(Inputs!$D$37-Inputs!$D$36)))</f>
        <v>1</v>
      </c>
      <c r="Z915" s="35">
        <f>Inputs!$D$6*F915*Inputs!$D$28*(1-Inputs!$D$38*Y915)</f>
        <v>2563.7677187425338</v>
      </c>
      <c r="AA915" s="39">
        <f>Z915*Inputs!$D$13</f>
        <v>21792.025609311539</v>
      </c>
      <c r="AB915" s="39">
        <f>AA915*(1-Inputs!$D$19)</f>
        <v>13075.215365586922</v>
      </c>
      <c r="AC915" s="39">
        <f t="shared" si="56"/>
        <v>339676.28068010596</v>
      </c>
      <c r="AD915" s="39">
        <f t="shared" si="57"/>
        <v>130730.67984744441</v>
      </c>
      <c r="AE915" s="36">
        <f t="shared" si="58"/>
        <v>1.2366968587626321</v>
      </c>
      <c r="AF915" s="35">
        <f>IF(AND(AE915&lt;=Inputs!$D$35,C915&gt;=Inputs!$D$48*(A915+B915+C915),B915*Inputs!$D$22&lt;=Inputs!$D$50*Inputs!$D$8,B915*Inputs!$D$22&gt;=Inputs!$D$49*Inputs!$D$8,A915*Inputs!$D$20&lt;=Inputs!$D$47*Inputs!$D$8,C915&gt;=1),1,0)</f>
        <v>0</v>
      </c>
      <c r="AG915" s="39">
        <f t="shared" si="59"/>
        <v>-1</v>
      </c>
    </row>
    <row r="916" spans="1:33" x14ac:dyDescent="0.25">
      <c r="A916" s="35">
        <v>64</v>
      </c>
      <c r="B916" s="35">
        <v>15</v>
      </c>
      <c r="C916" s="35">
        <f>Inputs!$D$8-A916-Inputs!$D$22*B916</f>
        <v>26</v>
      </c>
      <c r="D916" s="35">
        <f>A916*Inputs!$D$20+C916*Inputs!$D$21+B916*Inputs!$D$22</f>
        <v>120</v>
      </c>
      <c r="E916" s="36">
        <f>MIN(Inputs!$E$15,Inputs!$D$15*(C916/Inputs!$D$43)^Inputs!$D$44)</f>
        <v>0.32884660514387515</v>
      </c>
      <c r="F916" s="36">
        <f>MIN(Inputs!$E$16,Inputs!$D$16*(B916/Inputs!$D$42)^Inputs!$D$44)</f>
        <v>0.36692590185696072</v>
      </c>
      <c r="G916" s="37">
        <f>Inputs!$D$26*(1+Inputs!$D$41*(B916-Inputs!$D$42))</f>
        <v>1.4249999999999998</v>
      </c>
      <c r="H916" s="35">
        <f>Inputs!$D$6*Inputs!$D$14*G916*Inputs!$D$29</f>
        <v>1790.4127499999997</v>
      </c>
      <c r="I916" s="36">
        <f>H916/(A916*Inputs!$D$32)</f>
        <v>0.50863998579545444</v>
      </c>
      <c r="J916" s="38">
        <f>IF(I916&gt;=1,999,I916/(Inputs!$D$32*(1-I916))*60)</f>
        <v>1.1292737879829682</v>
      </c>
      <c r="K916" s="37">
        <f>MIN(1,MAX(0,(J916-Inputs!$D$36)/(Inputs!$D$37-Inputs!$D$36)))</f>
        <v>0</v>
      </c>
      <c r="L916" s="35">
        <f>Inputs!$D$6*Inputs!$D$14*G916*(1-Inputs!$D$38*K916)</f>
        <v>11936.084999999999</v>
      </c>
      <c r="M916" s="39">
        <f>L916*Inputs!$D$11</f>
        <v>256625.82749999998</v>
      </c>
      <c r="N916" s="39">
        <f>M916*(1-Inputs!$D$17)</f>
        <v>89819.03962499999</v>
      </c>
      <c r="O916" s="35">
        <f>Inputs!$D$6*E916*Inputs!$D$27*Inputs!$D$30</f>
        <v>469.15098230814039</v>
      </c>
      <c r="P916" s="36">
        <f>O916/(C916*Inputs!$D$33)</f>
        <v>0.45110671375782729</v>
      </c>
      <c r="Q916" s="38">
        <f>IF(P916&gt;=1,999,P916/(Inputs!$D$33*(1-P916))*60)</f>
        <v>1.2327716290160586</v>
      </c>
      <c r="R916" s="37">
        <f>MIN(1,MAX(0,(Q916-Inputs!$D$36)/(Inputs!$D$37-Inputs!$D$36)))</f>
        <v>0</v>
      </c>
      <c r="S916" s="35">
        <f>Inputs!$D$6*E916*Inputs!$D$27*(1-Inputs!$D$38*R916)</f>
        <v>3909.5915192345033</v>
      </c>
      <c r="T916" s="39">
        <f>S916*Inputs!$D$12</f>
        <v>62553.464307752052</v>
      </c>
      <c r="U916" s="39">
        <f>T916*(1-Inputs!$D$18)</f>
        <v>28149.058938488422</v>
      </c>
      <c r="V916" s="35">
        <f>Inputs!$D$6*F916*Inputs!$D$28*Inputs!$D$31</f>
        <v>618.65468297412497</v>
      </c>
      <c r="W916" s="36">
        <f>V916/(B916*Inputs!$D$34)</f>
        <v>1.1783898723316666</v>
      </c>
      <c r="X916" s="38">
        <f>IF(W916&gt;=1,999,W916/(Inputs!$D$34*(1-W916))*60)</f>
        <v>999</v>
      </c>
      <c r="Y916" s="37">
        <f>MIN(1,MAX(0,(X916-Inputs!$D$36)/(Inputs!$D$37-Inputs!$D$36)))</f>
        <v>1</v>
      </c>
      <c r="Z916" s="35">
        <f>Inputs!$D$6*F916*Inputs!$D$28*(1-Inputs!$D$38*Y916)</f>
        <v>2617.3851971982212</v>
      </c>
      <c r="AA916" s="39">
        <f>Z916*Inputs!$D$13</f>
        <v>22247.774176184881</v>
      </c>
      <c r="AB916" s="39">
        <f>AA916*(1-Inputs!$D$19)</f>
        <v>13348.664505710929</v>
      </c>
      <c r="AC916" s="39">
        <f t="shared" si="56"/>
        <v>341427.06598393695</v>
      </c>
      <c r="AD916" s="39">
        <f t="shared" si="57"/>
        <v>131316.76306919934</v>
      </c>
      <c r="AE916" s="36">
        <f t="shared" si="58"/>
        <v>1.1783898723316666</v>
      </c>
      <c r="AF916" s="35">
        <f>IF(AND(AE916&lt;=Inputs!$D$35,C916&gt;=Inputs!$D$48*(A916+B916+C916),B916*Inputs!$D$22&lt;=Inputs!$D$50*Inputs!$D$8,B916*Inputs!$D$22&gt;=Inputs!$D$49*Inputs!$D$8,A916*Inputs!$D$20&lt;=Inputs!$D$47*Inputs!$D$8,C916&gt;=1),1,0)</f>
        <v>0</v>
      </c>
      <c r="AG916" s="39">
        <f t="shared" si="59"/>
        <v>-1</v>
      </c>
    </row>
    <row r="917" spans="1:33" x14ac:dyDescent="0.25">
      <c r="A917" s="35">
        <v>64</v>
      </c>
      <c r="B917" s="35">
        <v>16</v>
      </c>
      <c r="C917" s="35">
        <f>Inputs!$D$8-A917-Inputs!$D$22*B917</f>
        <v>24</v>
      </c>
      <c r="D917" s="35">
        <f>A917*Inputs!$D$20+C917*Inputs!$D$21+B917*Inputs!$D$22</f>
        <v>120</v>
      </c>
      <c r="E917" s="36">
        <f>MIN(Inputs!$E$15,Inputs!$D$15*(C917/Inputs!$D$43)^Inputs!$D$44)</f>
        <v>0.32104412796367415</v>
      </c>
      <c r="F917" s="36">
        <f>MIN(Inputs!$E$16,Inputs!$D$16*(B917/Inputs!$D$42)^Inputs!$D$44)</f>
        <v>0.37409937912904856</v>
      </c>
      <c r="G917" s="37">
        <f>Inputs!$D$26*(1+Inputs!$D$41*(B917-Inputs!$D$42))</f>
        <v>1.44</v>
      </c>
      <c r="H917" s="35">
        <f>Inputs!$D$6*Inputs!$D$14*G917*Inputs!$D$29</f>
        <v>1809.2592000000002</v>
      </c>
      <c r="I917" s="36">
        <f>H917/(A917*Inputs!$D$32)</f>
        <v>0.51399409090909098</v>
      </c>
      <c r="J917" s="38">
        <f>IF(I917&gt;=1,999,I917/(Inputs!$D$32*(1-I917))*60)</f>
        <v>1.1537325286746594</v>
      </c>
      <c r="K917" s="37">
        <f>MIN(1,MAX(0,(J917-Inputs!$D$36)/(Inputs!$D$37-Inputs!$D$36)))</f>
        <v>0</v>
      </c>
      <c r="L917" s="35">
        <f>Inputs!$D$6*Inputs!$D$14*G917*(1-Inputs!$D$38*K917)</f>
        <v>12061.728000000001</v>
      </c>
      <c r="M917" s="39">
        <f>L917*Inputs!$D$11</f>
        <v>259327.15200000003</v>
      </c>
      <c r="N917" s="39">
        <f>M917*(1-Inputs!$D$17)</f>
        <v>90764.503200000006</v>
      </c>
      <c r="O917" s="35">
        <f>Inputs!$D$6*E917*Inputs!$D$27*Inputs!$D$30</f>
        <v>458.01953142414351</v>
      </c>
      <c r="P917" s="36">
        <f>O917/(C917*Inputs!$D$33)</f>
        <v>0.47710367856681618</v>
      </c>
      <c r="Q917" s="38">
        <f>IF(P917&gt;=1,999,P917/(Inputs!$D$33*(1-P917))*60)</f>
        <v>1.3686375071232384</v>
      </c>
      <c r="R917" s="37">
        <f>MIN(1,MAX(0,(Q917-Inputs!$D$36)/(Inputs!$D$37-Inputs!$D$36)))</f>
        <v>0</v>
      </c>
      <c r="S917" s="35">
        <f>Inputs!$D$6*E917*Inputs!$D$27*(1-Inputs!$D$38*R917)</f>
        <v>3816.8294285345296</v>
      </c>
      <c r="T917" s="39">
        <f>S917*Inputs!$D$12</f>
        <v>61069.270856552474</v>
      </c>
      <c r="U917" s="39">
        <f>T917*(1-Inputs!$D$18)</f>
        <v>27481.17188544861</v>
      </c>
      <c r="V917" s="35">
        <f>Inputs!$D$6*F917*Inputs!$D$28*Inputs!$D$31</f>
        <v>630.74950998177405</v>
      </c>
      <c r="W917" s="36">
        <f>V917/(B917*Inputs!$D$34)</f>
        <v>1.1263384106817393</v>
      </c>
      <c r="X917" s="38">
        <f>IF(W917&gt;=1,999,W917/(Inputs!$D$34*(1-W917))*60)</f>
        <v>999</v>
      </c>
      <c r="Y917" s="37">
        <f>MIN(1,MAX(0,(X917-Inputs!$D$36)/(Inputs!$D$37-Inputs!$D$36)))</f>
        <v>1</v>
      </c>
      <c r="Z917" s="35">
        <f>Inputs!$D$6*F917*Inputs!$D$28*(1-Inputs!$D$38*Y917)</f>
        <v>2668.5556191536598</v>
      </c>
      <c r="AA917" s="39">
        <f>Z917*Inputs!$D$13</f>
        <v>22682.722762806108</v>
      </c>
      <c r="AB917" s="39">
        <f>AA917*(1-Inputs!$D$19)</f>
        <v>13609.633657683664</v>
      </c>
      <c r="AC917" s="39">
        <f t="shared" si="56"/>
        <v>343079.14561935863</v>
      </c>
      <c r="AD917" s="39">
        <f t="shared" si="57"/>
        <v>131855.30874313228</v>
      </c>
      <c r="AE917" s="36">
        <f t="shared" si="58"/>
        <v>1.1263384106817393</v>
      </c>
      <c r="AF917" s="35">
        <f>IF(AND(AE917&lt;=Inputs!$D$35,C917&gt;=Inputs!$D$48*(A917+B917+C917),B917*Inputs!$D$22&lt;=Inputs!$D$50*Inputs!$D$8,B917*Inputs!$D$22&gt;=Inputs!$D$49*Inputs!$D$8,A917*Inputs!$D$20&lt;=Inputs!$D$47*Inputs!$D$8,C917&gt;=1),1,0)</f>
        <v>0</v>
      </c>
      <c r="AG917" s="39">
        <f t="shared" si="59"/>
        <v>-1</v>
      </c>
    </row>
    <row r="918" spans="1:33" x14ac:dyDescent="0.25">
      <c r="A918" s="35">
        <v>64</v>
      </c>
      <c r="B918" s="35">
        <v>17</v>
      </c>
      <c r="C918" s="35">
        <f>Inputs!$D$8-A918-Inputs!$D$22*B918</f>
        <v>22</v>
      </c>
      <c r="D918" s="35">
        <f>A918*Inputs!$D$20+C918*Inputs!$D$21+B918*Inputs!$D$22</f>
        <v>120</v>
      </c>
      <c r="E918" s="36">
        <f>MIN(Inputs!$E$15,Inputs!$D$15*(C918/Inputs!$D$43)^Inputs!$D$44)</f>
        <v>0.31277221277221301</v>
      </c>
      <c r="F918" s="36">
        <f>MIN(Inputs!$E$16,Inputs!$D$16*(B918/Inputs!$D$42)^Inputs!$D$44)</f>
        <v>0.3809655184437048</v>
      </c>
      <c r="G918" s="37">
        <f>Inputs!$D$26*(1+Inputs!$D$41*(B918-Inputs!$D$42))</f>
        <v>1.4550000000000001</v>
      </c>
      <c r="H918" s="35">
        <f>Inputs!$D$6*Inputs!$D$14*G918*Inputs!$D$29</f>
        <v>1828.1056500000002</v>
      </c>
      <c r="I918" s="36">
        <f>H918/(A918*Inputs!$D$32)</f>
        <v>0.5193481960227273</v>
      </c>
      <c r="J918" s="38">
        <f>IF(I918&gt;=1,999,I918/(Inputs!$D$32*(1-I918))*60)</f>
        <v>1.1787361738794582</v>
      </c>
      <c r="K918" s="37">
        <f>MIN(1,MAX(0,(J918-Inputs!$D$36)/(Inputs!$D$37-Inputs!$D$36)))</f>
        <v>0</v>
      </c>
      <c r="L918" s="35">
        <f>Inputs!$D$6*Inputs!$D$14*G918*(1-Inputs!$D$38*K918)</f>
        <v>12187.371000000001</v>
      </c>
      <c r="M918" s="39">
        <f>L918*Inputs!$D$11</f>
        <v>262028.47650000002</v>
      </c>
      <c r="N918" s="39">
        <f>M918*(1-Inputs!$D$17)</f>
        <v>91709.966775000008</v>
      </c>
      <c r="O918" s="35">
        <f>Inputs!$D$6*E918*Inputs!$D$27*Inputs!$D$30</f>
        <v>446.21835398475434</v>
      </c>
      <c r="P918" s="36">
        <f>O918/(C918*Inputs!$D$33)</f>
        <v>0.50706631134631175</v>
      </c>
      <c r="Q918" s="38">
        <f>IF(P918&gt;=1,999,P918/(Inputs!$D$33*(1-P918))*60)</f>
        <v>1.543005650713049</v>
      </c>
      <c r="R918" s="37">
        <f>MIN(1,MAX(0,(Q918-Inputs!$D$36)/(Inputs!$D$37-Inputs!$D$36)))</f>
        <v>0</v>
      </c>
      <c r="S918" s="35">
        <f>Inputs!$D$6*E918*Inputs!$D$27*(1-Inputs!$D$38*R918)</f>
        <v>3718.4862832062863</v>
      </c>
      <c r="T918" s="39">
        <f>S918*Inputs!$D$12</f>
        <v>59495.780531300581</v>
      </c>
      <c r="U918" s="39">
        <f>T918*(1-Inputs!$D$18)</f>
        <v>26773.101239085259</v>
      </c>
      <c r="V918" s="35">
        <f>Inputs!$D$6*F918*Inputs!$D$28*Inputs!$D$31</f>
        <v>642.32615044097156</v>
      </c>
      <c r="W918" s="36">
        <f>V918/(B918*Inputs!$D$34)</f>
        <v>1.0795397486402882</v>
      </c>
      <c r="X918" s="38">
        <f>IF(W918&gt;=1,999,W918/(Inputs!$D$34*(1-W918))*60)</f>
        <v>999</v>
      </c>
      <c r="Y918" s="37">
        <f>MIN(1,MAX(0,(X918-Inputs!$D$36)/(Inputs!$D$37-Inputs!$D$36)))</f>
        <v>1</v>
      </c>
      <c r="Z918" s="35">
        <f>Inputs!$D$6*F918*Inputs!$D$28*(1-Inputs!$D$38*Y918)</f>
        <v>2717.5337134041106</v>
      </c>
      <c r="AA918" s="39">
        <f>Z918*Inputs!$D$13</f>
        <v>23099.03656393494</v>
      </c>
      <c r="AB918" s="39">
        <f>AA918*(1-Inputs!$D$19)</f>
        <v>13859.421938360963</v>
      </c>
      <c r="AC918" s="39">
        <f t="shared" si="56"/>
        <v>344623.2935952355</v>
      </c>
      <c r="AD918" s="39">
        <f t="shared" si="57"/>
        <v>132342.48995244622</v>
      </c>
      <c r="AE918" s="36">
        <f t="shared" si="58"/>
        <v>1.0795397486402882</v>
      </c>
      <c r="AF918" s="35">
        <f>IF(AND(AE918&lt;=Inputs!$D$35,C918&gt;=Inputs!$D$48*(A918+B918+C918),B918*Inputs!$D$22&lt;=Inputs!$D$50*Inputs!$D$8,B918*Inputs!$D$22&gt;=Inputs!$D$49*Inputs!$D$8,A918*Inputs!$D$20&lt;=Inputs!$D$47*Inputs!$D$8,C918&gt;=1),1,0)</f>
        <v>0</v>
      </c>
      <c r="AG918" s="39">
        <f t="shared" si="59"/>
        <v>-1</v>
      </c>
    </row>
    <row r="919" spans="1:33" x14ac:dyDescent="0.25">
      <c r="A919" s="35">
        <v>64</v>
      </c>
      <c r="B919" s="35">
        <v>18</v>
      </c>
      <c r="C919" s="35">
        <f>Inputs!$D$8-A919-Inputs!$D$22*B919</f>
        <v>20</v>
      </c>
      <c r="D919" s="35">
        <f>A919*Inputs!$D$20+C919*Inputs!$D$21+B919*Inputs!$D$22</f>
        <v>120</v>
      </c>
      <c r="E919" s="36">
        <f>MIN(Inputs!$E$15,Inputs!$D$15*(C919/Inputs!$D$43)^Inputs!$D$44)</f>
        <v>0.30395574554235194</v>
      </c>
      <c r="F919" s="36">
        <f>MIN(Inputs!$E$16,Inputs!$D$16*(B919/Inputs!$D$42)^Inputs!$D$44)</f>
        <v>0.38755446447890535</v>
      </c>
      <c r="G919" s="37">
        <f>Inputs!$D$26*(1+Inputs!$D$41*(B919-Inputs!$D$42))</f>
        <v>1.47</v>
      </c>
      <c r="H919" s="35">
        <f>Inputs!$D$6*Inputs!$D$14*G919*Inputs!$D$29</f>
        <v>1846.9521</v>
      </c>
      <c r="I919" s="36">
        <f>H919/(A919*Inputs!$D$32)</f>
        <v>0.52470230113636362</v>
      </c>
      <c r="J919" s="38">
        <f>IF(I919&gt;=1,999,I919/(Inputs!$D$32*(1-I919))*60)</f>
        <v>1.2043031382207505</v>
      </c>
      <c r="K919" s="37">
        <f>MIN(1,MAX(0,(J919-Inputs!$D$36)/(Inputs!$D$37-Inputs!$D$36)))</f>
        <v>0</v>
      </c>
      <c r="L919" s="35">
        <f>Inputs!$D$6*Inputs!$D$14*G919*(1-Inputs!$D$38*K919)</f>
        <v>12313.014000000001</v>
      </c>
      <c r="M919" s="39">
        <f>L919*Inputs!$D$11</f>
        <v>264729.80100000004</v>
      </c>
      <c r="N919" s="39">
        <f>M919*(1-Inputs!$D$17)</f>
        <v>92655.43035000001</v>
      </c>
      <c r="O919" s="35">
        <f>Inputs!$D$6*E919*Inputs!$D$27*Inputs!$D$30</f>
        <v>433.64028811246965</v>
      </c>
      <c r="P919" s="36">
        <f>O919/(C919*Inputs!$D$33)</f>
        <v>0.54205036014058705</v>
      </c>
      <c r="Q919" s="38">
        <f>IF(P919&gt;=1,999,P919/(Inputs!$D$33*(1-P919))*60)</f>
        <v>1.7754693299038049</v>
      </c>
      <c r="R919" s="37">
        <f>MIN(1,MAX(0,(Q919-Inputs!$D$36)/(Inputs!$D$37-Inputs!$D$36)))</f>
        <v>0</v>
      </c>
      <c r="S919" s="35">
        <f>Inputs!$D$6*E919*Inputs!$D$27*(1-Inputs!$D$38*R919)</f>
        <v>3613.6690676039138</v>
      </c>
      <c r="T919" s="39">
        <f>S919*Inputs!$D$12</f>
        <v>57818.705081662622</v>
      </c>
      <c r="U919" s="39">
        <f>T919*(1-Inputs!$D$18)</f>
        <v>26018.417286748176</v>
      </c>
      <c r="V919" s="35">
        <f>Inputs!$D$6*F919*Inputs!$D$28*Inputs!$D$31</f>
        <v>653.43542972572936</v>
      </c>
      <c r="W919" s="36">
        <f>V919/(B919*Inputs!$D$34)</f>
        <v>1.037199094802745</v>
      </c>
      <c r="X919" s="38">
        <f>IF(W919&gt;=1,999,W919/(Inputs!$D$34*(1-W919))*60)</f>
        <v>999</v>
      </c>
      <c r="Y919" s="37">
        <f>MIN(1,MAX(0,(X919-Inputs!$D$36)/(Inputs!$D$37-Inputs!$D$36)))</f>
        <v>1</v>
      </c>
      <c r="Z919" s="35">
        <f>Inputs!$D$6*F919*Inputs!$D$28*(1-Inputs!$D$38*Y919)</f>
        <v>2764.534510378086</v>
      </c>
      <c r="AA919" s="39">
        <f>Z919*Inputs!$D$13</f>
        <v>23498.543338213731</v>
      </c>
      <c r="AB919" s="39">
        <f>AA919*(1-Inputs!$D$19)</f>
        <v>14099.126002928238</v>
      </c>
      <c r="AC919" s="39">
        <f t="shared" si="56"/>
        <v>346047.04941987642</v>
      </c>
      <c r="AD919" s="39">
        <f t="shared" si="57"/>
        <v>132772.97363967643</v>
      </c>
      <c r="AE919" s="36">
        <f t="shared" si="58"/>
        <v>1.037199094802745</v>
      </c>
      <c r="AF919" s="35">
        <f>IF(AND(AE919&lt;=Inputs!$D$35,C919&gt;=Inputs!$D$48*(A919+B919+C919),B919*Inputs!$D$22&lt;=Inputs!$D$50*Inputs!$D$8,B919*Inputs!$D$22&gt;=Inputs!$D$49*Inputs!$D$8,A919*Inputs!$D$20&lt;=Inputs!$D$47*Inputs!$D$8,C919&gt;=1),1,0)</f>
        <v>0</v>
      </c>
      <c r="AG919" s="39">
        <f t="shared" si="59"/>
        <v>-1</v>
      </c>
    </row>
    <row r="920" spans="1:33" x14ac:dyDescent="0.25">
      <c r="A920" s="35">
        <v>64</v>
      </c>
      <c r="B920" s="35">
        <v>19</v>
      </c>
      <c r="C920" s="35">
        <f>Inputs!$D$8-A920-Inputs!$D$22*B920</f>
        <v>18</v>
      </c>
      <c r="D920" s="35">
        <f>A920*Inputs!$D$20+C920*Inputs!$D$21+B920*Inputs!$D$22</f>
        <v>120</v>
      </c>
      <c r="E920" s="36">
        <f>MIN(Inputs!$E$15,Inputs!$D$15*(C920/Inputs!$D$43)^Inputs!$D$44)</f>
        <v>0.29449851547238159</v>
      </c>
      <c r="F920" s="36">
        <f>MIN(Inputs!$E$16,Inputs!$D$16*(B920/Inputs!$D$42)^Inputs!$D$44)</f>
        <v>0.39389192072703005</v>
      </c>
      <c r="G920" s="37">
        <f>Inputs!$D$26*(1+Inputs!$D$41*(B920-Inputs!$D$42))</f>
        <v>1.4849999999999999</v>
      </c>
      <c r="H920" s="35">
        <f>Inputs!$D$6*Inputs!$D$14*G920*Inputs!$D$29</f>
        <v>1865.7985499999998</v>
      </c>
      <c r="I920" s="36">
        <f>H920/(A920*Inputs!$D$32)</f>
        <v>0.53005640624999995</v>
      </c>
      <c r="J920" s="38">
        <f>IF(I920&gt;=1,999,I920/(Inputs!$D$32*(1-I920))*60)</f>
        <v>1.2304526755190546</v>
      </c>
      <c r="K920" s="37">
        <f>MIN(1,MAX(0,(J920-Inputs!$D$36)/(Inputs!$D$37-Inputs!$D$36)))</f>
        <v>0</v>
      </c>
      <c r="L920" s="35">
        <f>Inputs!$D$6*Inputs!$D$14*G920*(1-Inputs!$D$38*K920)</f>
        <v>12438.656999999999</v>
      </c>
      <c r="M920" s="39">
        <f>L920*Inputs!$D$11</f>
        <v>267431.12549999997</v>
      </c>
      <c r="N920" s="39">
        <f>M920*(1-Inputs!$D$17)</f>
        <v>93600.893924999982</v>
      </c>
      <c r="O920" s="35">
        <f>Inputs!$D$6*E920*Inputs!$D$27*Inputs!$D$30</f>
        <v>420.14807408976606</v>
      </c>
      <c r="P920" s="36">
        <f>O920/(C920*Inputs!$D$33)</f>
        <v>0.58353899179134172</v>
      </c>
      <c r="Q920" s="38">
        <f>IF(P920&gt;=1,999,P920/(Inputs!$D$33*(1-P920))*60)</f>
        <v>2.1017777665477375</v>
      </c>
      <c r="R920" s="37">
        <f>MIN(1,MAX(0,(Q920-Inputs!$D$36)/(Inputs!$D$37-Inputs!$D$36)))</f>
        <v>0</v>
      </c>
      <c r="S920" s="35">
        <f>Inputs!$D$6*E920*Inputs!$D$27*(1-Inputs!$D$38*R920)</f>
        <v>3501.2339507480506</v>
      </c>
      <c r="T920" s="39">
        <f>S920*Inputs!$D$12</f>
        <v>56019.743211968809</v>
      </c>
      <c r="U920" s="39">
        <f>T920*(1-Inputs!$D$18)</f>
        <v>25208.88444538596</v>
      </c>
      <c r="V920" s="35">
        <f>Inputs!$D$6*F920*Inputs!$D$28*Inputs!$D$31</f>
        <v>664.12068515796761</v>
      </c>
      <c r="W920" s="36">
        <f>V920/(B920*Inputs!$D$34)</f>
        <v>0.99867772204205651</v>
      </c>
      <c r="X920" s="38">
        <f>IF(W920&gt;=1,999,W920/(Inputs!$D$34*(1-W920))*60)</f>
        <v>1294.749671797274</v>
      </c>
      <c r="Y920" s="37">
        <f>MIN(1,MAX(0,(X920-Inputs!$D$36)/(Inputs!$D$37-Inputs!$D$36)))</f>
        <v>1</v>
      </c>
      <c r="Z920" s="35">
        <f>Inputs!$D$6*F920*Inputs!$D$28*(1-Inputs!$D$38*Y920)</f>
        <v>2809.7413602837091</v>
      </c>
      <c r="AA920" s="39">
        <f>Z920*Inputs!$D$13</f>
        <v>23882.801562411529</v>
      </c>
      <c r="AB920" s="39">
        <f>AA920*(1-Inputs!$D$19)</f>
        <v>14329.680937446918</v>
      </c>
      <c r="AC920" s="39">
        <f t="shared" si="56"/>
        <v>347333.6702743803</v>
      </c>
      <c r="AD920" s="39">
        <f t="shared" si="57"/>
        <v>133139.45930783288</v>
      </c>
      <c r="AE920" s="36">
        <f t="shared" si="58"/>
        <v>0.99867772204205651</v>
      </c>
      <c r="AF920" s="35">
        <f>IF(AND(AE920&lt;=Inputs!$D$35,C920&gt;=Inputs!$D$48*(A920+B920+C920),B920*Inputs!$D$22&lt;=Inputs!$D$50*Inputs!$D$8,B920*Inputs!$D$22&gt;=Inputs!$D$49*Inputs!$D$8,A920*Inputs!$D$20&lt;=Inputs!$D$47*Inputs!$D$8,C920&gt;=1),1,0)</f>
        <v>0</v>
      </c>
      <c r="AG920" s="39">
        <f t="shared" si="59"/>
        <v>-1</v>
      </c>
    </row>
    <row r="921" spans="1:33" x14ac:dyDescent="0.25">
      <c r="A921" s="35">
        <v>64</v>
      </c>
      <c r="B921" s="35">
        <v>20</v>
      </c>
      <c r="C921" s="35">
        <f>Inputs!$D$8-A921-Inputs!$D$22*B921</f>
        <v>16</v>
      </c>
      <c r="D921" s="35">
        <f>A921*Inputs!$D$20+C921*Inputs!$D$21+B921*Inputs!$D$22</f>
        <v>120</v>
      </c>
      <c r="E921" s="36">
        <f>MIN(Inputs!$E$15,Inputs!$D$15*(C921/Inputs!$D$43)^Inputs!$D$44)</f>
        <v>0.2842741392252523</v>
      </c>
      <c r="F921" s="36">
        <f>MIN(Inputs!$E$16,Inputs!$D$16*(B921/Inputs!$D$42)^Inputs!$D$44)</f>
        <v>0.4</v>
      </c>
      <c r="G921" s="37">
        <f>Inputs!$D$26*(1+Inputs!$D$41*(B921-Inputs!$D$42))</f>
        <v>1.5</v>
      </c>
      <c r="H921" s="35">
        <f>Inputs!$D$6*Inputs!$D$14*G921*Inputs!$D$29</f>
        <v>1884.645</v>
      </c>
      <c r="I921" s="36">
        <f>H921/(A921*Inputs!$D$32)</f>
        <v>0.53541051136363638</v>
      </c>
      <c r="J921" s="38">
        <f>IF(I921&gt;=1,999,I921/(Inputs!$D$32*(1-I921))*60)</f>
        <v>1.2572049271481505</v>
      </c>
      <c r="K921" s="37">
        <f>MIN(1,MAX(0,(J921-Inputs!$D$36)/(Inputs!$D$37-Inputs!$D$36)))</f>
        <v>0</v>
      </c>
      <c r="L921" s="35">
        <f>Inputs!$D$6*Inputs!$D$14*G921*(1-Inputs!$D$38*K921)</f>
        <v>12564.300000000001</v>
      </c>
      <c r="M921" s="39">
        <f>L921*Inputs!$D$11</f>
        <v>270132.45</v>
      </c>
      <c r="N921" s="39">
        <f>M921*(1-Inputs!$D$17)</f>
        <v>94546.357499999998</v>
      </c>
      <c r="O921" s="35">
        <f>Inputs!$D$6*E921*Inputs!$D$27*Inputs!$D$30</f>
        <v>405.56140637054153</v>
      </c>
      <c r="P921" s="36">
        <f>O921/(C921*Inputs!$D$33)</f>
        <v>0.63368969745397119</v>
      </c>
      <c r="Q921" s="38">
        <f>IF(P921&gt;=1,999,P921/(Inputs!$D$33*(1-P921))*60)</f>
        <v>2.5948889222451426</v>
      </c>
      <c r="R921" s="37">
        <f>MIN(1,MAX(0,(Q921-Inputs!$D$36)/(Inputs!$D$37-Inputs!$D$36)))</f>
        <v>0</v>
      </c>
      <c r="S921" s="35">
        <f>Inputs!$D$6*E921*Inputs!$D$27*(1-Inputs!$D$38*R921)</f>
        <v>3379.6783864211798</v>
      </c>
      <c r="T921" s="39">
        <f>S921*Inputs!$D$12</f>
        <v>54074.854182738876</v>
      </c>
      <c r="U921" s="39">
        <f>T921*(1-Inputs!$D$18)</f>
        <v>24333.684382232492</v>
      </c>
      <c r="V921" s="35">
        <f>Inputs!$D$6*F921*Inputs!$D$28*Inputs!$D$31</f>
        <v>674.41919999999993</v>
      </c>
      <c r="W921" s="36">
        <f>V921/(B921*Inputs!$D$34)</f>
        <v>0.96345599999999987</v>
      </c>
      <c r="X921" s="38">
        <f>IF(W921&gt;=1,999,W921/(Inputs!$D$34*(1-W921))*60)</f>
        <v>45.195896922691851</v>
      </c>
      <c r="Y921" s="37">
        <f>MIN(1,MAX(0,(X921-Inputs!$D$36)/(Inputs!$D$37-Inputs!$D$36)))</f>
        <v>1</v>
      </c>
      <c r="Z921" s="35">
        <f>Inputs!$D$6*F921*Inputs!$D$28*(1-Inputs!$D$38*Y921)</f>
        <v>2853.3119999999999</v>
      </c>
      <c r="AA921" s="39">
        <f>Z921*Inputs!$D$13</f>
        <v>24253.151999999998</v>
      </c>
      <c r="AB921" s="39">
        <f>AA921*(1-Inputs!$D$19)</f>
        <v>14551.891199999998</v>
      </c>
      <c r="AC921" s="39">
        <f t="shared" si="56"/>
        <v>348460.45618273888</v>
      </c>
      <c r="AD921" s="39">
        <f t="shared" si="57"/>
        <v>133431.93308223248</v>
      </c>
      <c r="AE921" s="36">
        <f t="shared" si="58"/>
        <v>0.96345599999999987</v>
      </c>
      <c r="AF921" s="35">
        <f>IF(AND(AE921&lt;=Inputs!$D$35,C921&gt;=Inputs!$D$48*(A921+B921+C921),B921*Inputs!$D$22&lt;=Inputs!$D$50*Inputs!$D$8,B921*Inputs!$D$22&gt;=Inputs!$D$49*Inputs!$D$8,A921*Inputs!$D$20&lt;=Inputs!$D$47*Inputs!$D$8,C921&gt;=1),1,0)</f>
        <v>0</v>
      </c>
      <c r="AG921" s="39">
        <f t="shared" si="59"/>
        <v>-1</v>
      </c>
    </row>
    <row r="922" spans="1:33" x14ac:dyDescent="0.25">
      <c r="A922" s="35">
        <v>64</v>
      </c>
      <c r="B922" s="35">
        <v>21</v>
      </c>
      <c r="C922" s="35">
        <f>Inputs!$D$8-A922-Inputs!$D$22*B922</f>
        <v>14</v>
      </c>
      <c r="D922" s="35">
        <f>A922*Inputs!$D$20+C922*Inputs!$D$21+B922*Inputs!$D$22</f>
        <v>120</v>
      </c>
      <c r="E922" s="36">
        <f>MIN(Inputs!$E$15,Inputs!$D$15*(C922/Inputs!$D$43)^Inputs!$D$44)</f>
        <v>0.27311136263675401</v>
      </c>
      <c r="F922" s="36">
        <f>MIN(Inputs!$E$16,Inputs!$D$16*(B922/Inputs!$D$42)^Inputs!$D$44)</f>
        <v>0.40589787816896217</v>
      </c>
      <c r="G922" s="37">
        <f>Inputs!$D$26*(1+Inputs!$D$41*(B922-Inputs!$D$42))</f>
        <v>1.5150000000000001</v>
      </c>
      <c r="H922" s="35">
        <f>Inputs!$D$6*Inputs!$D$14*G922*Inputs!$D$29</f>
        <v>1903.4914500000004</v>
      </c>
      <c r="I922" s="36">
        <f>H922/(A922*Inputs!$D$32)</f>
        <v>0.54076461647727281</v>
      </c>
      <c r="J922" s="38">
        <f>IF(I922&gt;=1,999,I922/(Inputs!$D$32*(1-I922))*60)</f>
        <v>1.2845809737738336</v>
      </c>
      <c r="K922" s="37">
        <f>MIN(1,MAX(0,(J922-Inputs!$D$36)/(Inputs!$D$37-Inputs!$D$36)))</f>
        <v>0</v>
      </c>
      <c r="L922" s="35">
        <f>Inputs!$D$6*Inputs!$D$14*G922*(1-Inputs!$D$38*K922)</f>
        <v>12689.943000000003</v>
      </c>
      <c r="M922" s="39">
        <f>L922*Inputs!$D$11</f>
        <v>272833.77450000006</v>
      </c>
      <c r="N922" s="39">
        <f>M922*(1-Inputs!$D$17)</f>
        <v>95491.821075000014</v>
      </c>
      <c r="O922" s="35">
        <f>Inputs!$D$6*E922*Inputs!$D$27*Inputs!$D$30</f>
        <v>389.63596417390096</v>
      </c>
      <c r="P922" s="36">
        <f>O922/(C922*Inputs!$D$33)</f>
        <v>0.69577850745339453</v>
      </c>
      <c r="Q922" s="38">
        <f>IF(P922&gt;=1,999,P922/(Inputs!$D$33*(1-P922))*60)</f>
        <v>3.4306181080227471</v>
      </c>
      <c r="R922" s="37">
        <f>MIN(1,MAX(0,(Q922-Inputs!$D$36)/(Inputs!$D$37-Inputs!$D$36)))</f>
        <v>0</v>
      </c>
      <c r="S922" s="35">
        <f>Inputs!$D$6*E922*Inputs!$D$27*(1-Inputs!$D$38*R922)</f>
        <v>3246.9663681158413</v>
      </c>
      <c r="T922" s="39">
        <f>S922*Inputs!$D$12</f>
        <v>51951.461889853461</v>
      </c>
      <c r="U922" s="39">
        <f>T922*(1-Inputs!$D$18)</f>
        <v>23378.157850434054</v>
      </c>
      <c r="V922" s="35">
        <f>Inputs!$D$6*F922*Inputs!$D$28*Inputs!$D$31</f>
        <v>684.36330569102222</v>
      </c>
      <c r="W922" s="36">
        <f>V922/(B922*Inputs!$D$34)</f>
        <v>0.93110653835513224</v>
      </c>
      <c r="X922" s="38">
        <f>IF(W922&gt;=1,999,W922/(Inputs!$D$34*(1-W922))*60)</f>
        <v>23.16885520150278</v>
      </c>
      <c r="Y922" s="37">
        <f>MIN(1,MAX(0,(X922-Inputs!$D$36)/(Inputs!$D$37-Inputs!$D$36)))</f>
        <v>1</v>
      </c>
      <c r="Z922" s="35">
        <f>Inputs!$D$6*F922*Inputs!$D$28*(1-Inputs!$D$38*Y922)</f>
        <v>2895.3832163850943</v>
      </c>
      <c r="AA922" s="39">
        <f>Z922*Inputs!$D$13</f>
        <v>24610.757339273303</v>
      </c>
      <c r="AB922" s="39">
        <f>AA922*(1-Inputs!$D$19)</f>
        <v>14766.454403563981</v>
      </c>
      <c r="AC922" s="39">
        <f t="shared" si="56"/>
        <v>349395.99372912681</v>
      </c>
      <c r="AD922" s="39">
        <f t="shared" si="57"/>
        <v>133636.43332899804</v>
      </c>
      <c r="AE922" s="36">
        <f t="shared" si="58"/>
        <v>0.93110653835513224</v>
      </c>
      <c r="AF922" s="35">
        <f>IF(AND(AE922&lt;=Inputs!$D$35,C922&gt;=Inputs!$D$48*(A922+B922+C922),B922*Inputs!$D$22&lt;=Inputs!$D$50*Inputs!$D$8,B922*Inputs!$D$22&gt;=Inputs!$D$49*Inputs!$D$8,A922*Inputs!$D$20&lt;=Inputs!$D$47*Inputs!$D$8,C922&gt;=1),1,0)</f>
        <v>0</v>
      </c>
      <c r="AG922" s="39">
        <f t="shared" si="59"/>
        <v>-1</v>
      </c>
    </row>
    <row r="923" spans="1:33" x14ac:dyDescent="0.25">
      <c r="A923" s="35">
        <v>64</v>
      </c>
      <c r="B923" s="35">
        <v>22</v>
      </c>
      <c r="C923" s="35">
        <f>Inputs!$D$8-A923-Inputs!$D$22*B923</f>
        <v>12</v>
      </c>
      <c r="D923" s="35">
        <f>A923*Inputs!$D$20+C923*Inputs!$D$21+B923*Inputs!$D$22</f>
        <v>120</v>
      </c>
      <c r="E923" s="36">
        <f>MIN(Inputs!$E$15,Inputs!$D$15*(C923/Inputs!$D$43)^Inputs!$D$44)</f>
        <v>0.26076886227459228</v>
      </c>
      <c r="F923" s="36">
        <f>MIN(Inputs!$E$16,Inputs!$D$16*(B923/Inputs!$D$42)^Inputs!$D$44)</f>
        <v>0.41160230376843804</v>
      </c>
      <c r="G923" s="37">
        <f>Inputs!$D$26*(1+Inputs!$D$41*(B923-Inputs!$D$42))</f>
        <v>1.53</v>
      </c>
      <c r="H923" s="35">
        <f>Inputs!$D$6*Inputs!$D$14*G923*Inputs!$D$29</f>
        <v>1922.3379</v>
      </c>
      <c r="I923" s="36">
        <f>H923/(A923*Inputs!$D$32)</f>
        <v>0.54611872159090913</v>
      </c>
      <c r="J923" s="38">
        <f>IF(I923&gt;=1,999,I923/(Inputs!$D$32*(1-I923))*60)</f>
        <v>1.3126028907546168</v>
      </c>
      <c r="K923" s="37">
        <f>MIN(1,MAX(0,(J923-Inputs!$D$36)/(Inputs!$D$37-Inputs!$D$36)))</f>
        <v>0</v>
      </c>
      <c r="L923" s="35">
        <f>Inputs!$D$6*Inputs!$D$14*G923*(1-Inputs!$D$38*K923)</f>
        <v>12815.586000000001</v>
      </c>
      <c r="M923" s="39">
        <f>L923*Inputs!$D$11</f>
        <v>275535.09900000005</v>
      </c>
      <c r="N923" s="39">
        <f>M923*(1-Inputs!$D$17)</f>
        <v>96437.284650000016</v>
      </c>
      <c r="O923" s="35">
        <f>Inputs!$D$6*E923*Inputs!$D$27*Inputs!$D$30</f>
        <v>372.02746197722075</v>
      </c>
      <c r="P923" s="36">
        <f>O923/(C923*Inputs!$D$33)</f>
        <v>0.77505721245254322</v>
      </c>
      <c r="Q923" s="38">
        <f>IF(P923&gt;=1,999,P923/(Inputs!$D$33*(1-P923))*60)</f>
        <v>5.1683622816025654</v>
      </c>
      <c r="R923" s="37">
        <f>MIN(1,MAX(0,(Q923-Inputs!$D$36)/(Inputs!$D$37-Inputs!$D$36)))</f>
        <v>1.1224152106837693E-2</v>
      </c>
      <c r="S923" s="35">
        <f>Inputs!$D$6*E923*Inputs!$D$27*(1-Inputs!$D$38*R923)</f>
        <v>3084.5700017308486</v>
      </c>
      <c r="T923" s="39">
        <f>S923*Inputs!$D$12</f>
        <v>49353.120027693578</v>
      </c>
      <c r="U923" s="39">
        <f>T923*(1-Inputs!$D$18)</f>
        <v>22208.904012462106</v>
      </c>
      <c r="V923" s="35">
        <f>Inputs!$D$6*F923*Inputs!$D$28*Inputs!$D$31</f>
        <v>693.98124106416742</v>
      </c>
      <c r="W923" s="36">
        <f>V923/(B923*Inputs!$D$34)</f>
        <v>0.90127433904437326</v>
      </c>
      <c r="X923" s="38">
        <f>IF(W923&gt;=1,999,W923/(Inputs!$D$34*(1-W923))*60)</f>
        <v>15.649849381818807</v>
      </c>
      <c r="Y923" s="37">
        <f>MIN(1,MAX(0,(X923-Inputs!$D$36)/(Inputs!$D$37-Inputs!$D$36)))</f>
        <v>0.70998995878792048</v>
      </c>
      <c r="Z923" s="35">
        <f>Inputs!$D$6*F923*Inputs!$D$28*(1-Inputs!$D$38*Y923)</f>
        <v>3632.749002537963</v>
      </c>
      <c r="AA923" s="39">
        <f>Z923*Inputs!$D$13</f>
        <v>30878.366521572687</v>
      </c>
      <c r="AB923" s="39">
        <f>AA923*(1-Inputs!$D$19)</f>
        <v>18527.019912943611</v>
      </c>
      <c r="AC923" s="39">
        <f t="shared" si="56"/>
        <v>355766.58554926631</v>
      </c>
      <c r="AD923" s="39">
        <f t="shared" si="57"/>
        <v>137173.20857540573</v>
      </c>
      <c r="AE923" s="36">
        <f t="shared" si="58"/>
        <v>0.90127433904437326</v>
      </c>
      <c r="AF923" s="35">
        <f>IF(AND(AE923&lt;=Inputs!$D$35,C923&gt;=Inputs!$D$48*(A923+B923+C923),B923*Inputs!$D$22&lt;=Inputs!$D$50*Inputs!$D$8,B923*Inputs!$D$22&gt;=Inputs!$D$49*Inputs!$D$8,A923*Inputs!$D$20&lt;=Inputs!$D$47*Inputs!$D$8,C923&gt;=1),1,0)</f>
        <v>0</v>
      </c>
      <c r="AG923" s="39">
        <f t="shared" si="59"/>
        <v>-1</v>
      </c>
    </row>
    <row r="924" spans="1:33" x14ac:dyDescent="0.25">
      <c r="A924" s="35">
        <v>64</v>
      </c>
      <c r="B924" s="35">
        <v>23</v>
      </c>
      <c r="C924" s="35">
        <f>Inputs!$D$8-A924-Inputs!$D$22*B924</f>
        <v>10</v>
      </c>
      <c r="D924" s="35">
        <f>A924*Inputs!$D$20+C924*Inputs!$D$21+B924*Inputs!$D$22</f>
        <v>120</v>
      </c>
      <c r="E924" s="36">
        <f>MIN(Inputs!$E$15,Inputs!$D$15*(C924/Inputs!$D$43)^Inputs!$D$44)</f>
        <v>0.24688878270302153</v>
      </c>
      <c r="F924" s="36">
        <f>MIN(Inputs!$E$16,Inputs!$D$16*(B924/Inputs!$D$42)^Inputs!$D$44)</f>
        <v>0.41712800028621322</v>
      </c>
      <c r="G924" s="37">
        <f>Inputs!$D$26*(1+Inputs!$D$41*(B924-Inputs!$D$42))</f>
        <v>1.5449999999999999</v>
      </c>
      <c r="H924" s="35">
        <f>Inputs!$D$6*Inputs!$D$14*G924*Inputs!$D$29</f>
        <v>1941.18435</v>
      </c>
      <c r="I924" s="36">
        <f>H924/(A924*Inputs!$D$32)</f>
        <v>0.55147282670454545</v>
      </c>
      <c r="J924" s="38">
        <f>IF(I924&gt;=1,999,I924/(Inputs!$D$32*(1-I924))*60)</f>
        <v>1.3412938075103666</v>
      </c>
      <c r="K924" s="37">
        <f>MIN(1,MAX(0,(J924-Inputs!$D$36)/(Inputs!$D$37-Inputs!$D$36)))</f>
        <v>0</v>
      </c>
      <c r="L924" s="35">
        <f>Inputs!$D$6*Inputs!$D$14*G924*(1-Inputs!$D$38*K924)</f>
        <v>12941.229000000001</v>
      </c>
      <c r="M924" s="39">
        <f>L924*Inputs!$D$11</f>
        <v>278236.42350000003</v>
      </c>
      <c r="N924" s="39">
        <f>M924*(1-Inputs!$D$17)</f>
        <v>97382.748225000003</v>
      </c>
      <c r="O924" s="35">
        <f>Inputs!$D$6*E924*Inputs!$D$27*Inputs!$D$30</f>
        <v>352.22536317596189</v>
      </c>
      <c r="P924" s="36">
        <f>O924/(C924*Inputs!$D$33)</f>
        <v>0.88056340793990473</v>
      </c>
      <c r="Q924" s="38">
        <f>IF(P924&gt;=1,999,P924/(Inputs!$D$33*(1-P924))*60)</f>
        <v>11.05896517245959</v>
      </c>
      <c r="R924" s="37">
        <f>MIN(1,MAX(0,(Q924-Inputs!$D$36)/(Inputs!$D$37-Inputs!$D$36)))</f>
        <v>0.40393101149730604</v>
      </c>
      <c r="S924" s="35">
        <f>Inputs!$D$6*E924*Inputs!$D$27*(1-Inputs!$D$38*R924)</f>
        <v>2401.6810577146616</v>
      </c>
      <c r="T924" s="39">
        <f>S924*Inputs!$D$12</f>
        <v>38426.896923434586</v>
      </c>
      <c r="U924" s="39">
        <f>T924*(1-Inputs!$D$18)</f>
        <v>17292.103615545562</v>
      </c>
      <c r="V924" s="35">
        <f>Inputs!$D$6*F924*Inputs!$D$28*Inputs!$D$31</f>
        <v>703.29783062656929</v>
      </c>
      <c r="W924" s="36">
        <f>V924/(B924*Inputs!$D$34)</f>
        <v>0.87366190139946498</v>
      </c>
      <c r="X924" s="38">
        <f>IF(W924&gt;=1,999,W924/(Inputs!$D$34*(1-W924))*60)</f>
        <v>11.854746377182334</v>
      </c>
      <c r="Y924" s="37">
        <f>MIN(1,MAX(0,(X924-Inputs!$D$36)/(Inputs!$D$37-Inputs!$D$36)))</f>
        <v>0.45698309181215557</v>
      </c>
      <c r="Z924" s="35">
        <f>Inputs!$D$6*F924*Inputs!$D$28*(1-Inputs!$D$38*Y924)</f>
        <v>4297.4614071503011</v>
      </c>
      <c r="AA924" s="39">
        <f>Z924*Inputs!$D$13</f>
        <v>36528.421960777559</v>
      </c>
      <c r="AB924" s="39">
        <f>AA924*(1-Inputs!$D$19)</f>
        <v>21917.053176466536</v>
      </c>
      <c r="AC924" s="39">
        <f t="shared" si="56"/>
        <v>353191.74238421215</v>
      </c>
      <c r="AD924" s="39">
        <f t="shared" si="57"/>
        <v>136591.90501701209</v>
      </c>
      <c r="AE924" s="36">
        <f t="shared" si="58"/>
        <v>0.88056340793990473</v>
      </c>
      <c r="AF924" s="35">
        <f>IF(AND(AE924&lt;=Inputs!$D$35,C924&gt;=Inputs!$D$48*(A924+B924+C924),B924*Inputs!$D$22&lt;=Inputs!$D$50*Inputs!$D$8,B924*Inputs!$D$22&gt;=Inputs!$D$49*Inputs!$D$8,A924*Inputs!$D$20&lt;=Inputs!$D$47*Inputs!$D$8,C924&gt;=1),1,0)</f>
        <v>0</v>
      </c>
      <c r="AG924" s="39">
        <f t="shared" si="59"/>
        <v>-1</v>
      </c>
    </row>
    <row r="925" spans="1:33" x14ac:dyDescent="0.25">
      <c r="A925" s="35">
        <v>64</v>
      </c>
      <c r="B925" s="35">
        <v>24</v>
      </c>
      <c r="C925" s="35">
        <f>Inputs!$D$8-A925-Inputs!$D$22*B925</f>
        <v>8</v>
      </c>
      <c r="D925" s="35">
        <f>A925*Inputs!$D$20+C925*Inputs!$D$21+B925*Inputs!$D$22</f>
        <v>120</v>
      </c>
      <c r="E925" s="36">
        <f>MIN(Inputs!$E$15,Inputs!$D$15*(C925/Inputs!$D$43)^Inputs!$D$44)</f>
        <v>0.23090235080781729</v>
      </c>
      <c r="F925" s="36">
        <f>MIN(Inputs!$E$16,Inputs!$D$16*(B925/Inputs!$D$42)^Inputs!$D$44)</f>
        <v>0.42248798737570326</v>
      </c>
      <c r="G925" s="37">
        <f>Inputs!$D$26*(1+Inputs!$D$41*(B925-Inputs!$D$42))</f>
        <v>1.56</v>
      </c>
      <c r="H925" s="35">
        <f>Inputs!$D$6*Inputs!$D$14*G925*Inputs!$D$29</f>
        <v>1960.0308</v>
      </c>
      <c r="I925" s="36">
        <f>H925/(A925*Inputs!$D$32)</f>
        <v>0.55682693181818177</v>
      </c>
      <c r="J925" s="38">
        <f>IF(I925&gt;=1,999,I925/(Inputs!$D$32*(1-I925))*60)</f>
        <v>1.3706779711944426</v>
      </c>
      <c r="K925" s="37">
        <f>MIN(1,MAX(0,(J925-Inputs!$D$36)/(Inputs!$D$37-Inputs!$D$36)))</f>
        <v>0</v>
      </c>
      <c r="L925" s="35">
        <f>Inputs!$D$6*Inputs!$D$14*G925*(1-Inputs!$D$38*K925)</f>
        <v>13066.872000000001</v>
      </c>
      <c r="M925" s="39">
        <f>L925*Inputs!$D$11</f>
        <v>280937.74800000002</v>
      </c>
      <c r="N925" s="39">
        <f>M925*(1-Inputs!$D$17)</f>
        <v>98328.211800000005</v>
      </c>
      <c r="O925" s="35">
        <f>Inputs!$D$6*E925*Inputs!$D$27*Inputs!$D$30</f>
        <v>329.41822419407742</v>
      </c>
      <c r="P925" s="36">
        <f>O925/(C925*Inputs!$D$33)</f>
        <v>1.029431950606492</v>
      </c>
      <c r="Q925" s="38">
        <f>IF(P925&gt;=1,999,P925/(Inputs!$D$33*(1-P925))*60)</f>
        <v>999</v>
      </c>
      <c r="R925" s="37">
        <f>MIN(1,MAX(0,(Q925-Inputs!$D$36)/(Inputs!$D$37-Inputs!$D$36)))</f>
        <v>1</v>
      </c>
      <c r="S925" s="35">
        <f>Inputs!$D$6*E925*Inputs!$D$27*(1-Inputs!$D$38*R925)</f>
        <v>1509.8335275561885</v>
      </c>
      <c r="T925" s="39">
        <f>S925*Inputs!$D$12</f>
        <v>24157.336440899016</v>
      </c>
      <c r="U925" s="39">
        <f>T925*(1-Inputs!$D$18)</f>
        <v>10870.801398404556</v>
      </c>
      <c r="V925" s="35">
        <f>Inputs!$D$6*F925*Inputs!$D$28*Inputs!$D$31</f>
        <v>712.33502613882979</v>
      </c>
      <c r="W925" s="36">
        <f>V925/(B925*Inputs!$D$34)</f>
        <v>0.84801788826051161</v>
      </c>
      <c r="X925" s="38">
        <f>IF(W925&gt;=1,999,W925/(Inputs!$D$34*(1-W925))*60)</f>
        <v>9.5652372155190832</v>
      </c>
      <c r="Y925" s="37">
        <f>MIN(1,MAX(0,(X925-Inputs!$D$36)/(Inputs!$D$37-Inputs!$D$36)))</f>
        <v>0.30434914770127219</v>
      </c>
      <c r="Z925" s="35">
        <f>Inputs!$D$6*F925*Inputs!$D$28*(1-Inputs!$D$38*Y925)</f>
        <v>4729.0436538571339</v>
      </c>
      <c r="AA925" s="39">
        <f>Z925*Inputs!$D$13</f>
        <v>40196.87105778564</v>
      </c>
      <c r="AB925" s="39">
        <f>AA925*(1-Inputs!$D$19)</f>
        <v>24118.122634671385</v>
      </c>
      <c r="AC925" s="39">
        <f t="shared" si="56"/>
        <v>345291.95549868466</v>
      </c>
      <c r="AD925" s="39">
        <f t="shared" si="57"/>
        <v>133317.13583307594</v>
      </c>
      <c r="AE925" s="36">
        <f t="shared" si="58"/>
        <v>1.029431950606492</v>
      </c>
      <c r="AF925" s="35">
        <f>IF(AND(AE925&lt;=Inputs!$D$35,C925&gt;=Inputs!$D$48*(A925+B925+C925),B925*Inputs!$D$22&lt;=Inputs!$D$50*Inputs!$D$8,B925*Inputs!$D$22&gt;=Inputs!$D$49*Inputs!$D$8,A925*Inputs!$D$20&lt;=Inputs!$D$47*Inputs!$D$8,C925&gt;=1),1,0)</f>
        <v>0</v>
      </c>
      <c r="AG925" s="39">
        <f t="shared" si="59"/>
        <v>-1</v>
      </c>
    </row>
    <row r="926" spans="1:33" x14ac:dyDescent="0.25">
      <c r="A926" s="35">
        <v>64</v>
      </c>
      <c r="B926" s="35">
        <v>25</v>
      </c>
      <c r="C926" s="35">
        <f>Inputs!$D$8-A926-Inputs!$D$22*B926</f>
        <v>6</v>
      </c>
      <c r="D926" s="35">
        <f>A926*Inputs!$D$20+C926*Inputs!$D$21+B926*Inputs!$D$22</f>
        <v>120</v>
      </c>
      <c r="E926" s="36">
        <f>MIN(Inputs!$E$15,Inputs!$D$15*(C926/Inputs!$D$43)^Inputs!$D$44)</f>
        <v>0.21181013327762671</v>
      </c>
      <c r="F926" s="36">
        <f>MIN(Inputs!$E$16,Inputs!$D$16*(B926/Inputs!$D$42)^Inputs!$D$44)</f>
        <v>0.42769383999647526</v>
      </c>
      <c r="G926" s="37">
        <f>Inputs!$D$26*(1+Inputs!$D$41*(B926-Inputs!$D$42))</f>
        <v>1.5750000000000002</v>
      </c>
      <c r="H926" s="35">
        <f>Inputs!$D$6*Inputs!$D$14*G926*Inputs!$D$29</f>
        <v>1978.8772500000005</v>
      </c>
      <c r="I926" s="36">
        <f>H926/(A926*Inputs!$D$32)</f>
        <v>0.56218103693181831</v>
      </c>
      <c r="J926" s="38">
        <f>IF(I926&gt;=1,999,I926/(Inputs!$D$32*(1-I926))*60)</f>
        <v>1.400780815037727</v>
      </c>
      <c r="K926" s="37">
        <f>MIN(1,MAX(0,(J926-Inputs!$D$36)/(Inputs!$D$37-Inputs!$D$36)))</f>
        <v>0</v>
      </c>
      <c r="L926" s="35">
        <f>Inputs!$D$6*Inputs!$D$14*G926*(1-Inputs!$D$38*K926)</f>
        <v>13192.515000000003</v>
      </c>
      <c r="M926" s="39">
        <f>L926*Inputs!$D$11</f>
        <v>283639.07250000007</v>
      </c>
      <c r="N926" s="39">
        <f>M926*(1-Inputs!$D$17)</f>
        <v>99273.675375000021</v>
      </c>
      <c r="O926" s="35">
        <f>Inputs!$D$6*E926*Inputs!$D$27*Inputs!$D$30</f>
        <v>302.18019750132584</v>
      </c>
      <c r="P926" s="36">
        <f>O926/(C926*Inputs!$D$33)</f>
        <v>1.2590841562555244</v>
      </c>
      <c r="Q926" s="38">
        <f>IF(P926&gt;=1,999,P926/(Inputs!$D$33*(1-P926))*60)</f>
        <v>999</v>
      </c>
      <c r="R926" s="37">
        <f>MIN(1,MAX(0,(Q926-Inputs!$D$36)/(Inputs!$D$37-Inputs!$D$36)))</f>
        <v>1</v>
      </c>
      <c r="S926" s="35">
        <f>Inputs!$D$6*E926*Inputs!$D$27*(1-Inputs!$D$38*R926)</f>
        <v>1384.9925718810769</v>
      </c>
      <c r="T926" s="39">
        <f>S926*Inputs!$D$12</f>
        <v>22159.88115009723</v>
      </c>
      <c r="U926" s="39">
        <f>T926*(1-Inputs!$D$18)</f>
        <v>9971.9465175437526</v>
      </c>
      <c r="V926" s="35">
        <f>Inputs!$D$6*F926*Inputs!$D$28*Inputs!$D$31</f>
        <v>721.1123435383771</v>
      </c>
      <c r="W926" s="36">
        <f>V926/(B926*Inputs!$D$34)</f>
        <v>0.82412839261528814</v>
      </c>
      <c r="X926" s="38">
        <f>IF(W926&gt;=1,999,W926/(Inputs!$D$34*(1-W926))*60)</f>
        <v>8.0330847668163621</v>
      </c>
      <c r="Y926" s="37">
        <f>MIN(1,MAX(0,(X926-Inputs!$D$36)/(Inputs!$D$37-Inputs!$D$36)))</f>
        <v>0.20220565112109082</v>
      </c>
      <c r="Z926" s="35">
        <f>Inputs!$D$6*F926*Inputs!$D$28*(1-Inputs!$D$38*Y926)</f>
        <v>5042.2807508299393</v>
      </c>
      <c r="AA926" s="39">
        <f>Z926*Inputs!$D$13</f>
        <v>42859.386382054487</v>
      </c>
      <c r="AB926" s="39">
        <f>AA926*(1-Inputs!$D$19)</f>
        <v>25715.631829232691</v>
      </c>
      <c r="AC926" s="39">
        <f t="shared" si="56"/>
        <v>348658.34003215178</v>
      </c>
      <c r="AD926" s="39">
        <f t="shared" si="57"/>
        <v>134961.25372177648</v>
      </c>
      <c r="AE926" s="36">
        <f t="shared" si="58"/>
        <v>1.2590841562555244</v>
      </c>
      <c r="AF926" s="35">
        <f>IF(AND(AE926&lt;=Inputs!$D$35,C926&gt;=Inputs!$D$48*(A926+B926+C926),B926*Inputs!$D$22&lt;=Inputs!$D$50*Inputs!$D$8,B926*Inputs!$D$22&gt;=Inputs!$D$49*Inputs!$D$8,A926*Inputs!$D$20&lt;=Inputs!$D$47*Inputs!$D$8,C926&gt;=1),1,0)</f>
        <v>0</v>
      </c>
      <c r="AG926" s="39">
        <f t="shared" si="59"/>
        <v>-1</v>
      </c>
    </row>
    <row r="927" spans="1:33" x14ac:dyDescent="0.25">
      <c r="A927" s="35">
        <v>64</v>
      </c>
      <c r="B927" s="35">
        <v>26</v>
      </c>
      <c r="C927" s="35">
        <f>Inputs!$D$8-A927-Inputs!$D$22*B927</f>
        <v>4</v>
      </c>
      <c r="D927" s="35">
        <f>A927*Inputs!$D$20+C927*Inputs!$D$21+B927*Inputs!$D$22</f>
        <v>120</v>
      </c>
      <c r="E927" s="36">
        <f>MIN(Inputs!$E$15,Inputs!$D$15*(C927/Inputs!$D$43)^Inputs!$D$44)</f>
        <v>0.18755098776793777</v>
      </c>
      <c r="F927" s="36">
        <f>MIN(Inputs!$E$16,Inputs!$D$16*(B927/Inputs!$D$42)^Inputs!$D$44)</f>
        <v>0.43275589945781112</v>
      </c>
      <c r="G927" s="37">
        <f>Inputs!$D$26*(1+Inputs!$D$41*(B927-Inputs!$D$42))</f>
        <v>1.59</v>
      </c>
      <c r="H927" s="35">
        <f>Inputs!$D$6*Inputs!$D$14*G927*Inputs!$D$29</f>
        <v>1997.7237</v>
      </c>
      <c r="I927" s="36">
        <f>H927/(A927*Inputs!$D$32)</f>
        <v>0.56753514204545452</v>
      </c>
      <c r="J927" s="38">
        <f>IF(I927&gt;=1,999,I927/(Inputs!$D$32*(1-I927))*60)</f>
        <v>1.4316290317694267</v>
      </c>
      <c r="K927" s="37">
        <f>MIN(1,MAX(0,(J927-Inputs!$D$36)/(Inputs!$D$37-Inputs!$D$36)))</f>
        <v>0</v>
      </c>
      <c r="L927" s="35">
        <f>Inputs!$D$6*Inputs!$D$14*G927*(1-Inputs!$D$38*K927)</f>
        <v>13318.158000000001</v>
      </c>
      <c r="M927" s="39">
        <f>L927*Inputs!$D$11</f>
        <v>286340.39700000006</v>
      </c>
      <c r="N927" s="39">
        <f>M927*(1-Inputs!$D$17)</f>
        <v>100219.13895000001</v>
      </c>
      <c r="O927" s="35">
        <f>Inputs!$D$6*E927*Inputs!$D$27*Inputs!$D$30</f>
        <v>267.57074200505502</v>
      </c>
      <c r="P927" s="36">
        <f>O927/(C927*Inputs!$D$33)</f>
        <v>1.6723171375315939</v>
      </c>
      <c r="Q927" s="38">
        <f>IF(P927&gt;=1,999,P927/(Inputs!$D$33*(1-P927))*60)</f>
        <v>999</v>
      </c>
      <c r="R927" s="37">
        <f>MIN(1,MAX(0,(Q927-Inputs!$D$36)/(Inputs!$D$37-Inputs!$D$36)))</f>
        <v>1</v>
      </c>
      <c r="S927" s="35">
        <f>Inputs!$D$6*E927*Inputs!$D$27*(1-Inputs!$D$38*R927)</f>
        <v>1226.3659008565023</v>
      </c>
      <c r="T927" s="39">
        <f>S927*Inputs!$D$12</f>
        <v>19621.854413704037</v>
      </c>
      <c r="U927" s="39">
        <f>T927*(1-Inputs!$D$18)</f>
        <v>8829.8344861668156</v>
      </c>
      <c r="V927" s="35">
        <f>Inputs!$D$6*F927*Inputs!$D$28*Inputs!$D$31</f>
        <v>729.64721876904355</v>
      </c>
      <c r="W927" s="36">
        <f>V927/(B927*Inputs!$D$34)</f>
        <v>0.80181013051543248</v>
      </c>
      <c r="X927" s="38">
        <f>IF(W927&gt;=1,999,W927/(Inputs!$D$34*(1-W927))*60)</f>
        <v>6.9354284146153136</v>
      </c>
      <c r="Y927" s="37">
        <f>MIN(1,MAX(0,(X927-Inputs!$D$36)/(Inputs!$D$37-Inputs!$D$36)))</f>
        <v>0.12902856097435425</v>
      </c>
      <c r="Z927" s="35">
        <f>Inputs!$D$6*F927*Inputs!$D$28*(1-Inputs!$D$38*Y927)</f>
        <v>5286.7832305655711</v>
      </c>
      <c r="AA927" s="39">
        <f>Z927*Inputs!$D$13</f>
        <v>44937.657459807357</v>
      </c>
      <c r="AB927" s="39">
        <f>AA927*(1-Inputs!$D$19)</f>
        <v>26962.594475884413</v>
      </c>
      <c r="AC927" s="39">
        <f t="shared" si="56"/>
        <v>350899.90887351142</v>
      </c>
      <c r="AD927" s="39">
        <f t="shared" si="57"/>
        <v>136011.56791205122</v>
      </c>
      <c r="AE927" s="36">
        <f t="shared" si="58"/>
        <v>1.6723171375315939</v>
      </c>
      <c r="AF927" s="35">
        <f>IF(AND(AE927&lt;=Inputs!$D$35,C927&gt;=Inputs!$D$48*(A927+B927+C927),B927*Inputs!$D$22&lt;=Inputs!$D$50*Inputs!$D$8,B927*Inputs!$D$22&gt;=Inputs!$D$49*Inputs!$D$8,A927*Inputs!$D$20&lt;=Inputs!$D$47*Inputs!$D$8,C927&gt;=1),1,0)</f>
        <v>0</v>
      </c>
      <c r="AG927" s="39">
        <f t="shared" si="59"/>
        <v>-1</v>
      </c>
    </row>
    <row r="928" spans="1:33" x14ac:dyDescent="0.25">
      <c r="A928" s="35">
        <v>64</v>
      </c>
      <c r="B928" s="35">
        <v>27</v>
      </c>
      <c r="C928" s="35">
        <f>Inputs!$D$8-A928-Inputs!$D$22*B928</f>
        <v>2</v>
      </c>
      <c r="D928" s="35">
        <f>A928*Inputs!$D$20+C928*Inputs!$D$21+B928*Inputs!$D$22</f>
        <v>120</v>
      </c>
      <c r="E928" s="36">
        <f>MIN(Inputs!$E$15,Inputs!$D$15*(C928/Inputs!$D$43)^Inputs!$D$44)</f>
        <v>0.15233873925348645</v>
      </c>
      <c r="F928" s="36">
        <f>MIN(Inputs!$E$16,Inputs!$D$16*(B928/Inputs!$D$42)^Inputs!$D$44)</f>
        <v>0.43768344678187454</v>
      </c>
      <c r="G928" s="37">
        <f>Inputs!$D$26*(1+Inputs!$D$41*(B928-Inputs!$D$42))</f>
        <v>1.605</v>
      </c>
      <c r="H928" s="35">
        <f>Inputs!$D$6*Inputs!$D$14*G928*Inputs!$D$29</f>
        <v>2016.57015</v>
      </c>
      <c r="I928" s="36">
        <f>H928/(A928*Inputs!$D$32)</f>
        <v>0.57288924715909095</v>
      </c>
      <c r="J928" s="38">
        <f>IF(I928&gt;=1,999,I928/(Inputs!$D$32*(1-I928))*60)</f>
        <v>1.463250652560151</v>
      </c>
      <c r="K928" s="37">
        <f>MIN(1,MAX(0,(J928-Inputs!$D$36)/(Inputs!$D$37-Inputs!$D$36)))</f>
        <v>0</v>
      </c>
      <c r="L928" s="35">
        <f>Inputs!$D$6*Inputs!$D$14*G928*(1-Inputs!$D$38*K928)</f>
        <v>13443.801000000001</v>
      </c>
      <c r="M928" s="39">
        <f>L928*Inputs!$D$11</f>
        <v>289041.72150000004</v>
      </c>
      <c r="N928" s="39">
        <f>M928*(1-Inputs!$D$17)</f>
        <v>101164.60252500001</v>
      </c>
      <c r="O928" s="35">
        <f>Inputs!$D$6*E928*Inputs!$D$27*Inputs!$D$30</f>
        <v>217.33497638842198</v>
      </c>
      <c r="P928" s="36">
        <f>O928/(C928*Inputs!$D$33)</f>
        <v>2.7166872048552748</v>
      </c>
      <c r="Q928" s="38">
        <f>IF(P928&gt;=1,999,P928/(Inputs!$D$33*(1-P928))*60)</f>
        <v>999</v>
      </c>
      <c r="R928" s="37">
        <f>MIN(1,MAX(0,(Q928-Inputs!$D$36)/(Inputs!$D$37-Inputs!$D$36)))</f>
        <v>1</v>
      </c>
      <c r="S928" s="35">
        <f>Inputs!$D$6*E928*Inputs!$D$27*(1-Inputs!$D$38*R928)</f>
        <v>996.11864178026747</v>
      </c>
      <c r="T928" s="39">
        <f>S928*Inputs!$D$12</f>
        <v>15937.898268484279</v>
      </c>
      <c r="U928" s="39">
        <f>T928*(1-Inputs!$D$18)</f>
        <v>7172.0542208179249</v>
      </c>
      <c r="V928" s="35">
        <f>Inputs!$D$6*F928*Inputs!$D$28*Inputs!$D$31</f>
        <v>737.95530007968603</v>
      </c>
      <c r="W928" s="36">
        <f>V928/(B928*Inputs!$D$34)</f>
        <v>0.78090507944940324</v>
      </c>
      <c r="X928" s="38">
        <f>IF(W928&gt;=1,999,W928/(Inputs!$D$34*(1-W928))*60)</f>
        <v>6.1101116290101798</v>
      </c>
      <c r="Y928" s="37">
        <f>MIN(1,MAX(0,(X928-Inputs!$D$36)/(Inputs!$D$37-Inputs!$D$36)))</f>
        <v>7.4007441934011986E-2</v>
      </c>
      <c r="Z928" s="35">
        <f>Inputs!$D$6*F928*Inputs!$D$28*(1-Inputs!$D$38*Y928)</f>
        <v>5487.5301328495489</v>
      </c>
      <c r="AA928" s="39">
        <f>Z928*Inputs!$D$13</f>
        <v>46644.006129221169</v>
      </c>
      <c r="AB928" s="39">
        <f>AA928*(1-Inputs!$D$19)</f>
        <v>27986.4036775327</v>
      </c>
      <c r="AC928" s="39">
        <f t="shared" si="56"/>
        <v>351623.6258977055</v>
      </c>
      <c r="AD928" s="39">
        <f t="shared" si="57"/>
        <v>136323.06042335063</v>
      </c>
      <c r="AE928" s="36">
        <f t="shared" si="58"/>
        <v>2.7166872048552748</v>
      </c>
      <c r="AF928" s="35">
        <f>IF(AND(AE928&lt;=Inputs!$D$35,C928&gt;=Inputs!$D$48*(A928+B928+C928),B928*Inputs!$D$22&lt;=Inputs!$D$50*Inputs!$D$8,B928*Inputs!$D$22&gt;=Inputs!$D$49*Inputs!$D$8,A928*Inputs!$D$20&lt;=Inputs!$D$47*Inputs!$D$8,C928&gt;=1),1,0)</f>
        <v>0</v>
      </c>
      <c r="AG928" s="39">
        <f t="shared" si="59"/>
        <v>-1</v>
      </c>
    </row>
    <row r="929" spans="1:33" x14ac:dyDescent="0.25">
      <c r="A929" s="35">
        <v>65</v>
      </c>
      <c r="B929" s="35">
        <v>10</v>
      </c>
      <c r="C929" s="35">
        <f>Inputs!$D$8-A929-Inputs!$D$22*B929</f>
        <v>35</v>
      </c>
      <c r="D929" s="35">
        <f>A929*Inputs!$D$20+C929*Inputs!$D$21+B929*Inputs!$D$22</f>
        <v>120</v>
      </c>
      <c r="E929" s="36">
        <f>MIN(Inputs!$E$15,Inputs!$D$15*(C929/Inputs!$D$43)^Inputs!$D$44)</f>
        <v>0.3595189375764975</v>
      </c>
      <c r="F929" s="36">
        <f>MIN(Inputs!$E$16,Inputs!$D$16*(B929/Inputs!$D$42)^Inputs!$D$44)</f>
        <v>0.32490095854249423</v>
      </c>
      <c r="G929" s="37">
        <f>Inputs!$D$26*(1+Inputs!$D$41*(B929-Inputs!$D$42))</f>
        <v>1.35</v>
      </c>
      <c r="H929" s="35">
        <f>Inputs!$D$6*Inputs!$D$14*G929*Inputs!$D$29</f>
        <v>1696.1805000000004</v>
      </c>
      <c r="I929" s="36">
        <f>H929/(A929*Inputs!$D$32)</f>
        <v>0.47445608391608401</v>
      </c>
      <c r="J929" s="38">
        <f>IF(I929&gt;=1,999,I929/(Inputs!$D$32*(1-I929))*60)</f>
        <v>0.98486242413000735</v>
      </c>
      <c r="K929" s="37">
        <f>MIN(1,MAX(0,(J929-Inputs!$D$36)/(Inputs!$D$37-Inputs!$D$36)))</f>
        <v>0</v>
      </c>
      <c r="L929" s="35">
        <f>Inputs!$D$6*Inputs!$D$14*G929*(1-Inputs!$D$38*K929)</f>
        <v>11307.870000000003</v>
      </c>
      <c r="M929" s="39">
        <f>L929*Inputs!$D$11</f>
        <v>243119.20500000005</v>
      </c>
      <c r="N929" s="39">
        <f>M929*(1-Inputs!$D$17)</f>
        <v>85091.721750000012</v>
      </c>
      <c r="O929" s="35">
        <f>Inputs!$D$6*E929*Inputs!$D$27*Inputs!$D$30</f>
        <v>512.90984940713565</v>
      </c>
      <c r="P929" s="36">
        <f>O929/(C929*Inputs!$D$33)</f>
        <v>0.36636417814795402</v>
      </c>
      <c r="Q929" s="38">
        <f>IF(P929&gt;=1,999,P929/(Inputs!$D$33*(1-P929))*60)</f>
        <v>0.86729040289368331</v>
      </c>
      <c r="R929" s="37">
        <f>MIN(1,MAX(0,(Q929-Inputs!$D$36)/(Inputs!$D$37-Inputs!$D$36)))</f>
        <v>0</v>
      </c>
      <c r="S929" s="35">
        <f>Inputs!$D$6*E929*Inputs!$D$27*(1-Inputs!$D$38*R929)</f>
        <v>4274.2487450594635</v>
      </c>
      <c r="T929" s="39">
        <f>S929*Inputs!$D$12</f>
        <v>68387.979920951417</v>
      </c>
      <c r="U929" s="39">
        <f>T929*(1-Inputs!$D$18)</f>
        <v>30774.590964428135</v>
      </c>
      <c r="V929" s="35">
        <f>Inputs!$D$6*F929*Inputs!$D$28*Inputs!$D$31</f>
        <v>547.7986113486553</v>
      </c>
      <c r="W929" s="36">
        <f>V929/(B929*Inputs!$D$34)</f>
        <v>1.5651388895675866</v>
      </c>
      <c r="X929" s="38">
        <f>IF(W929&gt;=1,999,W929/(Inputs!$D$34*(1-W929))*60)</f>
        <v>999</v>
      </c>
      <c r="Y929" s="37">
        <f>MIN(1,MAX(0,(X929-Inputs!$D$36)/(Inputs!$D$37-Inputs!$D$36)))</f>
        <v>1</v>
      </c>
      <c r="Z929" s="35">
        <f>Inputs!$D$6*F929*Inputs!$D$28*(1-Inputs!$D$38*Y929)</f>
        <v>2317.6095095520031</v>
      </c>
      <c r="AA929" s="39">
        <f>Z929*Inputs!$D$13</f>
        <v>19699.680831192025</v>
      </c>
      <c r="AB929" s="39">
        <f>AA929*(1-Inputs!$D$19)</f>
        <v>11819.808498715214</v>
      </c>
      <c r="AC929" s="39">
        <f t="shared" si="56"/>
        <v>331206.86575214349</v>
      </c>
      <c r="AD929" s="39">
        <f t="shared" si="57"/>
        <v>127686.12121314336</v>
      </c>
      <c r="AE929" s="36">
        <f t="shared" si="58"/>
        <v>1.5651388895675866</v>
      </c>
      <c r="AF929" s="35">
        <f>IF(AND(AE929&lt;=Inputs!$D$35,C929&gt;=Inputs!$D$48*(A929+B929+C929),B929*Inputs!$D$22&lt;=Inputs!$D$50*Inputs!$D$8,B929*Inputs!$D$22&gt;=Inputs!$D$49*Inputs!$D$8,A929*Inputs!$D$20&lt;=Inputs!$D$47*Inputs!$D$8,C929&gt;=1),1,0)</f>
        <v>0</v>
      </c>
      <c r="AG929" s="39">
        <f t="shared" si="59"/>
        <v>-1</v>
      </c>
    </row>
    <row r="930" spans="1:33" x14ac:dyDescent="0.25">
      <c r="A930" s="35">
        <v>65</v>
      </c>
      <c r="B930" s="35">
        <v>11</v>
      </c>
      <c r="C930" s="35">
        <f>Inputs!$D$8-A930-Inputs!$D$22*B930</f>
        <v>33</v>
      </c>
      <c r="D930" s="35">
        <f>A930*Inputs!$D$20+C930*Inputs!$D$21+B930*Inputs!$D$22</f>
        <v>120</v>
      </c>
      <c r="E930" s="36">
        <f>MIN(Inputs!$E$15,Inputs!$D$15*(C930/Inputs!$D$43)^Inputs!$D$44)</f>
        <v>0.35322833999035824</v>
      </c>
      <c r="F930" s="36">
        <f>MIN(Inputs!$E$16,Inputs!$D$16*(B930/Inputs!$D$42)^Inputs!$D$44)</f>
        <v>0.33432495758166098</v>
      </c>
      <c r="G930" s="37">
        <f>Inputs!$D$26*(1+Inputs!$D$41*(B930-Inputs!$D$42))</f>
        <v>1.365</v>
      </c>
      <c r="H930" s="35">
        <f>Inputs!$D$6*Inputs!$D$14*G930*Inputs!$D$29</f>
        <v>1715.0269500000002</v>
      </c>
      <c r="I930" s="36">
        <f>H930/(A930*Inputs!$D$32)</f>
        <v>0.47972781818181826</v>
      </c>
      <c r="J930" s="38">
        <f>IF(I930&gt;=1,999,I930/(Inputs!$D$32*(1-I930))*60)</f>
        <v>1.0058954837593435</v>
      </c>
      <c r="K930" s="37">
        <f>MIN(1,MAX(0,(J930-Inputs!$D$36)/(Inputs!$D$37-Inputs!$D$36)))</f>
        <v>0</v>
      </c>
      <c r="L930" s="35">
        <f>Inputs!$D$6*Inputs!$D$14*G930*(1-Inputs!$D$38*K930)</f>
        <v>11433.513000000001</v>
      </c>
      <c r="M930" s="39">
        <f>L930*Inputs!$D$11</f>
        <v>245820.5295</v>
      </c>
      <c r="N930" s="39">
        <f>M930*(1-Inputs!$D$17)</f>
        <v>86037.185324999999</v>
      </c>
      <c r="O930" s="35">
        <f>Inputs!$D$6*E930*Inputs!$D$27*Inputs!$D$30</f>
        <v>503.93533061728459</v>
      </c>
      <c r="P930" s="36">
        <f>O930/(C930*Inputs!$D$33)</f>
        <v>0.38176918986157926</v>
      </c>
      <c r="Q930" s="38">
        <f>IF(P930&gt;=1,999,P930/(Inputs!$D$33*(1-P930))*60)</f>
        <v>0.92627830156855617</v>
      </c>
      <c r="R930" s="37">
        <f>MIN(1,MAX(0,(Q930-Inputs!$D$36)/(Inputs!$D$37-Inputs!$D$36)))</f>
        <v>0</v>
      </c>
      <c r="S930" s="35">
        <f>Inputs!$D$6*E930*Inputs!$D$27*(1-Inputs!$D$38*R930)</f>
        <v>4199.461088477372</v>
      </c>
      <c r="T930" s="39">
        <f>S930*Inputs!$D$12</f>
        <v>67191.377415637951</v>
      </c>
      <c r="U930" s="39">
        <f>T930*(1-Inputs!$D$18)</f>
        <v>30236.119837037077</v>
      </c>
      <c r="V930" s="35">
        <f>Inputs!$D$6*F930*Inputs!$D$28*Inputs!$D$31</f>
        <v>563.68792608064427</v>
      </c>
      <c r="W930" s="36">
        <f>V930/(B930*Inputs!$D$34)</f>
        <v>1.4641244833263487</v>
      </c>
      <c r="X930" s="38">
        <f>IF(W930&gt;=1,999,W930/(Inputs!$D$34*(1-W930))*60)</f>
        <v>999</v>
      </c>
      <c r="Y930" s="37">
        <f>MIN(1,MAX(0,(X930-Inputs!$D$36)/(Inputs!$D$37-Inputs!$D$36)))</f>
        <v>1</v>
      </c>
      <c r="Z930" s="35">
        <f>Inputs!$D$6*F930*Inputs!$D$28*(1-Inputs!$D$38*Y930)</f>
        <v>2384.8335334181106</v>
      </c>
      <c r="AA930" s="39">
        <f>Z930*Inputs!$D$13</f>
        <v>20271.08503405394</v>
      </c>
      <c r="AB930" s="39">
        <f>AA930*(1-Inputs!$D$19)</f>
        <v>12162.651020432364</v>
      </c>
      <c r="AC930" s="39">
        <f t="shared" si="56"/>
        <v>333282.9919496919</v>
      </c>
      <c r="AD930" s="39">
        <f t="shared" si="57"/>
        <v>128435.95618246944</v>
      </c>
      <c r="AE930" s="36">
        <f t="shared" si="58"/>
        <v>1.4641244833263487</v>
      </c>
      <c r="AF930" s="35">
        <f>IF(AND(AE930&lt;=Inputs!$D$35,C930&gt;=Inputs!$D$48*(A930+B930+C930),B930*Inputs!$D$22&lt;=Inputs!$D$50*Inputs!$D$8,B930*Inputs!$D$22&gt;=Inputs!$D$49*Inputs!$D$8,A930*Inputs!$D$20&lt;=Inputs!$D$47*Inputs!$D$8,C930&gt;=1),1,0)</f>
        <v>0</v>
      </c>
      <c r="AG930" s="39">
        <f t="shared" si="59"/>
        <v>-1</v>
      </c>
    </row>
    <row r="931" spans="1:33" x14ac:dyDescent="0.25">
      <c r="A931" s="35">
        <v>65</v>
      </c>
      <c r="B931" s="35">
        <v>12</v>
      </c>
      <c r="C931" s="35">
        <f>Inputs!$D$8-A931-Inputs!$D$22*B931</f>
        <v>31</v>
      </c>
      <c r="D931" s="35">
        <f>A931*Inputs!$D$20+C931*Inputs!$D$21+B931*Inputs!$D$22</f>
        <v>120</v>
      </c>
      <c r="E931" s="36">
        <f>MIN(Inputs!$E$15,Inputs!$D$15*(C931/Inputs!$D$43)^Inputs!$D$44)</f>
        <v>0.34666489615699225</v>
      </c>
      <c r="F931" s="36">
        <f>MIN(Inputs!$E$16,Inputs!$D$16*(B931/Inputs!$D$42)^Inputs!$D$44)</f>
        <v>0.34316688017763797</v>
      </c>
      <c r="G931" s="37">
        <f>Inputs!$D$26*(1+Inputs!$D$41*(B931-Inputs!$D$42))</f>
        <v>1.3800000000000001</v>
      </c>
      <c r="H931" s="35">
        <f>Inputs!$D$6*Inputs!$D$14*G931*Inputs!$D$29</f>
        <v>1733.8734000000004</v>
      </c>
      <c r="I931" s="36">
        <f>H931/(A931*Inputs!$D$32)</f>
        <v>0.48499955244755255</v>
      </c>
      <c r="J931" s="38">
        <f>IF(I931&gt;=1,999,I931/(Inputs!$D$32*(1-I931))*60)</f>
        <v>1.0273591476791739</v>
      </c>
      <c r="K931" s="37">
        <f>MIN(1,MAX(0,(J931-Inputs!$D$36)/(Inputs!$D$37-Inputs!$D$36)))</f>
        <v>0</v>
      </c>
      <c r="L931" s="35">
        <f>Inputs!$D$6*Inputs!$D$14*G931*(1-Inputs!$D$38*K931)</f>
        <v>11559.156000000003</v>
      </c>
      <c r="M931" s="39">
        <f>L931*Inputs!$D$11</f>
        <v>248521.85400000005</v>
      </c>
      <c r="N931" s="39">
        <f>M931*(1-Inputs!$D$17)</f>
        <v>86982.648900000015</v>
      </c>
      <c r="O931" s="35">
        <f>Inputs!$D$6*E931*Inputs!$D$27*Inputs!$D$30</f>
        <v>494.57155409174993</v>
      </c>
      <c r="P931" s="36">
        <f>O931/(C931*Inputs!$D$33)</f>
        <v>0.39884802749334675</v>
      </c>
      <c r="Q931" s="38">
        <f>IF(P931&gt;=1,999,P931/(Inputs!$D$33*(1-P931))*60)</f>
        <v>0.9952093124561755</v>
      </c>
      <c r="R931" s="37">
        <f>MIN(1,MAX(0,(Q931-Inputs!$D$36)/(Inputs!$D$37-Inputs!$D$36)))</f>
        <v>0</v>
      </c>
      <c r="S931" s="35">
        <f>Inputs!$D$6*E931*Inputs!$D$27*(1-Inputs!$D$38*R931)</f>
        <v>4121.4296174312494</v>
      </c>
      <c r="T931" s="39">
        <f>S931*Inputs!$D$12</f>
        <v>65942.873878899991</v>
      </c>
      <c r="U931" s="39">
        <f>T931*(1-Inputs!$D$18)</f>
        <v>29674.293245504992</v>
      </c>
      <c r="V931" s="35">
        <f>Inputs!$D$6*F931*Inputs!$D$28*Inputs!$D$31</f>
        <v>578.5958319897461</v>
      </c>
      <c r="W931" s="36">
        <f>V931/(B931*Inputs!$D$34)</f>
        <v>1.3776091237851098</v>
      </c>
      <c r="X931" s="38">
        <f>IF(W931&gt;=1,999,W931/(Inputs!$D$34*(1-W931))*60)</f>
        <v>999</v>
      </c>
      <c r="Y931" s="37">
        <f>MIN(1,MAX(0,(X931-Inputs!$D$36)/(Inputs!$D$37-Inputs!$D$36)))</f>
        <v>1</v>
      </c>
      <c r="Z931" s="35">
        <f>Inputs!$D$6*F931*Inputs!$D$28*(1-Inputs!$D$38*Y931)</f>
        <v>2447.9054430335414</v>
      </c>
      <c r="AA931" s="39">
        <f>Z931*Inputs!$D$13</f>
        <v>20807.1962657851</v>
      </c>
      <c r="AB931" s="39">
        <f>AA931*(1-Inputs!$D$19)</f>
        <v>12484.31775947106</v>
      </c>
      <c r="AC931" s="39">
        <f t="shared" si="56"/>
        <v>335271.92414468509</v>
      </c>
      <c r="AD931" s="39">
        <f t="shared" si="57"/>
        <v>129141.25990497606</v>
      </c>
      <c r="AE931" s="36">
        <f t="shared" si="58"/>
        <v>1.3776091237851098</v>
      </c>
      <c r="AF931" s="35">
        <f>IF(AND(AE931&lt;=Inputs!$D$35,C931&gt;=Inputs!$D$48*(A931+B931+C931),B931*Inputs!$D$22&lt;=Inputs!$D$50*Inputs!$D$8,B931*Inputs!$D$22&gt;=Inputs!$D$49*Inputs!$D$8,A931*Inputs!$D$20&lt;=Inputs!$D$47*Inputs!$D$8,C931&gt;=1),1,0)</f>
        <v>0</v>
      </c>
      <c r="AG931" s="39">
        <f t="shared" si="59"/>
        <v>-1</v>
      </c>
    </row>
    <row r="932" spans="1:33" x14ac:dyDescent="0.25">
      <c r="A932" s="35">
        <v>65</v>
      </c>
      <c r="B932" s="35">
        <v>13</v>
      </c>
      <c r="C932" s="35">
        <f>Inputs!$D$8-A932-Inputs!$D$22*B932</f>
        <v>29</v>
      </c>
      <c r="D932" s="35">
        <f>A932*Inputs!$D$20+C932*Inputs!$D$21+B932*Inputs!$D$22</f>
        <v>120</v>
      </c>
      <c r="E932" s="36">
        <f>MIN(Inputs!$E$15,Inputs!$D$15*(C932/Inputs!$D$43)^Inputs!$D$44)</f>
        <v>0.33979795258455459</v>
      </c>
      <c r="F932" s="36">
        <f>MIN(Inputs!$E$16,Inputs!$D$16*(B932/Inputs!$D$42)^Inputs!$D$44)</f>
        <v>0.35150701637190523</v>
      </c>
      <c r="G932" s="37">
        <f>Inputs!$D$26*(1+Inputs!$D$41*(B932-Inputs!$D$42))</f>
        <v>1.395</v>
      </c>
      <c r="H932" s="35">
        <f>Inputs!$D$6*Inputs!$D$14*G932*Inputs!$D$29</f>
        <v>1752.7198500000002</v>
      </c>
      <c r="I932" s="36">
        <f>H932/(A932*Inputs!$D$32)</f>
        <v>0.49027128671328674</v>
      </c>
      <c r="J932" s="38">
        <f>IF(I932&gt;=1,999,I932/(Inputs!$D$32*(1-I932))*60)</f>
        <v>1.0492667761221119</v>
      </c>
      <c r="K932" s="37">
        <f>MIN(1,MAX(0,(J932-Inputs!$D$36)/(Inputs!$D$37-Inputs!$D$36)))</f>
        <v>0</v>
      </c>
      <c r="L932" s="35">
        <f>Inputs!$D$6*Inputs!$D$14*G932*(1-Inputs!$D$38*K932)</f>
        <v>11684.799000000001</v>
      </c>
      <c r="M932" s="39">
        <f>L932*Inputs!$D$11</f>
        <v>251223.17850000001</v>
      </c>
      <c r="N932" s="39">
        <f>M932*(1-Inputs!$D$17)</f>
        <v>87928.112475000002</v>
      </c>
      <c r="O932" s="35">
        <f>Inputs!$D$6*E932*Inputs!$D$27*Inputs!$D$30</f>
        <v>484.77478784247035</v>
      </c>
      <c r="P932" s="36">
        <f>O932/(C932*Inputs!$D$33)</f>
        <v>0.41790929986419856</v>
      </c>
      <c r="Q932" s="38">
        <f>IF(P932&gt;=1,999,P932/(Inputs!$D$33*(1-P932))*60)</f>
        <v>1.0769179951681944</v>
      </c>
      <c r="R932" s="37">
        <f>MIN(1,MAX(0,(Q932-Inputs!$D$36)/(Inputs!$D$37-Inputs!$D$36)))</f>
        <v>0</v>
      </c>
      <c r="S932" s="35">
        <f>Inputs!$D$6*E932*Inputs!$D$27*(1-Inputs!$D$38*R932)</f>
        <v>4039.7898986872528</v>
      </c>
      <c r="T932" s="39">
        <f>S932*Inputs!$D$12</f>
        <v>64636.638378996046</v>
      </c>
      <c r="U932" s="39">
        <f>T932*(1-Inputs!$D$18)</f>
        <v>29086.487270548219</v>
      </c>
      <c r="V932" s="35">
        <f>Inputs!$D$6*F932*Inputs!$D$28*Inputs!$D$31</f>
        <v>592.65770193981814</v>
      </c>
      <c r="W932" s="36">
        <f>V932/(B932*Inputs!$D$34)</f>
        <v>1.3025443998677322</v>
      </c>
      <c r="X932" s="38">
        <f>IF(W932&gt;=1,999,W932/(Inputs!$D$34*(1-W932))*60)</f>
        <v>999</v>
      </c>
      <c r="Y932" s="37">
        <f>MIN(1,MAX(0,(X932-Inputs!$D$36)/(Inputs!$D$37-Inputs!$D$36)))</f>
        <v>1</v>
      </c>
      <c r="Z932" s="35">
        <f>Inputs!$D$6*F932*Inputs!$D$28*(1-Inputs!$D$38*Y932)</f>
        <v>2507.3979697453847</v>
      </c>
      <c r="AA932" s="39">
        <f>Z932*Inputs!$D$13</f>
        <v>21312.882742835769</v>
      </c>
      <c r="AB932" s="39">
        <f>AA932*(1-Inputs!$D$19)</f>
        <v>12787.729645701462</v>
      </c>
      <c r="AC932" s="39">
        <f t="shared" si="56"/>
        <v>337172.69962183182</v>
      </c>
      <c r="AD932" s="39">
        <f t="shared" si="57"/>
        <v>129802.32939124967</v>
      </c>
      <c r="AE932" s="36">
        <f t="shared" si="58"/>
        <v>1.3025443998677322</v>
      </c>
      <c r="AF932" s="35">
        <f>IF(AND(AE932&lt;=Inputs!$D$35,C932&gt;=Inputs!$D$48*(A932+B932+C932),B932*Inputs!$D$22&lt;=Inputs!$D$50*Inputs!$D$8,B932*Inputs!$D$22&gt;=Inputs!$D$49*Inputs!$D$8,A932*Inputs!$D$20&lt;=Inputs!$D$47*Inputs!$D$8,C932&gt;=1),1,0)</f>
        <v>0</v>
      </c>
      <c r="AG932" s="39">
        <f t="shared" si="59"/>
        <v>-1</v>
      </c>
    </row>
    <row r="933" spans="1:33" x14ac:dyDescent="0.25">
      <c r="A933" s="35">
        <v>65</v>
      </c>
      <c r="B933" s="35">
        <v>14</v>
      </c>
      <c r="C933" s="35">
        <f>Inputs!$D$8-A933-Inputs!$D$22*B933</f>
        <v>27</v>
      </c>
      <c r="D933" s="35">
        <f>A933*Inputs!$D$20+C933*Inputs!$D$21+B933*Inputs!$D$22</f>
        <v>120</v>
      </c>
      <c r="E933" s="36">
        <f>MIN(Inputs!$E$15,Inputs!$D$15*(C933/Inputs!$D$43)^Inputs!$D$44)</f>
        <v>0.33259099594532748</v>
      </c>
      <c r="F933" s="36">
        <f>MIN(Inputs!$E$16,Inputs!$D$16*(B933/Inputs!$D$42)^Inputs!$D$44)</f>
        <v>0.35940937671625589</v>
      </c>
      <c r="G933" s="37">
        <f>Inputs!$D$26*(1+Inputs!$D$41*(B933-Inputs!$D$42))</f>
        <v>1.41</v>
      </c>
      <c r="H933" s="35">
        <f>Inputs!$D$6*Inputs!$D$14*G933*Inputs!$D$29</f>
        <v>1771.5663000000002</v>
      </c>
      <c r="I933" s="36">
        <f>H933/(A933*Inputs!$D$32)</f>
        <v>0.49554302097902103</v>
      </c>
      <c r="J933" s="38">
        <f>IF(I933&gt;=1,999,I933/(Inputs!$D$32*(1-I933))*60)</f>
        <v>1.0716322877953217</v>
      </c>
      <c r="K933" s="37">
        <f>MIN(1,MAX(0,(J933-Inputs!$D$36)/(Inputs!$D$37-Inputs!$D$36)))</f>
        <v>0</v>
      </c>
      <c r="L933" s="35">
        <f>Inputs!$D$6*Inputs!$D$14*G933*(1-Inputs!$D$38*K933)</f>
        <v>11810.442000000001</v>
      </c>
      <c r="M933" s="39">
        <f>L933*Inputs!$D$11</f>
        <v>253924.50300000003</v>
      </c>
      <c r="N933" s="39">
        <f>M933*(1-Inputs!$D$17)</f>
        <v>88873.576050000003</v>
      </c>
      <c r="O933" s="35">
        <f>Inputs!$D$6*E933*Inputs!$D$27*Inputs!$D$30</f>
        <v>474.49293991137716</v>
      </c>
      <c r="P933" s="36">
        <f>O933/(C933*Inputs!$D$33)</f>
        <v>0.43934531473275662</v>
      </c>
      <c r="Q933" s="38">
        <f>IF(P933&gt;=1,999,P933/(Inputs!$D$33*(1-P933))*60)</f>
        <v>1.1754436187133714</v>
      </c>
      <c r="R933" s="37">
        <f>MIN(1,MAX(0,(Q933-Inputs!$D$36)/(Inputs!$D$37-Inputs!$D$36)))</f>
        <v>0</v>
      </c>
      <c r="S933" s="35">
        <f>Inputs!$D$6*E933*Inputs!$D$27*(1-Inputs!$D$38*R933)</f>
        <v>3954.1078325948097</v>
      </c>
      <c r="T933" s="39">
        <f>S933*Inputs!$D$12</f>
        <v>63265.725321516955</v>
      </c>
      <c r="U933" s="39">
        <f>T933*(1-Inputs!$D$18)</f>
        <v>28469.576394682626</v>
      </c>
      <c r="V933" s="35">
        <f>Inputs!$D$6*F933*Inputs!$D$28*Inputs!$D$31</f>
        <v>605.98146079368973</v>
      </c>
      <c r="W933" s="36">
        <f>V933/(B933*Inputs!$D$34)</f>
        <v>1.2366968587626321</v>
      </c>
      <c r="X933" s="38">
        <f>IF(W933&gt;=1,999,W933/(Inputs!$D$34*(1-W933))*60)</f>
        <v>999</v>
      </c>
      <c r="Y933" s="37">
        <f>MIN(1,MAX(0,(X933-Inputs!$D$36)/(Inputs!$D$37-Inputs!$D$36)))</f>
        <v>1</v>
      </c>
      <c r="Z933" s="35">
        <f>Inputs!$D$6*F933*Inputs!$D$28*(1-Inputs!$D$38*Y933)</f>
        <v>2563.7677187425338</v>
      </c>
      <c r="AA933" s="39">
        <f>Z933*Inputs!$D$13</f>
        <v>21792.025609311539</v>
      </c>
      <c r="AB933" s="39">
        <f>AA933*(1-Inputs!$D$19)</f>
        <v>13075.215365586922</v>
      </c>
      <c r="AC933" s="39">
        <f t="shared" si="56"/>
        <v>338982.25393082853</v>
      </c>
      <c r="AD933" s="39">
        <f t="shared" si="57"/>
        <v>130418.36781026956</v>
      </c>
      <c r="AE933" s="36">
        <f t="shared" si="58"/>
        <v>1.2366968587626321</v>
      </c>
      <c r="AF933" s="35">
        <f>IF(AND(AE933&lt;=Inputs!$D$35,C933&gt;=Inputs!$D$48*(A933+B933+C933),B933*Inputs!$D$22&lt;=Inputs!$D$50*Inputs!$D$8,B933*Inputs!$D$22&gt;=Inputs!$D$49*Inputs!$D$8,A933*Inputs!$D$20&lt;=Inputs!$D$47*Inputs!$D$8,C933&gt;=1),1,0)</f>
        <v>0</v>
      </c>
      <c r="AG933" s="39">
        <f t="shared" si="59"/>
        <v>-1</v>
      </c>
    </row>
    <row r="934" spans="1:33" x14ac:dyDescent="0.25">
      <c r="A934" s="35">
        <v>65</v>
      </c>
      <c r="B934" s="35">
        <v>15</v>
      </c>
      <c r="C934" s="35">
        <f>Inputs!$D$8-A934-Inputs!$D$22*B934</f>
        <v>25</v>
      </c>
      <c r="D934" s="35">
        <f>A934*Inputs!$D$20+C934*Inputs!$D$21+B934*Inputs!$D$22</f>
        <v>120</v>
      </c>
      <c r="E934" s="36">
        <f>MIN(Inputs!$E$15,Inputs!$D$15*(C934/Inputs!$D$43)^Inputs!$D$44)</f>
        <v>0.32500000000000001</v>
      </c>
      <c r="F934" s="36">
        <f>MIN(Inputs!$E$16,Inputs!$D$16*(B934/Inputs!$D$42)^Inputs!$D$44)</f>
        <v>0.36692590185696072</v>
      </c>
      <c r="G934" s="37">
        <f>Inputs!$D$26*(1+Inputs!$D$41*(B934-Inputs!$D$42))</f>
        <v>1.4249999999999998</v>
      </c>
      <c r="H934" s="35">
        <f>Inputs!$D$6*Inputs!$D$14*G934*Inputs!$D$29</f>
        <v>1790.4127499999997</v>
      </c>
      <c r="I934" s="36">
        <f>H934/(A934*Inputs!$D$32)</f>
        <v>0.50081475524475516</v>
      </c>
      <c r="J934" s="38">
        <f>IF(I934&gt;=1,999,I934/(Inputs!$D$32*(1-I934))*60)</f>
        <v>1.0944701893698638</v>
      </c>
      <c r="K934" s="37">
        <f>MIN(1,MAX(0,(J934-Inputs!$D$36)/(Inputs!$D$37-Inputs!$D$36)))</f>
        <v>0</v>
      </c>
      <c r="L934" s="35">
        <f>Inputs!$D$6*Inputs!$D$14*G934*(1-Inputs!$D$38*K934)</f>
        <v>11936.084999999999</v>
      </c>
      <c r="M934" s="39">
        <f>L934*Inputs!$D$11</f>
        <v>256625.82749999998</v>
      </c>
      <c r="N934" s="39">
        <f>M934*(1-Inputs!$D$17)</f>
        <v>89819.03962499999</v>
      </c>
      <c r="O934" s="35">
        <f>Inputs!$D$6*E934*Inputs!$D$27*Inputs!$D$30</f>
        <v>463.66320000000002</v>
      </c>
      <c r="P934" s="36">
        <f>O934/(C934*Inputs!$D$33)</f>
        <v>0.4636632</v>
      </c>
      <c r="Q934" s="38">
        <f>IF(P934&gt;=1,999,P934/(Inputs!$D$33*(1-P934))*60)</f>
        <v>1.296750101801704</v>
      </c>
      <c r="R934" s="37">
        <f>MIN(1,MAX(0,(Q934-Inputs!$D$36)/(Inputs!$D$37-Inputs!$D$36)))</f>
        <v>0</v>
      </c>
      <c r="S934" s="35">
        <f>Inputs!$D$6*E934*Inputs!$D$27*(1-Inputs!$D$38*R934)</f>
        <v>3863.86</v>
      </c>
      <c r="T934" s="39">
        <f>S934*Inputs!$D$12</f>
        <v>61821.760000000002</v>
      </c>
      <c r="U934" s="39">
        <f>T934*(1-Inputs!$D$18)</f>
        <v>27819.791999999998</v>
      </c>
      <c r="V934" s="35">
        <f>Inputs!$D$6*F934*Inputs!$D$28*Inputs!$D$31</f>
        <v>618.65468297412497</v>
      </c>
      <c r="W934" s="36">
        <f>V934/(B934*Inputs!$D$34)</f>
        <v>1.1783898723316666</v>
      </c>
      <c r="X934" s="38">
        <f>IF(W934&gt;=1,999,W934/(Inputs!$D$34*(1-W934))*60)</f>
        <v>999</v>
      </c>
      <c r="Y934" s="37">
        <f>MIN(1,MAX(0,(X934-Inputs!$D$36)/(Inputs!$D$37-Inputs!$D$36)))</f>
        <v>1</v>
      </c>
      <c r="Z934" s="35">
        <f>Inputs!$D$6*F934*Inputs!$D$28*(1-Inputs!$D$38*Y934)</f>
        <v>2617.3851971982212</v>
      </c>
      <c r="AA934" s="39">
        <f>Z934*Inputs!$D$13</f>
        <v>22247.774176184881</v>
      </c>
      <c r="AB934" s="39">
        <f>AA934*(1-Inputs!$D$19)</f>
        <v>13348.664505710929</v>
      </c>
      <c r="AC934" s="39">
        <f t="shared" si="56"/>
        <v>340695.36167618487</v>
      </c>
      <c r="AD934" s="39">
        <f t="shared" si="57"/>
        <v>130987.49613071092</v>
      </c>
      <c r="AE934" s="36">
        <f t="shared" si="58"/>
        <v>1.1783898723316666</v>
      </c>
      <c r="AF934" s="35">
        <f>IF(AND(AE934&lt;=Inputs!$D$35,C934&gt;=Inputs!$D$48*(A934+B934+C934),B934*Inputs!$D$22&lt;=Inputs!$D$50*Inputs!$D$8,B934*Inputs!$D$22&gt;=Inputs!$D$49*Inputs!$D$8,A934*Inputs!$D$20&lt;=Inputs!$D$47*Inputs!$D$8,C934&gt;=1),1,0)</f>
        <v>0</v>
      </c>
      <c r="AG934" s="39">
        <f t="shared" si="59"/>
        <v>-1</v>
      </c>
    </row>
    <row r="935" spans="1:33" x14ac:dyDescent="0.25">
      <c r="A935" s="35">
        <v>65</v>
      </c>
      <c r="B935" s="35">
        <v>16</v>
      </c>
      <c r="C935" s="35">
        <f>Inputs!$D$8-A935-Inputs!$D$22*B935</f>
        <v>23</v>
      </c>
      <c r="D935" s="35">
        <f>A935*Inputs!$D$20+C935*Inputs!$D$21+B935*Inputs!$D$22</f>
        <v>120</v>
      </c>
      <c r="E935" s="36">
        <f>MIN(Inputs!$E$15,Inputs!$D$15*(C935/Inputs!$D$43)^Inputs!$D$44)</f>
        <v>0.31697113078396583</v>
      </c>
      <c r="F935" s="36">
        <f>MIN(Inputs!$E$16,Inputs!$D$16*(B935/Inputs!$D$42)^Inputs!$D$44)</f>
        <v>0.37409937912904856</v>
      </c>
      <c r="G935" s="37">
        <f>Inputs!$D$26*(1+Inputs!$D$41*(B935-Inputs!$D$42))</f>
        <v>1.44</v>
      </c>
      <c r="H935" s="35">
        <f>Inputs!$D$6*Inputs!$D$14*G935*Inputs!$D$29</f>
        <v>1809.2592000000002</v>
      </c>
      <c r="I935" s="36">
        <f>H935/(A935*Inputs!$D$32)</f>
        <v>0.50608648951048951</v>
      </c>
      <c r="J935" s="38">
        <f>IF(I935&gt;=1,999,I935/(Inputs!$D$32*(1-I935))*60)</f>
        <v>1.1177956068585542</v>
      </c>
      <c r="K935" s="37">
        <f>MIN(1,MAX(0,(J935-Inputs!$D$36)/(Inputs!$D$37-Inputs!$D$36)))</f>
        <v>0</v>
      </c>
      <c r="L935" s="35">
        <f>Inputs!$D$6*Inputs!$D$14*G935*(1-Inputs!$D$38*K935)</f>
        <v>12061.728000000001</v>
      </c>
      <c r="M935" s="39">
        <f>L935*Inputs!$D$11</f>
        <v>259327.15200000003</v>
      </c>
      <c r="N935" s="39">
        <f>M935*(1-Inputs!$D$17)</f>
        <v>90764.503200000006</v>
      </c>
      <c r="O935" s="35">
        <f>Inputs!$D$6*E935*Inputs!$D$27*Inputs!$D$30</f>
        <v>452.20876555972956</v>
      </c>
      <c r="P935" s="36">
        <f>O935/(C935*Inputs!$D$33)</f>
        <v>0.49153126691274951</v>
      </c>
      <c r="Q935" s="38">
        <f>IF(P935&gt;=1,999,P935/(Inputs!$D$33*(1-P935))*60)</f>
        <v>1.4500339005950402</v>
      </c>
      <c r="R935" s="37">
        <f>MIN(1,MAX(0,(Q935-Inputs!$D$36)/(Inputs!$D$37-Inputs!$D$36)))</f>
        <v>0</v>
      </c>
      <c r="S935" s="35">
        <f>Inputs!$D$6*E935*Inputs!$D$27*(1-Inputs!$D$38*R935)</f>
        <v>3768.4063796644132</v>
      </c>
      <c r="T935" s="39">
        <f>S935*Inputs!$D$12</f>
        <v>60294.502074630611</v>
      </c>
      <c r="U935" s="39">
        <f>T935*(1-Inputs!$D$18)</f>
        <v>27132.525933583773</v>
      </c>
      <c r="V935" s="35">
        <f>Inputs!$D$6*F935*Inputs!$D$28*Inputs!$D$31</f>
        <v>630.74950998177405</v>
      </c>
      <c r="W935" s="36">
        <f>V935/(B935*Inputs!$D$34)</f>
        <v>1.1263384106817393</v>
      </c>
      <c r="X935" s="38">
        <f>IF(W935&gt;=1,999,W935/(Inputs!$D$34*(1-W935))*60)</f>
        <v>999</v>
      </c>
      <c r="Y935" s="37">
        <f>MIN(1,MAX(0,(X935-Inputs!$D$36)/(Inputs!$D$37-Inputs!$D$36)))</f>
        <v>1</v>
      </c>
      <c r="Z935" s="35">
        <f>Inputs!$D$6*F935*Inputs!$D$28*(1-Inputs!$D$38*Y935)</f>
        <v>2668.5556191536598</v>
      </c>
      <c r="AA935" s="39">
        <f>Z935*Inputs!$D$13</f>
        <v>22682.722762806108</v>
      </c>
      <c r="AB935" s="39">
        <f>AA935*(1-Inputs!$D$19)</f>
        <v>13609.633657683664</v>
      </c>
      <c r="AC935" s="39">
        <f t="shared" si="56"/>
        <v>342304.37683743675</v>
      </c>
      <c r="AD935" s="39">
        <f t="shared" si="57"/>
        <v>131506.66279126744</v>
      </c>
      <c r="AE935" s="36">
        <f t="shared" si="58"/>
        <v>1.1263384106817393</v>
      </c>
      <c r="AF935" s="35">
        <f>IF(AND(AE935&lt;=Inputs!$D$35,C935&gt;=Inputs!$D$48*(A935+B935+C935),B935*Inputs!$D$22&lt;=Inputs!$D$50*Inputs!$D$8,B935*Inputs!$D$22&gt;=Inputs!$D$49*Inputs!$D$8,A935*Inputs!$D$20&lt;=Inputs!$D$47*Inputs!$D$8,C935&gt;=1),1,0)</f>
        <v>0</v>
      </c>
      <c r="AG935" s="39">
        <f t="shared" si="59"/>
        <v>-1</v>
      </c>
    </row>
    <row r="936" spans="1:33" x14ac:dyDescent="0.25">
      <c r="A936" s="35">
        <v>65</v>
      </c>
      <c r="B936" s="35">
        <v>17</v>
      </c>
      <c r="C936" s="35">
        <f>Inputs!$D$8-A936-Inputs!$D$22*B936</f>
        <v>21</v>
      </c>
      <c r="D936" s="35">
        <f>A936*Inputs!$D$20+C936*Inputs!$D$21+B936*Inputs!$D$22</f>
        <v>120</v>
      </c>
      <c r="E936" s="36">
        <f>MIN(Inputs!$E$15,Inputs!$D$15*(C936/Inputs!$D$43)^Inputs!$D$44)</f>
        <v>0.30843748043226404</v>
      </c>
      <c r="F936" s="36">
        <f>MIN(Inputs!$E$16,Inputs!$D$16*(B936/Inputs!$D$42)^Inputs!$D$44)</f>
        <v>0.3809655184437048</v>
      </c>
      <c r="G936" s="37">
        <f>Inputs!$D$26*(1+Inputs!$D$41*(B936-Inputs!$D$42))</f>
        <v>1.4550000000000001</v>
      </c>
      <c r="H936" s="35">
        <f>Inputs!$D$6*Inputs!$D$14*G936*Inputs!$D$29</f>
        <v>1828.1056500000002</v>
      </c>
      <c r="I936" s="36">
        <f>H936/(A936*Inputs!$D$32)</f>
        <v>0.51135822377622386</v>
      </c>
      <c r="J936" s="38">
        <f>IF(I936&gt;=1,999,I936/(Inputs!$D$32*(1-I936))*60)</f>
        <v>1.1416243190249447</v>
      </c>
      <c r="K936" s="37">
        <f>MIN(1,MAX(0,(J936-Inputs!$D$36)/(Inputs!$D$37-Inputs!$D$36)))</f>
        <v>0</v>
      </c>
      <c r="L936" s="35">
        <f>Inputs!$D$6*Inputs!$D$14*G936*(1-Inputs!$D$38*K936)</f>
        <v>12187.371000000001</v>
      </c>
      <c r="M936" s="39">
        <f>L936*Inputs!$D$11</f>
        <v>262028.47650000002</v>
      </c>
      <c r="N936" s="39">
        <f>M936*(1-Inputs!$D$17)</f>
        <v>91709.966775000008</v>
      </c>
      <c r="O936" s="35">
        <f>Inputs!$D$6*E936*Inputs!$D$27*Inputs!$D$30</f>
        <v>440.03418208357215</v>
      </c>
      <c r="P936" s="36">
        <f>O936/(C936*Inputs!$D$33)</f>
        <v>0.52385021676615728</v>
      </c>
      <c r="Q936" s="38">
        <f>IF(P936&gt;=1,999,P936/(Inputs!$D$33*(1-P936))*60)</f>
        <v>1.6502692069132636</v>
      </c>
      <c r="R936" s="37">
        <f>MIN(1,MAX(0,(Q936-Inputs!$D$36)/(Inputs!$D$37-Inputs!$D$36)))</f>
        <v>0</v>
      </c>
      <c r="S936" s="35">
        <f>Inputs!$D$6*E936*Inputs!$D$27*(1-Inputs!$D$38*R936)</f>
        <v>3666.9515173631012</v>
      </c>
      <c r="T936" s="39">
        <f>S936*Inputs!$D$12</f>
        <v>58671.224277809619</v>
      </c>
      <c r="U936" s="39">
        <f>T936*(1-Inputs!$D$18)</f>
        <v>26402.050925014326</v>
      </c>
      <c r="V936" s="35">
        <f>Inputs!$D$6*F936*Inputs!$D$28*Inputs!$D$31</f>
        <v>642.32615044097156</v>
      </c>
      <c r="W936" s="36">
        <f>V936/(B936*Inputs!$D$34)</f>
        <v>1.0795397486402882</v>
      </c>
      <c r="X936" s="38">
        <f>IF(W936&gt;=1,999,W936/(Inputs!$D$34*(1-W936))*60)</f>
        <v>999</v>
      </c>
      <c r="Y936" s="37">
        <f>MIN(1,MAX(0,(X936-Inputs!$D$36)/(Inputs!$D$37-Inputs!$D$36)))</f>
        <v>1</v>
      </c>
      <c r="Z936" s="35">
        <f>Inputs!$D$6*F936*Inputs!$D$28*(1-Inputs!$D$38*Y936)</f>
        <v>2717.5337134041106</v>
      </c>
      <c r="AA936" s="39">
        <f>Z936*Inputs!$D$13</f>
        <v>23099.03656393494</v>
      </c>
      <c r="AB936" s="39">
        <f>AA936*(1-Inputs!$D$19)</f>
        <v>13859.421938360963</v>
      </c>
      <c r="AC936" s="39">
        <f t="shared" si="56"/>
        <v>343798.73734174459</v>
      </c>
      <c r="AD936" s="39">
        <f t="shared" si="57"/>
        <v>131971.4396383753</v>
      </c>
      <c r="AE936" s="36">
        <f t="shared" si="58"/>
        <v>1.0795397486402882</v>
      </c>
      <c r="AF936" s="35">
        <f>IF(AND(AE936&lt;=Inputs!$D$35,C936&gt;=Inputs!$D$48*(A936+B936+C936),B936*Inputs!$D$22&lt;=Inputs!$D$50*Inputs!$D$8,B936*Inputs!$D$22&gt;=Inputs!$D$49*Inputs!$D$8,A936*Inputs!$D$20&lt;=Inputs!$D$47*Inputs!$D$8,C936&gt;=1),1,0)</f>
        <v>0</v>
      </c>
      <c r="AG936" s="39">
        <f t="shared" si="59"/>
        <v>-1</v>
      </c>
    </row>
    <row r="937" spans="1:33" x14ac:dyDescent="0.25">
      <c r="A937" s="35">
        <v>65</v>
      </c>
      <c r="B937" s="35">
        <v>18</v>
      </c>
      <c r="C937" s="35">
        <f>Inputs!$D$8-A937-Inputs!$D$22*B937</f>
        <v>19</v>
      </c>
      <c r="D937" s="35">
        <f>A937*Inputs!$D$20+C937*Inputs!$D$21+B937*Inputs!$D$22</f>
        <v>120</v>
      </c>
      <c r="E937" s="36">
        <f>MIN(Inputs!$E$15,Inputs!$D$15*(C937/Inputs!$D$43)^Inputs!$D$44)</f>
        <v>0.29931428106923352</v>
      </c>
      <c r="F937" s="36">
        <f>MIN(Inputs!$E$16,Inputs!$D$16*(B937/Inputs!$D$42)^Inputs!$D$44)</f>
        <v>0.38755446447890535</v>
      </c>
      <c r="G937" s="37">
        <f>Inputs!$D$26*(1+Inputs!$D$41*(B937-Inputs!$D$42))</f>
        <v>1.47</v>
      </c>
      <c r="H937" s="35">
        <f>Inputs!$D$6*Inputs!$D$14*G937*Inputs!$D$29</f>
        <v>1846.9521</v>
      </c>
      <c r="I937" s="36">
        <f>H937/(A937*Inputs!$D$32)</f>
        <v>0.51662995804195799</v>
      </c>
      <c r="J937" s="38">
        <f>IF(I937&gt;=1,999,I937/(Inputs!$D$32*(1-I937))*60)</f>
        <v>1.1659727929785024</v>
      </c>
      <c r="K937" s="37">
        <f>MIN(1,MAX(0,(J937-Inputs!$D$36)/(Inputs!$D$37-Inputs!$D$36)))</f>
        <v>0</v>
      </c>
      <c r="L937" s="35">
        <f>Inputs!$D$6*Inputs!$D$14*G937*(1-Inputs!$D$38*K937)</f>
        <v>12313.014000000001</v>
      </c>
      <c r="M937" s="39">
        <f>L937*Inputs!$D$11</f>
        <v>264729.80100000004</v>
      </c>
      <c r="N937" s="39">
        <f>M937*(1-Inputs!$D$17)</f>
        <v>92655.43035000001</v>
      </c>
      <c r="O937" s="35">
        <f>Inputs!$D$6*E937*Inputs!$D$27*Inputs!$D$30</f>
        <v>427.01851497310844</v>
      </c>
      <c r="P937" s="36">
        <f>O937/(C937*Inputs!$D$33)</f>
        <v>0.56186646706987953</v>
      </c>
      <c r="Q937" s="38">
        <f>IF(P937&gt;=1,999,P937/(Inputs!$D$33*(1-P937))*60)</f>
        <v>1.9236137781292366</v>
      </c>
      <c r="R937" s="37">
        <f>MIN(1,MAX(0,(Q937-Inputs!$D$36)/(Inputs!$D$37-Inputs!$D$36)))</f>
        <v>0</v>
      </c>
      <c r="S937" s="35">
        <f>Inputs!$D$6*E937*Inputs!$D$27*(1-Inputs!$D$38*R937)</f>
        <v>3558.4876247759039</v>
      </c>
      <c r="T937" s="39">
        <f>S937*Inputs!$D$12</f>
        <v>56935.801996414462</v>
      </c>
      <c r="U937" s="39">
        <f>T937*(1-Inputs!$D$18)</f>
        <v>25621.110898386505</v>
      </c>
      <c r="V937" s="35">
        <f>Inputs!$D$6*F937*Inputs!$D$28*Inputs!$D$31</f>
        <v>653.43542972572936</v>
      </c>
      <c r="W937" s="36">
        <f>V937/(B937*Inputs!$D$34)</f>
        <v>1.037199094802745</v>
      </c>
      <c r="X937" s="38">
        <f>IF(W937&gt;=1,999,W937/(Inputs!$D$34*(1-W937))*60)</f>
        <v>999</v>
      </c>
      <c r="Y937" s="37">
        <f>MIN(1,MAX(0,(X937-Inputs!$D$36)/(Inputs!$D$37-Inputs!$D$36)))</f>
        <v>1</v>
      </c>
      <c r="Z937" s="35">
        <f>Inputs!$D$6*F937*Inputs!$D$28*(1-Inputs!$D$38*Y937)</f>
        <v>2764.534510378086</v>
      </c>
      <c r="AA937" s="39">
        <f>Z937*Inputs!$D$13</f>
        <v>23498.543338213731</v>
      </c>
      <c r="AB937" s="39">
        <f>AA937*(1-Inputs!$D$19)</f>
        <v>14099.126002928238</v>
      </c>
      <c r="AC937" s="39">
        <f t="shared" si="56"/>
        <v>345164.14633462828</v>
      </c>
      <c r="AD937" s="39">
        <f t="shared" si="57"/>
        <v>132375.66725131476</v>
      </c>
      <c r="AE937" s="36">
        <f t="shared" si="58"/>
        <v>1.037199094802745</v>
      </c>
      <c r="AF937" s="35">
        <f>IF(AND(AE937&lt;=Inputs!$D$35,C937&gt;=Inputs!$D$48*(A937+B937+C937),B937*Inputs!$D$22&lt;=Inputs!$D$50*Inputs!$D$8,B937*Inputs!$D$22&gt;=Inputs!$D$49*Inputs!$D$8,A937*Inputs!$D$20&lt;=Inputs!$D$47*Inputs!$D$8,C937&gt;=1),1,0)</f>
        <v>0</v>
      </c>
      <c r="AG937" s="39">
        <f t="shared" si="59"/>
        <v>-1</v>
      </c>
    </row>
    <row r="938" spans="1:33" x14ac:dyDescent="0.25">
      <c r="A938" s="35">
        <v>65</v>
      </c>
      <c r="B938" s="35">
        <v>19</v>
      </c>
      <c r="C938" s="35">
        <f>Inputs!$D$8-A938-Inputs!$D$22*B938</f>
        <v>17</v>
      </c>
      <c r="D938" s="35">
        <f>A938*Inputs!$D$20+C938*Inputs!$D$21+B938*Inputs!$D$22</f>
        <v>120</v>
      </c>
      <c r="E938" s="36">
        <f>MIN(Inputs!$E$15,Inputs!$D$15*(C938/Inputs!$D$43)^Inputs!$D$44)</f>
        <v>0.28949164546121231</v>
      </c>
      <c r="F938" s="36">
        <f>MIN(Inputs!$E$16,Inputs!$D$16*(B938/Inputs!$D$42)^Inputs!$D$44)</f>
        <v>0.39389192072703005</v>
      </c>
      <c r="G938" s="37">
        <f>Inputs!$D$26*(1+Inputs!$D$41*(B938-Inputs!$D$42))</f>
        <v>1.4849999999999999</v>
      </c>
      <c r="H938" s="35">
        <f>Inputs!$D$6*Inputs!$D$14*G938*Inputs!$D$29</f>
        <v>1865.7985499999998</v>
      </c>
      <c r="I938" s="36">
        <f>H938/(A938*Inputs!$D$32)</f>
        <v>0.52190169230769223</v>
      </c>
      <c r="J938" s="38">
        <f>IF(I938&gt;=1,999,I938/(Inputs!$D$32*(1-I938))*60)</f>
        <v>1.1908582221247235</v>
      </c>
      <c r="K938" s="37">
        <f>MIN(1,MAX(0,(J938-Inputs!$D$36)/(Inputs!$D$37-Inputs!$D$36)))</f>
        <v>0</v>
      </c>
      <c r="L938" s="35">
        <f>Inputs!$D$6*Inputs!$D$14*G938*(1-Inputs!$D$38*K938)</f>
        <v>12438.656999999999</v>
      </c>
      <c r="M938" s="39">
        <f>L938*Inputs!$D$11</f>
        <v>267431.12549999997</v>
      </c>
      <c r="N938" s="39">
        <f>M938*(1-Inputs!$D$17)</f>
        <v>93600.893924999982</v>
      </c>
      <c r="O938" s="35">
        <f>Inputs!$D$6*E938*Inputs!$D$27*Inputs!$D$30</f>
        <v>413.00499294711136</v>
      </c>
      <c r="P938" s="36">
        <f>O938/(C938*Inputs!$D$33)</f>
        <v>0.60736028374575202</v>
      </c>
      <c r="Q938" s="38">
        <f>IF(P938&gt;=1,999,P938/(Inputs!$D$33*(1-P938))*60)</f>
        <v>2.3202961593133828</v>
      </c>
      <c r="R938" s="37">
        <f>MIN(1,MAX(0,(Q938-Inputs!$D$36)/(Inputs!$D$37-Inputs!$D$36)))</f>
        <v>0</v>
      </c>
      <c r="S938" s="35">
        <f>Inputs!$D$6*E938*Inputs!$D$27*(1-Inputs!$D$38*R938)</f>
        <v>3441.7082745592616</v>
      </c>
      <c r="T938" s="39">
        <f>S938*Inputs!$D$12</f>
        <v>55067.332392948185</v>
      </c>
      <c r="U938" s="39">
        <f>T938*(1-Inputs!$D$18)</f>
        <v>24780.299576826681</v>
      </c>
      <c r="V938" s="35">
        <f>Inputs!$D$6*F938*Inputs!$D$28*Inputs!$D$31</f>
        <v>664.12068515796761</v>
      </c>
      <c r="W938" s="36">
        <f>V938/(B938*Inputs!$D$34)</f>
        <v>0.99867772204205651</v>
      </c>
      <c r="X938" s="38">
        <f>IF(W938&gt;=1,999,W938/(Inputs!$D$34*(1-W938))*60)</f>
        <v>1294.749671797274</v>
      </c>
      <c r="Y938" s="37">
        <f>MIN(1,MAX(0,(X938-Inputs!$D$36)/(Inputs!$D$37-Inputs!$D$36)))</f>
        <v>1</v>
      </c>
      <c r="Z938" s="35">
        <f>Inputs!$D$6*F938*Inputs!$D$28*(1-Inputs!$D$38*Y938)</f>
        <v>2809.7413602837091</v>
      </c>
      <c r="AA938" s="39">
        <f>Z938*Inputs!$D$13</f>
        <v>23882.801562411529</v>
      </c>
      <c r="AB938" s="39">
        <f>AA938*(1-Inputs!$D$19)</f>
        <v>14329.680937446918</v>
      </c>
      <c r="AC938" s="39">
        <f t="shared" si="56"/>
        <v>346381.25945535972</v>
      </c>
      <c r="AD938" s="39">
        <f t="shared" si="57"/>
        <v>132710.87443927358</v>
      </c>
      <c r="AE938" s="36">
        <f t="shared" si="58"/>
        <v>0.99867772204205651</v>
      </c>
      <c r="AF938" s="35">
        <f>IF(AND(AE938&lt;=Inputs!$D$35,C938&gt;=Inputs!$D$48*(A938+B938+C938),B938*Inputs!$D$22&lt;=Inputs!$D$50*Inputs!$D$8,B938*Inputs!$D$22&gt;=Inputs!$D$49*Inputs!$D$8,A938*Inputs!$D$20&lt;=Inputs!$D$47*Inputs!$D$8,C938&gt;=1),1,0)</f>
        <v>0</v>
      </c>
      <c r="AG938" s="39">
        <f t="shared" si="59"/>
        <v>-1</v>
      </c>
    </row>
    <row r="939" spans="1:33" x14ac:dyDescent="0.25">
      <c r="A939" s="35">
        <v>65</v>
      </c>
      <c r="B939" s="35">
        <v>20</v>
      </c>
      <c r="C939" s="35">
        <f>Inputs!$D$8-A939-Inputs!$D$22*B939</f>
        <v>15</v>
      </c>
      <c r="D939" s="35">
        <f>A939*Inputs!$D$20+C939*Inputs!$D$21+B939*Inputs!$D$22</f>
        <v>120</v>
      </c>
      <c r="E939" s="36">
        <f>MIN(Inputs!$E$15,Inputs!$D$15*(C939/Inputs!$D$43)^Inputs!$D$44)</f>
        <v>0.27882309014433088</v>
      </c>
      <c r="F939" s="36">
        <f>MIN(Inputs!$E$16,Inputs!$D$16*(B939/Inputs!$D$42)^Inputs!$D$44)</f>
        <v>0.4</v>
      </c>
      <c r="G939" s="37">
        <f>Inputs!$D$26*(1+Inputs!$D$41*(B939-Inputs!$D$42))</f>
        <v>1.5</v>
      </c>
      <c r="H939" s="35">
        <f>Inputs!$D$6*Inputs!$D$14*G939*Inputs!$D$29</f>
        <v>1884.645</v>
      </c>
      <c r="I939" s="36">
        <f>H939/(A939*Inputs!$D$32)</f>
        <v>0.52717342657342658</v>
      </c>
      <c r="J939" s="38">
        <f>IF(I939&gt;=1,999,I939/(Inputs!$D$32*(1-I939))*60)</f>
        <v>1.2162985666539654</v>
      </c>
      <c r="K939" s="37">
        <f>MIN(1,MAX(0,(J939-Inputs!$D$36)/(Inputs!$D$37-Inputs!$D$36)))</f>
        <v>0</v>
      </c>
      <c r="L939" s="35">
        <f>Inputs!$D$6*Inputs!$D$14*G939*(1-Inputs!$D$38*K939)</f>
        <v>12564.300000000001</v>
      </c>
      <c r="M939" s="39">
        <f>L939*Inputs!$D$11</f>
        <v>270132.45</v>
      </c>
      <c r="N939" s="39">
        <f>M939*(1-Inputs!$D$17)</f>
        <v>94546.357499999998</v>
      </c>
      <c r="O939" s="35">
        <f>Inputs!$D$6*E939*Inputs!$D$27*Inputs!$D$30</f>
        <v>397.78463449295054</v>
      </c>
      <c r="P939" s="36">
        <f>O939/(C939*Inputs!$D$33)</f>
        <v>0.66297439082158427</v>
      </c>
      <c r="Q939" s="38">
        <f>IF(P939&gt;=1,999,P939/(Inputs!$D$33*(1-P939))*60)</f>
        <v>2.9507003597044905</v>
      </c>
      <c r="R939" s="37">
        <f>MIN(1,MAX(0,(Q939-Inputs!$D$36)/(Inputs!$D$37-Inputs!$D$36)))</f>
        <v>0</v>
      </c>
      <c r="S939" s="35">
        <f>Inputs!$D$6*E939*Inputs!$D$27*(1-Inputs!$D$38*R939)</f>
        <v>3314.8719541079213</v>
      </c>
      <c r="T939" s="39">
        <f>S939*Inputs!$D$12</f>
        <v>53037.951265726741</v>
      </c>
      <c r="U939" s="39">
        <f>T939*(1-Inputs!$D$18)</f>
        <v>23867.07806957703</v>
      </c>
      <c r="V939" s="35">
        <f>Inputs!$D$6*F939*Inputs!$D$28*Inputs!$D$31</f>
        <v>674.41919999999993</v>
      </c>
      <c r="W939" s="36">
        <f>V939/(B939*Inputs!$D$34)</f>
        <v>0.96345599999999987</v>
      </c>
      <c r="X939" s="38">
        <f>IF(W939&gt;=1,999,W939/(Inputs!$D$34*(1-W939))*60)</f>
        <v>45.195896922691851</v>
      </c>
      <c r="Y939" s="37">
        <f>MIN(1,MAX(0,(X939-Inputs!$D$36)/(Inputs!$D$37-Inputs!$D$36)))</f>
        <v>1</v>
      </c>
      <c r="Z939" s="35">
        <f>Inputs!$D$6*F939*Inputs!$D$28*(1-Inputs!$D$38*Y939)</f>
        <v>2853.3119999999999</v>
      </c>
      <c r="AA939" s="39">
        <f>Z939*Inputs!$D$13</f>
        <v>24253.151999999998</v>
      </c>
      <c r="AB939" s="39">
        <f>AA939*(1-Inputs!$D$19)</f>
        <v>14551.891199999998</v>
      </c>
      <c r="AC939" s="39">
        <f t="shared" si="56"/>
        <v>347423.55326572678</v>
      </c>
      <c r="AD939" s="39">
        <f t="shared" si="57"/>
        <v>132965.32676957705</v>
      </c>
      <c r="AE939" s="36">
        <f t="shared" si="58"/>
        <v>0.96345599999999987</v>
      </c>
      <c r="AF939" s="35">
        <f>IF(AND(AE939&lt;=Inputs!$D$35,C939&gt;=Inputs!$D$48*(A939+B939+C939),B939*Inputs!$D$22&lt;=Inputs!$D$50*Inputs!$D$8,B939*Inputs!$D$22&gt;=Inputs!$D$49*Inputs!$D$8,A939*Inputs!$D$20&lt;=Inputs!$D$47*Inputs!$D$8,C939&gt;=1),1,0)</f>
        <v>0</v>
      </c>
      <c r="AG939" s="39">
        <f t="shared" si="59"/>
        <v>-1</v>
      </c>
    </row>
    <row r="940" spans="1:33" x14ac:dyDescent="0.25">
      <c r="A940" s="35">
        <v>65</v>
      </c>
      <c r="B940" s="35">
        <v>21</v>
      </c>
      <c r="C940" s="35">
        <f>Inputs!$D$8-A940-Inputs!$D$22*B940</f>
        <v>13</v>
      </c>
      <c r="D940" s="35">
        <f>A940*Inputs!$D$20+C940*Inputs!$D$21+B940*Inputs!$D$22</f>
        <v>120</v>
      </c>
      <c r="E940" s="36">
        <f>MIN(Inputs!$E$15,Inputs!$D$15*(C940/Inputs!$D$43)^Inputs!$D$44)</f>
        <v>0.26710644306172537</v>
      </c>
      <c r="F940" s="36">
        <f>MIN(Inputs!$E$16,Inputs!$D$16*(B940/Inputs!$D$42)^Inputs!$D$44)</f>
        <v>0.40589787816896217</v>
      </c>
      <c r="G940" s="37">
        <f>Inputs!$D$26*(1+Inputs!$D$41*(B940-Inputs!$D$42))</f>
        <v>1.5150000000000001</v>
      </c>
      <c r="H940" s="35">
        <f>Inputs!$D$6*Inputs!$D$14*G940*Inputs!$D$29</f>
        <v>1903.4914500000004</v>
      </c>
      <c r="I940" s="36">
        <f>H940/(A940*Inputs!$D$32)</f>
        <v>0.53244516083916094</v>
      </c>
      <c r="J940" s="38">
        <f>IF(I940&gt;=1,999,I940/(Inputs!$D$32*(1-I940))*60)</f>
        <v>1.2423125967693842</v>
      </c>
      <c r="K940" s="37">
        <f>MIN(1,MAX(0,(J940-Inputs!$D$36)/(Inputs!$D$37-Inputs!$D$36)))</f>
        <v>0</v>
      </c>
      <c r="L940" s="35">
        <f>Inputs!$D$6*Inputs!$D$14*G940*(1-Inputs!$D$38*K940)</f>
        <v>12689.943000000003</v>
      </c>
      <c r="M940" s="39">
        <f>L940*Inputs!$D$11</f>
        <v>272833.77450000006</v>
      </c>
      <c r="N940" s="39">
        <f>M940*(1-Inputs!$D$17)</f>
        <v>95491.821075000014</v>
      </c>
      <c r="O940" s="35">
        <f>Inputs!$D$6*E940*Inputs!$D$27*Inputs!$D$30</f>
        <v>381.06900963266889</v>
      </c>
      <c r="P940" s="36">
        <f>O940/(C940*Inputs!$D$33)</f>
        <v>0.73282501852436321</v>
      </c>
      <c r="Q940" s="38">
        <f>IF(P940&gt;=1,999,P940/(Inputs!$D$33*(1-P940))*60)</f>
        <v>4.1142981341865736</v>
      </c>
      <c r="R940" s="37">
        <f>MIN(1,MAX(0,(Q940-Inputs!$D$36)/(Inputs!$D$37-Inputs!$D$36)))</f>
        <v>0</v>
      </c>
      <c r="S940" s="35">
        <f>Inputs!$D$6*E940*Inputs!$D$27*(1-Inputs!$D$38*R940)</f>
        <v>3175.5750802722409</v>
      </c>
      <c r="T940" s="39">
        <f>S940*Inputs!$D$12</f>
        <v>50809.201284355855</v>
      </c>
      <c r="U940" s="39">
        <f>T940*(1-Inputs!$D$18)</f>
        <v>22864.140577960134</v>
      </c>
      <c r="V940" s="35">
        <f>Inputs!$D$6*F940*Inputs!$D$28*Inputs!$D$31</f>
        <v>684.36330569102222</v>
      </c>
      <c r="W940" s="36">
        <f>V940/(B940*Inputs!$D$34)</f>
        <v>0.93110653835513224</v>
      </c>
      <c r="X940" s="38">
        <f>IF(W940&gt;=1,999,W940/(Inputs!$D$34*(1-W940))*60)</f>
        <v>23.16885520150278</v>
      </c>
      <c r="Y940" s="37">
        <f>MIN(1,MAX(0,(X940-Inputs!$D$36)/(Inputs!$D$37-Inputs!$D$36)))</f>
        <v>1</v>
      </c>
      <c r="Z940" s="35">
        <f>Inputs!$D$6*F940*Inputs!$D$28*(1-Inputs!$D$38*Y940)</f>
        <v>2895.3832163850943</v>
      </c>
      <c r="AA940" s="39">
        <f>Z940*Inputs!$D$13</f>
        <v>24610.757339273303</v>
      </c>
      <c r="AB940" s="39">
        <f>AA940*(1-Inputs!$D$19)</f>
        <v>14766.454403563981</v>
      </c>
      <c r="AC940" s="39">
        <f t="shared" si="56"/>
        <v>348253.73312362918</v>
      </c>
      <c r="AD940" s="39">
        <f t="shared" si="57"/>
        <v>133122.41605652412</v>
      </c>
      <c r="AE940" s="36">
        <f t="shared" si="58"/>
        <v>0.93110653835513224</v>
      </c>
      <c r="AF940" s="35">
        <f>IF(AND(AE940&lt;=Inputs!$D$35,C940&gt;=Inputs!$D$48*(A940+B940+C940),B940*Inputs!$D$22&lt;=Inputs!$D$50*Inputs!$D$8,B940*Inputs!$D$22&gt;=Inputs!$D$49*Inputs!$D$8,A940*Inputs!$D$20&lt;=Inputs!$D$47*Inputs!$D$8,C940&gt;=1),1,0)</f>
        <v>0</v>
      </c>
      <c r="AG940" s="39">
        <f t="shared" si="59"/>
        <v>-1</v>
      </c>
    </row>
    <row r="941" spans="1:33" x14ac:dyDescent="0.25">
      <c r="A941" s="35">
        <v>65</v>
      </c>
      <c r="B941" s="35">
        <v>22</v>
      </c>
      <c r="C941" s="35">
        <f>Inputs!$D$8-A941-Inputs!$D$22*B941</f>
        <v>11</v>
      </c>
      <c r="D941" s="35">
        <f>A941*Inputs!$D$20+C941*Inputs!$D$21+B941*Inputs!$D$22</f>
        <v>120</v>
      </c>
      <c r="E941" s="36">
        <f>MIN(Inputs!$E$15,Inputs!$D$15*(C941/Inputs!$D$43)^Inputs!$D$44)</f>
        <v>0.25404997933787238</v>
      </c>
      <c r="F941" s="36">
        <f>MIN(Inputs!$E$16,Inputs!$D$16*(B941/Inputs!$D$42)^Inputs!$D$44)</f>
        <v>0.41160230376843804</v>
      </c>
      <c r="G941" s="37">
        <f>Inputs!$D$26*(1+Inputs!$D$41*(B941-Inputs!$D$42))</f>
        <v>1.53</v>
      </c>
      <c r="H941" s="35">
        <f>Inputs!$D$6*Inputs!$D$14*G941*Inputs!$D$29</f>
        <v>1922.3379</v>
      </c>
      <c r="I941" s="36">
        <f>H941/(A941*Inputs!$D$32)</f>
        <v>0.53771689510489507</v>
      </c>
      <c r="J941" s="38">
        <f>IF(I941&gt;=1,999,I941/(Inputs!$D$32*(1-I941))*60)</f>
        <v>1.2689199388726169</v>
      </c>
      <c r="K941" s="37">
        <f>MIN(1,MAX(0,(J941-Inputs!$D$36)/(Inputs!$D$37-Inputs!$D$36)))</f>
        <v>0</v>
      </c>
      <c r="L941" s="35">
        <f>Inputs!$D$6*Inputs!$D$14*G941*(1-Inputs!$D$38*K941)</f>
        <v>12815.586000000001</v>
      </c>
      <c r="M941" s="39">
        <f>L941*Inputs!$D$11</f>
        <v>275535.09900000005</v>
      </c>
      <c r="N941" s="39">
        <f>M941*(1-Inputs!$D$17)</f>
        <v>96437.284650000016</v>
      </c>
      <c r="O941" s="35">
        <f>Inputs!$D$6*E941*Inputs!$D$27*Inputs!$D$30</f>
        <v>362.44192732225167</v>
      </c>
      <c r="P941" s="36">
        <f>O941/(C941*Inputs!$D$33)</f>
        <v>0.82373165300511741</v>
      </c>
      <c r="Q941" s="38">
        <f>IF(P941&gt;=1,999,P941/(Inputs!$D$33*(1-P941))*60)</f>
        <v>7.0097524630644434</v>
      </c>
      <c r="R941" s="37">
        <f>MIN(1,MAX(0,(Q941-Inputs!$D$36)/(Inputs!$D$37-Inputs!$D$36)))</f>
        <v>0.13398349753762956</v>
      </c>
      <c r="S941" s="35">
        <f>Inputs!$D$6*E941*Inputs!$D$27*(1-Inputs!$D$38*R941)</f>
        <v>2838.2447553136676</v>
      </c>
      <c r="T941" s="39">
        <f>S941*Inputs!$D$12</f>
        <v>45411.916085018682</v>
      </c>
      <c r="U941" s="39">
        <f>T941*(1-Inputs!$D$18)</f>
        <v>20435.362238258404</v>
      </c>
      <c r="V941" s="35">
        <f>Inputs!$D$6*F941*Inputs!$D$28*Inputs!$D$31</f>
        <v>693.98124106416742</v>
      </c>
      <c r="W941" s="36">
        <f>V941/(B941*Inputs!$D$34)</f>
        <v>0.90127433904437326</v>
      </c>
      <c r="X941" s="38">
        <f>IF(W941&gt;=1,999,W941/(Inputs!$D$34*(1-W941))*60)</f>
        <v>15.649849381818807</v>
      </c>
      <c r="Y941" s="37">
        <f>MIN(1,MAX(0,(X941-Inputs!$D$36)/(Inputs!$D$37-Inputs!$D$36)))</f>
        <v>0.70998995878792048</v>
      </c>
      <c r="Z941" s="35">
        <f>Inputs!$D$6*F941*Inputs!$D$28*(1-Inputs!$D$38*Y941)</f>
        <v>3632.749002537963</v>
      </c>
      <c r="AA941" s="39">
        <f>Z941*Inputs!$D$13</f>
        <v>30878.366521572687</v>
      </c>
      <c r="AB941" s="39">
        <f>AA941*(1-Inputs!$D$19)</f>
        <v>18527.019912943611</v>
      </c>
      <c r="AC941" s="39">
        <f t="shared" si="56"/>
        <v>351825.3816065914</v>
      </c>
      <c r="AD941" s="39">
        <f t="shared" si="57"/>
        <v>135399.66680120202</v>
      </c>
      <c r="AE941" s="36">
        <f t="shared" si="58"/>
        <v>0.90127433904437326</v>
      </c>
      <c r="AF941" s="35">
        <f>IF(AND(AE941&lt;=Inputs!$D$35,C941&gt;=Inputs!$D$48*(A941+B941+C941),B941*Inputs!$D$22&lt;=Inputs!$D$50*Inputs!$D$8,B941*Inputs!$D$22&gt;=Inputs!$D$49*Inputs!$D$8,A941*Inputs!$D$20&lt;=Inputs!$D$47*Inputs!$D$8,C941&gt;=1),1,0)</f>
        <v>0</v>
      </c>
      <c r="AG941" s="39">
        <f t="shared" si="59"/>
        <v>-1</v>
      </c>
    </row>
    <row r="942" spans="1:33" x14ac:dyDescent="0.25">
      <c r="A942" s="35">
        <v>65</v>
      </c>
      <c r="B942" s="35">
        <v>23</v>
      </c>
      <c r="C942" s="35">
        <f>Inputs!$D$8-A942-Inputs!$D$22*B942</f>
        <v>9</v>
      </c>
      <c r="D942" s="35">
        <f>A942*Inputs!$D$20+C942*Inputs!$D$21+B942*Inputs!$D$22</f>
        <v>120</v>
      </c>
      <c r="E942" s="36">
        <f>MIN(Inputs!$E$15,Inputs!$D$15*(C942/Inputs!$D$43)^Inputs!$D$44)</f>
        <v>0.23920712491579582</v>
      </c>
      <c r="F942" s="36">
        <f>MIN(Inputs!$E$16,Inputs!$D$16*(B942/Inputs!$D$42)^Inputs!$D$44)</f>
        <v>0.41712800028621322</v>
      </c>
      <c r="G942" s="37">
        <f>Inputs!$D$26*(1+Inputs!$D$41*(B942-Inputs!$D$42))</f>
        <v>1.5449999999999999</v>
      </c>
      <c r="H942" s="35">
        <f>Inputs!$D$6*Inputs!$D$14*G942*Inputs!$D$29</f>
        <v>1941.18435</v>
      </c>
      <c r="I942" s="36">
        <f>H942/(A942*Inputs!$D$32)</f>
        <v>0.54298862937062942</v>
      </c>
      <c r="J942" s="38">
        <f>IF(I942&gt;=1,999,I942/(Inputs!$D$32*(1-I942))*60)</f>
        <v>1.2961411249460457</v>
      </c>
      <c r="K942" s="37">
        <f>MIN(1,MAX(0,(J942-Inputs!$D$36)/(Inputs!$D$37-Inputs!$D$36)))</f>
        <v>0</v>
      </c>
      <c r="L942" s="35">
        <f>Inputs!$D$6*Inputs!$D$14*G942*(1-Inputs!$D$38*K942)</f>
        <v>12941.229000000001</v>
      </c>
      <c r="M942" s="39">
        <f>L942*Inputs!$D$11</f>
        <v>278236.42350000003</v>
      </c>
      <c r="N942" s="39">
        <f>M942*(1-Inputs!$D$17)</f>
        <v>97382.748225000003</v>
      </c>
      <c r="O942" s="35">
        <f>Inputs!$D$6*E942*Inputs!$D$27*Inputs!$D$30</f>
        <v>341.26628000386961</v>
      </c>
      <c r="P942" s="36">
        <f>O942/(C942*Inputs!$D$33)</f>
        <v>0.94796188889963784</v>
      </c>
      <c r="Q942" s="38">
        <f>IF(P942&gt;=1,999,P942/(Inputs!$D$33*(1-P942))*60)</f>
        <v>27.325027816767943</v>
      </c>
      <c r="R942" s="37">
        <f>MIN(1,MAX(0,(Q942-Inputs!$D$36)/(Inputs!$D$37-Inputs!$D$36)))</f>
        <v>1</v>
      </c>
      <c r="S942" s="35">
        <f>Inputs!$D$6*E942*Inputs!$D$27*(1-Inputs!$D$38*R942)</f>
        <v>1564.1371166844026</v>
      </c>
      <c r="T942" s="39">
        <f>S942*Inputs!$D$12</f>
        <v>25026.193866950442</v>
      </c>
      <c r="U942" s="39">
        <f>T942*(1-Inputs!$D$18)</f>
        <v>11261.787240127698</v>
      </c>
      <c r="V942" s="35">
        <f>Inputs!$D$6*F942*Inputs!$D$28*Inputs!$D$31</f>
        <v>703.29783062656929</v>
      </c>
      <c r="W942" s="36">
        <f>V942/(B942*Inputs!$D$34)</f>
        <v>0.87366190139946498</v>
      </c>
      <c r="X942" s="38">
        <f>IF(W942&gt;=1,999,W942/(Inputs!$D$34*(1-W942))*60)</f>
        <v>11.854746377182334</v>
      </c>
      <c r="Y942" s="37">
        <f>MIN(1,MAX(0,(X942-Inputs!$D$36)/(Inputs!$D$37-Inputs!$D$36)))</f>
        <v>0.45698309181215557</v>
      </c>
      <c r="Z942" s="35">
        <f>Inputs!$D$6*F942*Inputs!$D$28*(1-Inputs!$D$38*Y942)</f>
        <v>4297.4614071503011</v>
      </c>
      <c r="AA942" s="39">
        <f>Z942*Inputs!$D$13</f>
        <v>36528.421960777559</v>
      </c>
      <c r="AB942" s="39">
        <f>AA942*(1-Inputs!$D$19)</f>
        <v>21917.053176466536</v>
      </c>
      <c r="AC942" s="39">
        <f t="shared" si="56"/>
        <v>339791.03932772804</v>
      </c>
      <c r="AD942" s="39">
        <f t="shared" si="57"/>
        <v>130561.58864159424</v>
      </c>
      <c r="AE942" s="36">
        <f t="shared" si="58"/>
        <v>0.94796188889963784</v>
      </c>
      <c r="AF942" s="35">
        <f>IF(AND(AE942&lt;=Inputs!$D$35,C942&gt;=Inputs!$D$48*(A942+B942+C942),B942*Inputs!$D$22&lt;=Inputs!$D$50*Inputs!$D$8,B942*Inputs!$D$22&gt;=Inputs!$D$49*Inputs!$D$8,A942*Inputs!$D$20&lt;=Inputs!$D$47*Inputs!$D$8,C942&gt;=1),1,0)</f>
        <v>0</v>
      </c>
      <c r="AG942" s="39">
        <f t="shared" si="59"/>
        <v>-1</v>
      </c>
    </row>
    <row r="943" spans="1:33" x14ac:dyDescent="0.25">
      <c r="A943" s="35">
        <v>65</v>
      </c>
      <c r="B943" s="35">
        <v>24</v>
      </c>
      <c r="C943" s="35">
        <f>Inputs!$D$8-A943-Inputs!$D$22*B943</f>
        <v>7</v>
      </c>
      <c r="D943" s="35">
        <f>A943*Inputs!$D$20+C943*Inputs!$D$21+B943*Inputs!$D$22</f>
        <v>120</v>
      </c>
      <c r="E943" s="36">
        <f>MIN(Inputs!$E$15,Inputs!$D$15*(C943/Inputs!$D$43)^Inputs!$D$44)</f>
        <v>0.2218353587738203</v>
      </c>
      <c r="F943" s="36">
        <f>MIN(Inputs!$E$16,Inputs!$D$16*(B943/Inputs!$D$42)^Inputs!$D$44)</f>
        <v>0.42248798737570326</v>
      </c>
      <c r="G943" s="37">
        <f>Inputs!$D$26*(1+Inputs!$D$41*(B943-Inputs!$D$42))</f>
        <v>1.56</v>
      </c>
      <c r="H943" s="35">
        <f>Inputs!$D$6*Inputs!$D$14*G943*Inputs!$D$29</f>
        <v>1960.0308</v>
      </c>
      <c r="I943" s="36">
        <f>H943/(A943*Inputs!$D$32)</f>
        <v>0.54826036363636366</v>
      </c>
      <c r="J943" s="38">
        <f>IF(I943&gt;=1,999,I943/(Inputs!$D$32*(1-I943))*60)</f>
        <v>1.3239976453927533</v>
      </c>
      <c r="K943" s="37">
        <f>MIN(1,MAX(0,(J943-Inputs!$D$36)/(Inputs!$D$37-Inputs!$D$36)))</f>
        <v>0</v>
      </c>
      <c r="L943" s="35">
        <f>Inputs!$D$6*Inputs!$D$14*G943*(1-Inputs!$D$38*K943)</f>
        <v>13066.872000000001</v>
      </c>
      <c r="M943" s="39">
        <f>L943*Inputs!$D$11</f>
        <v>280937.74800000002</v>
      </c>
      <c r="N943" s="39">
        <f>M943*(1-Inputs!$D$17)</f>
        <v>98328.211800000005</v>
      </c>
      <c r="O943" s="35">
        <f>Inputs!$D$6*E943*Inputs!$D$27*Inputs!$D$30</f>
        <v>316.48274560682341</v>
      </c>
      <c r="P943" s="36">
        <f>O943/(C943*Inputs!$D$33)</f>
        <v>1.1302955200243694</v>
      </c>
      <c r="Q943" s="38">
        <f>IF(P943&gt;=1,999,P943/(Inputs!$D$33*(1-P943))*60)</f>
        <v>999</v>
      </c>
      <c r="R943" s="37">
        <f>MIN(1,MAX(0,(Q943-Inputs!$D$36)/(Inputs!$D$37-Inputs!$D$36)))</f>
        <v>1</v>
      </c>
      <c r="S943" s="35">
        <f>Inputs!$D$6*E943*Inputs!$D$27*(1-Inputs!$D$38*R943)</f>
        <v>1450.5459173646075</v>
      </c>
      <c r="T943" s="39">
        <f>S943*Inputs!$D$12</f>
        <v>23208.73467783372</v>
      </c>
      <c r="U943" s="39">
        <f>T943*(1-Inputs!$D$18)</f>
        <v>10443.930605025173</v>
      </c>
      <c r="V943" s="35">
        <f>Inputs!$D$6*F943*Inputs!$D$28*Inputs!$D$31</f>
        <v>712.33502613882979</v>
      </c>
      <c r="W943" s="36">
        <f>V943/(B943*Inputs!$D$34)</f>
        <v>0.84801788826051161</v>
      </c>
      <c r="X943" s="38">
        <f>IF(W943&gt;=1,999,W943/(Inputs!$D$34*(1-W943))*60)</f>
        <v>9.5652372155190832</v>
      </c>
      <c r="Y943" s="37">
        <f>MIN(1,MAX(0,(X943-Inputs!$D$36)/(Inputs!$D$37-Inputs!$D$36)))</f>
        <v>0.30434914770127219</v>
      </c>
      <c r="Z943" s="35">
        <f>Inputs!$D$6*F943*Inputs!$D$28*(1-Inputs!$D$38*Y943)</f>
        <v>4729.0436538571339</v>
      </c>
      <c r="AA943" s="39">
        <f>Z943*Inputs!$D$13</f>
        <v>40196.87105778564</v>
      </c>
      <c r="AB943" s="39">
        <f>AA943*(1-Inputs!$D$19)</f>
        <v>24118.122634671385</v>
      </c>
      <c r="AC943" s="39">
        <f t="shared" si="56"/>
        <v>344343.3537356194</v>
      </c>
      <c r="AD943" s="39">
        <f t="shared" si="57"/>
        <v>132890.26503969656</v>
      </c>
      <c r="AE943" s="36">
        <f t="shared" si="58"/>
        <v>1.1302955200243694</v>
      </c>
      <c r="AF943" s="35">
        <f>IF(AND(AE943&lt;=Inputs!$D$35,C943&gt;=Inputs!$D$48*(A943+B943+C943),B943*Inputs!$D$22&lt;=Inputs!$D$50*Inputs!$D$8,B943*Inputs!$D$22&gt;=Inputs!$D$49*Inputs!$D$8,A943*Inputs!$D$20&lt;=Inputs!$D$47*Inputs!$D$8,C943&gt;=1),1,0)</f>
        <v>0</v>
      </c>
      <c r="AG943" s="39">
        <f t="shared" si="59"/>
        <v>-1</v>
      </c>
    </row>
    <row r="944" spans="1:33" x14ac:dyDescent="0.25">
      <c r="A944" s="35">
        <v>65</v>
      </c>
      <c r="B944" s="35">
        <v>25</v>
      </c>
      <c r="C944" s="35">
        <f>Inputs!$D$8-A944-Inputs!$D$22*B944</f>
        <v>5</v>
      </c>
      <c r="D944" s="35">
        <f>A944*Inputs!$D$20+C944*Inputs!$D$21+B944*Inputs!$D$22</f>
        <v>120</v>
      </c>
      <c r="E944" s="36">
        <f>MIN(Inputs!$E$15,Inputs!$D$15*(C944/Inputs!$D$43)^Inputs!$D$44)</f>
        <v>0.20053600538400315</v>
      </c>
      <c r="F944" s="36">
        <f>MIN(Inputs!$E$16,Inputs!$D$16*(B944/Inputs!$D$42)^Inputs!$D$44)</f>
        <v>0.42769383999647526</v>
      </c>
      <c r="G944" s="37">
        <f>Inputs!$D$26*(1+Inputs!$D$41*(B944-Inputs!$D$42))</f>
        <v>1.5750000000000002</v>
      </c>
      <c r="H944" s="35">
        <f>Inputs!$D$6*Inputs!$D$14*G944*Inputs!$D$29</f>
        <v>1978.8772500000005</v>
      </c>
      <c r="I944" s="36">
        <f>H944/(A944*Inputs!$D$32)</f>
        <v>0.55353209790209801</v>
      </c>
      <c r="J944" s="38">
        <f>IF(I944&gt;=1,999,I944/(Inputs!$D$32*(1-I944))*60)</f>
        <v>1.3525120056199831</v>
      </c>
      <c r="K944" s="37">
        <f>MIN(1,MAX(0,(J944-Inputs!$D$36)/(Inputs!$D$37-Inputs!$D$36)))</f>
        <v>0</v>
      </c>
      <c r="L944" s="35">
        <f>Inputs!$D$6*Inputs!$D$14*G944*(1-Inputs!$D$38*K944)</f>
        <v>13192.515000000003</v>
      </c>
      <c r="M944" s="39">
        <f>L944*Inputs!$D$11</f>
        <v>283639.07250000007</v>
      </c>
      <c r="N944" s="39">
        <f>M944*(1-Inputs!$D$17)</f>
        <v>99273.675375000021</v>
      </c>
      <c r="O944" s="35">
        <f>Inputs!$D$6*E944*Inputs!$D$27*Inputs!$D$30</f>
        <v>286.09589529712042</v>
      </c>
      <c r="P944" s="36">
        <f>O944/(C944*Inputs!$D$33)</f>
        <v>1.4304794764856021</v>
      </c>
      <c r="Q944" s="38">
        <f>IF(P944&gt;=1,999,P944/(Inputs!$D$33*(1-P944))*60)</f>
        <v>999</v>
      </c>
      <c r="R944" s="37">
        <f>MIN(1,MAX(0,(Q944-Inputs!$D$36)/(Inputs!$D$37-Inputs!$D$36)))</f>
        <v>1</v>
      </c>
      <c r="S944" s="35">
        <f>Inputs!$D$6*E944*Inputs!$D$27*(1-Inputs!$D$38*R944)</f>
        <v>1311.2728534451353</v>
      </c>
      <c r="T944" s="39">
        <f>S944*Inputs!$D$12</f>
        <v>20980.365655122165</v>
      </c>
      <c r="U944" s="39">
        <f>T944*(1-Inputs!$D$18)</f>
        <v>9441.164544804973</v>
      </c>
      <c r="V944" s="35">
        <f>Inputs!$D$6*F944*Inputs!$D$28*Inputs!$D$31</f>
        <v>721.1123435383771</v>
      </c>
      <c r="W944" s="36">
        <f>V944/(B944*Inputs!$D$34)</f>
        <v>0.82412839261528814</v>
      </c>
      <c r="X944" s="38">
        <f>IF(W944&gt;=1,999,W944/(Inputs!$D$34*(1-W944))*60)</f>
        <v>8.0330847668163621</v>
      </c>
      <c r="Y944" s="37">
        <f>MIN(1,MAX(0,(X944-Inputs!$D$36)/(Inputs!$D$37-Inputs!$D$36)))</f>
        <v>0.20220565112109082</v>
      </c>
      <c r="Z944" s="35">
        <f>Inputs!$D$6*F944*Inputs!$D$28*(1-Inputs!$D$38*Y944)</f>
        <v>5042.2807508299393</v>
      </c>
      <c r="AA944" s="39">
        <f>Z944*Inputs!$D$13</f>
        <v>42859.386382054487</v>
      </c>
      <c r="AB944" s="39">
        <f>AA944*(1-Inputs!$D$19)</f>
        <v>25715.631829232691</v>
      </c>
      <c r="AC944" s="39">
        <f t="shared" si="56"/>
        <v>347478.8245371767</v>
      </c>
      <c r="AD944" s="39">
        <f t="shared" si="57"/>
        <v>134430.47174903768</v>
      </c>
      <c r="AE944" s="36">
        <f t="shared" si="58"/>
        <v>1.4304794764856021</v>
      </c>
      <c r="AF944" s="35">
        <f>IF(AND(AE944&lt;=Inputs!$D$35,C944&gt;=Inputs!$D$48*(A944+B944+C944),B944*Inputs!$D$22&lt;=Inputs!$D$50*Inputs!$D$8,B944*Inputs!$D$22&gt;=Inputs!$D$49*Inputs!$D$8,A944*Inputs!$D$20&lt;=Inputs!$D$47*Inputs!$D$8,C944&gt;=1),1,0)</f>
        <v>0</v>
      </c>
      <c r="AG944" s="39">
        <f t="shared" si="59"/>
        <v>-1</v>
      </c>
    </row>
    <row r="945" spans="1:33" x14ac:dyDescent="0.25">
      <c r="A945" s="35">
        <v>65</v>
      </c>
      <c r="B945" s="35">
        <v>26</v>
      </c>
      <c r="C945" s="35">
        <f>Inputs!$D$8-A945-Inputs!$D$22*B945</f>
        <v>3</v>
      </c>
      <c r="D945" s="35">
        <f>A945*Inputs!$D$20+C945*Inputs!$D$21+B945*Inputs!$D$22</f>
        <v>120</v>
      </c>
      <c r="E945" s="36">
        <f>MIN(Inputs!$E$15,Inputs!$D$15*(C945/Inputs!$D$43)^Inputs!$D$44)</f>
        <v>0.17204328832728594</v>
      </c>
      <c r="F945" s="36">
        <f>MIN(Inputs!$E$16,Inputs!$D$16*(B945/Inputs!$D$42)^Inputs!$D$44)</f>
        <v>0.43275589945781112</v>
      </c>
      <c r="G945" s="37">
        <f>Inputs!$D$26*(1+Inputs!$D$41*(B945-Inputs!$D$42))</f>
        <v>1.59</v>
      </c>
      <c r="H945" s="35">
        <f>Inputs!$D$6*Inputs!$D$14*G945*Inputs!$D$29</f>
        <v>1997.7237</v>
      </c>
      <c r="I945" s="36">
        <f>H945/(A945*Inputs!$D$32)</f>
        <v>0.55880383216783214</v>
      </c>
      <c r="J945" s="38">
        <f>IF(I945&gt;=1,999,I945/(Inputs!$D$32*(1-I945))*60)</f>
        <v>1.381707786679192</v>
      </c>
      <c r="K945" s="37">
        <f>MIN(1,MAX(0,(J945-Inputs!$D$36)/(Inputs!$D$37-Inputs!$D$36)))</f>
        <v>0</v>
      </c>
      <c r="L945" s="35">
        <f>Inputs!$D$6*Inputs!$D$14*G945*(1-Inputs!$D$38*K945)</f>
        <v>13318.158000000001</v>
      </c>
      <c r="M945" s="39">
        <f>L945*Inputs!$D$11</f>
        <v>286340.39700000006</v>
      </c>
      <c r="N945" s="39">
        <f>M945*(1-Inputs!$D$17)</f>
        <v>100219.13895000001</v>
      </c>
      <c r="O945" s="35">
        <f>Inputs!$D$6*E945*Inputs!$D$27*Inputs!$D$30</f>
        <v>245.44658955185244</v>
      </c>
      <c r="P945" s="36">
        <f>O945/(C945*Inputs!$D$33)</f>
        <v>2.0453882462654369</v>
      </c>
      <c r="Q945" s="38">
        <f>IF(P945&gt;=1,999,P945/(Inputs!$D$33*(1-P945))*60)</f>
        <v>999</v>
      </c>
      <c r="R945" s="37">
        <f>MIN(1,MAX(0,(Q945-Inputs!$D$36)/(Inputs!$D$37-Inputs!$D$36)))</f>
        <v>1</v>
      </c>
      <c r="S945" s="35">
        <f>Inputs!$D$6*E945*Inputs!$D$27*(1-Inputs!$D$38*R945)</f>
        <v>1124.9635354459906</v>
      </c>
      <c r="T945" s="39">
        <f>S945*Inputs!$D$12</f>
        <v>17999.41656713585</v>
      </c>
      <c r="U945" s="39">
        <f>T945*(1-Inputs!$D$18)</f>
        <v>8099.7374552111314</v>
      </c>
      <c r="V945" s="35">
        <f>Inputs!$D$6*F945*Inputs!$D$28*Inputs!$D$31</f>
        <v>729.64721876904355</v>
      </c>
      <c r="W945" s="36">
        <f>V945/(B945*Inputs!$D$34)</f>
        <v>0.80181013051543248</v>
      </c>
      <c r="X945" s="38">
        <f>IF(W945&gt;=1,999,W945/(Inputs!$D$34*(1-W945))*60)</f>
        <v>6.9354284146153136</v>
      </c>
      <c r="Y945" s="37">
        <f>MIN(1,MAX(0,(X945-Inputs!$D$36)/(Inputs!$D$37-Inputs!$D$36)))</f>
        <v>0.12902856097435425</v>
      </c>
      <c r="Z945" s="35">
        <f>Inputs!$D$6*F945*Inputs!$D$28*(1-Inputs!$D$38*Y945)</f>
        <v>5286.7832305655711</v>
      </c>
      <c r="AA945" s="39">
        <f>Z945*Inputs!$D$13</f>
        <v>44937.657459807357</v>
      </c>
      <c r="AB945" s="39">
        <f>AA945*(1-Inputs!$D$19)</f>
        <v>26962.594475884413</v>
      </c>
      <c r="AC945" s="39">
        <f t="shared" si="56"/>
        <v>349277.47102694324</v>
      </c>
      <c r="AD945" s="39">
        <f t="shared" si="57"/>
        <v>135281.47088109556</v>
      </c>
      <c r="AE945" s="36">
        <f t="shared" si="58"/>
        <v>2.0453882462654369</v>
      </c>
      <c r="AF945" s="35">
        <f>IF(AND(AE945&lt;=Inputs!$D$35,C945&gt;=Inputs!$D$48*(A945+B945+C945),B945*Inputs!$D$22&lt;=Inputs!$D$50*Inputs!$D$8,B945*Inputs!$D$22&gt;=Inputs!$D$49*Inputs!$D$8,A945*Inputs!$D$20&lt;=Inputs!$D$47*Inputs!$D$8,C945&gt;=1),1,0)</f>
        <v>0</v>
      </c>
      <c r="AG945" s="39">
        <f t="shared" si="59"/>
        <v>-1</v>
      </c>
    </row>
    <row r="946" spans="1:33" x14ac:dyDescent="0.25">
      <c r="A946" s="35">
        <v>65</v>
      </c>
      <c r="B946" s="35">
        <v>27</v>
      </c>
      <c r="C946" s="35">
        <f>Inputs!$D$8-A946-Inputs!$D$22*B946</f>
        <v>1</v>
      </c>
      <c r="D946" s="35">
        <f>A946*Inputs!$D$20+C946*Inputs!$D$21+B946*Inputs!$D$22</f>
        <v>120</v>
      </c>
      <c r="E946" s="36">
        <f>MIN(Inputs!$E$15,Inputs!$D$15*(C946/Inputs!$D$43)^Inputs!$D$44)</f>
        <v>0.12373750601653212</v>
      </c>
      <c r="F946" s="36">
        <f>MIN(Inputs!$E$16,Inputs!$D$16*(B946/Inputs!$D$42)^Inputs!$D$44)</f>
        <v>0.43768344678187454</v>
      </c>
      <c r="G946" s="37">
        <f>Inputs!$D$26*(1+Inputs!$D$41*(B946-Inputs!$D$42))</f>
        <v>1.605</v>
      </c>
      <c r="H946" s="35">
        <f>Inputs!$D$6*Inputs!$D$14*G946*Inputs!$D$29</f>
        <v>2016.57015</v>
      </c>
      <c r="I946" s="36">
        <f>H946/(A946*Inputs!$D$32)</f>
        <v>0.56407556643356649</v>
      </c>
      <c r="J946" s="38">
        <f>IF(I946&gt;=1,999,I946/(Inputs!$D$32*(1-I946))*60)</f>
        <v>1.4116097103061196</v>
      </c>
      <c r="K946" s="37">
        <f>MIN(1,MAX(0,(J946-Inputs!$D$36)/(Inputs!$D$37-Inputs!$D$36)))</f>
        <v>0</v>
      </c>
      <c r="L946" s="35">
        <f>Inputs!$D$6*Inputs!$D$14*G946*(1-Inputs!$D$38*K946)</f>
        <v>13443.801000000001</v>
      </c>
      <c r="M946" s="39">
        <f>L946*Inputs!$D$11</f>
        <v>289041.72150000004</v>
      </c>
      <c r="N946" s="39">
        <f>M946*(1-Inputs!$D$17)</f>
        <v>101164.60252500001</v>
      </c>
      <c r="O946" s="35">
        <f>Inputs!$D$6*E946*Inputs!$D$27*Inputs!$D$30</f>
        <v>176.53085538352164</v>
      </c>
      <c r="P946" s="36">
        <f>O946/(C946*Inputs!$D$33)</f>
        <v>4.4132713845880414</v>
      </c>
      <c r="Q946" s="38">
        <f>IF(P946&gt;=1,999,P946/(Inputs!$D$33*(1-P946))*60)</f>
        <v>999</v>
      </c>
      <c r="R946" s="37">
        <f>MIN(1,MAX(0,(Q946-Inputs!$D$36)/(Inputs!$D$37-Inputs!$D$36)))</f>
        <v>1</v>
      </c>
      <c r="S946" s="35">
        <f>Inputs!$D$6*E946*Inputs!$D$27*(1-Inputs!$D$38*R946)</f>
        <v>809.09975384114091</v>
      </c>
      <c r="T946" s="39">
        <f>S946*Inputs!$D$12</f>
        <v>12945.596061458255</v>
      </c>
      <c r="U946" s="39">
        <f>T946*(1-Inputs!$D$18)</f>
        <v>5825.5182276562136</v>
      </c>
      <c r="V946" s="35">
        <f>Inputs!$D$6*F946*Inputs!$D$28*Inputs!$D$31</f>
        <v>737.95530007968603</v>
      </c>
      <c r="W946" s="36">
        <f>V946/(B946*Inputs!$D$34)</f>
        <v>0.78090507944940324</v>
      </c>
      <c r="X946" s="38">
        <f>IF(W946&gt;=1,999,W946/(Inputs!$D$34*(1-W946))*60)</f>
        <v>6.1101116290101798</v>
      </c>
      <c r="Y946" s="37">
        <f>MIN(1,MAX(0,(X946-Inputs!$D$36)/(Inputs!$D$37-Inputs!$D$36)))</f>
        <v>7.4007441934011986E-2</v>
      </c>
      <c r="Z946" s="35">
        <f>Inputs!$D$6*F946*Inputs!$D$28*(1-Inputs!$D$38*Y946)</f>
        <v>5487.5301328495489</v>
      </c>
      <c r="AA946" s="39">
        <f>Z946*Inputs!$D$13</f>
        <v>46644.006129221169</v>
      </c>
      <c r="AB946" s="39">
        <f>AA946*(1-Inputs!$D$19)</f>
        <v>27986.4036775327</v>
      </c>
      <c r="AC946" s="39">
        <f t="shared" si="56"/>
        <v>348631.32369067945</v>
      </c>
      <c r="AD946" s="39">
        <f t="shared" si="57"/>
        <v>134976.52443018893</v>
      </c>
      <c r="AE946" s="36">
        <f t="shared" si="58"/>
        <v>4.4132713845880414</v>
      </c>
      <c r="AF946" s="35">
        <f>IF(AND(AE946&lt;=Inputs!$D$35,C946&gt;=Inputs!$D$48*(A946+B946+C946),B946*Inputs!$D$22&lt;=Inputs!$D$50*Inputs!$D$8,B946*Inputs!$D$22&gt;=Inputs!$D$49*Inputs!$D$8,A946*Inputs!$D$20&lt;=Inputs!$D$47*Inputs!$D$8,C946&gt;=1),1,0)</f>
        <v>0</v>
      </c>
      <c r="AG946" s="39">
        <f t="shared" si="59"/>
        <v>-1</v>
      </c>
    </row>
  </sheetData>
  <mergeCells count="1">
    <mergeCell ref="A2:Z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4"/>
  <sheetViews>
    <sheetView showGridLines="0" tabSelected="1" topLeftCell="A38" zoomScaleNormal="100" workbookViewId="0">
      <selection activeCell="L9" sqref="L9"/>
    </sheetView>
  </sheetViews>
  <sheetFormatPr defaultColWidth="8.7109375" defaultRowHeight="15" x14ac:dyDescent="0.25"/>
  <cols>
    <col min="1" max="1" width="52" customWidth="1"/>
    <col min="2" max="4" width="13" customWidth="1"/>
    <col min="5" max="5" width="12" customWidth="1"/>
    <col min="6" max="8" width="10" customWidth="1"/>
    <col min="9" max="9" width="13" customWidth="1"/>
    <col min="10" max="11" width="14" customWidth="1"/>
    <col min="12" max="12" width="16" customWidth="1"/>
  </cols>
  <sheetData>
    <row r="1" spans="1:8" ht="18" x14ac:dyDescent="0.25">
      <c r="A1" s="2" t="s">
        <v>224</v>
      </c>
    </row>
    <row r="3" spans="1:8" x14ac:dyDescent="0.25">
      <c r="A3" s="4" t="s">
        <v>225</v>
      </c>
      <c r="B3" s="11">
        <f>MAX(Optimizer!$AG$5:$AG$946)</f>
        <v>155553.05712754704</v>
      </c>
    </row>
    <row r="4" spans="1:8" x14ac:dyDescent="0.25">
      <c r="A4" s="15" t="s">
        <v>226</v>
      </c>
      <c r="B4" s="17">
        <f>MATCH(B3,Optimizer!$AG$5:$AG$946,0)</f>
        <v>498</v>
      </c>
    </row>
    <row r="5" spans="1:8" x14ac:dyDescent="0.25">
      <c r="A5" s="15" t="s">
        <v>227</v>
      </c>
      <c r="B5" s="9">
        <f>COUNTIF(Optimizer!$AF$5:$AF$946,1)</f>
        <v>49</v>
      </c>
    </row>
    <row r="7" spans="1:8" ht="30" x14ac:dyDescent="0.25">
      <c r="A7" s="6" t="s">
        <v>228</v>
      </c>
      <c r="B7" s="6" t="s">
        <v>17</v>
      </c>
      <c r="C7" s="6" t="s">
        <v>229</v>
      </c>
      <c r="D7" s="6" t="s">
        <v>18</v>
      </c>
      <c r="E7" s="6" t="s">
        <v>19</v>
      </c>
    </row>
    <row r="8" spans="1:8" x14ac:dyDescent="0.25">
      <c r="A8" s="7" t="s">
        <v>21</v>
      </c>
      <c r="B8" s="8">
        <f>INDEX(Optimizer!$A$5:$A$946,$B$4)</f>
        <v>45</v>
      </c>
      <c r="C8" s="17">
        <f>Inputs!$D$20</f>
        <v>1</v>
      </c>
      <c r="D8" s="31">
        <f>B8*C8</f>
        <v>45</v>
      </c>
      <c r="E8" s="40">
        <f>D8/Inputs!$D$8</f>
        <v>0.375</v>
      </c>
    </row>
    <row r="9" spans="1:8" x14ac:dyDescent="0.25">
      <c r="A9" s="7" t="s">
        <v>22</v>
      </c>
      <c r="B9" s="8">
        <f>INDEX(Optimizer!$C$5:$C$946,$B$4)</f>
        <v>21</v>
      </c>
      <c r="C9" s="17">
        <f>Inputs!$D$21</f>
        <v>1</v>
      </c>
      <c r="D9" s="31">
        <f>B9*C9</f>
        <v>21</v>
      </c>
      <c r="E9" s="40">
        <f>D9/Inputs!$D$8</f>
        <v>0.17499999999999999</v>
      </c>
    </row>
    <row r="10" spans="1:8" x14ac:dyDescent="0.25">
      <c r="A10" s="7" t="s">
        <v>23</v>
      </c>
      <c r="B10" s="8">
        <f>INDEX(Optimizer!$B$5:$B$946,$B$4)</f>
        <v>27</v>
      </c>
      <c r="C10" s="17">
        <f>Inputs!$D$22</f>
        <v>2</v>
      </c>
      <c r="D10" s="31">
        <f>B10*C10</f>
        <v>54</v>
      </c>
      <c r="E10" s="40">
        <f>D10/Inputs!$D$8</f>
        <v>0.45</v>
      </c>
    </row>
    <row r="11" spans="1:8" x14ac:dyDescent="0.25">
      <c r="A11" s="4" t="s">
        <v>24</v>
      </c>
      <c r="B11" s="12">
        <f>SUM(B8:B10)</f>
        <v>93</v>
      </c>
      <c r="D11" s="12">
        <f>SUM(D8:D10)</f>
        <v>120</v>
      </c>
      <c r="E11" s="13">
        <f>SUM(E8:E10)</f>
        <v>1</v>
      </c>
    </row>
    <row r="12" spans="1:8" x14ac:dyDescent="0.25">
      <c r="A12" s="15" t="s">
        <v>230</v>
      </c>
      <c r="B12" s="15" t="str">
        <f>IF(D11=Inputs!$D$8,"OK","ERROR")</f>
        <v>OK</v>
      </c>
    </row>
    <row r="14" spans="1:8" ht="60" x14ac:dyDescent="0.25">
      <c r="A14" s="6" t="s">
        <v>231</v>
      </c>
      <c r="B14" s="6" t="s">
        <v>232</v>
      </c>
      <c r="C14" s="6" t="s">
        <v>233</v>
      </c>
      <c r="D14" s="6" t="s">
        <v>234</v>
      </c>
      <c r="E14" s="6" t="s">
        <v>235</v>
      </c>
      <c r="F14" s="6" t="s">
        <v>236</v>
      </c>
      <c r="G14" s="6" t="s">
        <v>237</v>
      </c>
      <c r="H14" s="6" t="s">
        <v>33</v>
      </c>
    </row>
    <row r="15" spans="1:8" x14ac:dyDescent="0.25">
      <c r="A15" s="15" t="s">
        <v>21</v>
      </c>
      <c r="B15" s="9">
        <f>INDEX(Optimizer!$H$5:$H$946,$B$4)</f>
        <v>2016.57015</v>
      </c>
      <c r="C15" s="10">
        <f>INDEX(Optimizer!$I$5:$I$946,$B$4)</f>
        <v>0.81477581818181821</v>
      </c>
      <c r="D15" s="16">
        <f>INDEX(Optimizer!$J$5:$J$946,$B$4)</f>
        <v>4.798759742828504</v>
      </c>
      <c r="E15" s="30">
        <f>INDEX(Optimizer!$K$5:$K$946,$B$4)</f>
        <v>0</v>
      </c>
      <c r="F15" s="9">
        <f>INDEX(Optimizer!$L$5:$L$946,$B$4)</f>
        <v>13443.801000000001</v>
      </c>
      <c r="G15" s="11">
        <f>INDEX(Optimizer!$M$5:$M$946,$B$4)</f>
        <v>289041.72150000004</v>
      </c>
      <c r="H15" s="11">
        <f>INDEX(Optimizer!$N$5:$N$946,$B$4)</f>
        <v>101164.60252500001</v>
      </c>
    </row>
    <row r="16" spans="1:8" x14ac:dyDescent="0.25">
      <c r="A16" s="15" t="s">
        <v>22</v>
      </c>
      <c r="B16" s="9">
        <f>INDEX(Optimizer!$O$5:$O$946,$B$4)</f>
        <v>440.03418208357215</v>
      </c>
      <c r="C16" s="10">
        <f>INDEX(Optimizer!$P$5:$P$946,$B$4)</f>
        <v>0.52385021676615728</v>
      </c>
      <c r="D16" s="16">
        <f>INDEX(Optimizer!$Q$5:$Q$946,$B$4)</f>
        <v>1.6502692069132636</v>
      </c>
      <c r="E16" s="30">
        <f>INDEX(Optimizer!$R$5:$R$946,$B$4)</f>
        <v>0</v>
      </c>
      <c r="F16" s="9">
        <f>INDEX(Optimizer!$S$5:$S$946,$B$4)</f>
        <v>3666.9515173631012</v>
      </c>
      <c r="G16" s="11">
        <f>INDEX(Optimizer!$T$5:$T$946,$B$4)</f>
        <v>58671.224277809619</v>
      </c>
      <c r="H16" s="11">
        <f>INDEX(Optimizer!$U$5:$U$946,$B$4)</f>
        <v>26402.050925014326</v>
      </c>
    </row>
    <row r="17" spans="1:12" x14ac:dyDescent="0.25">
      <c r="A17" s="15" t="s">
        <v>23</v>
      </c>
      <c r="B17" s="9">
        <f>INDEX(Optimizer!$V$5:$V$946,$B$4)</f>
        <v>737.95530007968603</v>
      </c>
      <c r="C17" s="10">
        <f>INDEX(Optimizer!$W$5:$W$946,$B$4)</f>
        <v>0.78090507944940324</v>
      </c>
      <c r="D17" s="16">
        <f>INDEX(Optimizer!$X$5:$X$946,$B$4)</f>
        <v>6.1101116290101798</v>
      </c>
      <c r="E17" s="30">
        <f>INDEX(Optimizer!$Y$5:$Y$946,$B$4)</f>
        <v>7.4007441934011986E-2</v>
      </c>
      <c r="F17" s="9">
        <f>INDEX(Optimizer!$Z$5:$Z$946,$B$4)</f>
        <v>5487.5301328495489</v>
      </c>
      <c r="G17" s="11">
        <f>INDEX(Optimizer!$AA$5:$AA$946,$B$4)</f>
        <v>46644.006129221169</v>
      </c>
      <c r="H17" s="11">
        <f>INDEX(Optimizer!$AB$5:$AB$946,$B$4)</f>
        <v>27986.4036775327</v>
      </c>
    </row>
    <row r="18" spans="1:12" x14ac:dyDescent="0.25">
      <c r="A18" s="4" t="s">
        <v>24</v>
      </c>
      <c r="B18" s="12">
        <f>SUM(B15:B17)</f>
        <v>3194.5596321632579</v>
      </c>
      <c r="F18" s="12">
        <f>SUM(F15:F17)</f>
        <v>22598.282650212652</v>
      </c>
      <c r="G18" s="14">
        <f>SUM(G15:G17)</f>
        <v>394356.95190703083</v>
      </c>
      <c r="H18" s="14">
        <f>SUM(H15:H17)</f>
        <v>155553.05712754704</v>
      </c>
    </row>
    <row r="19" spans="1:12" x14ac:dyDescent="0.25">
      <c r="A19" s="15" t="s">
        <v>238</v>
      </c>
      <c r="G19" s="33">
        <f>G18*Inputs!$D$23</f>
        <v>0</v>
      </c>
    </row>
    <row r="20" spans="1:12" x14ac:dyDescent="0.25">
      <c r="A20" s="15" t="s">
        <v>239</v>
      </c>
      <c r="H20" s="33">
        <f>H18/Inputs!$D$8</f>
        <v>1296.275476062892</v>
      </c>
    </row>
    <row r="21" spans="1:12" x14ac:dyDescent="0.25">
      <c r="A21" s="15" t="s">
        <v>240</v>
      </c>
      <c r="H21" s="33">
        <f>H18/Inputs!$D$6*67998</f>
        <v>978654.40216126421</v>
      </c>
    </row>
    <row r="23" spans="1:12" x14ac:dyDescent="0.25">
      <c r="A23" s="18" t="s">
        <v>241</v>
      </c>
    </row>
    <row r="24" spans="1:12" ht="30" x14ac:dyDescent="0.25">
      <c r="A24" s="6" t="s">
        <v>31</v>
      </c>
      <c r="B24" s="6" t="s">
        <v>242</v>
      </c>
      <c r="C24" s="6" t="s">
        <v>243</v>
      </c>
      <c r="D24" s="6" t="s">
        <v>244</v>
      </c>
      <c r="E24" s="6" t="s">
        <v>245</v>
      </c>
      <c r="F24" s="6" t="s">
        <v>199</v>
      </c>
      <c r="G24" s="6" t="s">
        <v>206</v>
      </c>
      <c r="H24" s="6" t="s">
        <v>213</v>
      </c>
      <c r="I24" s="6" t="s">
        <v>34</v>
      </c>
      <c r="J24" s="6" t="s">
        <v>237</v>
      </c>
      <c r="K24" s="6" t="s">
        <v>33</v>
      </c>
      <c r="L24" s="6" t="s">
        <v>35</v>
      </c>
    </row>
    <row r="25" spans="1:12" x14ac:dyDescent="0.25">
      <c r="A25" s="7" t="s">
        <v>246</v>
      </c>
      <c r="B25" s="31">
        <f>B8</f>
        <v>45</v>
      </c>
      <c r="C25" s="31">
        <f>B9</f>
        <v>21</v>
      </c>
      <c r="D25" s="31">
        <f>B10</f>
        <v>27</v>
      </c>
      <c r="E25" s="31">
        <f>B25*Inputs!$D$20+C25*Inputs!$D$21+D25*Inputs!$D$22</f>
        <v>120</v>
      </c>
      <c r="F25" s="40">
        <f>(Inputs!$D$6*Inputs!$D$14*Inputs!$D$26*(1+Inputs!$D$41*(D25-Inputs!$D$42))*Inputs!$D$29/(B25*Inputs!$D$32))</f>
        <v>0.81477581818181821</v>
      </c>
      <c r="G25" s="40">
        <f>(Inputs!$D$6*MIN(Inputs!$E$15,Inputs!$D$15*(C25/Inputs!$D$43)^Inputs!$D$44)*Inputs!$D$27*Inputs!$D$30/(C25*Inputs!$D$33))</f>
        <v>0.52385021676615728</v>
      </c>
      <c r="H25" s="40">
        <f>(Inputs!$D$6*MIN(Inputs!$E$16,Inputs!$D$16*(D25/Inputs!$D$42)^Inputs!$D$44)*Inputs!$D$28*Inputs!$D$31/(D25*Inputs!$D$34))</f>
        <v>0.78090507944940324</v>
      </c>
      <c r="I25" s="41">
        <f>MAX(IF(F25&gt;=1,999,F25/(Inputs!$D$32*(1-F25))*60),IF(G25&gt;=1,999,G25/(Inputs!$D$33*(1-G25))*60),IF(H25&gt;=1,999,H25/(Inputs!$D$34*(1-H25))*60))</f>
        <v>6.1101116290101798</v>
      </c>
      <c r="J25" s="33">
        <f>(Inputs!$D$6*Inputs!$D$14*Inputs!$D$26*(1+Inputs!$D$41*(D25-Inputs!$D$42))*(1-Inputs!$D$38*MIN(1,MAX(0,(IF(F25&gt;=1,999,F25/(Inputs!$D$32*(1-F25))*60)-Inputs!$D$36)/(Inputs!$D$37-Inputs!$D$36))))*Inputs!$D$11)+(Inputs!$D$6*MIN(Inputs!$E$15,Inputs!$D$15*(C25/Inputs!$D$43)^Inputs!$D$44)*Inputs!$D$27*(1-Inputs!$D$38*MIN(1,MAX(0,(IF(G25&gt;=1,999,G25/(Inputs!$D$33*(1-G25))*60)-Inputs!$D$36)/(Inputs!$D$37-Inputs!$D$36))))*Inputs!$D$12)+(Inputs!$D$6*MIN(Inputs!$E$16,Inputs!$D$16*(D25/Inputs!$D$42)^Inputs!$D$44)*Inputs!$D$28*(1-Inputs!$D$38*MIN(1,MAX(0,(IF(H25&gt;=1,999,H25/(Inputs!$D$34*(1-H25))*60)-Inputs!$D$36)/(Inputs!$D$37-Inputs!$D$36))))*Inputs!$D$13)</f>
        <v>394356.95190703083</v>
      </c>
      <c r="K25" s="33">
        <f>(Inputs!$D$6*Inputs!$D$14*Inputs!$D$26*(1+Inputs!$D$41*(D25-Inputs!$D$42))*(1-Inputs!$D$38*MIN(1,MAX(0,(IF(F25&gt;=1,999,F25/(Inputs!$D$32*(1-F25))*60)-Inputs!$D$36)/(Inputs!$D$37-Inputs!$D$36))))*Inputs!$D$11)*(1-Inputs!$D$17)+(Inputs!$D$6*MIN(Inputs!$E$15,Inputs!$D$15*(C25/Inputs!$D$43)^Inputs!$D$44)*Inputs!$D$27*(1-Inputs!$D$38*MIN(1,MAX(0,(IF(G25&gt;=1,999,G25/(Inputs!$D$33*(1-G25))*60)-Inputs!$D$36)/(Inputs!$D$37-Inputs!$D$36))))*Inputs!$D$12)*(1-Inputs!$D$18)+(Inputs!$D$6*MIN(Inputs!$E$16,Inputs!$D$16*(D25/Inputs!$D$42)^Inputs!$D$44)*Inputs!$D$28*(1-Inputs!$D$38*MIN(1,MAX(0,(IF(H25&gt;=1,999,H25/(Inputs!$D$34*(1-H25))*60)-Inputs!$D$36)/(Inputs!$D$37-Inputs!$D$36))))*Inputs!$D$13)*(1-Inputs!$D$19)</f>
        <v>155553.05712754704</v>
      </c>
      <c r="L25" s="15" t="str">
        <f>IF(AND(MAX(F25,G25,H25)&lt;=Inputs!$D$35,E25&lt;=Inputs!$D$8),"Yes","No")</f>
        <v>Yes</v>
      </c>
    </row>
    <row r="26" spans="1:12" x14ac:dyDescent="0.25">
      <c r="A26" s="15" t="s">
        <v>247</v>
      </c>
      <c r="B26" s="27">
        <v>60</v>
      </c>
      <c r="C26" s="27">
        <v>36</v>
      </c>
      <c r="D26" s="27">
        <v>12</v>
      </c>
      <c r="E26" s="31">
        <f>B26*Inputs!$D$20+C26*Inputs!$D$21+D26*Inputs!$D$22</f>
        <v>120</v>
      </c>
      <c r="F26" s="40">
        <f>(Inputs!$D$6*Inputs!$D$14*Inputs!$D$26*(1+Inputs!$D$41*(D26-Inputs!$D$42))*Inputs!$D$29/(B26*Inputs!$D$32))</f>
        <v>0.52541618181818184</v>
      </c>
      <c r="G26" s="40">
        <f>(Inputs!$D$6*MIN(Inputs!$E$15,Inputs!$D$15*(C26/Inputs!$D$43)^Inputs!$D$44)*Inputs!$D$27*Inputs!$D$30/(C26*Inputs!$D$33))</f>
        <v>0.35921038485641771</v>
      </c>
      <c r="H26" s="40">
        <f>(Inputs!$D$6*MIN(Inputs!$E$16,Inputs!$D$16*(D26/Inputs!$D$42)^Inputs!$D$44)*Inputs!$D$28*Inputs!$D$31/(D26*Inputs!$D$34))</f>
        <v>1.3776091237851098</v>
      </c>
      <c r="I26" s="41">
        <f>MAX(IF(F26&gt;=1,999,F26/(Inputs!$D$32*(1-F26))*60),IF(G26&gt;=1,999,G26/(Inputs!$D$33*(1-G26))*60),IF(H26&gt;=1,999,H26/(Inputs!$D$34*(1-H26))*60))</f>
        <v>999</v>
      </c>
      <c r="J26" s="33">
        <f>(Inputs!$D$6*Inputs!$D$14*Inputs!$D$26*(1+Inputs!$D$41*(D26-Inputs!$D$42))*(1-Inputs!$D$38*MIN(1,MAX(0,(IF(F26&gt;=1,999,F26/(Inputs!$D$32*(1-F26))*60)-Inputs!$D$36)/(Inputs!$D$37-Inputs!$D$36))))*Inputs!$D$11)+(Inputs!$D$6*MIN(Inputs!$E$15,Inputs!$D$15*(C26/Inputs!$D$43)^Inputs!$D$44)*Inputs!$D$27*(1-Inputs!$D$38*MIN(1,MAX(0,(IF(G26&gt;=1,999,G26/(Inputs!$D$33*(1-G26))*60)-Inputs!$D$36)/(Inputs!$D$37-Inputs!$D$36))))*Inputs!$D$12)+(Inputs!$D$6*MIN(Inputs!$E$16,Inputs!$D$16*(D26/Inputs!$D$42)^Inputs!$D$44)*Inputs!$D$28*(1-Inputs!$D$38*MIN(1,MAX(0,(IF(H26&gt;=1,999,H26/(Inputs!$D$34*(1-H26))*60)-Inputs!$D$36)/(Inputs!$D$37-Inputs!$D$36))))*Inputs!$D$13)</f>
        <v>338297.44415821729</v>
      </c>
      <c r="K26" s="33">
        <f>(Inputs!$D$6*Inputs!$D$14*Inputs!$D$26*(1+Inputs!$D$41*(D26-Inputs!$D$42))*(1-Inputs!$D$38*MIN(1,MAX(0,(IF(F26&gt;=1,999,F26/(Inputs!$D$32*(1-F26))*60)-Inputs!$D$36)/(Inputs!$D$37-Inputs!$D$36))))*Inputs!$D$11)*(1-Inputs!$D$17)+(Inputs!$D$6*MIN(Inputs!$E$15,Inputs!$D$15*(C26/Inputs!$D$43)^Inputs!$D$44)*Inputs!$D$27*(1-Inputs!$D$38*MIN(1,MAX(0,(IF(G26&gt;=1,999,G26/(Inputs!$D$33*(1-G26))*60)-Inputs!$D$36)/(Inputs!$D$37-Inputs!$D$36))))*Inputs!$D$12)*(1-Inputs!$D$18)+(Inputs!$D$6*MIN(Inputs!$E$16,Inputs!$D$16*(D26/Inputs!$D$42)^Inputs!$D$44)*Inputs!$D$28*(1-Inputs!$D$38*MIN(1,MAX(0,(IF(H26&gt;=1,999,H26/(Inputs!$D$34*(1-H26))*60)-Inputs!$D$36)/(Inputs!$D$37-Inputs!$D$36))))*Inputs!$D$13)*(1-Inputs!$D$19)</f>
        <v>130502.74391106554</v>
      </c>
      <c r="L26" s="15" t="str">
        <f>IF(AND(MAX(F26,G26,H26)&lt;=Inputs!$D$35,E26&lt;=Inputs!$D$8),"Yes","No")</f>
        <v>No</v>
      </c>
    </row>
    <row r="27" spans="1:12" x14ac:dyDescent="0.25">
      <c r="A27" s="15" t="s">
        <v>248</v>
      </c>
      <c r="B27" s="27">
        <v>40</v>
      </c>
      <c r="C27" s="27">
        <v>40</v>
      </c>
      <c r="D27" s="27">
        <v>20</v>
      </c>
      <c r="E27" s="31">
        <f>B27*Inputs!$D$20+C27*Inputs!$D$21+D27*Inputs!$D$22</f>
        <v>120</v>
      </c>
      <c r="F27" s="40">
        <f>(Inputs!$D$6*Inputs!$D$14*Inputs!$D$26*(1+Inputs!$D$41*(D27-Inputs!$D$42))*Inputs!$D$29/(B27*Inputs!$D$32))</f>
        <v>0.85665681818181816</v>
      </c>
      <c r="G27" s="40">
        <f>(Inputs!$D$6*MIN(Inputs!$E$15,Inputs!$D$15*(C27/Inputs!$D$43)^Inputs!$D$44)*Inputs!$D$27*Inputs!$D$30/(C27*Inputs!$D$33))</f>
        <v>0.33367113631934181</v>
      </c>
      <c r="H27" s="40">
        <f>(Inputs!$D$6*MIN(Inputs!$E$16,Inputs!$D$16*(D27/Inputs!$D$42)^Inputs!$D$44)*Inputs!$D$28*Inputs!$D$31/(D27*Inputs!$D$34))</f>
        <v>0.96345599999999987</v>
      </c>
      <c r="I27" s="41">
        <f>MAX(IF(F27&gt;=1,999,F27/(Inputs!$D$32*(1-F27))*60),IF(G27&gt;=1,999,G27/(Inputs!$D$33*(1-G27))*60),IF(H27&gt;=1,999,H27/(Inputs!$D$34*(1-H27))*60))</f>
        <v>45.195896922691851</v>
      </c>
      <c r="J27" s="33">
        <f>(Inputs!$D$6*Inputs!$D$14*Inputs!$D$26*(1+Inputs!$D$41*(D27-Inputs!$D$42))*(1-Inputs!$D$38*MIN(1,MAX(0,(IF(F27&gt;=1,999,F27/(Inputs!$D$32*(1-F27))*60)-Inputs!$D$36)/(Inputs!$D$37-Inputs!$D$36))))*Inputs!$D$11)+(Inputs!$D$6*MIN(Inputs!$E$15,Inputs!$D$15*(C27/Inputs!$D$43)^Inputs!$D$44)*Inputs!$D$27*(1-Inputs!$D$38*MIN(1,MAX(0,(IF(G27&gt;=1,999,G27/(Inputs!$D$33*(1-G27))*60)-Inputs!$D$36)/(Inputs!$D$37-Inputs!$D$36))))*Inputs!$D$12)+(Inputs!$D$6*MIN(Inputs!$E$16,Inputs!$D$16*(D27/Inputs!$D$42)^Inputs!$D$44)*Inputs!$D$28*(1-Inputs!$D$38*MIN(1,MAX(0,(IF(H27&gt;=1,999,H27/(Inputs!$D$34*(1-H27))*60)-Inputs!$D$36)/(Inputs!$D$37-Inputs!$D$36))))*Inputs!$D$13)</f>
        <v>353254.29041774326</v>
      </c>
      <c r="K27" s="33">
        <f>(Inputs!$D$6*Inputs!$D$14*Inputs!$D$26*(1+Inputs!$D$41*(D27-Inputs!$D$42))*(1-Inputs!$D$38*MIN(1,MAX(0,(IF(F27&gt;=1,999,F27/(Inputs!$D$32*(1-F27))*60)-Inputs!$D$36)/(Inputs!$D$37-Inputs!$D$36))))*Inputs!$D$11)*(1-Inputs!$D$17)+(Inputs!$D$6*MIN(Inputs!$E$15,Inputs!$D$15*(C27/Inputs!$D$43)^Inputs!$D$44)*Inputs!$D$27*(1-Inputs!$D$38*MIN(1,MAX(0,(IF(G27&gt;=1,999,G27/(Inputs!$D$33*(1-G27))*60)-Inputs!$D$36)/(Inputs!$D$37-Inputs!$D$36))))*Inputs!$D$12)*(1-Inputs!$D$18)+(Inputs!$D$6*MIN(Inputs!$E$16,Inputs!$D$16*(D27/Inputs!$D$42)^Inputs!$D$44)*Inputs!$D$28*(1-Inputs!$D$38*MIN(1,MAX(0,(IF(H27&gt;=1,999,H27/(Inputs!$D$34*(1-H27))*60)-Inputs!$D$36)/(Inputs!$D$37-Inputs!$D$36))))*Inputs!$D$13)*(1-Inputs!$D$19)</f>
        <v>136820.60722102277</v>
      </c>
      <c r="L27" s="15" t="str">
        <f>IF(AND(MAX(F27,G27,H27)&lt;=Inputs!$D$35,E27&lt;=Inputs!$D$8),"Yes","No")</f>
        <v>No</v>
      </c>
    </row>
    <row r="28" spans="1:12" x14ac:dyDescent="0.25">
      <c r="A28" s="15" t="s">
        <v>249</v>
      </c>
      <c r="B28" s="27">
        <v>52</v>
      </c>
      <c r="C28" s="27">
        <v>22</v>
      </c>
      <c r="D28" s="27">
        <v>23</v>
      </c>
      <c r="E28" s="31">
        <f>B28*Inputs!$D$20+C28*Inputs!$D$21+D28*Inputs!$D$22</f>
        <v>120</v>
      </c>
      <c r="F28" s="40">
        <f>(Inputs!$D$6*Inputs!$D$14*Inputs!$D$26*(1+Inputs!$D$41*(D28-Inputs!$D$42))*Inputs!$D$29/(B28*Inputs!$D$32))</f>
        <v>0.67873578671328672</v>
      </c>
      <c r="G28" s="40">
        <f>(Inputs!$D$6*MIN(Inputs!$E$15,Inputs!$D$15*(C28/Inputs!$D$43)^Inputs!$D$44)*Inputs!$D$27*Inputs!$D$30/(C28*Inputs!$D$33))</f>
        <v>0.50706631134631175</v>
      </c>
      <c r="H28" s="40">
        <f>(Inputs!$D$6*MIN(Inputs!$E$16,Inputs!$D$16*(D28/Inputs!$D$42)^Inputs!$D$44)*Inputs!$D$28*Inputs!$D$31/(D28*Inputs!$D$34))</f>
        <v>0.87366190139946498</v>
      </c>
      <c r="I28" s="41">
        <f>MAX(IF(F28&gt;=1,999,F28/(Inputs!$D$32*(1-F28))*60),IF(G28&gt;=1,999,G28/(Inputs!$D$33*(1-G28))*60),IF(H28&gt;=1,999,H28/(Inputs!$D$34*(1-H28))*60))</f>
        <v>11.854746377182334</v>
      </c>
      <c r="J28" s="33">
        <f>(Inputs!$D$6*Inputs!$D$14*Inputs!$D$26*(1+Inputs!$D$41*(D28-Inputs!$D$42))*(1-Inputs!$D$38*MIN(1,MAX(0,(IF(F28&gt;=1,999,F28/(Inputs!$D$32*(1-F28))*60)-Inputs!$D$36)/(Inputs!$D$37-Inputs!$D$36))))*Inputs!$D$11)+(Inputs!$D$6*MIN(Inputs!$E$15,Inputs!$D$15*(C28/Inputs!$D$43)^Inputs!$D$44)*Inputs!$D$27*(1-Inputs!$D$38*MIN(1,MAX(0,(IF(G28&gt;=1,999,G28/(Inputs!$D$33*(1-G28))*60)-Inputs!$D$36)/(Inputs!$D$37-Inputs!$D$36))))*Inputs!$D$12)+(Inputs!$D$6*MIN(Inputs!$E$16,Inputs!$D$16*(D28/Inputs!$D$42)^Inputs!$D$44)*Inputs!$D$28*(1-Inputs!$D$38*MIN(1,MAX(0,(IF(H28&gt;=1,999,H28/(Inputs!$D$34*(1-H28))*60)-Inputs!$D$36)/(Inputs!$D$37-Inputs!$D$36))))*Inputs!$D$13)</f>
        <v>374260.62599207816</v>
      </c>
      <c r="K28" s="33">
        <f>(Inputs!$D$6*Inputs!$D$14*Inputs!$D$26*(1+Inputs!$D$41*(D28-Inputs!$D$42))*(1-Inputs!$D$38*MIN(1,MAX(0,(IF(F28&gt;=1,999,F28/(Inputs!$D$32*(1-F28))*60)-Inputs!$D$36)/(Inputs!$D$37-Inputs!$D$36))))*Inputs!$D$11)*(1-Inputs!$D$17)+(Inputs!$D$6*MIN(Inputs!$E$15,Inputs!$D$15*(C28/Inputs!$D$43)^Inputs!$D$44)*Inputs!$D$27*(1-Inputs!$D$38*MIN(1,MAX(0,(IF(G28&gt;=1,999,G28/(Inputs!$D$33*(1-G28))*60)-Inputs!$D$36)/(Inputs!$D$37-Inputs!$D$36))))*Inputs!$D$12)*(1-Inputs!$D$18)+(Inputs!$D$6*MIN(Inputs!$E$16,Inputs!$D$16*(D28/Inputs!$D$42)^Inputs!$D$44)*Inputs!$D$28*(1-Inputs!$D$38*MIN(1,MAX(0,(IF(H28&gt;=1,999,H28/(Inputs!$D$34*(1-H28))*60)-Inputs!$D$36)/(Inputs!$D$37-Inputs!$D$36))))*Inputs!$D$13)*(1-Inputs!$D$19)</f>
        <v>146072.90264055179</v>
      </c>
      <c r="L28" s="15" t="str">
        <f>IF(AND(MAX(F28,G28,H28)&lt;=Inputs!$D$35,E28&lt;=Inputs!$D$8),"Yes","No")</f>
        <v>No</v>
      </c>
    </row>
    <row r="29" spans="1:12" x14ac:dyDescent="0.25">
      <c r="A29" s="15" t="s">
        <v>250</v>
      </c>
      <c r="B29" s="9">
        <f>Demand!C13</f>
        <v>41</v>
      </c>
      <c r="C29" s="9">
        <f>Demand!C22</f>
        <v>14</v>
      </c>
      <c r="D29" s="9">
        <f>Demand!C31</f>
        <v>23</v>
      </c>
      <c r="E29" s="31">
        <f>B29*Inputs!$D$20+C29*Inputs!$D$21+D29*Inputs!$D$22</f>
        <v>101</v>
      </c>
      <c r="F29" s="40">
        <f>(Inputs!$D$6*Inputs!$D$14*Inputs!$D$26*(1+Inputs!$D$41*(D29-Inputs!$D$42))*Inputs!$D$29/(B29*Inputs!$D$32))</f>
        <v>0.86083563192904655</v>
      </c>
      <c r="G29" s="40">
        <f>(Inputs!$D$6*MIN(Inputs!$E$15,Inputs!$D$15*(C29/Inputs!$D$43)^Inputs!$D$44)*Inputs!$D$27*Inputs!$D$30/(C29*Inputs!$D$33))</f>
        <v>0.69577850745339453</v>
      </c>
      <c r="H29" s="40">
        <f>(Inputs!$D$6*MIN(Inputs!$E$16,Inputs!$D$16*(D29/Inputs!$D$42)^Inputs!$D$44)*Inputs!$D$28*Inputs!$D$31/(D29*Inputs!$D$34))</f>
        <v>0.87366190139946498</v>
      </c>
      <c r="I29" s="41">
        <f>MAX(IF(F29&gt;=1,999,F29/(Inputs!$D$32*(1-F29))*60),IF(G29&gt;=1,999,G29/(Inputs!$D$33*(1-G29))*60),IF(H29&gt;=1,999,H29/(Inputs!$D$34*(1-H29))*60))</f>
        <v>11.854746377182334</v>
      </c>
      <c r="J29" s="33">
        <f>(Inputs!$D$6*Inputs!$D$14*Inputs!$D$26*(1+Inputs!$D$41*(D29-Inputs!$D$42))*(1-Inputs!$D$38*MIN(1,MAX(0,(IF(F29&gt;=1,999,F29/(Inputs!$D$32*(1-F29))*60)-Inputs!$D$36)/(Inputs!$D$37-Inputs!$D$36))))*Inputs!$D$11)+(Inputs!$D$6*MIN(Inputs!$E$15,Inputs!$D$15*(C29/Inputs!$D$43)^Inputs!$D$44)*Inputs!$D$27*(1-Inputs!$D$38*MIN(1,MAX(0,(IF(G29&gt;=1,999,G29/(Inputs!$D$33*(1-G29))*60)-Inputs!$D$36)/(Inputs!$D$37-Inputs!$D$36))))*Inputs!$D$12)+(Inputs!$D$6*MIN(Inputs!$E$16,Inputs!$D$16*(D29/Inputs!$D$42)^Inputs!$D$44)*Inputs!$D$28*(1-Inputs!$D$38*MIN(1,MAX(0,(IF(H29&gt;=1,999,H29/(Inputs!$D$34*(1-H29))*60)-Inputs!$D$36)/(Inputs!$D$37-Inputs!$D$36))))*Inputs!$D$13)</f>
        <v>352124.8538918593</v>
      </c>
      <c r="K29" s="33">
        <f>(Inputs!$D$6*Inputs!$D$14*Inputs!$D$26*(1+Inputs!$D$41*(D29-Inputs!$D$42))*(1-Inputs!$D$38*MIN(1,MAX(0,(IF(F29&gt;=1,999,F29/(Inputs!$D$32*(1-F29))*60)-Inputs!$D$36)/(Inputs!$D$37-Inputs!$D$36))))*Inputs!$D$11)*(1-Inputs!$D$17)+(Inputs!$D$6*MIN(Inputs!$E$15,Inputs!$D$15*(C29/Inputs!$D$43)^Inputs!$D$44)*Inputs!$D$27*(1-Inputs!$D$38*MIN(1,MAX(0,(IF(G29&gt;=1,999,G29/(Inputs!$D$33*(1-G29))*60)-Inputs!$D$36)/(Inputs!$D$37-Inputs!$D$36))))*Inputs!$D$12)*(1-Inputs!$D$18)+(Inputs!$D$6*MIN(Inputs!$E$16,Inputs!$D$16*(D29/Inputs!$D$42)^Inputs!$D$44)*Inputs!$D$28*(1-Inputs!$D$38*MIN(1,MAX(0,(IF(H29&gt;=1,999,H29/(Inputs!$D$34*(1-H29))*60)-Inputs!$D$36)/(Inputs!$D$37-Inputs!$D$36))))*Inputs!$D$13)*(1-Inputs!$D$19)</f>
        <v>137570.9505413305</v>
      </c>
      <c r="L29" s="15" t="str">
        <f>IF(AND(MAX(F29,G29,H29)&lt;=Inputs!$D$35,E29&lt;=Inputs!$D$8),"Yes","No")</f>
        <v>No</v>
      </c>
    </row>
    <row r="32" spans="1:12" x14ac:dyDescent="0.25">
      <c r="A32" s="18" t="s">
        <v>251</v>
      </c>
    </row>
    <row r="33" spans="1:12" ht="30" x14ac:dyDescent="0.25">
      <c r="A33" s="6" t="s">
        <v>252</v>
      </c>
      <c r="B33" s="6" t="s">
        <v>242</v>
      </c>
      <c r="C33" s="6" t="s">
        <v>243</v>
      </c>
      <c r="D33" s="6" t="s">
        <v>244</v>
      </c>
      <c r="E33" s="6" t="s">
        <v>245</v>
      </c>
      <c r="F33" s="6" t="s">
        <v>199</v>
      </c>
      <c r="G33" s="6" t="s">
        <v>206</v>
      </c>
      <c r="H33" s="6" t="s">
        <v>213</v>
      </c>
      <c r="I33" s="6" t="s">
        <v>34</v>
      </c>
      <c r="J33" s="6" t="s">
        <v>237</v>
      </c>
      <c r="K33" s="6" t="s">
        <v>33</v>
      </c>
      <c r="L33" s="6" t="s">
        <v>253</v>
      </c>
    </row>
    <row r="34" spans="1:12" x14ac:dyDescent="0.25">
      <c r="A34" s="15" t="s">
        <v>254</v>
      </c>
      <c r="B34" s="31">
        <f>B8</f>
        <v>45</v>
      </c>
      <c r="C34" s="31">
        <f>B9</f>
        <v>21</v>
      </c>
      <c r="D34" s="31">
        <f>B10</f>
        <v>27</v>
      </c>
      <c r="E34" s="31">
        <f>B34*Inputs!$D$20+C34*Inputs!$D$21+D34*Inputs!$D$22</f>
        <v>120</v>
      </c>
      <c r="F34" s="40">
        <f>(Inputs!$C$6*Inputs!$D$14*Inputs!$D$26*(1+Inputs!$D$41*(D34-Inputs!$D$42))*Inputs!$D$29/(B34*Inputs!$D$32))</f>
        <v>0.69491150000000002</v>
      </c>
      <c r="G34" s="40">
        <f>(Inputs!$C$6*MIN(Inputs!$E$15,Inputs!$D$15*(C34/Inputs!$D$43)^Inputs!$D$44)*Inputs!$D$27*Inputs!$D$30/(C34*Inputs!$D$33))</f>
        <v>0.44678490915529584</v>
      </c>
      <c r="H34" s="40">
        <f>(Inputs!$C$6*MIN(Inputs!$E$16,Inputs!$D$16*(D34/Inputs!$D$42)^Inputs!$D$44)*Inputs!$D$28*Inputs!$D$31/(D34*Inputs!$D$34))</f>
        <v>0.66602359570360825</v>
      </c>
      <c r="I34" s="41">
        <f>MAX(IF(F34&gt;=1,999,F34/(Inputs!$D$32*(1-F34))*60),IF(G34&gt;=1,999,G34/(Inputs!$D$33*(1-G34))*60),IF(H34&gt;=1,999,H34/(Inputs!$D$34*(1-H34))*60))</f>
        <v>3.4186688664347518</v>
      </c>
      <c r="J34" s="33">
        <f>(Inputs!$C$6*Inputs!$D$14*Inputs!$D$26*(1+Inputs!$D$41*(D34-Inputs!$D$42))*(1-Inputs!$D$38*MIN(1,MAX(0,(IF(F34&gt;=1,999,F34/(Inputs!$D$32*(1-F34))*60)-Inputs!$D$36)/(Inputs!$D$37-Inputs!$D$36))))*Inputs!$D$11)+(Inputs!$C$6*MIN(Inputs!$E$15,Inputs!$D$15*(C34/Inputs!$D$43)^Inputs!$D$44)*Inputs!$D$27*(1-Inputs!$D$38*MIN(1,MAX(0,(IF(G34&gt;=1,999,G34/(Inputs!$D$33*(1-G34))*60)-Inputs!$D$36)/(Inputs!$D$37-Inputs!$D$36))))*Inputs!$D$12)+(Inputs!$C$6*MIN(Inputs!$E$16,Inputs!$D$16*(D34/Inputs!$D$42)^Inputs!$D$44)*Inputs!$D$28*(1-Inputs!$D$38*MIN(1,MAX(0,(IF(H34&gt;=1,999,H34/(Inputs!$D$34*(1-H34))*60)-Inputs!$D$36)/(Inputs!$D$37-Inputs!$D$36))))*Inputs!$D$13)</f>
        <v>337712.33777723339</v>
      </c>
      <c r="K34" s="33">
        <f>(Inputs!$C$6*Inputs!$D$14*Inputs!$D$26*(1+Inputs!$D$41*(D34-Inputs!$D$42))*(1-Inputs!$D$38*MIN(1,MAX(0,(IF(F34&gt;=1,999,F34/(Inputs!$D$32*(1-F34))*60)-Inputs!$D$36)/(Inputs!$D$37-Inputs!$D$36))))*Inputs!$D$11)*(1-Inputs!$D$17)+(Inputs!$C$6*MIN(Inputs!$E$15,Inputs!$D$15*(C34/Inputs!$D$43)^Inputs!$D$44)*Inputs!$D$27*(1-Inputs!$D$38*MIN(1,MAX(0,(IF(G34&gt;=1,999,G34/(Inputs!$D$33*(1-G34))*60)-Inputs!$D$36)/(Inputs!$D$37-Inputs!$D$36))))*Inputs!$D$12)*(1-Inputs!$D$18)+(Inputs!$C$6*MIN(Inputs!$E$16,Inputs!$D$16*(D34/Inputs!$D$42)^Inputs!$D$44)*Inputs!$D$28*(1-Inputs!$D$38*MIN(1,MAX(0,(IF(H34&gt;=1,999,H34/(Inputs!$D$34*(1-H34))*60)-Inputs!$D$36)/(Inputs!$D$37-Inputs!$D$36))))*Inputs!$D$13)*(1-Inputs!$D$19)</f>
        <v>133491.45253628105</v>
      </c>
      <c r="L34" s="15" t="str">
        <f>IF(AND(MAX(F34,G34,H34)&lt;=Inputs!$D$35,E34&lt;=Inputs!$D$8),"Yes","No")</f>
        <v>Yes</v>
      </c>
    </row>
    <row r="35" spans="1:12" x14ac:dyDescent="0.25">
      <c r="A35" s="15" t="s">
        <v>255</v>
      </c>
      <c r="B35" s="31">
        <f>B8</f>
        <v>45</v>
      </c>
      <c r="C35" s="31">
        <f>B9</f>
        <v>21</v>
      </c>
      <c r="D35" s="31">
        <f>B10</f>
        <v>27</v>
      </c>
      <c r="E35" s="31">
        <f>B35*Inputs!$D$20+C35*Inputs!$D$21+D35*Inputs!$D$22</f>
        <v>120</v>
      </c>
      <c r="F35" s="40">
        <f>(Inputs!$D$6*Inputs!$D$14*Inputs!$D$26*(1+Inputs!$D$41*(D35-Inputs!$D$42))*Inputs!$D$29/(B35*Inputs!$D$32))</f>
        <v>0.81477581818181821</v>
      </c>
      <c r="G35" s="40">
        <f>(Inputs!$D$6*MIN(Inputs!$E$15,Inputs!$D$15*(C35/Inputs!$D$43)^Inputs!$D$44)*Inputs!$D$27*Inputs!$D$30/(C35*Inputs!$D$33))</f>
        <v>0.52385021676615728</v>
      </c>
      <c r="H35" s="40">
        <f>(Inputs!$D$6*MIN(Inputs!$E$16,Inputs!$D$16*(D35/Inputs!$D$42)^Inputs!$D$44)*Inputs!$D$28*Inputs!$D$31/(D35*Inputs!$D$34))</f>
        <v>0.78090507944940324</v>
      </c>
      <c r="I35" s="41">
        <f>MAX(IF(F35&gt;=1,999,F35/(Inputs!$D$32*(1-F35))*60),IF(G35&gt;=1,999,G35/(Inputs!$D$33*(1-G35))*60),IF(H35&gt;=1,999,H35/(Inputs!$D$34*(1-H35))*60))</f>
        <v>6.1101116290101798</v>
      </c>
      <c r="J35" s="33">
        <f>(Inputs!$D$6*Inputs!$D$14*Inputs!$D$26*(1+Inputs!$D$41*(D35-Inputs!$D$42))*(1-Inputs!$D$38*MIN(1,MAX(0,(IF(F35&gt;=1,999,F35/(Inputs!$D$32*(1-F35))*60)-Inputs!$D$36)/(Inputs!$D$37-Inputs!$D$36))))*Inputs!$D$11)+(Inputs!$D$6*MIN(Inputs!$E$15,Inputs!$D$15*(C35/Inputs!$D$43)^Inputs!$D$44)*Inputs!$D$27*(1-Inputs!$D$38*MIN(1,MAX(0,(IF(G35&gt;=1,999,G35/(Inputs!$D$33*(1-G35))*60)-Inputs!$D$36)/(Inputs!$D$37-Inputs!$D$36))))*Inputs!$D$12)+(Inputs!$D$6*MIN(Inputs!$E$16,Inputs!$D$16*(D35/Inputs!$D$42)^Inputs!$D$44)*Inputs!$D$28*(1-Inputs!$D$38*MIN(1,MAX(0,(IF(H35&gt;=1,999,H35/(Inputs!$D$34*(1-H35))*60)-Inputs!$D$36)/(Inputs!$D$37-Inputs!$D$36))))*Inputs!$D$13)</f>
        <v>394356.95190703083</v>
      </c>
      <c r="K35" s="33">
        <f>(Inputs!$D$6*Inputs!$D$14*Inputs!$D$26*(1+Inputs!$D$41*(D35-Inputs!$D$42))*(1-Inputs!$D$38*MIN(1,MAX(0,(IF(F35&gt;=1,999,F35/(Inputs!$D$32*(1-F35))*60)-Inputs!$D$36)/(Inputs!$D$37-Inputs!$D$36))))*Inputs!$D$11)*(1-Inputs!$D$17)+(Inputs!$D$6*MIN(Inputs!$E$15,Inputs!$D$15*(C35/Inputs!$D$43)^Inputs!$D$44)*Inputs!$D$27*(1-Inputs!$D$38*MIN(1,MAX(0,(IF(G35&gt;=1,999,G35/(Inputs!$D$33*(1-G35))*60)-Inputs!$D$36)/(Inputs!$D$37-Inputs!$D$36))))*Inputs!$D$12)*(1-Inputs!$D$18)+(Inputs!$D$6*MIN(Inputs!$E$16,Inputs!$D$16*(D35/Inputs!$D$42)^Inputs!$D$44)*Inputs!$D$28*(1-Inputs!$D$38*MIN(1,MAX(0,(IF(H35&gt;=1,999,H35/(Inputs!$D$34*(1-H35))*60)-Inputs!$D$36)/(Inputs!$D$37-Inputs!$D$36))))*Inputs!$D$13)*(1-Inputs!$D$19)</f>
        <v>155553.05712754704</v>
      </c>
      <c r="L35" s="15" t="str">
        <f>IF(AND(MAX(F35,G35,H35)&lt;=Inputs!$D$35,E35&lt;=Inputs!$D$8),"Yes","No")</f>
        <v>Yes</v>
      </c>
    </row>
    <row r="36" spans="1:12" x14ac:dyDescent="0.25">
      <c r="A36" s="15" t="s">
        <v>256</v>
      </c>
      <c r="B36" s="31">
        <f>B8</f>
        <v>45</v>
      </c>
      <c r="C36" s="31">
        <f>B9</f>
        <v>21</v>
      </c>
      <c r="D36" s="31">
        <f>B10</f>
        <v>27</v>
      </c>
      <c r="E36" s="31">
        <f>B36*Inputs!$D$20+C36*Inputs!$D$21+D36*Inputs!$D$22</f>
        <v>120</v>
      </c>
      <c r="F36" s="40">
        <f>(Inputs!$E$6*Inputs!$D$14*Inputs!$D$26*(1+Inputs!$D$41*(D36-Inputs!$D$42))*Inputs!$D$29/(B36*Inputs!$D$32))</f>
        <v>1.0175651363636367</v>
      </c>
      <c r="G36" s="40">
        <f>(Inputs!$E$6*MIN(Inputs!$E$15,Inputs!$D$15*(C36/Inputs!$D$43)^Inputs!$D$44)*Inputs!$D$27*Inputs!$D$30/(C36*Inputs!$D$33))</f>
        <v>0.65423114599459575</v>
      </c>
      <c r="H36" s="40">
        <f>(Inputs!$E$6*MIN(Inputs!$E$16,Inputs!$D$16*(D36/Inputs!$D$42)^Inputs!$D$44)*Inputs!$D$28*Inputs!$D$31/(D36*Inputs!$D$34))</f>
        <v>0.97526431924574808</v>
      </c>
      <c r="I36" s="41">
        <f>MAX(IF(F36&gt;=1,999,F36/(Inputs!$D$32*(1-F36))*60),IF(G36&gt;=1,999,G36/(Inputs!$D$33*(1-G36))*60),IF(H36&gt;=1,999,H36/(Inputs!$D$34*(1-H36))*60))</f>
        <v>999</v>
      </c>
      <c r="J36" s="33">
        <f>(Inputs!$E$6*Inputs!$D$14*Inputs!$D$26*(1+Inputs!$D$41*(D36-Inputs!$D$42))*(1-Inputs!$D$38*MIN(1,MAX(0,(IF(F36&gt;=1,999,F36/(Inputs!$D$32*(1-F36))*60)-Inputs!$D$36)/(Inputs!$D$37-Inputs!$D$36))))*Inputs!$D$11)+(Inputs!$E$6*MIN(Inputs!$E$15,Inputs!$D$15*(C36/Inputs!$D$43)^Inputs!$D$44)*Inputs!$D$27*(1-Inputs!$D$38*MIN(1,MAX(0,(IF(G36&gt;=1,999,G36/(Inputs!$D$33*(1-G36))*60)-Inputs!$D$36)/(Inputs!$D$37-Inputs!$D$36))))*Inputs!$D$12)+(Inputs!$E$6*MIN(Inputs!$E$16,Inputs!$D$16*(D36/Inputs!$D$42)^Inputs!$D$44)*Inputs!$D$28*(1-Inputs!$D$38*MIN(1,MAX(0,(IF(H36&gt;=1,999,H36/(Inputs!$D$34*(1-H36))*60)-Inputs!$D$36)/(Inputs!$D$37-Inputs!$D$36))))*Inputs!$D$13)</f>
        <v>304956.61105389718</v>
      </c>
      <c r="K36" s="33">
        <f>(Inputs!$E$6*Inputs!$D$14*Inputs!$D$26*(1+Inputs!$D$41*(D36-Inputs!$D$42))*(1-Inputs!$D$38*MIN(1,MAX(0,(IF(F36&gt;=1,999,F36/(Inputs!$D$32*(1-F36))*60)-Inputs!$D$36)/(Inputs!$D$37-Inputs!$D$36))))*Inputs!$D$11)*(1-Inputs!$D$17)+(Inputs!$E$6*MIN(Inputs!$E$15,Inputs!$D$15*(C36/Inputs!$D$43)^Inputs!$D$44)*Inputs!$D$27*(1-Inputs!$D$38*MIN(1,MAX(0,(IF(G36&gt;=1,999,G36/(Inputs!$D$33*(1-G36))*60)-Inputs!$D$36)/(Inputs!$D$37-Inputs!$D$36))))*Inputs!$D$12)*(1-Inputs!$D$18)+(Inputs!$E$6*MIN(Inputs!$E$16,Inputs!$D$16*(D36/Inputs!$D$42)^Inputs!$D$44)*Inputs!$D$28*(1-Inputs!$D$38*MIN(1,MAX(0,(IF(H36&gt;=1,999,H36/(Inputs!$D$34*(1-H36))*60)-Inputs!$D$36)/(Inputs!$D$37-Inputs!$D$36))))*Inputs!$D$13)*(1-Inputs!$D$19)</f>
        <v>122347.96396244154</v>
      </c>
      <c r="L36" s="15" t="str">
        <f>IF(AND(MAX(F36,G36,H36)&lt;=Inputs!$D$35,E36&lt;=Inputs!$D$8),"Yes","No")</f>
        <v>No</v>
      </c>
    </row>
    <row r="38" spans="1:12" ht="45" customHeight="1" x14ac:dyDescent="0.25">
      <c r="A38" s="1" t="s">
        <v>257</v>
      </c>
      <c r="B38" s="1"/>
      <c r="C38" s="1"/>
      <c r="D38" s="1"/>
      <c r="E38" s="1"/>
      <c r="F38" s="1"/>
      <c r="G38" s="1"/>
      <c r="H38" s="1"/>
      <c r="I38" s="1"/>
      <c r="J38" s="1"/>
      <c r="K38" s="1"/>
      <c r="L38" s="1"/>
    </row>
    <row r="40" spans="1:12" x14ac:dyDescent="0.25">
      <c r="A40" s="18" t="s">
        <v>258</v>
      </c>
    </row>
    <row r="41" spans="1:12" ht="45" x14ac:dyDescent="0.25">
      <c r="A41" s="6" t="s">
        <v>16</v>
      </c>
      <c r="B41" s="6" t="s">
        <v>259</v>
      </c>
      <c r="C41" s="6" t="s">
        <v>260</v>
      </c>
      <c r="D41" s="6" t="s">
        <v>261</v>
      </c>
    </row>
    <row r="42" spans="1:12" x14ac:dyDescent="0.25">
      <c r="A42" s="15" t="s">
        <v>21</v>
      </c>
      <c r="B42" s="27"/>
      <c r="C42" s="31">
        <f>B8</f>
        <v>45</v>
      </c>
      <c r="D42" s="31" t="str">
        <f>IF(B42="","n/a",C42-B42)</f>
        <v>n/a</v>
      </c>
    </row>
    <row r="43" spans="1:12" x14ac:dyDescent="0.25">
      <c r="A43" s="15" t="s">
        <v>22</v>
      </c>
      <c r="B43" s="27"/>
      <c r="C43" s="31">
        <f>B9</f>
        <v>21</v>
      </c>
      <c r="D43" s="31" t="str">
        <f>IF(B43="","n/a",C43-B43)</f>
        <v>n/a</v>
      </c>
    </row>
    <row r="44" spans="1:12" x14ac:dyDescent="0.25">
      <c r="A44" s="15" t="s">
        <v>23</v>
      </c>
      <c r="B44" s="27"/>
      <c r="C44" s="31">
        <f>B10</f>
        <v>27</v>
      </c>
      <c r="D44" s="31" t="str">
        <f>IF(B44="","n/a",C44-B44)</f>
        <v>n/a</v>
      </c>
    </row>
  </sheetData>
  <mergeCells count="1">
    <mergeCell ref="A38:L38"/>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Summary</vt:lpstr>
      <vt:lpstr>Inputs</vt:lpstr>
      <vt:lpstr>Demand</vt:lpstr>
      <vt:lpstr>Optimizer</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Eisen Hy</cp:lastModifiedBy>
  <cp:revision>1</cp:revision>
  <dcterms:created xsi:type="dcterms:W3CDTF">2026-09-23T05:54:34Z</dcterms:created>
  <dcterms:modified xsi:type="dcterms:W3CDTF">2026-09-23T22:06:35Z</dcterms:modified>
  <dc:language>en-US</dc:language>
</cp:coreProperties>
</file>